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hfde\Documents\ThePower - Data Analyst\4. Dashboard y Análisis de Datos\Proyecto_Dashboard_ThePowerMBA\"/>
    </mc:Choice>
  </mc:AlternateContent>
  <xr:revisionPtr revIDLastSave="0" documentId="13_ncr:1_{715B6612-9C00-47A9-95F3-401B9E316EB5}" xr6:coauthVersionLast="47" xr6:coauthVersionMax="47" xr10:uidLastSave="{00000000-0000-0000-0000-000000000000}"/>
  <bookViews>
    <workbookView xWindow="-108" yWindow="-108" windowWidth="23256" windowHeight="13896" tabRatio="500" activeTab="3" xr2:uid="{00000000-000D-0000-FFFF-FFFF00000000}"/>
  </bookViews>
  <sheets>
    <sheet name="Dataset Limpio" sheetId="2" r:id="rId1"/>
    <sheet name="Análisis Descriptivo" sheetId="1" r:id="rId2"/>
    <sheet name="Analisis" sheetId="15" state="hidden" r:id="rId3"/>
    <sheet name="Dashboard" sheetId="14" r:id="rId4"/>
  </sheets>
  <externalReferences>
    <externalReference r:id="rId5"/>
  </externalReferences>
  <definedNames>
    <definedName name="_xlnm._FilterDatabase" localSheetId="0" hidden="1">'Dataset Limpio'!$A$1:$AB$2001</definedName>
    <definedName name="Datos">[1]!Tabla2[#Data]</definedName>
    <definedName name="SegmentaciónDeDatos_Almacén_Destino">#N/A</definedName>
    <definedName name="SegmentaciónDeDatos_Año_Pedido">#N/A</definedName>
    <definedName name="SegmentaciónDeDatos_Categoría">#N/A</definedName>
    <definedName name="SegmentaciónDeDatos_Incidencias">#N/A</definedName>
    <definedName name="SegmentaciónDeDatos_Modo_Transporte">#N/A</definedName>
    <definedName name="SegmentaciónDeDatos_Proveedor">#N/A</definedName>
    <definedName name="SegmentaciónDeDatos_Transportista">#N/A</definedName>
  </definedNames>
  <calcPr calcId="191029" iterateDelta="1E-4"/>
  <pivotCaches>
    <pivotCache cacheId="0" r:id="rId6"/>
    <pivotCache cacheId="1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2001" i="2" l="1"/>
  <c r="X2001" i="2"/>
  <c r="V2001" i="2"/>
  <c r="R2001" i="2"/>
  <c r="E2001" i="2"/>
  <c r="D2001" i="2"/>
  <c r="C2001" i="2"/>
  <c r="AB2000" i="2"/>
  <c r="X2000" i="2"/>
  <c r="V2000" i="2"/>
  <c r="R2000" i="2"/>
  <c r="E2000" i="2"/>
  <c r="D2000" i="2"/>
  <c r="C2000" i="2"/>
  <c r="AB1999" i="2"/>
  <c r="X1999" i="2"/>
  <c r="V1999" i="2"/>
  <c r="R1999" i="2"/>
  <c r="E1999" i="2"/>
  <c r="D1999" i="2"/>
  <c r="C1999" i="2"/>
  <c r="AB1998" i="2"/>
  <c r="X1998" i="2"/>
  <c r="V1998" i="2"/>
  <c r="R1998" i="2"/>
  <c r="E1998" i="2"/>
  <c r="D1998" i="2"/>
  <c r="C1998" i="2"/>
  <c r="AB1997" i="2"/>
  <c r="X1997" i="2"/>
  <c r="V1997" i="2"/>
  <c r="R1997" i="2"/>
  <c r="E1997" i="2"/>
  <c r="D1997" i="2"/>
  <c r="C1997" i="2"/>
  <c r="AB1996" i="2"/>
  <c r="X1996" i="2"/>
  <c r="V1996" i="2"/>
  <c r="R1996" i="2"/>
  <c r="E1996" i="2"/>
  <c r="D1996" i="2"/>
  <c r="C1996" i="2"/>
  <c r="AB1995" i="2"/>
  <c r="X1995" i="2"/>
  <c r="V1995" i="2"/>
  <c r="R1995" i="2"/>
  <c r="E1995" i="2"/>
  <c r="D1995" i="2"/>
  <c r="C1995" i="2"/>
  <c r="AB1994" i="2"/>
  <c r="X1994" i="2"/>
  <c r="V1994" i="2"/>
  <c r="R1994" i="2"/>
  <c r="E1994" i="2"/>
  <c r="D1994" i="2"/>
  <c r="C1994" i="2"/>
  <c r="AB1993" i="2"/>
  <c r="X1993" i="2"/>
  <c r="V1993" i="2"/>
  <c r="R1993" i="2"/>
  <c r="E1993" i="2"/>
  <c r="D1993" i="2"/>
  <c r="C1993" i="2"/>
  <c r="AB1992" i="2"/>
  <c r="X1992" i="2"/>
  <c r="V1992" i="2"/>
  <c r="R1992" i="2"/>
  <c r="E1992" i="2"/>
  <c r="D1992" i="2"/>
  <c r="C1992" i="2"/>
  <c r="AB1991" i="2"/>
  <c r="X1991" i="2"/>
  <c r="V1991" i="2"/>
  <c r="R1991" i="2"/>
  <c r="E1991" i="2"/>
  <c r="D1991" i="2"/>
  <c r="C1991" i="2"/>
  <c r="AB1990" i="2"/>
  <c r="X1990" i="2"/>
  <c r="V1990" i="2"/>
  <c r="R1990" i="2"/>
  <c r="E1990" i="2"/>
  <c r="D1990" i="2"/>
  <c r="C1990" i="2"/>
  <c r="AB1989" i="2"/>
  <c r="X1989" i="2"/>
  <c r="V1989" i="2"/>
  <c r="R1989" i="2"/>
  <c r="E1989" i="2"/>
  <c r="D1989" i="2"/>
  <c r="C1989" i="2"/>
  <c r="AB1988" i="2"/>
  <c r="X1988" i="2"/>
  <c r="V1988" i="2"/>
  <c r="R1988" i="2"/>
  <c r="E1988" i="2"/>
  <c r="D1988" i="2"/>
  <c r="C1988" i="2"/>
  <c r="AB1987" i="2"/>
  <c r="X1987" i="2"/>
  <c r="V1987" i="2"/>
  <c r="R1987" i="2"/>
  <c r="E1987" i="2"/>
  <c r="D1987" i="2"/>
  <c r="C1987" i="2"/>
  <c r="AB1986" i="2"/>
  <c r="X1986" i="2"/>
  <c r="V1986" i="2"/>
  <c r="R1986" i="2"/>
  <c r="E1986" i="2"/>
  <c r="D1986" i="2"/>
  <c r="C1986" i="2"/>
  <c r="AB1985" i="2"/>
  <c r="X1985" i="2"/>
  <c r="V1985" i="2"/>
  <c r="R1985" i="2"/>
  <c r="E1985" i="2"/>
  <c r="D1985" i="2"/>
  <c r="C1985" i="2"/>
  <c r="AB1984" i="2"/>
  <c r="X1984" i="2"/>
  <c r="V1984" i="2"/>
  <c r="R1984" i="2"/>
  <c r="E1984" i="2"/>
  <c r="D1984" i="2"/>
  <c r="C1984" i="2"/>
  <c r="AB1983" i="2"/>
  <c r="X1983" i="2"/>
  <c r="V1983" i="2"/>
  <c r="R1983" i="2"/>
  <c r="E1983" i="2"/>
  <c r="D1983" i="2"/>
  <c r="C1983" i="2"/>
  <c r="AB1982" i="2"/>
  <c r="X1982" i="2"/>
  <c r="V1982" i="2"/>
  <c r="R1982" i="2"/>
  <c r="E1982" i="2"/>
  <c r="D1982" i="2"/>
  <c r="C1982" i="2"/>
  <c r="AB1981" i="2"/>
  <c r="X1981" i="2"/>
  <c r="V1981" i="2"/>
  <c r="R1981" i="2"/>
  <c r="E1981" i="2"/>
  <c r="D1981" i="2"/>
  <c r="C1981" i="2"/>
  <c r="AB1980" i="2"/>
  <c r="X1980" i="2"/>
  <c r="V1980" i="2"/>
  <c r="R1980" i="2"/>
  <c r="E1980" i="2"/>
  <c r="D1980" i="2"/>
  <c r="C1980" i="2"/>
  <c r="AB1979" i="2"/>
  <c r="X1979" i="2"/>
  <c r="V1979" i="2"/>
  <c r="R1979" i="2"/>
  <c r="E1979" i="2"/>
  <c r="D1979" i="2"/>
  <c r="C1979" i="2"/>
  <c r="AB1978" i="2"/>
  <c r="X1978" i="2"/>
  <c r="V1978" i="2"/>
  <c r="R1978" i="2"/>
  <c r="E1978" i="2"/>
  <c r="D1978" i="2"/>
  <c r="C1978" i="2"/>
  <c r="AB1977" i="2"/>
  <c r="X1977" i="2"/>
  <c r="V1977" i="2"/>
  <c r="R1977" i="2"/>
  <c r="E1977" i="2"/>
  <c r="D1977" i="2"/>
  <c r="C1977" i="2"/>
  <c r="AB1976" i="2"/>
  <c r="X1976" i="2"/>
  <c r="V1976" i="2"/>
  <c r="R1976" i="2"/>
  <c r="E1976" i="2"/>
  <c r="D1976" i="2"/>
  <c r="C1976" i="2"/>
  <c r="AB1975" i="2"/>
  <c r="X1975" i="2"/>
  <c r="V1975" i="2"/>
  <c r="R1975" i="2"/>
  <c r="E1975" i="2"/>
  <c r="D1975" i="2"/>
  <c r="C1975" i="2"/>
  <c r="AB1974" i="2"/>
  <c r="X1974" i="2"/>
  <c r="V1974" i="2"/>
  <c r="R1974" i="2"/>
  <c r="E1974" i="2"/>
  <c r="D1974" i="2"/>
  <c r="C1974" i="2"/>
  <c r="AB1973" i="2"/>
  <c r="X1973" i="2"/>
  <c r="V1973" i="2"/>
  <c r="R1973" i="2"/>
  <c r="E1973" i="2"/>
  <c r="D1973" i="2"/>
  <c r="C1973" i="2"/>
  <c r="AB1972" i="2"/>
  <c r="X1972" i="2"/>
  <c r="V1972" i="2"/>
  <c r="R1972" i="2"/>
  <c r="E1972" i="2"/>
  <c r="D1972" i="2"/>
  <c r="C1972" i="2"/>
  <c r="AB1971" i="2"/>
  <c r="X1971" i="2"/>
  <c r="V1971" i="2"/>
  <c r="R1971" i="2"/>
  <c r="E1971" i="2"/>
  <c r="D1971" i="2"/>
  <c r="C1971" i="2"/>
  <c r="AB1970" i="2"/>
  <c r="X1970" i="2"/>
  <c r="V1970" i="2"/>
  <c r="R1970" i="2"/>
  <c r="E1970" i="2"/>
  <c r="D1970" i="2"/>
  <c r="C1970" i="2"/>
  <c r="AB1969" i="2"/>
  <c r="X1969" i="2"/>
  <c r="V1969" i="2"/>
  <c r="R1969" i="2"/>
  <c r="E1969" i="2"/>
  <c r="D1969" i="2"/>
  <c r="C1969" i="2"/>
  <c r="AB1968" i="2"/>
  <c r="X1968" i="2"/>
  <c r="V1968" i="2"/>
  <c r="R1968" i="2"/>
  <c r="E1968" i="2"/>
  <c r="D1968" i="2"/>
  <c r="C1968" i="2"/>
  <c r="AB1967" i="2"/>
  <c r="X1967" i="2"/>
  <c r="V1967" i="2"/>
  <c r="R1967" i="2"/>
  <c r="E1967" i="2"/>
  <c r="D1967" i="2"/>
  <c r="C1967" i="2"/>
  <c r="AB1966" i="2"/>
  <c r="X1966" i="2"/>
  <c r="V1966" i="2"/>
  <c r="R1966" i="2"/>
  <c r="E1966" i="2"/>
  <c r="D1966" i="2"/>
  <c r="C1966" i="2"/>
  <c r="AB1965" i="2"/>
  <c r="X1965" i="2"/>
  <c r="V1965" i="2"/>
  <c r="R1965" i="2"/>
  <c r="E1965" i="2"/>
  <c r="D1965" i="2"/>
  <c r="C1965" i="2"/>
  <c r="AB1964" i="2"/>
  <c r="X1964" i="2"/>
  <c r="V1964" i="2"/>
  <c r="R1964" i="2"/>
  <c r="E1964" i="2"/>
  <c r="D1964" i="2"/>
  <c r="C1964" i="2"/>
  <c r="AB1963" i="2"/>
  <c r="X1963" i="2"/>
  <c r="V1963" i="2"/>
  <c r="R1963" i="2"/>
  <c r="E1963" i="2"/>
  <c r="D1963" i="2"/>
  <c r="C1963" i="2"/>
  <c r="AB1962" i="2"/>
  <c r="X1962" i="2"/>
  <c r="V1962" i="2"/>
  <c r="R1962" i="2"/>
  <c r="E1962" i="2"/>
  <c r="D1962" i="2"/>
  <c r="C1962" i="2"/>
  <c r="AB1961" i="2"/>
  <c r="X1961" i="2"/>
  <c r="V1961" i="2"/>
  <c r="R1961" i="2"/>
  <c r="E1961" i="2"/>
  <c r="D1961" i="2"/>
  <c r="C1961" i="2"/>
  <c r="AB1960" i="2"/>
  <c r="X1960" i="2"/>
  <c r="V1960" i="2"/>
  <c r="R1960" i="2"/>
  <c r="E1960" i="2"/>
  <c r="D1960" i="2"/>
  <c r="C1960" i="2"/>
  <c r="AB1959" i="2"/>
  <c r="X1959" i="2"/>
  <c r="V1959" i="2"/>
  <c r="R1959" i="2"/>
  <c r="E1959" i="2"/>
  <c r="D1959" i="2"/>
  <c r="C1959" i="2"/>
  <c r="AB1958" i="2"/>
  <c r="X1958" i="2"/>
  <c r="V1958" i="2"/>
  <c r="R1958" i="2"/>
  <c r="E1958" i="2"/>
  <c r="D1958" i="2"/>
  <c r="C1958" i="2"/>
  <c r="AB1957" i="2"/>
  <c r="X1957" i="2"/>
  <c r="V1957" i="2"/>
  <c r="R1957" i="2"/>
  <c r="E1957" i="2"/>
  <c r="D1957" i="2"/>
  <c r="C1957" i="2"/>
  <c r="AB1956" i="2"/>
  <c r="X1956" i="2"/>
  <c r="V1956" i="2"/>
  <c r="R1956" i="2"/>
  <c r="E1956" i="2"/>
  <c r="D1956" i="2"/>
  <c r="C1956" i="2"/>
  <c r="AB1955" i="2"/>
  <c r="X1955" i="2"/>
  <c r="V1955" i="2"/>
  <c r="R1955" i="2"/>
  <c r="E1955" i="2"/>
  <c r="D1955" i="2"/>
  <c r="C1955" i="2"/>
  <c r="AB1954" i="2"/>
  <c r="X1954" i="2"/>
  <c r="V1954" i="2"/>
  <c r="R1954" i="2"/>
  <c r="E1954" i="2"/>
  <c r="D1954" i="2"/>
  <c r="C1954" i="2"/>
  <c r="AB1953" i="2"/>
  <c r="X1953" i="2"/>
  <c r="V1953" i="2"/>
  <c r="R1953" i="2"/>
  <c r="E1953" i="2"/>
  <c r="D1953" i="2"/>
  <c r="C1953" i="2"/>
  <c r="AB1952" i="2"/>
  <c r="X1952" i="2"/>
  <c r="V1952" i="2"/>
  <c r="R1952" i="2"/>
  <c r="E1952" i="2"/>
  <c r="D1952" i="2"/>
  <c r="C1952" i="2"/>
  <c r="AB1951" i="2"/>
  <c r="X1951" i="2"/>
  <c r="V1951" i="2"/>
  <c r="R1951" i="2"/>
  <c r="E1951" i="2"/>
  <c r="D1951" i="2"/>
  <c r="C1951" i="2"/>
  <c r="AB1950" i="2"/>
  <c r="X1950" i="2"/>
  <c r="V1950" i="2"/>
  <c r="R1950" i="2"/>
  <c r="E1950" i="2"/>
  <c r="D1950" i="2"/>
  <c r="C1950" i="2"/>
  <c r="AB1949" i="2"/>
  <c r="X1949" i="2"/>
  <c r="V1949" i="2"/>
  <c r="R1949" i="2"/>
  <c r="E1949" i="2"/>
  <c r="D1949" i="2"/>
  <c r="C1949" i="2"/>
  <c r="AB1948" i="2"/>
  <c r="X1948" i="2"/>
  <c r="V1948" i="2"/>
  <c r="R1948" i="2"/>
  <c r="E1948" i="2"/>
  <c r="D1948" i="2"/>
  <c r="C1948" i="2"/>
  <c r="AB1947" i="2"/>
  <c r="X1947" i="2"/>
  <c r="V1947" i="2"/>
  <c r="R1947" i="2"/>
  <c r="E1947" i="2"/>
  <c r="D1947" i="2"/>
  <c r="C1947" i="2"/>
  <c r="AB1946" i="2"/>
  <c r="X1946" i="2"/>
  <c r="V1946" i="2"/>
  <c r="R1946" i="2"/>
  <c r="E1946" i="2"/>
  <c r="D1946" i="2"/>
  <c r="C1946" i="2"/>
  <c r="AB1945" i="2"/>
  <c r="X1945" i="2"/>
  <c r="V1945" i="2"/>
  <c r="R1945" i="2"/>
  <c r="E1945" i="2"/>
  <c r="D1945" i="2"/>
  <c r="C1945" i="2"/>
  <c r="AB1944" i="2"/>
  <c r="X1944" i="2"/>
  <c r="V1944" i="2"/>
  <c r="R1944" i="2"/>
  <c r="E1944" i="2"/>
  <c r="D1944" i="2"/>
  <c r="C1944" i="2"/>
  <c r="AB1943" i="2"/>
  <c r="X1943" i="2"/>
  <c r="V1943" i="2"/>
  <c r="R1943" i="2"/>
  <c r="E1943" i="2"/>
  <c r="D1943" i="2"/>
  <c r="C1943" i="2"/>
  <c r="AB1942" i="2"/>
  <c r="X1942" i="2"/>
  <c r="V1942" i="2"/>
  <c r="R1942" i="2"/>
  <c r="E1942" i="2"/>
  <c r="D1942" i="2"/>
  <c r="C1942" i="2"/>
  <c r="AB1941" i="2"/>
  <c r="X1941" i="2"/>
  <c r="V1941" i="2"/>
  <c r="R1941" i="2"/>
  <c r="E1941" i="2"/>
  <c r="D1941" i="2"/>
  <c r="C1941" i="2"/>
  <c r="AB1940" i="2"/>
  <c r="X1940" i="2"/>
  <c r="V1940" i="2"/>
  <c r="R1940" i="2"/>
  <c r="E1940" i="2"/>
  <c r="D1940" i="2"/>
  <c r="C1940" i="2"/>
  <c r="AB1939" i="2"/>
  <c r="X1939" i="2"/>
  <c r="V1939" i="2"/>
  <c r="R1939" i="2"/>
  <c r="E1939" i="2"/>
  <c r="D1939" i="2"/>
  <c r="C1939" i="2"/>
  <c r="AB1938" i="2"/>
  <c r="X1938" i="2"/>
  <c r="V1938" i="2"/>
  <c r="R1938" i="2"/>
  <c r="E1938" i="2"/>
  <c r="D1938" i="2"/>
  <c r="C1938" i="2"/>
  <c r="AB1937" i="2"/>
  <c r="X1937" i="2"/>
  <c r="V1937" i="2"/>
  <c r="R1937" i="2"/>
  <c r="E1937" i="2"/>
  <c r="D1937" i="2"/>
  <c r="C1937" i="2"/>
  <c r="AB1936" i="2"/>
  <c r="X1936" i="2"/>
  <c r="V1936" i="2"/>
  <c r="R1936" i="2"/>
  <c r="E1936" i="2"/>
  <c r="D1936" i="2"/>
  <c r="C1936" i="2"/>
  <c r="AB1935" i="2"/>
  <c r="X1935" i="2"/>
  <c r="V1935" i="2"/>
  <c r="R1935" i="2"/>
  <c r="E1935" i="2"/>
  <c r="D1935" i="2"/>
  <c r="C1935" i="2"/>
  <c r="AB1934" i="2"/>
  <c r="X1934" i="2"/>
  <c r="V1934" i="2"/>
  <c r="R1934" i="2"/>
  <c r="E1934" i="2"/>
  <c r="D1934" i="2"/>
  <c r="C1934" i="2"/>
  <c r="AB1933" i="2"/>
  <c r="X1933" i="2"/>
  <c r="V1933" i="2"/>
  <c r="R1933" i="2"/>
  <c r="E1933" i="2"/>
  <c r="D1933" i="2"/>
  <c r="C1933" i="2"/>
  <c r="AB1932" i="2"/>
  <c r="X1932" i="2"/>
  <c r="V1932" i="2"/>
  <c r="R1932" i="2"/>
  <c r="E1932" i="2"/>
  <c r="D1932" i="2"/>
  <c r="C1932" i="2"/>
  <c r="AB1931" i="2"/>
  <c r="X1931" i="2"/>
  <c r="V1931" i="2"/>
  <c r="R1931" i="2"/>
  <c r="E1931" i="2"/>
  <c r="D1931" i="2"/>
  <c r="C1931" i="2"/>
  <c r="AB1930" i="2"/>
  <c r="X1930" i="2"/>
  <c r="V1930" i="2"/>
  <c r="R1930" i="2"/>
  <c r="E1930" i="2"/>
  <c r="D1930" i="2"/>
  <c r="C1930" i="2"/>
  <c r="AB1929" i="2"/>
  <c r="X1929" i="2"/>
  <c r="V1929" i="2"/>
  <c r="R1929" i="2"/>
  <c r="E1929" i="2"/>
  <c r="D1929" i="2"/>
  <c r="C1929" i="2"/>
  <c r="AB1928" i="2"/>
  <c r="X1928" i="2"/>
  <c r="V1928" i="2"/>
  <c r="R1928" i="2"/>
  <c r="E1928" i="2"/>
  <c r="D1928" i="2"/>
  <c r="C1928" i="2"/>
  <c r="AB1927" i="2"/>
  <c r="X1927" i="2"/>
  <c r="V1927" i="2"/>
  <c r="R1927" i="2"/>
  <c r="E1927" i="2"/>
  <c r="D1927" i="2"/>
  <c r="C1927" i="2"/>
  <c r="AB1926" i="2"/>
  <c r="X1926" i="2"/>
  <c r="V1926" i="2"/>
  <c r="R1926" i="2"/>
  <c r="E1926" i="2"/>
  <c r="D1926" i="2"/>
  <c r="C1926" i="2"/>
  <c r="AB1925" i="2"/>
  <c r="X1925" i="2"/>
  <c r="V1925" i="2"/>
  <c r="R1925" i="2"/>
  <c r="E1925" i="2"/>
  <c r="D1925" i="2"/>
  <c r="C1925" i="2"/>
  <c r="AB1924" i="2"/>
  <c r="X1924" i="2"/>
  <c r="V1924" i="2"/>
  <c r="R1924" i="2"/>
  <c r="E1924" i="2"/>
  <c r="D1924" i="2"/>
  <c r="C1924" i="2"/>
  <c r="AB1923" i="2"/>
  <c r="X1923" i="2"/>
  <c r="V1923" i="2"/>
  <c r="R1923" i="2"/>
  <c r="E1923" i="2"/>
  <c r="D1923" i="2"/>
  <c r="C1923" i="2"/>
  <c r="AB1922" i="2"/>
  <c r="X1922" i="2"/>
  <c r="V1922" i="2"/>
  <c r="R1922" i="2"/>
  <c r="E1922" i="2"/>
  <c r="D1922" i="2"/>
  <c r="C1922" i="2"/>
  <c r="AB1921" i="2"/>
  <c r="X1921" i="2"/>
  <c r="V1921" i="2"/>
  <c r="R1921" i="2"/>
  <c r="E1921" i="2"/>
  <c r="D1921" i="2"/>
  <c r="C1921" i="2"/>
  <c r="AB1920" i="2"/>
  <c r="X1920" i="2"/>
  <c r="V1920" i="2"/>
  <c r="R1920" i="2"/>
  <c r="E1920" i="2"/>
  <c r="D1920" i="2"/>
  <c r="C1920" i="2"/>
  <c r="AB1919" i="2"/>
  <c r="X1919" i="2"/>
  <c r="V1919" i="2"/>
  <c r="R1919" i="2"/>
  <c r="E1919" i="2"/>
  <c r="D1919" i="2"/>
  <c r="C1919" i="2"/>
  <c r="AB1918" i="2"/>
  <c r="X1918" i="2"/>
  <c r="V1918" i="2"/>
  <c r="R1918" i="2"/>
  <c r="E1918" i="2"/>
  <c r="D1918" i="2"/>
  <c r="C1918" i="2"/>
  <c r="AB1917" i="2"/>
  <c r="X1917" i="2"/>
  <c r="V1917" i="2"/>
  <c r="R1917" i="2"/>
  <c r="E1917" i="2"/>
  <c r="D1917" i="2"/>
  <c r="C1917" i="2"/>
  <c r="AB1916" i="2"/>
  <c r="X1916" i="2"/>
  <c r="V1916" i="2"/>
  <c r="R1916" i="2"/>
  <c r="E1916" i="2"/>
  <c r="D1916" i="2"/>
  <c r="C1916" i="2"/>
  <c r="AB1915" i="2"/>
  <c r="X1915" i="2"/>
  <c r="V1915" i="2"/>
  <c r="R1915" i="2"/>
  <c r="E1915" i="2"/>
  <c r="D1915" i="2"/>
  <c r="C1915" i="2"/>
  <c r="AB1914" i="2"/>
  <c r="X1914" i="2"/>
  <c r="V1914" i="2"/>
  <c r="R1914" i="2"/>
  <c r="E1914" i="2"/>
  <c r="D1914" i="2"/>
  <c r="C1914" i="2"/>
  <c r="AB1913" i="2"/>
  <c r="X1913" i="2"/>
  <c r="V1913" i="2"/>
  <c r="R1913" i="2"/>
  <c r="E1913" i="2"/>
  <c r="D1913" i="2"/>
  <c r="C1913" i="2"/>
  <c r="AB1912" i="2"/>
  <c r="X1912" i="2"/>
  <c r="V1912" i="2"/>
  <c r="R1912" i="2"/>
  <c r="E1912" i="2"/>
  <c r="D1912" i="2"/>
  <c r="C1912" i="2"/>
  <c r="AB1911" i="2"/>
  <c r="X1911" i="2"/>
  <c r="V1911" i="2"/>
  <c r="R1911" i="2"/>
  <c r="E1911" i="2"/>
  <c r="D1911" i="2"/>
  <c r="C1911" i="2"/>
  <c r="AB1910" i="2"/>
  <c r="X1910" i="2"/>
  <c r="V1910" i="2"/>
  <c r="R1910" i="2"/>
  <c r="E1910" i="2"/>
  <c r="D1910" i="2"/>
  <c r="C1910" i="2"/>
  <c r="AB1909" i="2"/>
  <c r="X1909" i="2"/>
  <c r="V1909" i="2"/>
  <c r="R1909" i="2"/>
  <c r="E1909" i="2"/>
  <c r="D1909" i="2"/>
  <c r="C1909" i="2"/>
  <c r="AB1908" i="2"/>
  <c r="X1908" i="2"/>
  <c r="V1908" i="2"/>
  <c r="R1908" i="2"/>
  <c r="E1908" i="2"/>
  <c r="D1908" i="2"/>
  <c r="C1908" i="2"/>
  <c r="AB1907" i="2"/>
  <c r="X1907" i="2"/>
  <c r="V1907" i="2"/>
  <c r="R1907" i="2"/>
  <c r="E1907" i="2"/>
  <c r="D1907" i="2"/>
  <c r="C1907" i="2"/>
  <c r="AB1906" i="2"/>
  <c r="X1906" i="2"/>
  <c r="V1906" i="2"/>
  <c r="R1906" i="2"/>
  <c r="E1906" i="2"/>
  <c r="D1906" i="2"/>
  <c r="C1906" i="2"/>
  <c r="AB1905" i="2"/>
  <c r="X1905" i="2"/>
  <c r="V1905" i="2"/>
  <c r="R1905" i="2"/>
  <c r="E1905" i="2"/>
  <c r="D1905" i="2"/>
  <c r="C1905" i="2"/>
  <c r="AB1904" i="2"/>
  <c r="X1904" i="2"/>
  <c r="V1904" i="2"/>
  <c r="R1904" i="2"/>
  <c r="E1904" i="2"/>
  <c r="D1904" i="2"/>
  <c r="C1904" i="2"/>
  <c r="AB1903" i="2"/>
  <c r="X1903" i="2"/>
  <c r="V1903" i="2"/>
  <c r="R1903" i="2"/>
  <c r="E1903" i="2"/>
  <c r="D1903" i="2"/>
  <c r="C1903" i="2"/>
  <c r="AB1902" i="2"/>
  <c r="X1902" i="2"/>
  <c r="V1902" i="2"/>
  <c r="R1902" i="2"/>
  <c r="E1902" i="2"/>
  <c r="D1902" i="2"/>
  <c r="C1902" i="2"/>
  <c r="AB1901" i="2"/>
  <c r="X1901" i="2"/>
  <c r="V1901" i="2"/>
  <c r="R1901" i="2"/>
  <c r="E1901" i="2"/>
  <c r="D1901" i="2"/>
  <c r="C1901" i="2"/>
  <c r="AB1900" i="2"/>
  <c r="X1900" i="2"/>
  <c r="V1900" i="2"/>
  <c r="R1900" i="2"/>
  <c r="E1900" i="2"/>
  <c r="D1900" i="2"/>
  <c r="C1900" i="2"/>
  <c r="AB1899" i="2"/>
  <c r="X1899" i="2"/>
  <c r="V1899" i="2"/>
  <c r="R1899" i="2"/>
  <c r="E1899" i="2"/>
  <c r="D1899" i="2"/>
  <c r="C1899" i="2"/>
  <c r="AB1898" i="2"/>
  <c r="X1898" i="2"/>
  <c r="V1898" i="2"/>
  <c r="R1898" i="2"/>
  <c r="E1898" i="2"/>
  <c r="D1898" i="2"/>
  <c r="C1898" i="2"/>
  <c r="AB1897" i="2"/>
  <c r="X1897" i="2"/>
  <c r="V1897" i="2"/>
  <c r="R1897" i="2"/>
  <c r="E1897" i="2"/>
  <c r="D1897" i="2"/>
  <c r="C1897" i="2"/>
  <c r="AB1896" i="2"/>
  <c r="X1896" i="2"/>
  <c r="V1896" i="2"/>
  <c r="R1896" i="2"/>
  <c r="E1896" i="2"/>
  <c r="D1896" i="2"/>
  <c r="C1896" i="2"/>
  <c r="AB1895" i="2"/>
  <c r="X1895" i="2"/>
  <c r="V1895" i="2"/>
  <c r="R1895" i="2"/>
  <c r="E1895" i="2"/>
  <c r="D1895" i="2"/>
  <c r="C1895" i="2"/>
  <c r="AB1894" i="2"/>
  <c r="X1894" i="2"/>
  <c r="V1894" i="2"/>
  <c r="R1894" i="2"/>
  <c r="E1894" i="2"/>
  <c r="D1894" i="2"/>
  <c r="C1894" i="2"/>
  <c r="AB1893" i="2"/>
  <c r="X1893" i="2"/>
  <c r="V1893" i="2"/>
  <c r="R1893" i="2"/>
  <c r="E1893" i="2"/>
  <c r="D1893" i="2"/>
  <c r="C1893" i="2"/>
  <c r="AB1892" i="2"/>
  <c r="X1892" i="2"/>
  <c r="V1892" i="2"/>
  <c r="R1892" i="2"/>
  <c r="E1892" i="2"/>
  <c r="D1892" i="2"/>
  <c r="C1892" i="2"/>
  <c r="AB1891" i="2"/>
  <c r="X1891" i="2"/>
  <c r="V1891" i="2"/>
  <c r="R1891" i="2"/>
  <c r="E1891" i="2"/>
  <c r="D1891" i="2"/>
  <c r="C1891" i="2"/>
  <c r="AB1890" i="2"/>
  <c r="X1890" i="2"/>
  <c r="V1890" i="2"/>
  <c r="R1890" i="2"/>
  <c r="E1890" i="2"/>
  <c r="D1890" i="2"/>
  <c r="C1890" i="2"/>
  <c r="AB1889" i="2"/>
  <c r="X1889" i="2"/>
  <c r="V1889" i="2"/>
  <c r="R1889" i="2"/>
  <c r="E1889" i="2"/>
  <c r="D1889" i="2"/>
  <c r="C1889" i="2"/>
  <c r="AB1888" i="2"/>
  <c r="X1888" i="2"/>
  <c r="V1888" i="2"/>
  <c r="R1888" i="2"/>
  <c r="E1888" i="2"/>
  <c r="D1888" i="2"/>
  <c r="C1888" i="2"/>
  <c r="AB1887" i="2"/>
  <c r="X1887" i="2"/>
  <c r="V1887" i="2"/>
  <c r="R1887" i="2"/>
  <c r="E1887" i="2"/>
  <c r="D1887" i="2"/>
  <c r="C1887" i="2"/>
  <c r="AB1886" i="2"/>
  <c r="X1886" i="2"/>
  <c r="V1886" i="2"/>
  <c r="R1886" i="2"/>
  <c r="E1886" i="2"/>
  <c r="D1886" i="2"/>
  <c r="C1886" i="2"/>
  <c r="AB1885" i="2"/>
  <c r="X1885" i="2"/>
  <c r="V1885" i="2"/>
  <c r="R1885" i="2"/>
  <c r="E1885" i="2"/>
  <c r="D1885" i="2"/>
  <c r="C1885" i="2"/>
  <c r="AB1884" i="2"/>
  <c r="X1884" i="2"/>
  <c r="V1884" i="2"/>
  <c r="R1884" i="2"/>
  <c r="E1884" i="2"/>
  <c r="D1884" i="2"/>
  <c r="C1884" i="2"/>
  <c r="AB1883" i="2"/>
  <c r="X1883" i="2"/>
  <c r="V1883" i="2"/>
  <c r="R1883" i="2"/>
  <c r="E1883" i="2"/>
  <c r="D1883" i="2"/>
  <c r="C1883" i="2"/>
  <c r="AB1882" i="2"/>
  <c r="X1882" i="2"/>
  <c r="V1882" i="2"/>
  <c r="R1882" i="2"/>
  <c r="E1882" i="2"/>
  <c r="D1882" i="2"/>
  <c r="C1882" i="2"/>
  <c r="AB1881" i="2"/>
  <c r="X1881" i="2"/>
  <c r="V1881" i="2"/>
  <c r="R1881" i="2"/>
  <c r="E1881" i="2"/>
  <c r="D1881" i="2"/>
  <c r="C1881" i="2"/>
  <c r="AB1880" i="2"/>
  <c r="X1880" i="2"/>
  <c r="V1880" i="2"/>
  <c r="R1880" i="2"/>
  <c r="E1880" i="2"/>
  <c r="D1880" i="2"/>
  <c r="C1880" i="2"/>
  <c r="AB1879" i="2"/>
  <c r="X1879" i="2"/>
  <c r="V1879" i="2"/>
  <c r="R1879" i="2"/>
  <c r="E1879" i="2"/>
  <c r="D1879" i="2"/>
  <c r="C1879" i="2"/>
  <c r="AB1878" i="2"/>
  <c r="X1878" i="2"/>
  <c r="V1878" i="2"/>
  <c r="R1878" i="2"/>
  <c r="E1878" i="2"/>
  <c r="D1878" i="2"/>
  <c r="C1878" i="2"/>
  <c r="AB1877" i="2"/>
  <c r="X1877" i="2"/>
  <c r="V1877" i="2"/>
  <c r="R1877" i="2"/>
  <c r="E1877" i="2"/>
  <c r="D1877" i="2"/>
  <c r="C1877" i="2"/>
  <c r="AB1876" i="2"/>
  <c r="X1876" i="2"/>
  <c r="V1876" i="2"/>
  <c r="R1876" i="2"/>
  <c r="E1876" i="2"/>
  <c r="D1876" i="2"/>
  <c r="C1876" i="2"/>
  <c r="AB1875" i="2"/>
  <c r="X1875" i="2"/>
  <c r="V1875" i="2"/>
  <c r="R1875" i="2"/>
  <c r="E1875" i="2"/>
  <c r="D1875" i="2"/>
  <c r="C1875" i="2"/>
  <c r="AB1874" i="2"/>
  <c r="X1874" i="2"/>
  <c r="V1874" i="2"/>
  <c r="R1874" i="2"/>
  <c r="E1874" i="2"/>
  <c r="D1874" i="2"/>
  <c r="C1874" i="2"/>
  <c r="AB1873" i="2"/>
  <c r="X1873" i="2"/>
  <c r="V1873" i="2"/>
  <c r="R1873" i="2"/>
  <c r="E1873" i="2"/>
  <c r="D1873" i="2"/>
  <c r="C1873" i="2"/>
  <c r="AB1872" i="2"/>
  <c r="X1872" i="2"/>
  <c r="V1872" i="2"/>
  <c r="R1872" i="2"/>
  <c r="E1872" i="2"/>
  <c r="D1872" i="2"/>
  <c r="C1872" i="2"/>
  <c r="AB1871" i="2"/>
  <c r="X1871" i="2"/>
  <c r="V1871" i="2"/>
  <c r="R1871" i="2"/>
  <c r="E1871" i="2"/>
  <c r="D1871" i="2"/>
  <c r="C1871" i="2"/>
  <c r="AB1870" i="2"/>
  <c r="X1870" i="2"/>
  <c r="V1870" i="2"/>
  <c r="R1870" i="2"/>
  <c r="E1870" i="2"/>
  <c r="D1870" i="2"/>
  <c r="C1870" i="2"/>
  <c r="AB1869" i="2"/>
  <c r="X1869" i="2"/>
  <c r="V1869" i="2"/>
  <c r="R1869" i="2"/>
  <c r="E1869" i="2"/>
  <c r="D1869" i="2"/>
  <c r="C1869" i="2"/>
  <c r="AB1868" i="2"/>
  <c r="X1868" i="2"/>
  <c r="V1868" i="2"/>
  <c r="R1868" i="2"/>
  <c r="E1868" i="2"/>
  <c r="D1868" i="2"/>
  <c r="C1868" i="2"/>
  <c r="AB1867" i="2"/>
  <c r="X1867" i="2"/>
  <c r="V1867" i="2"/>
  <c r="R1867" i="2"/>
  <c r="E1867" i="2"/>
  <c r="D1867" i="2"/>
  <c r="C1867" i="2"/>
  <c r="AB1866" i="2"/>
  <c r="X1866" i="2"/>
  <c r="V1866" i="2"/>
  <c r="R1866" i="2"/>
  <c r="E1866" i="2"/>
  <c r="D1866" i="2"/>
  <c r="C1866" i="2"/>
  <c r="AB1865" i="2"/>
  <c r="X1865" i="2"/>
  <c r="V1865" i="2"/>
  <c r="R1865" i="2"/>
  <c r="E1865" i="2"/>
  <c r="D1865" i="2"/>
  <c r="C1865" i="2"/>
  <c r="AB1864" i="2"/>
  <c r="X1864" i="2"/>
  <c r="V1864" i="2"/>
  <c r="R1864" i="2"/>
  <c r="E1864" i="2"/>
  <c r="D1864" i="2"/>
  <c r="C1864" i="2"/>
  <c r="AB1863" i="2"/>
  <c r="X1863" i="2"/>
  <c r="V1863" i="2"/>
  <c r="R1863" i="2"/>
  <c r="E1863" i="2"/>
  <c r="D1863" i="2"/>
  <c r="C1863" i="2"/>
  <c r="AB1862" i="2"/>
  <c r="X1862" i="2"/>
  <c r="V1862" i="2"/>
  <c r="R1862" i="2"/>
  <c r="E1862" i="2"/>
  <c r="D1862" i="2"/>
  <c r="C1862" i="2"/>
  <c r="AB1861" i="2"/>
  <c r="X1861" i="2"/>
  <c r="V1861" i="2"/>
  <c r="R1861" i="2"/>
  <c r="E1861" i="2"/>
  <c r="D1861" i="2"/>
  <c r="C1861" i="2"/>
  <c r="AB1860" i="2"/>
  <c r="X1860" i="2"/>
  <c r="V1860" i="2"/>
  <c r="R1860" i="2"/>
  <c r="E1860" i="2"/>
  <c r="D1860" i="2"/>
  <c r="C1860" i="2"/>
  <c r="AB1859" i="2"/>
  <c r="X1859" i="2"/>
  <c r="V1859" i="2"/>
  <c r="R1859" i="2"/>
  <c r="E1859" i="2"/>
  <c r="D1859" i="2"/>
  <c r="C1859" i="2"/>
  <c r="AB1858" i="2"/>
  <c r="X1858" i="2"/>
  <c r="V1858" i="2"/>
  <c r="R1858" i="2"/>
  <c r="E1858" i="2"/>
  <c r="D1858" i="2"/>
  <c r="C1858" i="2"/>
  <c r="AB1857" i="2"/>
  <c r="X1857" i="2"/>
  <c r="V1857" i="2"/>
  <c r="R1857" i="2"/>
  <c r="E1857" i="2"/>
  <c r="D1857" i="2"/>
  <c r="C1857" i="2"/>
  <c r="AB1856" i="2"/>
  <c r="X1856" i="2"/>
  <c r="V1856" i="2"/>
  <c r="R1856" i="2"/>
  <c r="E1856" i="2"/>
  <c r="D1856" i="2"/>
  <c r="C1856" i="2"/>
  <c r="AB1855" i="2"/>
  <c r="X1855" i="2"/>
  <c r="V1855" i="2"/>
  <c r="R1855" i="2"/>
  <c r="E1855" i="2"/>
  <c r="D1855" i="2"/>
  <c r="C1855" i="2"/>
  <c r="AB1854" i="2"/>
  <c r="X1854" i="2"/>
  <c r="V1854" i="2"/>
  <c r="R1854" i="2"/>
  <c r="E1854" i="2"/>
  <c r="D1854" i="2"/>
  <c r="C1854" i="2"/>
  <c r="AB1853" i="2"/>
  <c r="X1853" i="2"/>
  <c r="V1853" i="2"/>
  <c r="R1853" i="2"/>
  <c r="E1853" i="2"/>
  <c r="D1853" i="2"/>
  <c r="C1853" i="2"/>
  <c r="AB1852" i="2"/>
  <c r="X1852" i="2"/>
  <c r="V1852" i="2"/>
  <c r="R1852" i="2"/>
  <c r="E1852" i="2"/>
  <c r="D1852" i="2"/>
  <c r="C1852" i="2"/>
  <c r="AB1851" i="2"/>
  <c r="X1851" i="2"/>
  <c r="V1851" i="2"/>
  <c r="R1851" i="2"/>
  <c r="E1851" i="2"/>
  <c r="D1851" i="2"/>
  <c r="C1851" i="2"/>
  <c r="AB1850" i="2"/>
  <c r="X1850" i="2"/>
  <c r="V1850" i="2"/>
  <c r="R1850" i="2"/>
  <c r="E1850" i="2"/>
  <c r="D1850" i="2"/>
  <c r="C1850" i="2"/>
  <c r="AB1849" i="2"/>
  <c r="X1849" i="2"/>
  <c r="V1849" i="2"/>
  <c r="R1849" i="2"/>
  <c r="E1849" i="2"/>
  <c r="D1849" i="2"/>
  <c r="C1849" i="2"/>
  <c r="AB1848" i="2"/>
  <c r="X1848" i="2"/>
  <c r="V1848" i="2"/>
  <c r="R1848" i="2"/>
  <c r="E1848" i="2"/>
  <c r="D1848" i="2"/>
  <c r="C1848" i="2"/>
  <c r="AB1847" i="2"/>
  <c r="X1847" i="2"/>
  <c r="V1847" i="2"/>
  <c r="R1847" i="2"/>
  <c r="E1847" i="2"/>
  <c r="D1847" i="2"/>
  <c r="C1847" i="2"/>
  <c r="AB1846" i="2"/>
  <c r="X1846" i="2"/>
  <c r="V1846" i="2"/>
  <c r="R1846" i="2"/>
  <c r="E1846" i="2"/>
  <c r="D1846" i="2"/>
  <c r="C1846" i="2"/>
  <c r="AB1845" i="2"/>
  <c r="X1845" i="2"/>
  <c r="V1845" i="2"/>
  <c r="R1845" i="2"/>
  <c r="E1845" i="2"/>
  <c r="D1845" i="2"/>
  <c r="C1845" i="2"/>
  <c r="AB1844" i="2"/>
  <c r="X1844" i="2"/>
  <c r="V1844" i="2"/>
  <c r="R1844" i="2"/>
  <c r="E1844" i="2"/>
  <c r="D1844" i="2"/>
  <c r="C1844" i="2"/>
  <c r="AB1843" i="2"/>
  <c r="X1843" i="2"/>
  <c r="V1843" i="2"/>
  <c r="R1843" i="2"/>
  <c r="E1843" i="2"/>
  <c r="D1843" i="2"/>
  <c r="C1843" i="2"/>
  <c r="AB1842" i="2"/>
  <c r="X1842" i="2"/>
  <c r="V1842" i="2"/>
  <c r="R1842" i="2"/>
  <c r="E1842" i="2"/>
  <c r="D1842" i="2"/>
  <c r="C1842" i="2"/>
  <c r="AB1841" i="2"/>
  <c r="X1841" i="2"/>
  <c r="V1841" i="2"/>
  <c r="R1841" i="2"/>
  <c r="E1841" i="2"/>
  <c r="D1841" i="2"/>
  <c r="C1841" i="2"/>
  <c r="AB1840" i="2"/>
  <c r="X1840" i="2"/>
  <c r="V1840" i="2"/>
  <c r="R1840" i="2"/>
  <c r="E1840" i="2"/>
  <c r="D1840" i="2"/>
  <c r="C1840" i="2"/>
  <c r="AB1839" i="2"/>
  <c r="X1839" i="2"/>
  <c r="V1839" i="2"/>
  <c r="R1839" i="2"/>
  <c r="E1839" i="2"/>
  <c r="D1839" i="2"/>
  <c r="C1839" i="2"/>
  <c r="AB1838" i="2"/>
  <c r="X1838" i="2"/>
  <c r="V1838" i="2"/>
  <c r="R1838" i="2"/>
  <c r="E1838" i="2"/>
  <c r="D1838" i="2"/>
  <c r="C1838" i="2"/>
  <c r="AB1837" i="2"/>
  <c r="X1837" i="2"/>
  <c r="V1837" i="2"/>
  <c r="R1837" i="2"/>
  <c r="E1837" i="2"/>
  <c r="D1837" i="2"/>
  <c r="C1837" i="2"/>
  <c r="AB1836" i="2"/>
  <c r="X1836" i="2"/>
  <c r="V1836" i="2"/>
  <c r="R1836" i="2"/>
  <c r="E1836" i="2"/>
  <c r="D1836" i="2"/>
  <c r="C1836" i="2"/>
  <c r="AB1835" i="2"/>
  <c r="X1835" i="2"/>
  <c r="V1835" i="2"/>
  <c r="R1835" i="2"/>
  <c r="E1835" i="2"/>
  <c r="D1835" i="2"/>
  <c r="C1835" i="2"/>
  <c r="AB1834" i="2"/>
  <c r="X1834" i="2"/>
  <c r="V1834" i="2"/>
  <c r="R1834" i="2"/>
  <c r="E1834" i="2"/>
  <c r="D1834" i="2"/>
  <c r="C1834" i="2"/>
  <c r="AB1833" i="2"/>
  <c r="X1833" i="2"/>
  <c r="V1833" i="2"/>
  <c r="R1833" i="2"/>
  <c r="E1833" i="2"/>
  <c r="D1833" i="2"/>
  <c r="C1833" i="2"/>
  <c r="AB1832" i="2"/>
  <c r="X1832" i="2"/>
  <c r="V1832" i="2"/>
  <c r="R1832" i="2"/>
  <c r="E1832" i="2"/>
  <c r="D1832" i="2"/>
  <c r="C1832" i="2"/>
  <c r="AB1831" i="2"/>
  <c r="X1831" i="2"/>
  <c r="V1831" i="2"/>
  <c r="R1831" i="2"/>
  <c r="E1831" i="2"/>
  <c r="D1831" i="2"/>
  <c r="C1831" i="2"/>
  <c r="AB1830" i="2"/>
  <c r="X1830" i="2"/>
  <c r="V1830" i="2"/>
  <c r="R1830" i="2"/>
  <c r="E1830" i="2"/>
  <c r="D1830" i="2"/>
  <c r="C1830" i="2"/>
  <c r="AB1829" i="2"/>
  <c r="X1829" i="2"/>
  <c r="V1829" i="2"/>
  <c r="R1829" i="2"/>
  <c r="E1829" i="2"/>
  <c r="D1829" i="2"/>
  <c r="C1829" i="2"/>
  <c r="AB1828" i="2"/>
  <c r="X1828" i="2"/>
  <c r="V1828" i="2"/>
  <c r="R1828" i="2"/>
  <c r="E1828" i="2"/>
  <c r="D1828" i="2"/>
  <c r="C1828" i="2"/>
  <c r="AB1827" i="2"/>
  <c r="X1827" i="2"/>
  <c r="V1827" i="2"/>
  <c r="R1827" i="2"/>
  <c r="E1827" i="2"/>
  <c r="D1827" i="2"/>
  <c r="C1827" i="2"/>
  <c r="AB1826" i="2"/>
  <c r="X1826" i="2"/>
  <c r="V1826" i="2"/>
  <c r="R1826" i="2"/>
  <c r="E1826" i="2"/>
  <c r="D1826" i="2"/>
  <c r="C1826" i="2"/>
  <c r="AB1825" i="2"/>
  <c r="X1825" i="2"/>
  <c r="V1825" i="2"/>
  <c r="R1825" i="2"/>
  <c r="E1825" i="2"/>
  <c r="D1825" i="2"/>
  <c r="C1825" i="2"/>
  <c r="AB1824" i="2"/>
  <c r="X1824" i="2"/>
  <c r="V1824" i="2"/>
  <c r="R1824" i="2"/>
  <c r="E1824" i="2"/>
  <c r="D1824" i="2"/>
  <c r="C1824" i="2"/>
  <c r="AB1823" i="2"/>
  <c r="X1823" i="2"/>
  <c r="V1823" i="2"/>
  <c r="R1823" i="2"/>
  <c r="E1823" i="2"/>
  <c r="D1823" i="2"/>
  <c r="C1823" i="2"/>
  <c r="AB1822" i="2"/>
  <c r="X1822" i="2"/>
  <c r="V1822" i="2"/>
  <c r="R1822" i="2"/>
  <c r="E1822" i="2"/>
  <c r="D1822" i="2"/>
  <c r="C1822" i="2"/>
  <c r="AB1821" i="2"/>
  <c r="X1821" i="2"/>
  <c r="V1821" i="2"/>
  <c r="R1821" i="2"/>
  <c r="E1821" i="2"/>
  <c r="D1821" i="2"/>
  <c r="C1821" i="2"/>
  <c r="AB1820" i="2"/>
  <c r="X1820" i="2"/>
  <c r="V1820" i="2"/>
  <c r="R1820" i="2"/>
  <c r="E1820" i="2"/>
  <c r="D1820" i="2"/>
  <c r="C1820" i="2"/>
  <c r="AB1819" i="2"/>
  <c r="X1819" i="2"/>
  <c r="V1819" i="2"/>
  <c r="R1819" i="2"/>
  <c r="E1819" i="2"/>
  <c r="D1819" i="2"/>
  <c r="C1819" i="2"/>
  <c r="AB1818" i="2"/>
  <c r="X1818" i="2"/>
  <c r="V1818" i="2"/>
  <c r="R1818" i="2"/>
  <c r="E1818" i="2"/>
  <c r="D1818" i="2"/>
  <c r="C1818" i="2"/>
  <c r="AB1817" i="2"/>
  <c r="X1817" i="2"/>
  <c r="V1817" i="2"/>
  <c r="R1817" i="2"/>
  <c r="E1817" i="2"/>
  <c r="D1817" i="2"/>
  <c r="C1817" i="2"/>
  <c r="AB1816" i="2"/>
  <c r="X1816" i="2"/>
  <c r="V1816" i="2"/>
  <c r="R1816" i="2"/>
  <c r="E1816" i="2"/>
  <c r="D1816" i="2"/>
  <c r="C1816" i="2"/>
  <c r="AB1815" i="2"/>
  <c r="X1815" i="2"/>
  <c r="V1815" i="2"/>
  <c r="R1815" i="2"/>
  <c r="E1815" i="2"/>
  <c r="D1815" i="2"/>
  <c r="C1815" i="2"/>
  <c r="AB1814" i="2"/>
  <c r="X1814" i="2"/>
  <c r="V1814" i="2"/>
  <c r="R1814" i="2"/>
  <c r="E1814" i="2"/>
  <c r="D1814" i="2"/>
  <c r="C1814" i="2"/>
  <c r="AB1813" i="2"/>
  <c r="X1813" i="2"/>
  <c r="V1813" i="2"/>
  <c r="R1813" i="2"/>
  <c r="E1813" i="2"/>
  <c r="D1813" i="2"/>
  <c r="C1813" i="2"/>
  <c r="AB1812" i="2"/>
  <c r="X1812" i="2"/>
  <c r="V1812" i="2"/>
  <c r="R1812" i="2"/>
  <c r="E1812" i="2"/>
  <c r="D1812" i="2"/>
  <c r="C1812" i="2"/>
  <c r="AB1811" i="2"/>
  <c r="X1811" i="2"/>
  <c r="V1811" i="2"/>
  <c r="R1811" i="2"/>
  <c r="E1811" i="2"/>
  <c r="D1811" i="2"/>
  <c r="C1811" i="2"/>
  <c r="AB1810" i="2"/>
  <c r="X1810" i="2"/>
  <c r="V1810" i="2"/>
  <c r="R1810" i="2"/>
  <c r="E1810" i="2"/>
  <c r="D1810" i="2"/>
  <c r="C1810" i="2"/>
  <c r="AB1809" i="2"/>
  <c r="X1809" i="2"/>
  <c r="V1809" i="2"/>
  <c r="R1809" i="2"/>
  <c r="E1809" i="2"/>
  <c r="D1809" i="2"/>
  <c r="C1809" i="2"/>
  <c r="AB1808" i="2"/>
  <c r="X1808" i="2"/>
  <c r="V1808" i="2"/>
  <c r="R1808" i="2"/>
  <c r="E1808" i="2"/>
  <c r="D1808" i="2"/>
  <c r="C1808" i="2"/>
  <c r="AB1807" i="2"/>
  <c r="X1807" i="2"/>
  <c r="V1807" i="2"/>
  <c r="R1807" i="2"/>
  <c r="E1807" i="2"/>
  <c r="D1807" i="2"/>
  <c r="C1807" i="2"/>
  <c r="AB1806" i="2"/>
  <c r="X1806" i="2"/>
  <c r="V1806" i="2"/>
  <c r="R1806" i="2"/>
  <c r="E1806" i="2"/>
  <c r="D1806" i="2"/>
  <c r="C1806" i="2"/>
  <c r="AB1805" i="2"/>
  <c r="X1805" i="2"/>
  <c r="V1805" i="2"/>
  <c r="R1805" i="2"/>
  <c r="E1805" i="2"/>
  <c r="D1805" i="2"/>
  <c r="C1805" i="2"/>
  <c r="AB1804" i="2"/>
  <c r="X1804" i="2"/>
  <c r="V1804" i="2"/>
  <c r="R1804" i="2"/>
  <c r="E1804" i="2"/>
  <c r="D1804" i="2"/>
  <c r="C1804" i="2"/>
  <c r="AB1803" i="2"/>
  <c r="X1803" i="2"/>
  <c r="V1803" i="2"/>
  <c r="R1803" i="2"/>
  <c r="E1803" i="2"/>
  <c r="D1803" i="2"/>
  <c r="C1803" i="2"/>
  <c r="AB1802" i="2"/>
  <c r="X1802" i="2"/>
  <c r="V1802" i="2"/>
  <c r="R1802" i="2"/>
  <c r="E1802" i="2"/>
  <c r="D1802" i="2"/>
  <c r="C1802" i="2"/>
  <c r="AB1801" i="2"/>
  <c r="X1801" i="2"/>
  <c r="V1801" i="2"/>
  <c r="R1801" i="2"/>
  <c r="E1801" i="2"/>
  <c r="D1801" i="2"/>
  <c r="C1801" i="2"/>
  <c r="AB1800" i="2"/>
  <c r="X1800" i="2"/>
  <c r="V1800" i="2"/>
  <c r="R1800" i="2"/>
  <c r="E1800" i="2"/>
  <c r="D1800" i="2"/>
  <c r="C1800" i="2"/>
  <c r="AB1799" i="2"/>
  <c r="X1799" i="2"/>
  <c r="V1799" i="2"/>
  <c r="R1799" i="2"/>
  <c r="E1799" i="2"/>
  <c r="D1799" i="2"/>
  <c r="C1799" i="2"/>
  <c r="AB1798" i="2"/>
  <c r="X1798" i="2"/>
  <c r="V1798" i="2"/>
  <c r="R1798" i="2"/>
  <c r="E1798" i="2"/>
  <c r="D1798" i="2"/>
  <c r="C1798" i="2"/>
  <c r="AB1797" i="2"/>
  <c r="X1797" i="2"/>
  <c r="V1797" i="2"/>
  <c r="R1797" i="2"/>
  <c r="E1797" i="2"/>
  <c r="D1797" i="2"/>
  <c r="C1797" i="2"/>
  <c r="AB1796" i="2"/>
  <c r="X1796" i="2"/>
  <c r="V1796" i="2"/>
  <c r="R1796" i="2"/>
  <c r="E1796" i="2"/>
  <c r="D1796" i="2"/>
  <c r="C1796" i="2"/>
  <c r="AB1795" i="2"/>
  <c r="X1795" i="2"/>
  <c r="V1795" i="2"/>
  <c r="R1795" i="2"/>
  <c r="E1795" i="2"/>
  <c r="D1795" i="2"/>
  <c r="C1795" i="2"/>
  <c r="AB1794" i="2"/>
  <c r="X1794" i="2"/>
  <c r="V1794" i="2"/>
  <c r="R1794" i="2"/>
  <c r="E1794" i="2"/>
  <c r="D1794" i="2"/>
  <c r="C1794" i="2"/>
  <c r="AB1793" i="2"/>
  <c r="X1793" i="2"/>
  <c r="V1793" i="2"/>
  <c r="R1793" i="2"/>
  <c r="E1793" i="2"/>
  <c r="D1793" i="2"/>
  <c r="C1793" i="2"/>
  <c r="AB1792" i="2"/>
  <c r="X1792" i="2"/>
  <c r="V1792" i="2"/>
  <c r="R1792" i="2"/>
  <c r="E1792" i="2"/>
  <c r="D1792" i="2"/>
  <c r="C1792" i="2"/>
  <c r="AB1791" i="2"/>
  <c r="X1791" i="2"/>
  <c r="V1791" i="2"/>
  <c r="R1791" i="2"/>
  <c r="E1791" i="2"/>
  <c r="D1791" i="2"/>
  <c r="C1791" i="2"/>
  <c r="AB1790" i="2"/>
  <c r="X1790" i="2"/>
  <c r="V1790" i="2"/>
  <c r="R1790" i="2"/>
  <c r="E1790" i="2"/>
  <c r="D1790" i="2"/>
  <c r="C1790" i="2"/>
  <c r="AB1789" i="2"/>
  <c r="X1789" i="2"/>
  <c r="V1789" i="2"/>
  <c r="R1789" i="2"/>
  <c r="E1789" i="2"/>
  <c r="D1789" i="2"/>
  <c r="C1789" i="2"/>
  <c r="AB1788" i="2"/>
  <c r="X1788" i="2"/>
  <c r="V1788" i="2"/>
  <c r="R1788" i="2"/>
  <c r="E1788" i="2"/>
  <c r="D1788" i="2"/>
  <c r="C1788" i="2"/>
  <c r="AB1787" i="2"/>
  <c r="X1787" i="2"/>
  <c r="V1787" i="2"/>
  <c r="R1787" i="2"/>
  <c r="E1787" i="2"/>
  <c r="D1787" i="2"/>
  <c r="C1787" i="2"/>
  <c r="AB1786" i="2"/>
  <c r="X1786" i="2"/>
  <c r="V1786" i="2"/>
  <c r="R1786" i="2"/>
  <c r="E1786" i="2"/>
  <c r="D1786" i="2"/>
  <c r="C1786" i="2"/>
  <c r="AB1785" i="2"/>
  <c r="X1785" i="2"/>
  <c r="V1785" i="2"/>
  <c r="R1785" i="2"/>
  <c r="E1785" i="2"/>
  <c r="D1785" i="2"/>
  <c r="C1785" i="2"/>
  <c r="AB1784" i="2"/>
  <c r="X1784" i="2"/>
  <c r="V1784" i="2"/>
  <c r="R1784" i="2"/>
  <c r="E1784" i="2"/>
  <c r="D1784" i="2"/>
  <c r="C1784" i="2"/>
  <c r="AB1783" i="2"/>
  <c r="X1783" i="2"/>
  <c r="V1783" i="2"/>
  <c r="R1783" i="2"/>
  <c r="E1783" i="2"/>
  <c r="D1783" i="2"/>
  <c r="C1783" i="2"/>
  <c r="AB1782" i="2"/>
  <c r="X1782" i="2"/>
  <c r="V1782" i="2"/>
  <c r="R1782" i="2"/>
  <c r="E1782" i="2"/>
  <c r="D1782" i="2"/>
  <c r="C1782" i="2"/>
  <c r="AB1781" i="2"/>
  <c r="X1781" i="2"/>
  <c r="V1781" i="2"/>
  <c r="R1781" i="2"/>
  <c r="E1781" i="2"/>
  <c r="D1781" i="2"/>
  <c r="C1781" i="2"/>
  <c r="AB1780" i="2"/>
  <c r="X1780" i="2"/>
  <c r="V1780" i="2"/>
  <c r="R1780" i="2"/>
  <c r="E1780" i="2"/>
  <c r="D1780" i="2"/>
  <c r="C1780" i="2"/>
  <c r="AB1779" i="2"/>
  <c r="X1779" i="2"/>
  <c r="V1779" i="2"/>
  <c r="R1779" i="2"/>
  <c r="E1779" i="2"/>
  <c r="D1779" i="2"/>
  <c r="C1779" i="2"/>
  <c r="AB1778" i="2"/>
  <c r="X1778" i="2"/>
  <c r="V1778" i="2"/>
  <c r="R1778" i="2"/>
  <c r="E1778" i="2"/>
  <c r="D1778" i="2"/>
  <c r="C1778" i="2"/>
  <c r="AB1777" i="2"/>
  <c r="X1777" i="2"/>
  <c r="V1777" i="2"/>
  <c r="R1777" i="2"/>
  <c r="E1777" i="2"/>
  <c r="D1777" i="2"/>
  <c r="C1777" i="2"/>
  <c r="AB1776" i="2"/>
  <c r="X1776" i="2"/>
  <c r="V1776" i="2"/>
  <c r="R1776" i="2"/>
  <c r="E1776" i="2"/>
  <c r="D1776" i="2"/>
  <c r="C1776" i="2"/>
  <c r="AB1775" i="2"/>
  <c r="X1775" i="2"/>
  <c r="V1775" i="2"/>
  <c r="R1775" i="2"/>
  <c r="E1775" i="2"/>
  <c r="D1775" i="2"/>
  <c r="C1775" i="2"/>
  <c r="AB1774" i="2"/>
  <c r="X1774" i="2"/>
  <c r="V1774" i="2"/>
  <c r="R1774" i="2"/>
  <c r="E1774" i="2"/>
  <c r="D1774" i="2"/>
  <c r="C1774" i="2"/>
  <c r="AB1773" i="2"/>
  <c r="X1773" i="2"/>
  <c r="V1773" i="2"/>
  <c r="R1773" i="2"/>
  <c r="E1773" i="2"/>
  <c r="D1773" i="2"/>
  <c r="C1773" i="2"/>
  <c r="AB1772" i="2"/>
  <c r="X1772" i="2"/>
  <c r="V1772" i="2"/>
  <c r="R1772" i="2"/>
  <c r="E1772" i="2"/>
  <c r="D1772" i="2"/>
  <c r="C1772" i="2"/>
  <c r="AB1771" i="2"/>
  <c r="X1771" i="2"/>
  <c r="V1771" i="2"/>
  <c r="R1771" i="2"/>
  <c r="E1771" i="2"/>
  <c r="D1771" i="2"/>
  <c r="C1771" i="2"/>
  <c r="AB1770" i="2"/>
  <c r="X1770" i="2"/>
  <c r="V1770" i="2"/>
  <c r="R1770" i="2"/>
  <c r="E1770" i="2"/>
  <c r="D1770" i="2"/>
  <c r="C1770" i="2"/>
  <c r="AB1769" i="2"/>
  <c r="X1769" i="2"/>
  <c r="V1769" i="2"/>
  <c r="R1769" i="2"/>
  <c r="E1769" i="2"/>
  <c r="D1769" i="2"/>
  <c r="C1769" i="2"/>
  <c r="AB1768" i="2"/>
  <c r="X1768" i="2"/>
  <c r="V1768" i="2"/>
  <c r="R1768" i="2"/>
  <c r="E1768" i="2"/>
  <c r="D1768" i="2"/>
  <c r="C1768" i="2"/>
  <c r="AB1767" i="2"/>
  <c r="X1767" i="2"/>
  <c r="V1767" i="2"/>
  <c r="R1767" i="2"/>
  <c r="E1767" i="2"/>
  <c r="D1767" i="2"/>
  <c r="C1767" i="2"/>
  <c r="AB1766" i="2"/>
  <c r="X1766" i="2"/>
  <c r="V1766" i="2"/>
  <c r="R1766" i="2"/>
  <c r="E1766" i="2"/>
  <c r="D1766" i="2"/>
  <c r="C1766" i="2"/>
  <c r="AB1765" i="2"/>
  <c r="X1765" i="2"/>
  <c r="V1765" i="2"/>
  <c r="R1765" i="2"/>
  <c r="E1765" i="2"/>
  <c r="D1765" i="2"/>
  <c r="C1765" i="2"/>
  <c r="AB1764" i="2"/>
  <c r="X1764" i="2"/>
  <c r="V1764" i="2"/>
  <c r="R1764" i="2"/>
  <c r="E1764" i="2"/>
  <c r="D1764" i="2"/>
  <c r="C1764" i="2"/>
  <c r="AB1763" i="2"/>
  <c r="X1763" i="2"/>
  <c r="V1763" i="2"/>
  <c r="R1763" i="2"/>
  <c r="E1763" i="2"/>
  <c r="D1763" i="2"/>
  <c r="C1763" i="2"/>
  <c r="AB1762" i="2"/>
  <c r="X1762" i="2"/>
  <c r="V1762" i="2"/>
  <c r="R1762" i="2"/>
  <c r="E1762" i="2"/>
  <c r="D1762" i="2"/>
  <c r="C1762" i="2"/>
  <c r="AB1761" i="2"/>
  <c r="X1761" i="2"/>
  <c r="V1761" i="2"/>
  <c r="R1761" i="2"/>
  <c r="E1761" i="2"/>
  <c r="D1761" i="2"/>
  <c r="C1761" i="2"/>
  <c r="AB1760" i="2"/>
  <c r="X1760" i="2"/>
  <c r="V1760" i="2"/>
  <c r="R1760" i="2"/>
  <c r="E1760" i="2"/>
  <c r="D1760" i="2"/>
  <c r="C1760" i="2"/>
  <c r="AB1759" i="2"/>
  <c r="X1759" i="2"/>
  <c r="V1759" i="2"/>
  <c r="R1759" i="2"/>
  <c r="E1759" i="2"/>
  <c r="D1759" i="2"/>
  <c r="C1759" i="2"/>
  <c r="AB1758" i="2"/>
  <c r="X1758" i="2"/>
  <c r="V1758" i="2"/>
  <c r="R1758" i="2"/>
  <c r="E1758" i="2"/>
  <c r="D1758" i="2"/>
  <c r="C1758" i="2"/>
  <c r="AB1757" i="2"/>
  <c r="X1757" i="2"/>
  <c r="V1757" i="2"/>
  <c r="R1757" i="2"/>
  <c r="E1757" i="2"/>
  <c r="D1757" i="2"/>
  <c r="C1757" i="2"/>
  <c r="AB1756" i="2"/>
  <c r="X1756" i="2"/>
  <c r="V1756" i="2"/>
  <c r="R1756" i="2"/>
  <c r="E1756" i="2"/>
  <c r="D1756" i="2"/>
  <c r="C1756" i="2"/>
  <c r="AB1755" i="2"/>
  <c r="X1755" i="2"/>
  <c r="V1755" i="2"/>
  <c r="R1755" i="2"/>
  <c r="E1755" i="2"/>
  <c r="D1755" i="2"/>
  <c r="C1755" i="2"/>
  <c r="AB1754" i="2"/>
  <c r="X1754" i="2"/>
  <c r="V1754" i="2"/>
  <c r="R1754" i="2"/>
  <c r="E1754" i="2"/>
  <c r="D1754" i="2"/>
  <c r="C1754" i="2"/>
  <c r="AB1753" i="2"/>
  <c r="X1753" i="2"/>
  <c r="V1753" i="2"/>
  <c r="R1753" i="2"/>
  <c r="E1753" i="2"/>
  <c r="D1753" i="2"/>
  <c r="C1753" i="2"/>
  <c r="AB1752" i="2"/>
  <c r="X1752" i="2"/>
  <c r="V1752" i="2"/>
  <c r="R1752" i="2"/>
  <c r="E1752" i="2"/>
  <c r="D1752" i="2"/>
  <c r="C1752" i="2"/>
  <c r="AB1751" i="2"/>
  <c r="X1751" i="2"/>
  <c r="V1751" i="2"/>
  <c r="R1751" i="2"/>
  <c r="E1751" i="2"/>
  <c r="D1751" i="2"/>
  <c r="C1751" i="2"/>
  <c r="AB1750" i="2"/>
  <c r="X1750" i="2"/>
  <c r="V1750" i="2"/>
  <c r="R1750" i="2"/>
  <c r="E1750" i="2"/>
  <c r="D1750" i="2"/>
  <c r="C1750" i="2"/>
  <c r="AB1749" i="2"/>
  <c r="X1749" i="2"/>
  <c r="V1749" i="2"/>
  <c r="R1749" i="2"/>
  <c r="E1749" i="2"/>
  <c r="D1749" i="2"/>
  <c r="C1749" i="2"/>
  <c r="AB1748" i="2"/>
  <c r="X1748" i="2"/>
  <c r="V1748" i="2"/>
  <c r="R1748" i="2"/>
  <c r="E1748" i="2"/>
  <c r="D1748" i="2"/>
  <c r="C1748" i="2"/>
  <c r="AB1747" i="2"/>
  <c r="X1747" i="2"/>
  <c r="V1747" i="2"/>
  <c r="R1747" i="2"/>
  <c r="E1747" i="2"/>
  <c r="D1747" i="2"/>
  <c r="C1747" i="2"/>
  <c r="AB1746" i="2"/>
  <c r="X1746" i="2"/>
  <c r="V1746" i="2"/>
  <c r="R1746" i="2"/>
  <c r="E1746" i="2"/>
  <c r="D1746" i="2"/>
  <c r="C1746" i="2"/>
  <c r="AB1745" i="2"/>
  <c r="X1745" i="2"/>
  <c r="V1745" i="2"/>
  <c r="R1745" i="2"/>
  <c r="E1745" i="2"/>
  <c r="D1745" i="2"/>
  <c r="C1745" i="2"/>
  <c r="AB1744" i="2"/>
  <c r="X1744" i="2"/>
  <c r="V1744" i="2"/>
  <c r="R1744" i="2"/>
  <c r="E1744" i="2"/>
  <c r="D1744" i="2"/>
  <c r="C1744" i="2"/>
  <c r="AB1743" i="2"/>
  <c r="X1743" i="2"/>
  <c r="V1743" i="2"/>
  <c r="R1743" i="2"/>
  <c r="E1743" i="2"/>
  <c r="D1743" i="2"/>
  <c r="C1743" i="2"/>
  <c r="AB1742" i="2"/>
  <c r="X1742" i="2"/>
  <c r="V1742" i="2"/>
  <c r="R1742" i="2"/>
  <c r="E1742" i="2"/>
  <c r="D1742" i="2"/>
  <c r="C1742" i="2"/>
  <c r="AB1741" i="2"/>
  <c r="X1741" i="2"/>
  <c r="V1741" i="2"/>
  <c r="R1741" i="2"/>
  <c r="E1741" i="2"/>
  <c r="D1741" i="2"/>
  <c r="C1741" i="2"/>
  <c r="AB1740" i="2"/>
  <c r="X1740" i="2"/>
  <c r="V1740" i="2"/>
  <c r="R1740" i="2"/>
  <c r="E1740" i="2"/>
  <c r="D1740" i="2"/>
  <c r="C1740" i="2"/>
  <c r="AB1739" i="2"/>
  <c r="X1739" i="2"/>
  <c r="V1739" i="2"/>
  <c r="R1739" i="2"/>
  <c r="E1739" i="2"/>
  <c r="D1739" i="2"/>
  <c r="C1739" i="2"/>
  <c r="AB1738" i="2"/>
  <c r="X1738" i="2"/>
  <c r="V1738" i="2"/>
  <c r="R1738" i="2"/>
  <c r="E1738" i="2"/>
  <c r="D1738" i="2"/>
  <c r="C1738" i="2"/>
  <c r="AB1737" i="2"/>
  <c r="X1737" i="2"/>
  <c r="V1737" i="2"/>
  <c r="R1737" i="2"/>
  <c r="E1737" i="2"/>
  <c r="D1737" i="2"/>
  <c r="C1737" i="2"/>
  <c r="AB1736" i="2"/>
  <c r="X1736" i="2"/>
  <c r="V1736" i="2"/>
  <c r="R1736" i="2"/>
  <c r="E1736" i="2"/>
  <c r="D1736" i="2"/>
  <c r="C1736" i="2"/>
  <c r="AB1735" i="2"/>
  <c r="X1735" i="2"/>
  <c r="V1735" i="2"/>
  <c r="R1735" i="2"/>
  <c r="E1735" i="2"/>
  <c r="D1735" i="2"/>
  <c r="C1735" i="2"/>
  <c r="AB1734" i="2"/>
  <c r="X1734" i="2"/>
  <c r="V1734" i="2"/>
  <c r="R1734" i="2"/>
  <c r="E1734" i="2"/>
  <c r="D1734" i="2"/>
  <c r="C1734" i="2"/>
  <c r="AB1733" i="2"/>
  <c r="X1733" i="2"/>
  <c r="V1733" i="2"/>
  <c r="R1733" i="2"/>
  <c r="E1733" i="2"/>
  <c r="D1733" i="2"/>
  <c r="C1733" i="2"/>
  <c r="AB1732" i="2"/>
  <c r="X1732" i="2"/>
  <c r="V1732" i="2"/>
  <c r="R1732" i="2"/>
  <c r="E1732" i="2"/>
  <c r="D1732" i="2"/>
  <c r="C1732" i="2"/>
  <c r="AB1731" i="2"/>
  <c r="X1731" i="2"/>
  <c r="V1731" i="2"/>
  <c r="R1731" i="2"/>
  <c r="E1731" i="2"/>
  <c r="D1731" i="2"/>
  <c r="C1731" i="2"/>
  <c r="AB1730" i="2"/>
  <c r="X1730" i="2"/>
  <c r="V1730" i="2"/>
  <c r="R1730" i="2"/>
  <c r="E1730" i="2"/>
  <c r="D1730" i="2"/>
  <c r="C1730" i="2"/>
  <c r="AB1729" i="2"/>
  <c r="X1729" i="2"/>
  <c r="V1729" i="2"/>
  <c r="R1729" i="2"/>
  <c r="E1729" i="2"/>
  <c r="D1729" i="2"/>
  <c r="C1729" i="2"/>
  <c r="AB1728" i="2"/>
  <c r="X1728" i="2"/>
  <c r="V1728" i="2"/>
  <c r="R1728" i="2"/>
  <c r="E1728" i="2"/>
  <c r="D1728" i="2"/>
  <c r="C1728" i="2"/>
  <c r="AB1727" i="2"/>
  <c r="X1727" i="2"/>
  <c r="V1727" i="2"/>
  <c r="R1727" i="2"/>
  <c r="E1727" i="2"/>
  <c r="D1727" i="2"/>
  <c r="C1727" i="2"/>
  <c r="AB1726" i="2"/>
  <c r="X1726" i="2"/>
  <c r="V1726" i="2"/>
  <c r="R1726" i="2"/>
  <c r="E1726" i="2"/>
  <c r="D1726" i="2"/>
  <c r="C1726" i="2"/>
  <c r="AB1725" i="2"/>
  <c r="X1725" i="2"/>
  <c r="V1725" i="2"/>
  <c r="R1725" i="2"/>
  <c r="E1725" i="2"/>
  <c r="D1725" i="2"/>
  <c r="C1725" i="2"/>
  <c r="AB1724" i="2"/>
  <c r="X1724" i="2"/>
  <c r="V1724" i="2"/>
  <c r="R1724" i="2"/>
  <c r="E1724" i="2"/>
  <c r="D1724" i="2"/>
  <c r="C1724" i="2"/>
  <c r="AB1723" i="2"/>
  <c r="X1723" i="2"/>
  <c r="V1723" i="2"/>
  <c r="R1723" i="2"/>
  <c r="E1723" i="2"/>
  <c r="D1723" i="2"/>
  <c r="C1723" i="2"/>
  <c r="AB1722" i="2"/>
  <c r="X1722" i="2"/>
  <c r="V1722" i="2"/>
  <c r="R1722" i="2"/>
  <c r="E1722" i="2"/>
  <c r="D1722" i="2"/>
  <c r="C1722" i="2"/>
  <c r="AB1721" i="2"/>
  <c r="X1721" i="2"/>
  <c r="V1721" i="2"/>
  <c r="R1721" i="2"/>
  <c r="E1721" i="2"/>
  <c r="D1721" i="2"/>
  <c r="C1721" i="2"/>
  <c r="AB1720" i="2"/>
  <c r="X1720" i="2"/>
  <c r="V1720" i="2"/>
  <c r="R1720" i="2"/>
  <c r="E1720" i="2"/>
  <c r="D1720" i="2"/>
  <c r="C1720" i="2"/>
  <c r="AB1719" i="2"/>
  <c r="X1719" i="2"/>
  <c r="V1719" i="2"/>
  <c r="R1719" i="2"/>
  <c r="E1719" i="2"/>
  <c r="D1719" i="2"/>
  <c r="C1719" i="2"/>
  <c r="AB1718" i="2"/>
  <c r="X1718" i="2"/>
  <c r="V1718" i="2"/>
  <c r="R1718" i="2"/>
  <c r="E1718" i="2"/>
  <c r="D1718" i="2"/>
  <c r="C1718" i="2"/>
  <c r="AB1717" i="2"/>
  <c r="X1717" i="2"/>
  <c r="V1717" i="2"/>
  <c r="R1717" i="2"/>
  <c r="E1717" i="2"/>
  <c r="D1717" i="2"/>
  <c r="C1717" i="2"/>
  <c r="AB1716" i="2"/>
  <c r="X1716" i="2"/>
  <c r="V1716" i="2"/>
  <c r="R1716" i="2"/>
  <c r="E1716" i="2"/>
  <c r="D1716" i="2"/>
  <c r="C1716" i="2"/>
  <c r="AB1715" i="2"/>
  <c r="X1715" i="2"/>
  <c r="V1715" i="2"/>
  <c r="R1715" i="2"/>
  <c r="E1715" i="2"/>
  <c r="D1715" i="2"/>
  <c r="C1715" i="2"/>
  <c r="AB1714" i="2"/>
  <c r="X1714" i="2"/>
  <c r="V1714" i="2"/>
  <c r="R1714" i="2"/>
  <c r="E1714" i="2"/>
  <c r="D1714" i="2"/>
  <c r="C1714" i="2"/>
  <c r="AB1713" i="2"/>
  <c r="X1713" i="2"/>
  <c r="V1713" i="2"/>
  <c r="R1713" i="2"/>
  <c r="E1713" i="2"/>
  <c r="D1713" i="2"/>
  <c r="C1713" i="2"/>
  <c r="AB1712" i="2"/>
  <c r="X1712" i="2"/>
  <c r="V1712" i="2"/>
  <c r="R1712" i="2"/>
  <c r="E1712" i="2"/>
  <c r="D1712" i="2"/>
  <c r="C1712" i="2"/>
  <c r="AB1711" i="2"/>
  <c r="X1711" i="2"/>
  <c r="V1711" i="2"/>
  <c r="R1711" i="2"/>
  <c r="E1711" i="2"/>
  <c r="D1711" i="2"/>
  <c r="C1711" i="2"/>
  <c r="AB1710" i="2"/>
  <c r="X1710" i="2"/>
  <c r="V1710" i="2"/>
  <c r="R1710" i="2"/>
  <c r="E1710" i="2"/>
  <c r="D1710" i="2"/>
  <c r="C1710" i="2"/>
  <c r="AB1709" i="2"/>
  <c r="X1709" i="2"/>
  <c r="V1709" i="2"/>
  <c r="R1709" i="2"/>
  <c r="E1709" i="2"/>
  <c r="D1709" i="2"/>
  <c r="C1709" i="2"/>
  <c r="AB1708" i="2"/>
  <c r="X1708" i="2"/>
  <c r="V1708" i="2"/>
  <c r="R1708" i="2"/>
  <c r="E1708" i="2"/>
  <c r="D1708" i="2"/>
  <c r="C1708" i="2"/>
  <c r="AB1707" i="2"/>
  <c r="X1707" i="2"/>
  <c r="V1707" i="2"/>
  <c r="R1707" i="2"/>
  <c r="E1707" i="2"/>
  <c r="D1707" i="2"/>
  <c r="C1707" i="2"/>
  <c r="AB1706" i="2"/>
  <c r="X1706" i="2"/>
  <c r="V1706" i="2"/>
  <c r="R1706" i="2"/>
  <c r="E1706" i="2"/>
  <c r="D1706" i="2"/>
  <c r="C1706" i="2"/>
  <c r="AB1705" i="2"/>
  <c r="X1705" i="2"/>
  <c r="V1705" i="2"/>
  <c r="R1705" i="2"/>
  <c r="E1705" i="2"/>
  <c r="D1705" i="2"/>
  <c r="C1705" i="2"/>
  <c r="AB1704" i="2"/>
  <c r="X1704" i="2"/>
  <c r="V1704" i="2"/>
  <c r="R1704" i="2"/>
  <c r="E1704" i="2"/>
  <c r="D1704" i="2"/>
  <c r="C1704" i="2"/>
  <c r="AB1703" i="2"/>
  <c r="X1703" i="2"/>
  <c r="V1703" i="2"/>
  <c r="R1703" i="2"/>
  <c r="E1703" i="2"/>
  <c r="D1703" i="2"/>
  <c r="C1703" i="2"/>
  <c r="AB1702" i="2"/>
  <c r="X1702" i="2"/>
  <c r="V1702" i="2"/>
  <c r="R1702" i="2"/>
  <c r="E1702" i="2"/>
  <c r="D1702" i="2"/>
  <c r="C1702" i="2"/>
  <c r="AB1701" i="2"/>
  <c r="X1701" i="2"/>
  <c r="V1701" i="2"/>
  <c r="R1701" i="2"/>
  <c r="E1701" i="2"/>
  <c r="D1701" i="2"/>
  <c r="C1701" i="2"/>
  <c r="AB1700" i="2"/>
  <c r="X1700" i="2"/>
  <c r="V1700" i="2"/>
  <c r="R1700" i="2"/>
  <c r="E1700" i="2"/>
  <c r="D1700" i="2"/>
  <c r="C1700" i="2"/>
  <c r="AB1699" i="2"/>
  <c r="X1699" i="2"/>
  <c r="V1699" i="2"/>
  <c r="R1699" i="2"/>
  <c r="E1699" i="2"/>
  <c r="D1699" i="2"/>
  <c r="C1699" i="2"/>
  <c r="AB1698" i="2"/>
  <c r="X1698" i="2"/>
  <c r="V1698" i="2"/>
  <c r="R1698" i="2"/>
  <c r="E1698" i="2"/>
  <c r="D1698" i="2"/>
  <c r="C1698" i="2"/>
  <c r="AB1697" i="2"/>
  <c r="X1697" i="2"/>
  <c r="V1697" i="2"/>
  <c r="R1697" i="2"/>
  <c r="E1697" i="2"/>
  <c r="D1697" i="2"/>
  <c r="C1697" i="2"/>
  <c r="AB1696" i="2"/>
  <c r="X1696" i="2"/>
  <c r="V1696" i="2"/>
  <c r="R1696" i="2"/>
  <c r="E1696" i="2"/>
  <c r="D1696" i="2"/>
  <c r="C1696" i="2"/>
  <c r="AB1695" i="2"/>
  <c r="X1695" i="2"/>
  <c r="V1695" i="2"/>
  <c r="R1695" i="2"/>
  <c r="E1695" i="2"/>
  <c r="D1695" i="2"/>
  <c r="C1695" i="2"/>
  <c r="AB1694" i="2"/>
  <c r="X1694" i="2"/>
  <c r="V1694" i="2"/>
  <c r="R1694" i="2"/>
  <c r="E1694" i="2"/>
  <c r="D1694" i="2"/>
  <c r="C1694" i="2"/>
  <c r="AB1693" i="2"/>
  <c r="X1693" i="2"/>
  <c r="V1693" i="2"/>
  <c r="R1693" i="2"/>
  <c r="E1693" i="2"/>
  <c r="D1693" i="2"/>
  <c r="C1693" i="2"/>
  <c r="AB1692" i="2"/>
  <c r="X1692" i="2"/>
  <c r="V1692" i="2"/>
  <c r="R1692" i="2"/>
  <c r="E1692" i="2"/>
  <c r="D1692" i="2"/>
  <c r="C1692" i="2"/>
  <c r="AB1691" i="2"/>
  <c r="X1691" i="2"/>
  <c r="V1691" i="2"/>
  <c r="R1691" i="2"/>
  <c r="E1691" i="2"/>
  <c r="D1691" i="2"/>
  <c r="C1691" i="2"/>
  <c r="AB1690" i="2"/>
  <c r="X1690" i="2"/>
  <c r="V1690" i="2"/>
  <c r="R1690" i="2"/>
  <c r="E1690" i="2"/>
  <c r="D1690" i="2"/>
  <c r="C1690" i="2"/>
  <c r="AB1689" i="2"/>
  <c r="X1689" i="2"/>
  <c r="V1689" i="2"/>
  <c r="R1689" i="2"/>
  <c r="E1689" i="2"/>
  <c r="D1689" i="2"/>
  <c r="C1689" i="2"/>
  <c r="AB1688" i="2"/>
  <c r="X1688" i="2"/>
  <c r="V1688" i="2"/>
  <c r="R1688" i="2"/>
  <c r="E1688" i="2"/>
  <c r="D1688" i="2"/>
  <c r="C1688" i="2"/>
  <c r="AB1687" i="2"/>
  <c r="X1687" i="2"/>
  <c r="V1687" i="2"/>
  <c r="R1687" i="2"/>
  <c r="E1687" i="2"/>
  <c r="D1687" i="2"/>
  <c r="C1687" i="2"/>
  <c r="AB1686" i="2"/>
  <c r="X1686" i="2"/>
  <c r="V1686" i="2"/>
  <c r="R1686" i="2"/>
  <c r="E1686" i="2"/>
  <c r="D1686" i="2"/>
  <c r="C1686" i="2"/>
  <c r="AB1685" i="2"/>
  <c r="X1685" i="2"/>
  <c r="V1685" i="2"/>
  <c r="R1685" i="2"/>
  <c r="E1685" i="2"/>
  <c r="D1685" i="2"/>
  <c r="C1685" i="2"/>
  <c r="AB1684" i="2"/>
  <c r="X1684" i="2"/>
  <c r="V1684" i="2"/>
  <c r="R1684" i="2"/>
  <c r="E1684" i="2"/>
  <c r="D1684" i="2"/>
  <c r="C1684" i="2"/>
  <c r="AB1683" i="2"/>
  <c r="X1683" i="2"/>
  <c r="V1683" i="2"/>
  <c r="R1683" i="2"/>
  <c r="E1683" i="2"/>
  <c r="D1683" i="2"/>
  <c r="C1683" i="2"/>
  <c r="AB1682" i="2"/>
  <c r="X1682" i="2"/>
  <c r="V1682" i="2"/>
  <c r="R1682" i="2"/>
  <c r="E1682" i="2"/>
  <c r="D1682" i="2"/>
  <c r="C1682" i="2"/>
  <c r="AB1681" i="2"/>
  <c r="X1681" i="2"/>
  <c r="V1681" i="2"/>
  <c r="R1681" i="2"/>
  <c r="E1681" i="2"/>
  <c r="D1681" i="2"/>
  <c r="C1681" i="2"/>
  <c r="AB1680" i="2"/>
  <c r="X1680" i="2"/>
  <c r="V1680" i="2"/>
  <c r="R1680" i="2"/>
  <c r="E1680" i="2"/>
  <c r="D1680" i="2"/>
  <c r="C1680" i="2"/>
  <c r="AB1679" i="2"/>
  <c r="X1679" i="2"/>
  <c r="V1679" i="2"/>
  <c r="R1679" i="2"/>
  <c r="E1679" i="2"/>
  <c r="D1679" i="2"/>
  <c r="C1679" i="2"/>
  <c r="AB1678" i="2"/>
  <c r="X1678" i="2"/>
  <c r="V1678" i="2"/>
  <c r="R1678" i="2"/>
  <c r="E1678" i="2"/>
  <c r="D1678" i="2"/>
  <c r="C1678" i="2"/>
  <c r="AB1677" i="2"/>
  <c r="X1677" i="2"/>
  <c r="V1677" i="2"/>
  <c r="R1677" i="2"/>
  <c r="E1677" i="2"/>
  <c r="D1677" i="2"/>
  <c r="C1677" i="2"/>
  <c r="AB1676" i="2"/>
  <c r="X1676" i="2"/>
  <c r="V1676" i="2"/>
  <c r="R1676" i="2"/>
  <c r="E1676" i="2"/>
  <c r="D1676" i="2"/>
  <c r="C1676" i="2"/>
  <c r="AB1675" i="2"/>
  <c r="X1675" i="2"/>
  <c r="V1675" i="2"/>
  <c r="R1675" i="2"/>
  <c r="E1675" i="2"/>
  <c r="D1675" i="2"/>
  <c r="C1675" i="2"/>
  <c r="AB1674" i="2"/>
  <c r="X1674" i="2"/>
  <c r="V1674" i="2"/>
  <c r="R1674" i="2"/>
  <c r="E1674" i="2"/>
  <c r="D1674" i="2"/>
  <c r="C1674" i="2"/>
  <c r="AB1673" i="2"/>
  <c r="X1673" i="2"/>
  <c r="V1673" i="2"/>
  <c r="R1673" i="2"/>
  <c r="E1673" i="2"/>
  <c r="D1673" i="2"/>
  <c r="C1673" i="2"/>
  <c r="AB1672" i="2"/>
  <c r="X1672" i="2"/>
  <c r="V1672" i="2"/>
  <c r="R1672" i="2"/>
  <c r="E1672" i="2"/>
  <c r="D1672" i="2"/>
  <c r="C1672" i="2"/>
  <c r="AB1671" i="2"/>
  <c r="X1671" i="2"/>
  <c r="V1671" i="2"/>
  <c r="R1671" i="2"/>
  <c r="E1671" i="2"/>
  <c r="D1671" i="2"/>
  <c r="C1671" i="2"/>
  <c r="AB1670" i="2"/>
  <c r="X1670" i="2"/>
  <c r="V1670" i="2"/>
  <c r="R1670" i="2"/>
  <c r="E1670" i="2"/>
  <c r="D1670" i="2"/>
  <c r="C1670" i="2"/>
  <c r="AB1669" i="2"/>
  <c r="X1669" i="2"/>
  <c r="V1669" i="2"/>
  <c r="R1669" i="2"/>
  <c r="E1669" i="2"/>
  <c r="D1669" i="2"/>
  <c r="C1669" i="2"/>
  <c r="AB1668" i="2"/>
  <c r="X1668" i="2"/>
  <c r="V1668" i="2"/>
  <c r="R1668" i="2"/>
  <c r="E1668" i="2"/>
  <c r="D1668" i="2"/>
  <c r="C1668" i="2"/>
  <c r="AB1667" i="2"/>
  <c r="X1667" i="2"/>
  <c r="V1667" i="2"/>
  <c r="R1667" i="2"/>
  <c r="E1667" i="2"/>
  <c r="D1667" i="2"/>
  <c r="C1667" i="2"/>
  <c r="AB1666" i="2"/>
  <c r="X1666" i="2"/>
  <c r="V1666" i="2"/>
  <c r="R1666" i="2"/>
  <c r="E1666" i="2"/>
  <c r="D1666" i="2"/>
  <c r="C1666" i="2"/>
  <c r="AB1665" i="2"/>
  <c r="X1665" i="2"/>
  <c r="V1665" i="2"/>
  <c r="R1665" i="2"/>
  <c r="E1665" i="2"/>
  <c r="D1665" i="2"/>
  <c r="C1665" i="2"/>
  <c r="AB1664" i="2"/>
  <c r="X1664" i="2"/>
  <c r="V1664" i="2"/>
  <c r="R1664" i="2"/>
  <c r="E1664" i="2"/>
  <c r="D1664" i="2"/>
  <c r="C1664" i="2"/>
  <c r="AB1663" i="2"/>
  <c r="X1663" i="2"/>
  <c r="V1663" i="2"/>
  <c r="R1663" i="2"/>
  <c r="E1663" i="2"/>
  <c r="D1663" i="2"/>
  <c r="C1663" i="2"/>
  <c r="AB1662" i="2"/>
  <c r="X1662" i="2"/>
  <c r="V1662" i="2"/>
  <c r="R1662" i="2"/>
  <c r="E1662" i="2"/>
  <c r="D1662" i="2"/>
  <c r="C1662" i="2"/>
  <c r="AB1661" i="2"/>
  <c r="X1661" i="2"/>
  <c r="V1661" i="2"/>
  <c r="R1661" i="2"/>
  <c r="E1661" i="2"/>
  <c r="D1661" i="2"/>
  <c r="C1661" i="2"/>
  <c r="AB1660" i="2"/>
  <c r="X1660" i="2"/>
  <c r="V1660" i="2"/>
  <c r="R1660" i="2"/>
  <c r="E1660" i="2"/>
  <c r="D1660" i="2"/>
  <c r="C1660" i="2"/>
  <c r="AB1659" i="2"/>
  <c r="X1659" i="2"/>
  <c r="V1659" i="2"/>
  <c r="R1659" i="2"/>
  <c r="E1659" i="2"/>
  <c r="D1659" i="2"/>
  <c r="C1659" i="2"/>
  <c r="AB1658" i="2"/>
  <c r="X1658" i="2"/>
  <c r="V1658" i="2"/>
  <c r="R1658" i="2"/>
  <c r="E1658" i="2"/>
  <c r="D1658" i="2"/>
  <c r="C1658" i="2"/>
  <c r="AB1657" i="2"/>
  <c r="X1657" i="2"/>
  <c r="V1657" i="2"/>
  <c r="R1657" i="2"/>
  <c r="E1657" i="2"/>
  <c r="D1657" i="2"/>
  <c r="C1657" i="2"/>
  <c r="AB1656" i="2"/>
  <c r="X1656" i="2"/>
  <c r="V1656" i="2"/>
  <c r="R1656" i="2"/>
  <c r="E1656" i="2"/>
  <c r="D1656" i="2"/>
  <c r="C1656" i="2"/>
  <c r="AB1655" i="2"/>
  <c r="X1655" i="2"/>
  <c r="V1655" i="2"/>
  <c r="R1655" i="2"/>
  <c r="E1655" i="2"/>
  <c r="D1655" i="2"/>
  <c r="C1655" i="2"/>
  <c r="AB1654" i="2"/>
  <c r="X1654" i="2"/>
  <c r="V1654" i="2"/>
  <c r="R1654" i="2"/>
  <c r="E1654" i="2"/>
  <c r="D1654" i="2"/>
  <c r="C1654" i="2"/>
  <c r="AB1653" i="2"/>
  <c r="X1653" i="2"/>
  <c r="V1653" i="2"/>
  <c r="R1653" i="2"/>
  <c r="E1653" i="2"/>
  <c r="D1653" i="2"/>
  <c r="C1653" i="2"/>
  <c r="AB1652" i="2"/>
  <c r="X1652" i="2"/>
  <c r="V1652" i="2"/>
  <c r="R1652" i="2"/>
  <c r="E1652" i="2"/>
  <c r="D1652" i="2"/>
  <c r="C1652" i="2"/>
  <c r="AB1651" i="2"/>
  <c r="X1651" i="2"/>
  <c r="V1651" i="2"/>
  <c r="R1651" i="2"/>
  <c r="E1651" i="2"/>
  <c r="D1651" i="2"/>
  <c r="C1651" i="2"/>
  <c r="AB1650" i="2"/>
  <c r="X1650" i="2"/>
  <c r="V1650" i="2"/>
  <c r="R1650" i="2"/>
  <c r="E1650" i="2"/>
  <c r="D1650" i="2"/>
  <c r="C1650" i="2"/>
  <c r="AB1649" i="2"/>
  <c r="X1649" i="2"/>
  <c r="V1649" i="2"/>
  <c r="R1649" i="2"/>
  <c r="E1649" i="2"/>
  <c r="D1649" i="2"/>
  <c r="C1649" i="2"/>
  <c r="AB1648" i="2"/>
  <c r="X1648" i="2"/>
  <c r="V1648" i="2"/>
  <c r="R1648" i="2"/>
  <c r="E1648" i="2"/>
  <c r="D1648" i="2"/>
  <c r="C1648" i="2"/>
  <c r="AB1647" i="2"/>
  <c r="X1647" i="2"/>
  <c r="V1647" i="2"/>
  <c r="R1647" i="2"/>
  <c r="E1647" i="2"/>
  <c r="D1647" i="2"/>
  <c r="C1647" i="2"/>
  <c r="AB1646" i="2"/>
  <c r="X1646" i="2"/>
  <c r="V1646" i="2"/>
  <c r="R1646" i="2"/>
  <c r="E1646" i="2"/>
  <c r="D1646" i="2"/>
  <c r="C1646" i="2"/>
  <c r="AB1645" i="2"/>
  <c r="X1645" i="2"/>
  <c r="V1645" i="2"/>
  <c r="R1645" i="2"/>
  <c r="E1645" i="2"/>
  <c r="D1645" i="2"/>
  <c r="C1645" i="2"/>
  <c r="AB1644" i="2"/>
  <c r="X1644" i="2"/>
  <c r="V1644" i="2"/>
  <c r="R1644" i="2"/>
  <c r="E1644" i="2"/>
  <c r="D1644" i="2"/>
  <c r="C1644" i="2"/>
  <c r="AB1643" i="2"/>
  <c r="X1643" i="2"/>
  <c r="V1643" i="2"/>
  <c r="R1643" i="2"/>
  <c r="E1643" i="2"/>
  <c r="D1643" i="2"/>
  <c r="C1643" i="2"/>
  <c r="AB1642" i="2"/>
  <c r="X1642" i="2"/>
  <c r="V1642" i="2"/>
  <c r="R1642" i="2"/>
  <c r="E1642" i="2"/>
  <c r="D1642" i="2"/>
  <c r="C1642" i="2"/>
  <c r="AB1641" i="2"/>
  <c r="X1641" i="2"/>
  <c r="V1641" i="2"/>
  <c r="R1641" i="2"/>
  <c r="E1641" i="2"/>
  <c r="D1641" i="2"/>
  <c r="C1641" i="2"/>
  <c r="AB1640" i="2"/>
  <c r="X1640" i="2"/>
  <c r="V1640" i="2"/>
  <c r="R1640" i="2"/>
  <c r="E1640" i="2"/>
  <c r="D1640" i="2"/>
  <c r="C1640" i="2"/>
  <c r="AB1639" i="2"/>
  <c r="X1639" i="2"/>
  <c r="V1639" i="2"/>
  <c r="R1639" i="2"/>
  <c r="E1639" i="2"/>
  <c r="D1639" i="2"/>
  <c r="C1639" i="2"/>
  <c r="AB1638" i="2"/>
  <c r="X1638" i="2"/>
  <c r="V1638" i="2"/>
  <c r="R1638" i="2"/>
  <c r="E1638" i="2"/>
  <c r="D1638" i="2"/>
  <c r="C1638" i="2"/>
  <c r="AB1637" i="2"/>
  <c r="X1637" i="2"/>
  <c r="V1637" i="2"/>
  <c r="R1637" i="2"/>
  <c r="E1637" i="2"/>
  <c r="D1637" i="2"/>
  <c r="C1637" i="2"/>
  <c r="AB1636" i="2"/>
  <c r="X1636" i="2"/>
  <c r="V1636" i="2"/>
  <c r="R1636" i="2"/>
  <c r="E1636" i="2"/>
  <c r="D1636" i="2"/>
  <c r="C1636" i="2"/>
  <c r="AB1635" i="2"/>
  <c r="X1635" i="2"/>
  <c r="V1635" i="2"/>
  <c r="R1635" i="2"/>
  <c r="E1635" i="2"/>
  <c r="D1635" i="2"/>
  <c r="C1635" i="2"/>
  <c r="AB1634" i="2"/>
  <c r="X1634" i="2"/>
  <c r="V1634" i="2"/>
  <c r="R1634" i="2"/>
  <c r="E1634" i="2"/>
  <c r="D1634" i="2"/>
  <c r="C1634" i="2"/>
  <c r="AB1633" i="2"/>
  <c r="X1633" i="2"/>
  <c r="V1633" i="2"/>
  <c r="R1633" i="2"/>
  <c r="E1633" i="2"/>
  <c r="D1633" i="2"/>
  <c r="C1633" i="2"/>
  <c r="AB1632" i="2"/>
  <c r="X1632" i="2"/>
  <c r="V1632" i="2"/>
  <c r="R1632" i="2"/>
  <c r="E1632" i="2"/>
  <c r="D1632" i="2"/>
  <c r="C1632" i="2"/>
  <c r="AB1631" i="2"/>
  <c r="X1631" i="2"/>
  <c r="V1631" i="2"/>
  <c r="R1631" i="2"/>
  <c r="E1631" i="2"/>
  <c r="D1631" i="2"/>
  <c r="C1631" i="2"/>
  <c r="AB1630" i="2"/>
  <c r="X1630" i="2"/>
  <c r="V1630" i="2"/>
  <c r="R1630" i="2"/>
  <c r="E1630" i="2"/>
  <c r="D1630" i="2"/>
  <c r="C1630" i="2"/>
  <c r="AB1629" i="2"/>
  <c r="X1629" i="2"/>
  <c r="V1629" i="2"/>
  <c r="R1629" i="2"/>
  <c r="E1629" i="2"/>
  <c r="D1629" i="2"/>
  <c r="C1629" i="2"/>
  <c r="AB1628" i="2"/>
  <c r="X1628" i="2"/>
  <c r="V1628" i="2"/>
  <c r="R1628" i="2"/>
  <c r="E1628" i="2"/>
  <c r="D1628" i="2"/>
  <c r="C1628" i="2"/>
  <c r="AB1627" i="2"/>
  <c r="X1627" i="2"/>
  <c r="V1627" i="2"/>
  <c r="R1627" i="2"/>
  <c r="E1627" i="2"/>
  <c r="D1627" i="2"/>
  <c r="C1627" i="2"/>
  <c r="AB1626" i="2"/>
  <c r="X1626" i="2"/>
  <c r="V1626" i="2"/>
  <c r="R1626" i="2"/>
  <c r="E1626" i="2"/>
  <c r="D1626" i="2"/>
  <c r="C1626" i="2"/>
  <c r="AB1625" i="2"/>
  <c r="X1625" i="2"/>
  <c r="V1625" i="2"/>
  <c r="R1625" i="2"/>
  <c r="E1625" i="2"/>
  <c r="D1625" i="2"/>
  <c r="C1625" i="2"/>
  <c r="AB1624" i="2"/>
  <c r="X1624" i="2"/>
  <c r="V1624" i="2"/>
  <c r="R1624" i="2"/>
  <c r="E1624" i="2"/>
  <c r="D1624" i="2"/>
  <c r="C1624" i="2"/>
  <c r="AB1623" i="2"/>
  <c r="X1623" i="2"/>
  <c r="V1623" i="2"/>
  <c r="R1623" i="2"/>
  <c r="E1623" i="2"/>
  <c r="D1623" i="2"/>
  <c r="C1623" i="2"/>
  <c r="AB1622" i="2"/>
  <c r="X1622" i="2"/>
  <c r="V1622" i="2"/>
  <c r="R1622" i="2"/>
  <c r="E1622" i="2"/>
  <c r="D1622" i="2"/>
  <c r="C1622" i="2"/>
  <c r="AB1621" i="2"/>
  <c r="X1621" i="2"/>
  <c r="V1621" i="2"/>
  <c r="R1621" i="2"/>
  <c r="E1621" i="2"/>
  <c r="D1621" i="2"/>
  <c r="C1621" i="2"/>
  <c r="AB1620" i="2"/>
  <c r="X1620" i="2"/>
  <c r="V1620" i="2"/>
  <c r="R1620" i="2"/>
  <c r="E1620" i="2"/>
  <c r="D1620" i="2"/>
  <c r="C1620" i="2"/>
  <c r="AB1619" i="2"/>
  <c r="X1619" i="2"/>
  <c r="V1619" i="2"/>
  <c r="R1619" i="2"/>
  <c r="E1619" i="2"/>
  <c r="D1619" i="2"/>
  <c r="C1619" i="2"/>
  <c r="AB1618" i="2"/>
  <c r="X1618" i="2"/>
  <c r="V1618" i="2"/>
  <c r="R1618" i="2"/>
  <c r="E1618" i="2"/>
  <c r="D1618" i="2"/>
  <c r="C1618" i="2"/>
  <c r="AB1617" i="2"/>
  <c r="X1617" i="2"/>
  <c r="V1617" i="2"/>
  <c r="R1617" i="2"/>
  <c r="E1617" i="2"/>
  <c r="D1617" i="2"/>
  <c r="C1617" i="2"/>
  <c r="AB1616" i="2"/>
  <c r="X1616" i="2"/>
  <c r="V1616" i="2"/>
  <c r="R1616" i="2"/>
  <c r="E1616" i="2"/>
  <c r="D1616" i="2"/>
  <c r="C1616" i="2"/>
  <c r="AB1615" i="2"/>
  <c r="X1615" i="2"/>
  <c r="V1615" i="2"/>
  <c r="R1615" i="2"/>
  <c r="E1615" i="2"/>
  <c r="D1615" i="2"/>
  <c r="C1615" i="2"/>
  <c r="AB1614" i="2"/>
  <c r="X1614" i="2"/>
  <c r="V1614" i="2"/>
  <c r="R1614" i="2"/>
  <c r="E1614" i="2"/>
  <c r="D1614" i="2"/>
  <c r="C1614" i="2"/>
  <c r="AB1613" i="2"/>
  <c r="X1613" i="2"/>
  <c r="V1613" i="2"/>
  <c r="R1613" i="2"/>
  <c r="E1613" i="2"/>
  <c r="D1613" i="2"/>
  <c r="C1613" i="2"/>
  <c r="AB1612" i="2"/>
  <c r="X1612" i="2"/>
  <c r="V1612" i="2"/>
  <c r="R1612" i="2"/>
  <c r="E1612" i="2"/>
  <c r="D1612" i="2"/>
  <c r="C1612" i="2"/>
  <c r="AB1611" i="2"/>
  <c r="X1611" i="2"/>
  <c r="V1611" i="2"/>
  <c r="R1611" i="2"/>
  <c r="E1611" i="2"/>
  <c r="D1611" i="2"/>
  <c r="C1611" i="2"/>
  <c r="AB1610" i="2"/>
  <c r="X1610" i="2"/>
  <c r="V1610" i="2"/>
  <c r="R1610" i="2"/>
  <c r="E1610" i="2"/>
  <c r="D1610" i="2"/>
  <c r="C1610" i="2"/>
  <c r="AB1609" i="2"/>
  <c r="X1609" i="2"/>
  <c r="V1609" i="2"/>
  <c r="R1609" i="2"/>
  <c r="E1609" i="2"/>
  <c r="D1609" i="2"/>
  <c r="C1609" i="2"/>
  <c r="AB1608" i="2"/>
  <c r="X1608" i="2"/>
  <c r="V1608" i="2"/>
  <c r="R1608" i="2"/>
  <c r="E1608" i="2"/>
  <c r="D1608" i="2"/>
  <c r="C1608" i="2"/>
  <c r="AB1607" i="2"/>
  <c r="X1607" i="2"/>
  <c r="V1607" i="2"/>
  <c r="R1607" i="2"/>
  <c r="E1607" i="2"/>
  <c r="D1607" i="2"/>
  <c r="C1607" i="2"/>
  <c r="AB1606" i="2"/>
  <c r="X1606" i="2"/>
  <c r="V1606" i="2"/>
  <c r="R1606" i="2"/>
  <c r="E1606" i="2"/>
  <c r="D1606" i="2"/>
  <c r="C1606" i="2"/>
  <c r="AB1605" i="2"/>
  <c r="X1605" i="2"/>
  <c r="V1605" i="2"/>
  <c r="R1605" i="2"/>
  <c r="E1605" i="2"/>
  <c r="D1605" i="2"/>
  <c r="C1605" i="2"/>
  <c r="AB1604" i="2"/>
  <c r="X1604" i="2"/>
  <c r="V1604" i="2"/>
  <c r="R1604" i="2"/>
  <c r="E1604" i="2"/>
  <c r="D1604" i="2"/>
  <c r="C1604" i="2"/>
  <c r="AB1603" i="2"/>
  <c r="X1603" i="2"/>
  <c r="V1603" i="2"/>
  <c r="R1603" i="2"/>
  <c r="E1603" i="2"/>
  <c r="D1603" i="2"/>
  <c r="C1603" i="2"/>
  <c r="AB1602" i="2"/>
  <c r="X1602" i="2"/>
  <c r="V1602" i="2"/>
  <c r="R1602" i="2"/>
  <c r="E1602" i="2"/>
  <c r="D1602" i="2"/>
  <c r="C1602" i="2"/>
  <c r="AB1601" i="2"/>
  <c r="X1601" i="2"/>
  <c r="V1601" i="2"/>
  <c r="R1601" i="2"/>
  <c r="E1601" i="2"/>
  <c r="D1601" i="2"/>
  <c r="C1601" i="2"/>
  <c r="AB1600" i="2"/>
  <c r="X1600" i="2"/>
  <c r="V1600" i="2"/>
  <c r="R1600" i="2"/>
  <c r="E1600" i="2"/>
  <c r="D1600" i="2"/>
  <c r="C1600" i="2"/>
  <c r="AB1599" i="2"/>
  <c r="X1599" i="2"/>
  <c r="V1599" i="2"/>
  <c r="R1599" i="2"/>
  <c r="E1599" i="2"/>
  <c r="D1599" i="2"/>
  <c r="C1599" i="2"/>
  <c r="AB1598" i="2"/>
  <c r="X1598" i="2"/>
  <c r="V1598" i="2"/>
  <c r="R1598" i="2"/>
  <c r="E1598" i="2"/>
  <c r="D1598" i="2"/>
  <c r="C1598" i="2"/>
  <c r="AB1597" i="2"/>
  <c r="X1597" i="2"/>
  <c r="V1597" i="2"/>
  <c r="R1597" i="2"/>
  <c r="E1597" i="2"/>
  <c r="D1597" i="2"/>
  <c r="C1597" i="2"/>
  <c r="AB1596" i="2"/>
  <c r="X1596" i="2"/>
  <c r="V1596" i="2"/>
  <c r="R1596" i="2"/>
  <c r="E1596" i="2"/>
  <c r="D1596" i="2"/>
  <c r="C1596" i="2"/>
  <c r="AB1595" i="2"/>
  <c r="X1595" i="2"/>
  <c r="V1595" i="2"/>
  <c r="R1595" i="2"/>
  <c r="E1595" i="2"/>
  <c r="D1595" i="2"/>
  <c r="C1595" i="2"/>
  <c r="AB1594" i="2"/>
  <c r="X1594" i="2"/>
  <c r="V1594" i="2"/>
  <c r="R1594" i="2"/>
  <c r="E1594" i="2"/>
  <c r="D1594" i="2"/>
  <c r="C1594" i="2"/>
  <c r="AB1593" i="2"/>
  <c r="X1593" i="2"/>
  <c r="V1593" i="2"/>
  <c r="R1593" i="2"/>
  <c r="E1593" i="2"/>
  <c r="D1593" i="2"/>
  <c r="C1593" i="2"/>
  <c r="AB1592" i="2"/>
  <c r="X1592" i="2"/>
  <c r="V1592" i="2"/>
  <c r="R1592" i="2"/>
  <c r="E1592" i="2"/>
  <c r="D1592" i="2"/>
  <c r="C1592" i="2"/>
  <c r="AB1591" i="2"/>
  <c r="X1591" i="2"/>
  <c r="V1591" i="2"/>
  <c r="R1591" i="2"/>
  <c r="E1591" i="2"/>
  <c r="D1591" i="2"/>
  <c r="C1591" i="2"/>
  <c r="AB1590" i="2"/>
  <c r="X1590" i="2"/>
  <c r="V1590" i="2"/>
  <c r="R1590" i="2"/>
  <c r="E1590" i="2"/>
  <c r="D1590" i="2"/>
  <c r="C1590" i="2"/>
  <c r="AB1589" i="2"/>
  <c r="X1589" i="2"/>
  <c r="V1589" i="2"/>
  <c r="R1589" i="2"/>
  <c r="E1589" i="2"/>
  <c r="D1589" i="2"/>
  <c r="C1589" i="2"/>
  <c r="AB1588" i="2"/>
  <c r="X1588" i="2"/>
  <c r="V1588" i="2"/>
  <c r="R1588" i="2"/>
  <c r="E1588" i="2"/>
  <c r="D1588" i="2"/>
  <c r="C1588" i="2"/>
  <c r="AB1587" i="2"/>
  <c r="X1587" i="2"/>
  <c r="V1587" i="2"/>
  <c r="R1587" i="2"/>
  <c r="E1587" i="2"/>
  <c r="D1587" i="2"/>
  <c r="C1587" i="2"/>
  <c r="AB1586" i="2"/>
  <c r="X1586" i="2"/>
  <c r="V1586" i="2"/>
  <c r="R1586" i="2"/>
  <c r="E1586" i="2"/>
  <c r="D1586" i="2"/>
  <c r="C1586" i="2"/>
  <c r="AB1585" i="2"/>
  <c r="X1585" i="2"/>
  <c r="V1585" i="2"/>
  <c r="R1585" i="2"/>
  <c r="E1585" i="2"/>
  <c r="D1585" i="2"/>
  <c r="C1585" i="2"/>
  <c r="AB1584" i="2"/>
  <c r="X1584" i="2"/>
  <c r="V1584" i="2"/>
  <c r="R1584" i="2"/>
  <c r="E1584" i="2"/>
  <c r="D1584" i="2"/>
  <c r="C1584" i="2"/>
  <c r="AB1583" i="2"/>
  <c r="X1583" i="2"/>
  <c r="V1583" i="2"/>
  <c r="R1583" i="2"/>
  <c r="E1583" i="2"/>
  <c r="D1583" i="2"/>
  <c r="C1583" i="2"/>
  <c r="AB1582" i="2"/>
  <c r="X1582" i="2"/>
  <c r="V1582" i="2"/>
  <c r="R1582" i="2"/>
  <c r="E1582" i="2"/>
  <c r="D1582" i="2"/>
  <c r="C1582" i="2"/>
  <c r="AB1581" i="2"/>
  <c r="X1581" i="2"/>
  <c r="V1581" i="2"/>
  <c r="R1581" i="2"/>
  <c r="E1581" i="2"/>
  <c r="D1581" i="2"/>
  <c r="C1581" i="2"/>
  <c r="AB1580" i="2"/>
  <c r="X1580" i="2"/>
  <c r="V1580" i="2"/>
  <c r="R1580" i="2"/>
  <c r="E1580" i="2"/>
  <c r="D1580" i="2"/>
  <c r="C1580" i="2"/>
  <c r="AB1579" i="2"/>
  <c r="X1579" i="2"/>
  <c r="V1579" i="2"/>
  <c r="R1579" i="2"/>
  <c r="E1579" i="2"/>
  <c r="D1579" i="2"/>
  <c r="C1579" i="2"/>
  <c r="AB1578" i="2"/>
  <c r="X1578" i="2"/>
  <c r="V1578" i="2"/>
  <c r="R1578" i="2"/>
  <c r="E1578" i="2"/>
  <c r="D1578" i="2"/>
  <c r="C1578" i="2"/>
  <c r="AB1577" i="2"/>
  <c r="X1577" i="2"/>
  <c r="V1577" i="2"/>
  <c r="R1577" i="2"/>
  <c r="E1577" i="2"/>
  <c r="D1577" i="2"/>
  <c r="C1577" i="2"/>
  <c r="AB1576" i="2"/>
  <c r="X1576" i="2"/>
  <c r="V1576" i="2"/>
  <c r="R1576" i="2"/>
  <c r="E1576" i="2"/>
  <c r="D1576" i="2"/>
  <c r="C1576" i="2"/>
  <c r="AB1575" i="2"/>
  <c r="X1575" i="2"/>
  <c r="V1575" i="2"/>
  <c r="R1575" i="2"/>
  <c r="E1575" i="2"/>
  <c r="D1575" i="2"/>
  <c r="C1575" i="2"/>
  <c r="AB1574" i="2"/>
  <c r="X1574" i="2"/>
  <c r="V1574" i="2"/>
  <c r="R1574" i="2"/>
  <c r="E1574" i="2"/>
  <c r="D1574" i="2"/>
  <c r="C1574" i="2"/>
  <c r="AB1573" i="2"/>
  <c r="X1573" i="2"/>
  <c r="V1573" i="2"/>
  <c r="R1573" i="2"/>
  <c r="E1573" i="2"/>
  <c r="D1573" i="2"/>
  <c r="C1573" i="2"/>
  <c r="AB1572" i="2"/>
  <c r="X1572" i="2"/>
  <c r="V1572" i="2"/>
  <c r="R1572" i="2"/>
  <c r="E1572" i="2"/>
  <c r="D1572" i="2"/>
  <c r="C1572" i="2"/>
  <c r="AB1571" i="2"/>
  <c r="X1571" i="2"/>
  <c r="V1571" i="2"/>
  <c r="R1571" i="2"/>
  <c r="E1571" i="2"/>
  <c r="D1571" i="2"/>
  <c r="C1571" i="2"/>
  <c r="AB1570" i="2"/>
  <c r="X1570" i="2"/>
  <c r="V1570" i="2"/>
  <c r="R1570" i="2"/>
  <c r="E1570" i="2"/>
  <c r="D1570" i="2"/>
  <c r="C1570" i="2"/>
  <c r="AB1569" i="2"/>
  <c r="X1569" i="2"/>
  <c r="V1569" i="2"/>
  <c r="R1569" i="2"/>
  <c r="E1569" i="2"/>
  <c r="D1569" i="2"/>
  <c r="C1569" i="2"/>
  <c r="AB1568" i="2"/>
  <c r="X1568" i="2"/>
  <c r="V1568" i="2"/>
  <c r="R1568" i="2"/>
  <c r="E1568" i="2"/>
  <c r="D1568" i="2"/>
  <c r="C1568" i="2"/>
  <c r="AB1567" i="2"/>
  <c r="X1567" i="2"/>
  <c r="V1567" i="2"/>
  <c r="R1567" i="2"/>
  <c r="E1567" i="2"/>
  <c r="D1567" i="2"/>
  <c r="C1567" i="2"/>
  <c r="AB1566" i="2"/>
  <c r="X1566" i="2"/>
  <c r="V1566" i="2"/>
  <c r="R1566" i="2"/>
  <c r="E1566" i="2"/>
  <c r="D1566" i="2"/>
  <c r="C1566" i="2"/>
  <c r="AB1565" i="2"/>
  <c r="X1565" i="2"/>
  <c r="V1565" i="2"/>
  <c r="R1565" i="2"/>
  <c r="E1565" i="2"/>
  <c r="D1565" i="2"/>
  <c r="C1565" i="2"/>
  <c r="AB1564" i="2"/>
  <c r="X1564" i="2"/>
  <c r="V1564" i="2"/>
  <c r="R1564" i="2"/>
  <c r="E1564" i="2"/>
  <c r="D1564" i="2"/>
  <c r="C1564" i="2"/>
  <c r="AB1563" i="2"/>
  <c r="X1563" i="2"/>
  <c r="V1563" i="2"/>
  <c r="R1563" i="2"/>
  <c r="E1563" i="2"/>
  <c r="D1563" i="2"/>
  <c r="C1563" i="2"/>
  <c r="AB1562" i="2"/>
  <c r="X1562" i="2"/>
  <c r="V1562" i="2"/>
  <c r="R1562" i="2"/>
  <c r="E1562" i="2"/>
  <c r="D1562" i="2"/>
  <c r="C1562" i="2"/>
  <c r="AB1561" i="2"/>
  <c r="X1561" i="2"/>
  <c r="V1561" i="2"/>
  <c r="R1561" i="2"/>
  <c r="E1561" i="2"/>
  <c r="D1561" i="2"/>
  <c r="C1561" i="2"/>
  <c r="AB1560" i="2"/>
  <c r="X1560" i="2"/>
  <c r="V1560" i="2"/>
  <c r="R1560" i="2"/>
  <c r="E1560" i="2"/>
  <c r="D1560" i="2"/>
  <c r="C1560" i="2"/>
  <c r="AB1559" i="2"/>
  <c r="X1559" i="2"/>
  <c r="V1559" i="2"/>
  <c r="R1559" i="2"/>
  <c r="E1559" i="2"/>
  <c r="D1559" i="2"/>
  <c r="C1559" i="2"/>
  <c r="AB1558" i="2"/>
  <c r="X1558" i="2"/>
  <c r="V1558" i="2"/>
  <c r="R1558" i="2"/>
  <c r="E1558" i="2"/>
  <c r="D1558" i="2"/>
  <c r="C1558" i="2"/>
  <c r="AB1557" i="2"/>
  <c r="X1557" i="2"/>
  <c r="V1557" i="2"/>
  <c r="R1557" i="2"/>
  <c r="E1557" i="2"/>
  <c r="D1557" i="2"/>
  <c r="C1557" i="2"/>
  <c r="AB1556" i="2"/>
  <c r="X1556" i="2"/>
  <c r="V1556" i="2"/>
  <c r="R1556" i="2"/>
  <c r="E1556" i="2"/>
  <c r="D1556" i="2"/>
  <c r="C1556" i="2"/>
  <c r="AB1555" i="2"/>
  <c r="X1555" i="2"/>
  <c r="V1555" i="2"/>
  <c r="R1555" i="2"/>
  <c r="E1555" i="2"/>
  <c r="D1555" i="2"/>
  <c r="C1555" i="2"/>
  <c r="AB1554" i="2"/>
  <c r="X1554" i="2"/>
  <c r="V1554" i="2"/>
  <c r="R1554" i="2"/>
  <c r="E1554" i="2"/>
  <c r="D1554" i="2"/>
  <c r="C1554" i="2"/>
  <c r="AB1553" i="2"/>
  <c r="X1553" i="2"/>
  <c r="V1553" i="2"/>
  <c r="R1553" i="2"/>
  <c r="E1553" i="2"/>
  <c r="D1553" i="2"/>
  <c r="C1553" i="2"/>
  <c r="AB1552" i="2"/>
  <c r="X1552" i="2"/>
  <c r="V1552" i="2"/>
  <c r="R1552" i="2"/>
  <c r="E1552" i="2"/>
  <c r="D1552" i="2"/>
  <c r="C1552" i="2"/>
  <c r="AB1551" i="2"/>
  <c r="X1551" i="2"/>
  <c r="V1551" i="2"/>
  <c r="R1551" i="2"/>
  <c r="E1551" i="2"/>
  <c r="D1551" i="2"/>
  <c r="C1551" i="2"/>
  <c r="AB1550" i="2"/>
  <c r="X1550" i="2"/>
  <c r="V1550" i="2"/>
  <c r="R1550" i="2"/>
  <c r="E1550" i="2"/>
  <c r="D1550" i="2"/>
  <c r="C1550" i="2"/>
  <c r="AB1549" i="2"/>
  <c r="X1549" i="2"/>
  <c r="V1549" i="2"/>
  <c r="R1549" i="2"/>
  <c r="E1549" i="2"/>
  <c r="D1549" i="2"/>
  <c r="C1549" i="2"/>
  <c r="AB1548" i="2"/>
  <c r="X1548" i="2"/>
  <c r="V1548" i="2"/>
  <c r="R1548" i="2"/>
  <c r="E1548" i="2"/>
  <c r="D1548" i="2"/>
  <c r="C1548" i="2"/>
  <c r="AB1547" i="2"/>
  <c r="X1547" i="2"/>
  <c r="V1547" i="2"/>
  <c r="R1547" i="2"/>
  <c r="E1547" i="2"/>
  <c r="D1547" i="2"/>
  <c r="C1547" i="2"/>
  <c r="AB1546" i="2"/>
  <c r="X1546" i="2"/>
  <c r="V1546" i="2"/>
  <c r="R1546" i="2"/>
  <c r="E1546" i="2"/>
  <c r="D1546" i="2"/>
  <c r="C1546" i="2"/>
  <c r="AB1545" i="2"/>
  <c r="X1545" i="2"/>
  <c r="V1545" i="2"/>
  <c r="R1545" i="2"/>
  <c r="E1545" i="2"/>
  <c r="D1545" i="2"/>
  <c r="C1545" i="2"/>
  <c r="AB1544" i="2"/>
  <c r="X1544" i="2"/>
  <c r="V1544" i="2"/>
  <c r="R1544" i="2"/>
  <c r="E1544" i="2"/>
  <c r="D1544" i="2"/>
  <c r="C1544" i="2"/>
  <c r="AB1543" i="2"/>
  <c r="X1543" i="2"/>
  <c r="V1543" i="2"/>
  <c r="R1543" i="2"/>
  <c r="E1543" i="2"/>
  <c r="D1543" i="2"/>
  <c r="C1543" i="2"/>
  <c r="AB1542" i="2"/>
  <c r="X1542" i="2"/>
  <c r="V1542" i="2"/>
  <c r="R1542" i="2"/>
  <c r="E1542" i="2"/>
  <c r="D1542" i="2"/>
  <c r="C1542" i="2"/>
  <c r="AB1541" i="2"/>
  <c r="X1541" i="2"/>
  <c r="V1541" i="2"/>
  <c r="R1541" i="2"/>
  <c r="E1541" i="2"/>
  <c r="D1541" i="2"/>
  <c r="C1541" i="2"/>
  <c r="AB1540" i="2"/>
  <c r="X1540" i="2"/>
  <c r="V1540" i="2"/>
  <c r="R1540" i="2"/>
  <c r="E1540" i="2"/>
  <c r="D1540" i="2"/>
  <c r="C1540" i="2"/>
  <c r="AB1539" i="2"/>
  <c r="X1539" i="2"/>
  <c r="V1539" i="2"/>
  <c r="R1539" i="2"/>
  <c r="E1539" i="2"/>
  <c r="D1539" i="2"/>
  <c r="C1539" i="2"/>
  <c r="AB1538" i="2"/>
  <c r="X1538" i="2"/>
  <c r="V1538" i="2"/>
  <c r="R1538" i="2"/>
  <c r="E1538" i="2"/>
  <c r="D1538" i="2"/>
  <c r="C1538" i="2"/>
  <c r="AB1537" i="2"/>
  <c r="X1537" i="2"/>
  <c r="V1537" i="2"/>
  <c r="R1537" i="2"/>
  <c r="E1537" i="2"/>
  <c r="D1537" i="2"/>
  <c r="C1537" i="2"/>
  <c r="AB1536" i="2"/>
  <c r="X1536" i="2"/>
  <c r="V1536" i="2"/>
  <c r="R1536" i="2"/>
  <c r="E1536" i="2"/>
  <c r="D1536" i="2"/>
  <c r="C1536" i="2"/>
  <c r="AB1535" i="2"/>
  <c r="X1535" i="2"/>
  <c r="V1535" i="2"/>
  <c r="R1535" i="2"/>
  <c r="E1535" i="2"/>
  <c r="D1535" i="2"/>
  <c r="C1535" i="2"/>
  <c r="AB1534" i="2"/>
  <c r="X1534" i="2"/>
  <c r="V1534" i="2"/>
  <c r="R1534" i="2"/>
  <c r="E1534" i="2"/>
  <c r="D1534" i="2"/>
  <c r="C1534" i="2"/>
  <c r="AB1533" i="2"/>
  <c r="X1533" i="2"/>
  <c r="V1533" i="2"/>
  <c r="R1533" i="2"/>
  <c r="E1533" i="2"/>
  <c r="D1533" i="2"/>
  <c r="C1533" i="2"/>
  <c r="AB1532" i="2"/>
  <c r="X1532" i="2"/>
  <c r="V1532" i="2"/>
  <c r="R1532" i="2"/>
  <c r="E1532" i="2"/>
  <c r="D1532" i="2"/>
  <c r="C1532" i="2"/>
  <c r="AB1531" i="2"/>
  <c r="X1531" i="2"/>
  <c r="V1531" i="2"/>
  <c r="R1531" i="2"/>
  <c r="E1531" i="2"/>
  <c r="D1531" i="2"/>
  <c r="C1531" i="2"/>
  <c r="AB1530" i="2"/>
  <c r="X1530" i="2"/>
  <c r="V1530" i="2"/>
  <c r="R1530" i="2"/>
  <c r="E1530" i="2"/>
  <c r="D1530" i="2"/>
  <c r="C1530" i="2"/>
  <c r="AB1529" i="2"/>
  <c r="X1529" i="2"/>
  <c r="V1529" i="2"/>
  <c r="R1529" i="2"/>
  <c r="E1529" i="2"/>
  <c r="D1529" i="2"/>
  <c r="C1529" i="2"/>
  <c r="AB1528" i="2"/>
  <c r="X1528" i="2"/>
  <c r="V1528" i="2"/>
  <c r="R1528" i="2"/>
  <c r="E1528" i="2"/>
  <c r="D1528" i="2"/>
  <c r="C1528" i="2"/>
  <c r="AB1527" i="2"/>
  <c r="X1527" i="2"/>
  <c r="V1527" i="2"/>
  <c r="R1527" i="2"/>
  <c r="E1527" i="2"/>
  <c r="D1527" i="2"/>
  <c r="C1527" i="2"/>
  <c r="AB1526" i="2"/>
  <c r="X1526" i="2"/>
  <c r="V1526" i="2"/>
  <c r="R1526" i="2"/>
  <c r="E1526" i="2"/>
  <c r="D1526" i="2"/>
  <c r="C1526" i="2"/>
  <c r="AB1525" i="2"/>
  <c r="X1525" i="2"/>
  <c r="V1525" i="2"/>
  <c r="R1525" i="2"/>
  <c r="E1525" i="2"/>
  <c r="D1525" i="2"/>
  <c r="C1525" i="2"/>
  <c r="AB1524" i="2"/>
  <c r="X1524" i="2"/>
  <c r="V1524" i="2"/>
  <c r="R1524" i="2"/>
  <c r="E1524" i="2"/>
  <c r="D1524" i="2"/>
  <c r="C1524" i="2"/>
  <c r="AB1523" i="2"/>
  <c r="X1523" i="2"/>
  <c r="V1523" i="2"/>
  <c r="R1523" i="2"/>
  <c r="E1523" i="2"/>
  <c r="D1523" i="2"/>
  <c r="C1523" i="2"/>
  <c r="AB1522" i="2"/>
  <c r="X1522" i="2"/>
  <c r="V1522" i="2"/>
  <c r="R1522" i="2"/>
  <c r="E1522" i="2"/>
  <c r="D1522" i="2"/>
  <c r="C1522" i="2"/>
  <c r="AB1521" i="2"/>
  <c r="X1521" i="2"/>
  <c r="V1521" i="2"/>
  <c r="R1521" i="2"/>
  <c r="E1521" i="2"/>
  <c r="D1521" i="2"/>
  <c r="C1521" i="2"/>
  <c r="AB1520" i="2"/>
  <c r="X1520" i="2"/>
  <c r="V1520" i="2"/>
  <c r="R1520" i="2"/>
  <c r="E1520" i="2"/>
  <c r="D1520" i="2"/>
  <c r="C1520" i="2"/>
  <c r="AB1519" i="2"/>
  <c r="X1519" i="2"/>
  <c r="V1519" i="2"/>
  <c r="R1519" i="2"/>
  <c r="E1519" i="2"/>
  <c r="D1519" i="2"/>
  <c r="C1519" i="2"/>
  <c r="AB1518" i="2"/>
  <c r="X1518" i="2"/>
  <c r="V1518" i="2"/>
  <c r="R1518" i="2"/>
  <c r="E1518" i="2"/>
  <c r="D1518" i="2"/>
  <c r="C1518" i="2"/>
  <c r="AB1517" i="2"/>
  <c r="X1517" i="2"/>
  <c r="V1517" i="2"/>
  <c r="R1517" i="2"/>
  <c r="E1517" i="2"/>
  <c r="D1517" i="2"/>
  <c r="C1517" i="2"/>
  <c r="AB1516" i="2"/>
  <c r="X1516" i="2"/>
  <c r="V1516" i="2"/>
  <c r="R1516" i="2"/>
  <c r="E1516" i="2"/>
  <c r="D1516" i="2"/>
  <c r="C1516" i="2"/>
  <c r="AB1515" i="2"/>
  <c r="X1515" i="2"/>
  <c r="V1515" i="2"/>
  <c r="R1515" i="2"/>
  <c r="E1515" i="2"/>
  <c r="D1515" i="2"/>
  <c r="C1515" i="2"/>
  <c r="AB1514" i="2"/>
  <c r="X1514" i="2"/>
  <c r="V1514" i="2"/>
  <c r="R1514" i="2"/>
  <c r="E1514" i="2"/>
  <c r="D1514" i="2"/>
  <c r="C1514" i="2"/>
  <c r="AB1513" i="2"/>
  <c r="X1513" i="2"/>
  <c r="V1513" i="2"/>
  <c r="R1513" i="2"/>
  <c r="E1513" i="2"/>
  <c r="D1513" i="2"/>
  <c r="C1513" i="2"/>
  <c r="AB1512" i="2"/>
  <c r="X1512" i="2"/>
  <c r="V1512" i="2"/>
  <c r="R1512" i="2"/>
  <c r="E1512" i="2"/>
  <c r="D1512" i="2"/>
  <c r="C1512" i="2"/>
  <c r="AB1511" i="2"/>
  <c r="X1511" i="2"/>
  <c r="V1511" i="2"/>
  <c r="R1511" i="2"/>
  <c r="E1511" i="2"/>
  <c r="D1511" i="2"/>
  <c r="C1511" i="2"/>
  <c r="AB1510" i="2"/>
  <c r="X1510" i="2"/>
  <c r="V1510" i="2"/>
  <c r="R1510" i="2"/>
  <c r="E1510" i="2"/>
  <c r="D1510" i="2"/>
  <c r="C1510" i="2"/>
  <c r="AB1509" i="2"/>
  <c r="X1509" i="2"/>
  <c r="V1509" i="2"/>
  <c r="R1509" i="2"/>
  <c r="E1509" i="2"/>
  <c r="D1509" i="2"/>
  <c r="C1509" i="2"/>
  <c r="AB1508" i="2"/>
  <c r="X1508" i="2"/>
  <c r="V1508" i="2"/>
  <c r="R1508" i="2"/>
  <c r="E1508" i="2"/>
  <c r="D1508" i="2"/>
  <c r="C1508" i="2"/>
  <c r="AB1507" i="2"/>
  <c r="X1507" i="2"/>
  <c r="V1507" i="2"/>
  <c r="R1507" i="2"/>
  <c r="E1507" i="2"/>
  <c r="D1507" i="2"/>
  <c r="C1507" i="2"/>
  <c r="AB1506" i="2"/>
  <c r="X1506" i="2"/>
  <c r="V1506" i="2"/>
  <c r="R1506" i="2"/>
  <c r="E1506" i="2"/>
  <c r="D1506" i="2"/>
  <c r="C1506" i="2"/>
  <c r="AB1505" i="2"/>
  <c r="X1505" i="2"/>
  <c r="V1505" i="2"/>
  <c r="R1505" i="2"/>
  <c r="E1505" i="2"/>
  <c r="D1505" i="2"/>
  <c r="C1505" i="2"/>
  <c r="AB1504" i="2"/>
  <c r="X1504" i="2"/>
  <c r="V1504" i="2"/>
  <c r="R1504" i="2"/>
  <c r="E1504" i="2"/>
  <c r="D1504" i="2"/>
  <c r="C1504" i="2"/>
  <c r="AB1503" i="2"/>
  <c r="X1503" i="2"/>
  <c r="V1503" i="2"/>
  <c r="R1503" i="2"/>
  <c r="E1503" i="2"/>
  <c r="D1503" i="2"/>
  <c r="C1503" i="2"/>
  <c r="AB1502" i="2"/>
  <c r="X1502" i="2"/>
  <c r="V1502" i="2"/>
  <c r="R1502" i="2"/>
  <c r="E1502" i="2"/>
  <c r="D1502" i="2"/>
  <c r="C1502" i="2"/>
  <c r="AB1501" i="2"/>
  <c r="X1501" i="2"/>
  <c r="V1501" i="2"/>
  <c r="R1501" i="2"/>
  <c r="E1501" i="2"/>
  <c r="D1501" i="2"/>
  <c r="C1501" i="2"/>
  <c r="AB1500" i="2"/>
  <c r="X1500" i="2"/>
  <c r="V1500" i="2"/>
  <c r="R1500" i="2"/>
  <c r="E1500" i="2"/>
  <c r="D1500" i="2"/>
  <c r="C1500" i="2"/>
  <c r="AB1499" i="2"/>
  <c r="X1499" i="2"/>
  <c r="V1499" i="2"/>
  <c r="R1499" i="2"/>
  <c r="E1499" i="2"/>
  <c r="D1499" i="2"/>
  <c r="C1499" i="2"/>
  <c r="AB1498" i="2"/>
  <c r="X1498" i="2"/>
  <c r="V1498" i="2"/>
  <c r="R1498" i="2"/>
  <c r="E1498" i="2"/>
  <c r="D1498" i="2"/>
  <c r="C1498" i="2"/>
  <c r="AB1497" i="2"/>
  <c r="X1497" i="2"/>
  <c r="V1497" i="2"/>
  <c r="R1497" i="2"/>
  <c r="E1497" i="2"/>
  <c r="D1497" i="2"/>
  <c r="C1497" i="2"/>
  <c r="AB1496" i="2"/>
  <c r="X1496" i="2"/>
  <c r="V1496" i="2"/>
  <c r="R1496" i="2"/>
  <c r="E1496" i="2"/>
  <c r="D1496" i="2"/>
  <c r="C1496" i="2"/>
  <c r="AB1495" i="2"/>
  <c r="X1495" i="2"/>
  <c r="V1495" i="2"/>
  <c r="R1495" i="2"/>
  <c r="E1495" i="2"/>
  <c r="D1495" i="2"/>
  <c r="C1495" i="2"/>
  <c r="AB1494" i="2"/>
  <c r="X1494" i="2"/>
  <c r="V1494" i="2"/>
  <c r="R1494" i="2"/>
  <c r="E1494" i="2"/>
  <c r="D1494" i="2"/>
  <c r="C1494" i="2"/>
  <c r="AB1493" i="2"/>
  <c r="X1493" i="2"/>
  <c r="V1493" i="2"/>
  <c r="R1493" i="2"/>
  <c r="E1493" i="2"/>
  <c r="D1493" i="2"/>
  <c r="C1493" i="2"/>
  <c r="AB1492" i="2"/>
  <c r="X1492" i="2"/>
  <c r="V1492" i="2"/>
  <c r="R1492" i="2"/>
  <c r="E1492" i="2"/>
  <c r="D1492" i="2"/>
  <c r="C1492" i="2"/>
  <c r="AB1491" i="2"/>
  <c r="X1491" i="2"/>
  <c r="V1491" i="2"/>
  <c r="R1491" i="2"/>
  <c r="E1491" i="2"/>
  <c r="D1491" i="2"/>
  <c r="C1491" i="2"/>
  <c r="AB1490" i="2"/>
  <c r="X1490" i="2"/>
  <c r="V1490" i="2"/>
  <c r="R1490" i="2"/>
  <c r="E1490" i="2"/>
  <c r="D1490" i="2"/>
  <c r="C1490" i="2"/>
  <c r="AB1489" i="2"/>
  <c r="X1489" i="2"/>
  <c r="V1489" i="2"/>
  <c r="R1489" i="2"/>
  <c r="E1489" i="2"/>
  <c r="D1489" i="2"/>
  <c r="C1489" i="2"/>
  <c r="AB1488" i="2"/>
  <c r="X1488" i="2"/>
  <c r="V1488" i="2"/>
  <c r="R1488" i="2"/>
  <c r="E1488" i="2"/>
  <c r="D1488" i="2"/>
  <c r="C1488" i="2"/>
  <c r="AB1487" i="2"/>
  <c r="X1487" i="2"/>
  <c r="V1487" i="2"/>
  <c r="R1487" i="2"/>
  <c r="E1487" i="2"/>
  <c r="D1487" i="2"/>
  <c r="C1487" i="2"/>
  <c r="AB1486" i="2"/>
  <c r="X1486" i="2"/>
  <c r="V1486" i="2"/>
  <c r="R1486" i="2"/>
  <c r="E1486" i="2"/>
  <c r="D1486" i="2"/>
  <c r="C1486" i="2"/>
  <c r="AB1485" i="2"/>
  <c r="X1485" i="2"/>
  <c r="V1485" i="2"/>
  <c r="R1485" i="2"/>
  <c r="E1485" i="2"/>
  <c r="D1485" i="2"/>
  <c r="C1485" i="2"/>
  <c r="AB1484" i="2"/>
  <c r="X1484" i="2"/>
  <c r="V1484" i="2"/>
  <c r="R1484" i="2"/>
  <c r="E1484" i="2"/>
  <c r="D1484" i="2"/>
  <c r="C1484" i="2"/>
  <c r="AB1483" i="2"/>
  <c r="X1483" i="2"/>
  <c r="V1483" i="2"/>
  <c r="R1483" i="2"/>
  <c r="E1483" i="2"/>
  <c r="D1483" i="2"/>
  <c r="C1483" i="2"/>
  <c r="AB1482" i="2"/>
  <c r="X1482" i="2"/>
  <c r="V1482" i="2"/>
  <c r="R1482" i="2"/>
  <c r="E1482" i="2"/>
  <c r="D1482" i="2"/>
  <c r="C1482" i="2"/>
  <c r="AB1481" i="2"/>
  <c r="X1481" i="2"/>
  <c r="V1481" i="2"/>
  <c r="R1481" i="2"/>
  <c r="E1481" i="2"/>
  <c r="D1481" i="2"/>
  <c r="C1481" i="2"/>
  <c r="AB1480" i="2"/>
  <c r="X1480" i="2"/>
  <c r="V1480" i="2"/>
  <c r="R1480" i="2"/>
  <c r="E1480" i="2"/>
  <c r="D1480" i="2"/>
  <c r="C1480" i="2"/>
  <c r="AB1479" i="2"/>
  <c r="X1479" i="2"/>
  <c r="V1479" i="2"/>
  <c r="R1479" i="2"/>
  <c r="E1479" i="2"/>
  <c r="D1479" i="2"/>
  <c r="C1479" i="2"/>
  <c r="AB1478" i="2"/>
  <c r="X1478" i="2"/>
  <c r="V1478" i="2"/>
  <c r="R1478" i="2"/>
  <c r="E1478" i="2"/>
  <c r="D1478" i="2"/>
  <c r="C1478" i="2"/>
  <c r="AB1477" i="2"/>
  <c r="X1477" i="2"/>
  <c r="V1477" i="2"/>
  <c r="R1477" i="2"/>
  <c r="E1477" i="2"/>
  <c r="D1477" i="2"/>
  <c r="C1477" i="2"/>
  <c r="AB1476" i="2"/>
  <c r="X1476" i="2"/>
  <c r="V1476" i="2"/>
  <c r="R1476" i="2"/>
  <c r="E1476" i="2"/>
  <c r="D1476" i="2"/>
  <c r="C1476" i="2"/>
  <c r="AB1475" i="2"/>
  <c r="X1475" i="2"/>
  <c r="V1475" i="2"/>
  <c r="R1475" i="2"/>
  <c r="E1475" i="2"/>
  <c r="D1475" i="2"/>
  <c r="C1475" i="2"/>
  <c r="AB1474" i="2"/>
  <c r="X1474" i="2"/>
  <c r="V1474" i="2"/>
  <c r="R1474" i="2"/>
  <c r="E1474" i="2"/>
  <c r="D1474" i="2"/>
  <c r="C1474" i="2"/>
  <c r="AB1473" i="2"/>
  <c r="X1473" i="2"/>
  <c r="V1473" i="2"/>
  <c r="R1473" i="2"/>
  <c r="E1473" i="2"/>
  <c r="D1473" i="2"/>
  <c r="C1473" i="2"/>
  <c r="AB1472" i="2"/>
  <c r="X1472" i="2"/>
  <c r="V1472" i="2"/>
  <c r="R1472" i="2"/>
  <c r="E1472" i="2"/>
  <c r="D1472" i="2"/>
  <c r="C1472" i="2"/>
  <c r="AB1471" i="2"/>
  <c r="X1471" i="2"/>
  <c r="V1471" i="2"/>
  <c r="R1471" i="2"/>
  <c r="E1471" i="2"/>
  <c r="D1471" i="2"/>
  <c r="C1471" i="2"/>
  <c r="AB1470" i="2"/>
  <c r="X1470" i="2"/>
  <c r="V1470" i="2"/>
  <c r="R1470" i="2"/>
  <c r="E1470" i="2"/>
  <c r="D1470" i="2"/>
  <c r="C1470" i="2"/>
  <c r="AB1469" i="2"/>
  <c r="X1469" i="2"/>
  <c r="V1469" i="2"/>
  <c r="R1469" i="2"/>
  <c r="E1469" i="2"/>
  <c r="D1469" i="2"/>
  <c r="C1469" i="2"/>
  <c r="AB1468" i="2"/>
  <c r="X1468" i="2"/>
  <c r="V1468" i="2"/>
  <c r="R1468" i="2"/>
  <c r="E1468" i="2"/>
  <c r="D1468" i="2"/>
  <c r="C1468" i="2"/>
  <c r="AB1467" i="2"/>
  <c r="X1467" i="2"/>
  <c r="V1467" i="2"/>
  <c r="R1467" i="2"/>
  <c r="E1467" i="2"/>
  <c r="D1467" i="2"/>
  <c r="C1467" i="2"/>
  <c r="AB1466" i="2"/>
  <c r="X1466" i="2"/>
  <c r="V1466" i="2"/>
  <c r="R1466" i="2"/>
  <c r="E1466" i="2"/>
  <c r="D1466" i="2"/>
  <c r="C1466" i="2"/>
  <c r="AB1465" i="2"/>
  <c r="X1465" i="2"/>
  <c r="V1465" i="2"/>
  <c r="R1465" i="2"/>
  <c r="E1465" i="2"/>
  <c r="D1465" i="2"/>
  <c r="C1465" i="2"/>
  <c r="AB1464" i="2"/>
  <c r="X1464" i="2"/>
  <c r="V1464" i="2"/>
  <c r="R1464" i="2"/>
  <c r="E1464" i="2"/>
  <c r="D1464" i="2"/>
  <c r="C1464" i="2"/>
  <c r="AB1463" i="2"/>
  <c r="X1463" i="2"/>
  <c r="V1463" i="2"/>
  <c r="R1463" i="2"/>
  <c r="E1463" i="2"/>
  <c r="D1463" i="2"/>
  <c r="C1463" i="2"/>
  <c r="AB1462" i="2"/>
  <c r="X1462" i="2"/>
  <c r="V1462" i="2"/>
  <c r="R1462" i="2"/>
  <c r="E1462" i="2"/>
  <c r="D1462" i="2"/>
  <c r="C1462" i="2"/>
  <c r="AB1461" i="2"/>
  <c r="X1461" i="2"/>
  <c r="V1461" i="2"/>
  <c r="R1461" i="2"/>
  <c r="E1461" i="2"/>
  <c r="D1461" i="2"/>
  <c r="C1461" i="2"/>
  <c r="AB1460" i="2"/>
  <c r="X1460" i="2"/>
  <c r="V1460" i="2"/>
  <c r="R1460" i="2"/>
  <c r="E1460" i="2"/>
  <c r="D1460" i="2"/>
  <c r="C1460" i="2"/>
  <c r="AB1459" i="2"/>
  <c r="X1459" i="2"/>
  <c r="V1459" i="2"/>
  <c r="R1459" i="2"/>
  <c r="E1459" i="2"/>
  <c r="D1459" i="2"/>
  <c r="C1459" i="2"/>
  <c r="AB1458" i="2"/>
  <c r="X1458" i="2"/>
  <c r="V1458" i="2"/>
  <c r="R1458" i="2"/>
  <c r="E1458" i="2"/>
  <c r="D1458" i="2"/>
  <c r="C1458" i="2"/>
  <c r="AB1457" i="2"/>
  <c r="X1457" i="2"/>
  <c r="V1457" i="2"/>
  <c r="R1457" i="2"/>
  <c r="E1457" i="2"/>
  <c r="D1457" i="2"/>
  <c r="C1457" i="2"/>
  <c r="AB1456" i="2"/>
  <c r="X1456" i="2"/>
  <c r="V1456" i="2"/>
  <c r="R1456" i="2"/>
  <c r="E1456" i="2"/>
  <c r="D1456" i="2"/>
  <c r="C1456" i="2"/>
  <c r="AB1455" i="2"/>
  <c r="X1455" i="2"/>
  <c r="V1455" i="2"/>
  <c r="R1455" i="2"/>
  <c r="E1455" i="2"/>
  <c r="D1455" i="2"/>
  <c r="C1455" i="2"/>
  <c r="AB1454" i="2"/>
  <c r="X1454" i="2"/>
  <c r="V1454" i="2"/>
  <c r="R1454" i="2"/>
  <c r="E1454" i="2"/>
  <c r="D1454" i="2"/>
  <c r="C1454" i="2"/>
  <c r="AB1453" i="2"/>
  <c r="X1453" i="2"/>
  <c r="V1453" i="2"/>
  <c r="R1453" i="2"/>
  <c r="E1453" i="2"/>
  <c r="D1453" i="2"/>
  <c r="C1453" i="2"/>
  <c r="AB1452" i="2"/>
  <c r="X1452" i="2"/>
  <c r="V1452" i="2"/>
  <c r="R1452" i="2"/>
  <c r="E1452" i="2"/>
  <c r="D1452" i="2"/>
  <c r="C1452" i="2"/>
  <c r="AB1451" i="2"/>
  <c r="X1451" i="2"/>
  <c r="V1451" i="2"/>
  <c r="R1451" i="2"/>
  <c r="E1451" i="2"/>
  <c r="D1451" i="2"/>
  <c r="C1451" i="2"/>
  <c r="AB1450" i="2"/>
  <c r="X1450" i="2"/>
  <c r="V1450" i="2"/>
  <c r="R1450" i="2"/>
  <c r="E1450" i="2"/>
  <c r="D1450" i="2"/>
  <c r="C1450" i="2"/>
  <c r="AB1449" i="2"/>
  <c r="X1449" i="2"/>
  <c r="V1449" i="2"/>
  <c r="R1449" i="2"/>
  <c r="E1449" i="2"/>
  <c r="D1449" i="2"/>
  <c r="C1449" i="2"/>
  <c r="AB1448" i="2"/>
  <c r="X1448" i="2"/>
  <c r="V1448" i="2"/>
  <c r="R1448" i="2"/>
  <c r="E1448" i="2"/>
  <c r="D1448" i="2"/>
  <c r="C1448" i="2"/>
  <c r="AB1447" i="2"/>
  <c r="X1447" i="2"/>
  <c r="V1447" i="2"/>
  <c r="R1447" i="2"/>
  <c r="E1447" i="2"/>
  <c r="D1447" i="2"/>
  <c r="C1447" i="2"/>
  <c r="AB1446" i="2"/>
  <c r="X1446" i="2"/>
  <c r="V1446" i="2"/>
  <c r="R1446" i="2"/>
  <c r="E1446" i="2"/>
  <c r="D1446" i="2"/>
  <c r="C1446" i="2"/>
  <c r="AB1445" i="2"/>
  <c r="X1445" i="2"/>
  <c r="V1445" i="2"/>
  <c r="R1445" i="2"/>
  <c r="E1445" i="2"/>
  <c r="D1445" i="2"/>
  <c r="C1445" i="2"/>
  <c r="AB1444" i="2"/>
  <c r="X1444" i="2"/>
  <c r="V1444" i="2"/>
  <c r="R1444" i="2"/>
  <c r="E1444" i="2"/>
  <c r="D1444" i="2"/>
  <c r="C1444" i="2"/>
  <c r="AB1443" i="2"/>
  <c r="X1443" i="2"/>
  <c r="V1443" i="2"/>
  <c r="R1443" i="2"/>
  <c r="E1443" i="2"/>
  <c r="D1443" i="2"/>
  <c r="C1443" i="2"/>
  <c r="AB1442" i="2"/>
  <c r="X1442" i="2"/>
  <c r="V1442" i="2"/>
  <c r="R1442" i="2"/>
  <c r="E1442" i="2"/>
  <c r="D1442" i="2"/>
  <c r="C1442" i="2"/>
  <c r="AB1441" i="2"/>
  <c r="X1441" i="2"/>
  <c r="V1441" i="2"/>
  <c r="R1441" i="2"/>
  <c r="E1441" i="2"/>
  <c r="D1441" i="2"/>
  <c r="C1441" i="2"/>
  <c r="AB1440" i="2"/>
  <c r="X1440" i="2"/>
  <c r="V1440" i="2"/>
  <c r="R1440" i="2"/>
  <c r="E1440" i="2"/>
  <c r="D1440" i="2"/>
  <c r="C1440" i="2"/>
  <c r="AB1439" i="2"/>
  <c r="X1439" i="2"/>
  <c r="V1439" i="2"/>
  <c r="R1439" i="2"/>
  <c r="E1439" i="2"/>
  <c r="D1439" i="2"/>
  <c r="C1439" i="2"/>
  <c r="AB1438" i="2"/>
  <c r="X1438" i="2"/>
  <c r="V1438" i="2"/>
  <c r="R1438" i="2"/>
  <c r="E1438" i="2"/>
  <c r="D1438" i="2"/>
  <c r="C1438" i="2"/>
  <c r="AB1437" i="2"/>
  <c r="X1437" i="2"/>
  <c r="V1437" i="2"/>
  <c r="R1437" i="2"/>
  <c r="E1437" i="2"/>
  <c r="D1437" i="2"/>
  <c r="C1437" i="2"/>
  <c r="AB1436" i="2"/>
  <c r="X1436" i="2"/>
  <c r="V1436" i="2"/>
  <c r="R1436" i="2"/>
  <c r="E1436" i="2"/>
  <c r="D1436" i="2"/>
  <c r="C1436" i="2"/>
  <c r="AB1435" i="2"/>
  <c r="X1435" i="2"/>
  <c r="V1435" i="2"/>
  <c r="R1435" i="2"/>
  <c r="E1435" i="2"/>
  <c r="D1435" i="2"/>
  <c r="C1435" i="2"/>
  <c r="AB1434" i="2"/>
  <c r="X1434" i="2"/>
  <c r="V1434" i="2"/>
  <c r="R1434" i="2"/>
  <c r="E1434" i="2"/>
  <c r="D1434" i="2"/>
  <c r="C1434" i="2"/>
  <c r="AB1433" i="2"/>
  <c r="X1433" i="2"/>
  <c r="V1433" i="2"/>
  <c r="R1433" i="2"/>
  <c r="E1433" i="2"/>
  <c r="D1433" i="2"/>
  <c r="C1433" i="2"/>
  <c r="AB1432" i="2"/>
  <c r="X1432" i="2"/>
  <c r="V1432" i="2"/>
  <c r="R1432" i="2"/>
  <c r="E1432" i="2"/>
  <c r="D1432" i="2"/>
  <c r="C1432" i="2"/>
  <c r="AB1431" i="2"/>
  <c r="X1431" i="2"/>
  <c r="V1431" i="2"/>
  <c r="R1431" i="2"/>
  <c r="E1431" i="2"/>
  <c r="D1431" i="2"/>
  <c r="C1431" i="2"/>
  <c r="AB1430" i="2"/>
  <c r="X1430" i="2"/>
  <c r="V1430" i="2"/>
  <c r="R1430" i="2"/>
  <c r="E1430" i="2"/>
  <c r="D1430" i="2"/>
  <c r="C1430" i="2"/>
  <c r="AB1429" i="2"/>
  <c r="X1429" i="2"/>
  <c r="V1429" i="2"/>
  <c r="R1429" i="2"/>
  <c r="E1429" i="2"/>
  <c r="D1429" i="2"/>
  <c r="C1429" i="2"/>
  <c r="AB1428" i="2"/>
  <c r="X1428" i="2"/>
  <c r="V1428" i="2"/>
  <c r="R1428" i="2"/>
  <c r="E1428" i="2"/>
  <c r="D1428" i="2"/>
  <c r="C1428" i="2"/>
  <c r="AB1427" i="2"/>
  <c r="X1427" i="2"/>
  <c r="V1427" i="2"/>
  <c r="R1427" i="2"/>
  <c r="E1427" i="2"/>
  <c r="D1427" i="2"/>
  <c r="C1427" i="2"/>
  <c r="AB1426" i="2"/>
  <c r="X1426" i="2"/>
  <c r="V1426" i="2"/>
  <c r="R1426" i="2"/>
  <c r="E1426" i="2"/>
  <c r="D1426" i="2"/>
  <c r="C1426" i="2"/>
  <c r="AB1425" i="2"/>
  <c r="X1425" i="2"/>
  <c r="V1425" i="2"/>
  <c r="R1425" i="2"/>
  <c r="E1425" i="2"/>
  <c r="D1425" i="2"/>
  <c r="C1425" i="2"/>
  <c r="AB1424" i="2"/>
  <c r="X1424" i="2"/>
  <c r="V1424" i="2"/>
  <c r="R1424" i="2"/>
  <c r="E1424" i="2"/>
  <c r="D1424" i="2"/>
  <c r="C1424" i="2"/>
  <c r="AB1423" i="2"/>
  <c r="X1423" i="2"/>
  <c r="V1423" i="2"/>
  <c r="R1423" i="2"/>
  <c r="E1423" i="2"/>
  <c r="D1423" i="2"/>
  <c r="C1423" i="2"/>
  <c r="AB1422" i="2"/>
  <c r="X1422" i="2"/>
  <c r="V1422" i="2"/>
  <c r="R1422" i="2"/>
  <c r="E1422" i="2"/>
  <c r="D1422" i="2"/>
  <c r="C1422" i="2"/>
  <c r="AB1421" i="2"/>
  <c r="X1421" i="2"/>
  <c r="V1421" i="2"/>
  <c r="R1421" i="2"/>
  <c r="E1421" i="2"/>
  <c r="D1421" i="2"/>
  <c r="C1421" i="2"/>
  <c r="AB1420" i="2"/>
  <c r="X1420" i="2"/>
  <c r="V1420" i="2"/>
  <c r="R1420" i="2"/>
  <c r="E1420" i="2"/>
  <c r="D1420" i="2"/>
  <c r="C1420" i="2"/>
  <c r="AB1419" i="2"/>
  <c r="X1419" i="2"/>
  <c r="V1419" i="2"/>
  <c r="R1419" i="2"/>
  <c r="E1419" i="2"/>
  <c r="D1419" i="2"/>
  <c r="C1419" i="2"/>
  <c r="AB1418" i="2"/>
  <c r="X1418" i="2"/>
  <c r="V1418" i="2"/>
  <c r="R1418" i="2"/>
  <c r="E1418" i="2"/>
  <c r="D1418" i="2"/>
  <c r="C1418" i="2"/>
  <c r="AB1417" i="2"/>
  <c r="X1417" i="2"/>
  <c r="V1417" i="2"/>
  <c r="R1417" i="2"/>
  <c r="E1417" i="2"/>
  <c r="D1417" i="2"/>
  <c r="C1417" i="2"/>
  <c r="AB1416" i="2"/>
  <c r="X1416" i="2"/>
  <c r="V1416" i="2"/>
  <c r="R1416" i="2"/>
  <c r="E1416" i="2"/>
  <c r="D1416" i="2"/>
  <c r="C1416" i="2"/>
  <c r="AB1415" i="2"/>
  <c r="X1415" i="2"/>
  <c r="V1415" i="2"/>
  <c r="R1415" i="2"/>
  <c r="E1415" i="2"/>
  <c r="D1415" i="2"/>
  <c r="C1415" i="2"/>
  <c r="AB1414" i="2"/>
  <c r="X1414" i="2"/>
  <c r="V1414" i="2"/>
  <c r="R1414" i="2"/>
  <c r="E1414" i="2"/>
  <c r="D1414" i="2"/>
  <c r="C1414" i="2"/>
  <c r="AB1413" i="2"/>
  <c r="X1413" i="2"/>
  <c r="V1413" i="2"/>
  <c r="R1413" i="2"/>
  <c r="E1413" i="2"/>
  <c r="D1413" i="2"/>
  <c r="C1413" i="2"/>
  <c r="AB1412" i="2"/>
  <c r="X1412" i="2"/>
  <c r="V1412" i="2"/>
  <c r="R1412" i="2"/>
  <c r="E1412" i="2"/>
  <c r="D1412" i="2"/>
  <c r="C1412" i="2"/>
  <c r="AB1411" i="2"/>
  <c r="X1411" i="2"/>
  <c r="V1411" i="2"/>
  <c r="R1411" i="2"/>
  <c r="E1411" i="2"/>
  <c r="D1411" i="2"/>
  <c r="C1411" i="2"/>
  <c r="AB1410" i="2"/>
  <c r="X1410" i="2"/>
  <c r="V1410" i="2"/>
  <c r="R1410" i="2"/>
  <c r="E1410" i="2"/>
  <c r="D1410" i="2"/>
  <c r="C1410" i="2"/>
  <c r="AB1409" i="2"/>
  <c r="X1409" i="2"/>
  <c r="V1409" i="2"/>
  <c r="R1409" i="2"/>
  <c r="E1409" i="2"/>
  <c r="D1409" i="2"/>
  <c r="C1409" i="2"/>
  <c r="AB1408" i="2"/>
  <c r="X1408" i="2"/>
  <c r="V1408" i="2"/>
  <c r="R1408" i="2"/>
  <c r="E1408" i="2"/>
  <c r="D1408" i="2"/>
  <c r="C1408" i="2"/>
  <c r="AB1407" i="2"/>
  <c r="X1407" i="2"/>
  <c r="V1407" i="2"/>
  <c r="R1407" i="2"/>
  <c r="E1407" i="2"/>
  <c r="D1407" i="2"/>
  <c r="C1407" i="2"/>
  <c r="AB1406" i="2"/>
  <c r="X1406" i="2"/>
  <c r="V1406" i="2"/>
  <c r="R1406" i="2"/>
  <c r="E1406" i="2"/>
  <c r="D1406" i="2"/>
  <c r="C1406" i="2"/>
  <c r="AB1405" i="2"/>
  <c r="X1405" i="2"/>
  <c r="V1405" i="2"/>
  <c r="R1405" i="2"/>
  <c r="E1405" i="2"/>
  <c r="D1405" i="2"/>
  <c r="C1405" i="2"/>
  <c r="AB1404" i="2"/>
  <c r="X1404" i="2"/>
  <c r="V1404" i="2"/>
  <c r="R1404" i="2"/>
  <c r="E1404" i="2"/>
  <c r="D1404" i="2"/>
  <c r="C1404" i="2"/>
  <c r="AB1403" i="2"/>
  <c r="X1403" i="2"/>
  <c r="V1403" i="2"/>
  <c r="R1403" i="2"/>
  <c r="E1403" i="2"/>
  <c r="D1403" i="2"/>
  <c r="C1403" i="2"/>
  <c r="AB1402" i="2"/>
  <c r="X1402" i="2"/>
  <c r="V1402" i="2"/>
  <c r="R1402" i="2"/>
  <c r="E1402" i="2"/>
  <c r="D1402" i="2"/>
  <c r="C1402" i="2"/>
  <c r="AB1401" i="2"/>
  <c r="X1401" i="2"/>
  <c r="V1401" i="2"/>
  <c r="R1401" i="2"/>
  <c r="E1401" i="2"/>
  <c r="D1401" i="2"/>
  <c r="C1401" i="2"/>
  <c r="AB1400" i="2"/>
  <c r="X1400" i="2"/>
  <c r="V1400" i="2"/>
  <c r="R1400" i="2"/>
  <c r="E1400" i="2"/>
  <c r="D1400" i="2"/>
  <c r="C1400" i="2"/>
  <c r="AB1399" i="2"/>
  <c r="X1399" i="2"/>
  <c r="V1399" i="2"/>
  <c r="R1399" i="2"/>
  <c r="E1399" i="2"/>
  <c r="D1399" i="2"/>
  <c r="C1399" i="2"/>
  <c r="AB1398" i="2"/>
  <c r="X1398" i="2"/>
  <c r="V1398" i="2"/>
  <c r="R1398" i="2"/>
  <c r="E1398" i="2"/>
  <c r="D1398" i="2"/>
  <c r="C1398" i="2"/>
  <c r="AB1397" i="2"/>
  <c r="X1397" i="2"/>
  <c r="V1397" i="2"/>
  <c r="R1397" i="2"/>
  <c r="E1397" i="2"/>
  <c r="D1397" i="2"/>
  <c r="C1397" i="2"/>
  <c r="AB1396" i="2"/>
  <c r="X1396" i="2"/>
  <c r="V1396" i="2"/>
  <c r="R1396" i="2"/>
  <c r="E1396" i="2"/>
  <c r="D1396" i="2"/>
  <c r="C1396" i="2"/>
  <c r="AB1395" i="2"/>
  <c r="X1395" i="2"/>
  <c r="V1395" i="2"/>
  <c r="R1395" i="2"/>
  <c r="E1395" i="2"/>
  <c r="D1395" i="2"/>
  <c r="C1395" i="2"/>
  <c r="AB1394" i="2"/>
  <c r="X1394" i="2"/>
  <c r="V1394" i="2"/>
  <c r="R1394" i="2"/>
  <c r="E1394" i="2"/>
  <c r="D1394" i="2"/>
  <c r="C1394" i="2"/>
  <c r="AB1393" i="2"/>
  <c r="X1393" i="2"/>
  <c r="V1393" i="2"/>
  <c r="R1393" i="2"/>
  <c r="E1393" i="2"/>
  <c r="D1393" i="2"/>
  <c r="C1393" i="2"/>
  <c r="AB1392" i="2"/>
  <c r="X1392" i="2"/>
  <c r="V1392" i="2"/>
  <c r="R1392" i="2"/>
  <c r="E1392" i="2"/>
  <c r="D1392" i="2"/>
  <c r="C1392" i="2"/>
  <c r="AB1391" i="2"/>
  <c r="X1391" i="2"/>
  <c r="V1391" i="2"/>
  <c r="R1391" i="2"/>
  <c r="E1391" i="2"/>
  <c r="D1391" i="2"/>
  <c r="C1391" i="2"/>
  <c r="AB1390" i="2"/>
  <c r="X1390" i="2"/>
  <c r="V1390" i="2"/>
  <c r="R1390" i="2"/>
  <c r="E1390" i="2"/>
  <c r="D1390" i="2"/>
  <c r="C1390" i="2"/>
  <c r="AB1389" i="2"/>
  <c r="X1389" i="2"/>
  <c r="V1389" i="2"/>
  <c r="R1389" i="2"/>
  <c r="E1389" i="2"/>
  <c r="D1389" i="2"/>
  <c r="C1389" i="2"/>
  <c r="AB1388" i="2"/>
  <c r="X1388" i="2"/>
  <c r="V1388" i="2"/>
  <c r="R1388" i="2"/>
  <c r="E1388" i="2"/>
  <c r="D1388" i="2"/>
  <c r="C1388" i="2"/>
  <c r="AB1387" i="2"/>
  <c r="X1387" i="2"/>
  <c r="V1387" i="2"/>
  <c r="R1387" i="2"/>
  <c r="E1387" i="2"/>
  <c r="D1387" i="2"/>
  <c r="C1387" i="2"/>
  <c r="AB1386" i="2"/>
  <c r="X1386" i="2"/>
  <c r="V1386" i="2"/>
  <c r="R1386" i="2"/>
  <c r="E1386" i="2"/>
  <c r="D1386" i="2"/>
  <c r="C1386" i="2"/>
  <c r="AB1385" i="2"/>
  <c r="X1385" i="2"/>
  <c r="V1385" i="2"/>
  <c r="R1385" i="2"/>
  <c r="E1385" i="2"/>
  <c r="D1385" i="2"/>
  <c r="C1385" i="2"/>
  <c r="AB1384" i="2"/>
  <c r="X1384" i="2"/>
  <c r="V1384" i="2"/>
  <c r="R1384" i="2"/>
  <c r="E1384" i="2"/>
  <c r="D1384" i="2"/>
  <c r="C1384" i="2"/>
  <c r="AB1383" i="2"/>
  <c r="X1383" i="2"/>
  <c r="V1383" i="2"/>
  <c r="R1383" i="2"/>
  <c r="E1383" i="2"/>
  <c r="D1383" i="2"/>
  <c r="C1383" i="2"/>
  <c r="AB1382" i="2"/>
  <c r="X1382" i="2"/>
  <c r="V1382" i="2"/>
  <c r="R1382" i="2"/>
  <c r="E1382" i="2"/>
  <c r="D1382" i="2"/>
  <c r="C1382" i="2"/>
  <c r="AB1381" i="2"/>
  <c r="X1381" i="2"/>
  <c r="V1381" i="2"/>
  <c r="R1381" i="2"/>
  <c r="E1381" i="2"/>
  <c r="D1381" i="2"/>
  <c r="C1381" i="2"/>
  <c r="AB1380" i="2"/>
  <c r="X1380" i="2"/>
  <c r="V1380" i="2"/>
  <c r="R1380" i="2"/>
  <c r="E1380" i="2"/>
  <c r="D1380" i="2"/>
  <c r="C1380" i="2"/>
  <c r="AB1379" i="2"/>
  <c r="X1379" i="2"/>
  <c r="V1379" i="2"/>
  <c r="R1379" i="2"/>
  <c r="E1379" i="2"/>
  <c r="D1379" i="2"/>
  <c r="C1379" i="2"/>
  <c r="AB1378" i="2"/>
  <c r="X1378" i="2"/>
  <c r="V1378" i="2"/>
  <c r="R1378" i="2"/>
  <c r="E1378" i="2"/>
  <c r="D1378" i="2"/>
  <c r="C1378" i="2"/>
  <c r="AB1377" i="2"/>
  <c r="X1377" i="2"/>
  <c r="V1377" i="2"/>
  <c r="R1377" i="2"/>
  <c r="E1377" i="2"/>
  <c r="D1377" i="2"/>
  <c r="C1377" i="2"/>
  <c r="AB1376" i="2"/>
  <c r="X1376" i="2"/>
  <c r="V1376" i="2"/>
  <c r="R1376" i="2"/>
  <c r="E1376" i="2"/>
  <c r="D1376" i="2"/>
  <c r="C1376" i="2"/>
  <c r="AB1375" i="2"/>
  <c r="X1375" i="2"/>
  <c r="V1375" i="2"/>
  <c r="R1375" i="2"/>
  <c r="E1375" i="2"/>
  <c r="D1375" i="2"/>
  <c r="C1375" i="2"/>
  <c r="AB1374" i="2"/>
  <c r="X1374" i="2"/>
  <c r="V1374" i="2"/>
  <c r="R1374" i="2"/>
  <c r="E1374" i="2"/>
  <c r="D1374" i="2"/>
  <c r="C1374" i="2"/>
  <c r="AB1373" i="2"/>
  <c r="X1373" i="2"/>
  <c r="V1373" i="2"/>
  <c r="R1373" i="2"/>
  <c r="E1373" i="2"/>
  <c r="D1373" i="2"/>
  <c r="C1373" i="2"/>
  <c r="AB1372" i="2"/>
  <c r="X1372" i="2"/>
  <c r="V1372" i="2"/>
  <c r="R1372" i="2"/>
  <c r="E1372" i="2"/>
  <c r="D1372" i="2"/>
  <c r="C1372" i="2"/>
  <c r="AB1371" i="2"/>
  <c r="X1371" i="2"/>
  <c r="V1371" i="2"/>
  <c r="R1371" i="2"/>
  <c r="E1371" i="2"/>
  <c r="D1371" i="2"/>
  <c r="C1371" i="2"/>
  <c r="AB1370" i="2"/>
  <c r="X1370" i="2"/>
  <c r="V1370" i="2"/>
  <c r="R1370" i="2"/>
  <c r="E1370" i="2"/>
  <c r="D1370" i="2"/>
  <c r="C1370" i="2"/>
  <c r="AB1369" i="2"/>
  <c r="X1369" i="2"/>
  <c r="V1369" i="2"/>
  <c r="R1369" i="2"/>
  <c r="E1369" i="2"/>
  <c r="D1369" i="2"/>
  <c r="C1369" i="2"/>
  <c r="AB1368" i="2"/>
  <c r="X1368" i="2"/>
  <c r="V1368" i="2"/>
  <c r="R1368" i="2"/>
  <c r="E1368" i="2"/>
  <c r="D1368" i="2"/>
  <c r="C1368" i="2"/>
  <c r="AB1367" i="2"/>
  <c r="X1367" i="2"/>
  <c r="V1367" i="2"/>
  <c r="R1367" i="2"/>
  <c r="E1367" i="2"/>
  <c r="D1367" i="2"/>
  <c r="C1367" i="2"/>
  <c r="AB1366" i="2"/>
  <c r="X1366" i="2"/>
  <c r="V1366" i="2"/>
  <c r="R1366" i="2"/>
  <c r="E1366" i="2"/>
  <c r="D1366" i="2"/>
  <c r="C1366" i="2"/>
  <c r="AB1365" i="2"/>
  <c r="X1365" i="2"/>
  <c r="V1365" i="2"/>
  <c r="R1365" i="2"/>
  <c r="E1365" i="2"/>
  <c r="D1365" i="2"/>
  <c r="C1365" i="2"/>
  <c r="AB1364" i="2"/>
  <c r="X1364" i="2"/>
  <c r="V1364" i="2"/>
  <c r="R1364" i="2"/>
  <c r="E1364" i="2"/>
  <c r="D1364" i="2"/>
  <c r="C1364" i="2"/>
  <c r="AB1363" i="2"/>
  <c r="X1363" i="2"/>
  <c r="V1363" i="2"/>
  <c r="R1363" i="2"/>
  <c r="E1363" i="2"/>
  <c r="D1363" i="2"/>
  <c r="C1363" i="2"/>
  <c r="AB1362" i="2"/>
  <c r="X1362" i="2"/>
  <c r="V1362" i="2"/>
  <c r="R1362" i="2"/>
  <c r="E1362" i="2"/>
  <c r="D1362" i="2"/>
  <c r="C1362" i="2"/>
  <c r="AB1361" i="2"/>
  <c r="X1361" i="2"/>
  <c r="V1361" i="2"/>
  <c r="R1361" i="2"/>
  <c r="E1361" i="2"/>
  <c r="D1361" i="2"/>
  <c r="C1361" i="2"/>
  <c r="AB1360" i="2"/>
  <c r="X1360" i="2"/>
  <c r="V1360" i="2"/>
  <c r="R1360" i="2"/>
  <c r="E1360" i="2"/>
  <c r="D1360" i="2"/>
  <c r="C1360" i="2"/>
  <c r="AB1359" i="2"/>
  <c r="X1359" i="2"/>
  <c r="V1359" i="2"/>
  <c r="R1359" i="2"/>
  <c r="E1359" i="2"/>
  <c r="D1359" i="2"/>
  <c r="C1359" i="2"/>
  <c r="AB1358" i="2"/>
  <c r="X1358" i="2"/>
  <c r="V1358" i="2"/>
  <c r="R1358" i="2"/>
  <c r="E1358" i="2"/>
  <c r="D1358" i="2"/>
  <c r="C1358" i="2"/>
  <c r="AB1357" i="2"/>
  <c r="X1357" i="2"/>
  <c r="V1357" i="2"/>
  <c r="R1357" i="2"/>
  <c r="E1357" i="2"/>
  <c r="D1357" i="2"/>
  <c r="C1357" i="2"/>
  <c r="AB1356" i="2"/>
  <c r="X1356" i="2"/>
  <c r="V1356" i="2"/>
  <c r="R1356" i="2"/>
  <c r="E1356" i="2"/>
  <c r="D1356" i="2"/>
  <c r="C1356" i="2"/>
  <c r="AB1355" i="2"/>
  <c r="X1355" i="2"/>
  <c r="V1355" i="2"/>
  <c r="R1355" i="2"/>
  <c r="E1355" i="2"/>
  <c r="D1355" i="2"/>
  <c r="C1355" i="2"/>
  <c r="AB1354" i="2"/>
  <c r="X1354" i="2"/>
  <c r="V1354" i="2"/>
  <c r="R1354" i="2"/>
  <c r="E1354" i="2"/>
  <c r="D1354" i="2"/>
  <c r="C1354" i="2"/>
  <c r="AB1353" i="2"/>
  <c r="X1353" i="2"/>
  <c r="V1353" i="2"/>
  <c r="R1353" i="2"/>
  <c r="E1353" i="2"/>
  <c r="D1353" i="2"/>
  <c r="C1353" i="2"/>
  <c r="AB1352" i="2"/>
  <c r="X1352" i="2"/>
  <c r="V1352" i="2"/>
  <c r="R1352" i="2"/>
  <c r="E1352" i="2"/>
  <c r="D1352" i="2"/>
  <c r="C1352" i="2"/>
  <c r="AB1351" i="2"/>
  <c r="X1351" i="2"/>
  <c r="V1351" i="2"/>
  <c r="R1351" i="2"/>
  <c r="E1351" i="2"/>
  <c r="D1351" i="2"/>
  <c r="C1351" i="2"/>
  <c r="AB1350" i="2"/>
  <c r="X1350" i="2"/>
  <c r="V1350" i="2"/>
  <c r="R1350" i="2"/>
  <c r="E1350" i="2"/>
  <c r="D1350" i="2"/>
  <c r="C1350" i="2"/>
  <c r="AB1349" i="2"/>
  <c r="X1349" i="2"/>
  <c r="V1349" i="2"/>
  <c r="R1349" i="2"/>
  <c r="E1349" i="2"/>
  <c r="D1349" i="2"/>
  <c r="C1349" i="2"/>
  <c r="AB1348" i="2"/>
  <c r="X1348" i="2"/>
  <c r="V1348" i="2"/>
  <c r="R1348" i="2"/>
  <c r="E1348" i="2"/>
  <c r="D1348" i="2"/>
  <c r="C1348" i="2"/>
  <c r="AB1347" i="2"/>
  <c r="X1347" i="2"/>
  <c r="V1347" i="2"/>
  <c r="R1347" i="2"/>
  <c r="E1347" i="2"/>
  <c r="D1347" i="2"/>
  <c r="C1347" i="2"/>
  <c r="AB1346" i="2"/>
  <c r="X1346" i="2"/>
  <c r="V1346" i="2"/>
  <c r="R1346" i="2"/>
  <c r="E1346" i="2"/>
  <c r="D1346" i="2"/>
  <c r="C1346" i="2"/>
  <c r="AB1345" i="2"/>
  <c r="X1345" i="2"/>
  <c r="V1345" i="2"/>
  <c r="R1345" i="2"/>
  <c r="E1345" i="2"/>
  <c r="D1345" i="2"/>
  <c r="C1345" i="2"/>
  <c r="AB1344" i="2"/>
  <c r="X1344" i="2"/>
  <c r="V1344" i="2"/>
  <c r="R1344" i="2"/>
  <c r="E1344" i="2"/>
  <c r="D1344" i="2"/>
  <c r="C1344" i="2"/>
  <c r="AB1343" i="2"/>
  <c r="X1343" i="2"/>
  <c r="V1343" i="2"/>
  <c r="R1343" i="2"/>
  <c r="E1343" i="2"/>
  <c r="D1343" i="2"/>
  <c r="C1343" i="2"/>
  <c r="AB1342" i="2"/>
  <c r="X1342" i="2"/>
  <c r="V1342" i="2"/>
  <c r="R1342" i="2"/>
  <c r="E1342" i="2"/>
  <c r="D1342" i="2"/>
  <c r="C1342" i="2"/>
  <c r="AB1341" i="2"/>
  <c r="X1341" i="2"/>
  <c r="V1341" i="2"/>
  <c r="R1341" i="2"/>
  <c r="E1341" i="2"/>
  <c r="D1341" i="2"/>
  <c r="C1341" i="2"/>
  <c r="AB1340" i="2"/>
  <c r="X1340" i="2"/>
  <c r="V1340" i="2"/>
  <c r="R1340" i="2"/>
  <c r="E1340" i="2"/>
  <c r="D1340" i="2"/>
  <c r="C1340" i="2"/>
  <c r="AB1339" i="2"/>
  <c r="X1339" i="2"/>
  <c r="V1339" i="2"/>
  <c r="R1339" i="2"/>
  <c r="E1339" i="2"/>
  <c r="D1339" i="2"/>
  <c r="C1339" i="2"/>
  <c r="AB1338" i="2"/>
  <c r="X1338" i="2"/>
  <c r="V1338" i="2"/>
  <c r="R1338" i="2"/>
  <c r="E1338" i="2"/>
  <c r="D1338" i="2"/>
  <c r="C1338" i="2"/>
  <c r="AB1337" i="2"/>
  <c r="X1337" i="2"/>
  <c r="V1337" i="2"/>
  <c r="R1337" i="2"/>
  <c r="E1337" i="2"/>
  <c r="D1337" i="2"/>
  <c r="C1337" i="2"/>
  <c r="AB1336" i="2"/>
  <c r="X1336" i="2"/>
  <c r="V1336" i="2"/>
  <c r="R1336" i="2"/>
  <c r="E1336" i="2"/>
  <c r="D1336" i="2"/>
  <c r="C1336" i="2"/>
  <c r="AB1335" i="2"/>
  <c r="X1335" i="2"/>
  <c r="V1335" i="2"/>
  <c r="R1335" i="2"/>
  <c r="E1335" i="2"/>
  <c r="D1335" i="2"/>
  <c r="C1335" i="2"/>
  <c r="AB1334" i="2"/>
  <c r="X1334" i="2"/>
  <c r="V1334" i="2"/>
  <c r="R1334" i="2"/>
  <c r="E1334" i="2"/>
  <c r="D1334" i="2"/>
  <c r="C1334" i="2"/>
  <c r="AB1333" i="2"/>
  <c r="X1333" i="2"/>
  <c r="V1333" i="2"/>
  <c r="R1333" i="2"/>
  <c r="E1333" i="2"/>
  <c r="D1333" i="2"/>
  <c r="C1333" i="2"/>
  <c r="AB1332" i="2"/>
  <c r="X1332" i="2"/>
  <c r="V1332" i="2"/>
  <c r="R1332" i="2"/>
  <c r="E1332" i="2"/>
  <c r="D1332" i="2"/>
  <c r="C1332" i="2"/>
  <c r="AB1331" i="2"/>
  <c r="X1331" i="2"/>
  <c r="V1331" i="2"/>
  <c r="R1331" i="2"/>
  <c r="E1331" i="2"/>
  <c r="D1331" i="2"/>
  <c r="C1331" i="2"/>
  <c r="AB1330" i="2"/>
  <c r="X1330" i="2"/>
  <c r="V1330" i="2"/>
  <c r="R1330" i="2"/>
  <c r="E1330" i="2"/>
  <c r="D1330" i="2"/>
  <c r="C1330" i="2"/>
  <c r="AB1329" i="2"/>
  <c r="X1329" i="2"/>
  <c r="V1329" i="2"/>
  <c r="R1329" i="2"/>
  <c r="E1329" i="2"/>
  <c r="D1329" i="2"/>
  <c r="C1329" i="2"/>
  <c r="AB1328" i="2"/>
  <c r="X1328" i="2"/>
  <c r="V1328" i="2"/>
  <c r="R1328" i="2"/>
  <c r="E1328" i="2"/>
  <c r="D1328" i="2"/>
  <c r="C1328" i="2"/>
  <c r="AB1327" i="2"/>
  <c r="X1327" i="2"/>
  <c r="V1327" i="2"/>
  <c r="R1327" i="2"/>
  <c r="E1327" i="2"/>
  <c r="D1327" i="2"/>
  <c r="C1327" i="2"/>
  <c r="AB1326" i="2"/>
  <c r="X1326" i="2"/>
  <c r="V1326" i="2"/>
  <c r="R1326" i="2"/>
  <c r="E1326" i="2"/>
  <c r="D1326" i="2"/>
  <c r="C1326" i="2"/>
  <c r="AB1325" i="2"/>
  <c r="X1325" i="2"/>
  <c r="V1325" i="2"/>
  <c r="R1325" i="2"/>
  <c r="E1325" i="2"/>
  <c r="D1325" i="2"/>
  <c r="C1325" i="2"/>
  <c r="AB1324" i="2"/>
  <c r="X1324" i="2"/>
  <c r="V1324" i="2"/>
  <c r="R1324" i="2"/>
  <c r="E1324" i="2"/>
  <c r="D1324" i="2"/>
  <c r="C1324" i="2"/>
  <c r="AB1323" i="2"/>
  <c r="X1323" i="2"/>
  <c r="V1323" i="2"/>
  <c r="R1323" i="2"/>
  <c r="E1323" i="2"/>
  <c r="D1323" i="2"/>
  <c r="C1323" i="2"/>
  <c r="AB1322" i="2"/>
  <c r="X1322" i="2"/>
  <c r="V1322" i="2"/>
  <c r="R1322" i="2"/>
  <c r="E1322" i="2"/>
  <c r="D1322" i="2"/>
  <c r="C1322" i="2"/>
  <c r="AB1321" i="2"/>
  <c r="X1321" i="2"/>
  <c r="V1321" i="2"/>
  <c r="R1321" i="2"/>
  <c r="E1321" i="2"/>
  <c r="D1321" i="2"/>
  <c r="C1321" i="2"/>
  <c r="AB1320" i="2"/>
  <c r="X1320" i="2"/>
  <c r="V1320" i="2"/>
  <c r="R1320" i="2"/>
  <c r="E1320" i="2"/>
  <c r="D1320" i="2"/>
  <c r="C1320" i="2"/>
  <c r="AB1319" i="2"/>
  <c r="X1319" i="2"/>
  <c r="V1319" i="2"/>
  <c r="R1319" i="2"/>
  <c r="E1319" i="2"/>
  <c r="D1319" i="2"/>
  <c r="C1319" i="2"/>
  <c r="AB1318" i="2"/>
  <c r="X1318" i="2"/>
  <c r="V1318" i="2"/>
  <c r="R1318" i="2"/>
  <c r="E1318" i="2"/>
  <c r="D1318" i="2"/>
  <c r="C1318" i="2"/>
  <c r="AB1317" i="2"/>
  <c r="X1317" i="2"/>
  <c r="V1317" i="2"/>
  <c r="R1317" i="2"/>
  <c r="E1317" i="2"/>
  <c r="D1317" i="2"/>
  <c r="C1317" i="2"/>
  <c r="AB1316" i="2"/>
  <c r="X1316" i="2"/>
  <c r="V1316" i="2"/>
  <c r="R1316" i="2"/>
  <c r="E1316" i="2"/>
  <c r="D1316" i="2"/>
  <c r="C1316" i="2"/>
  <c r="AB1315" i="2"/>
  <c r="X1315" i="2"/>
  <c r="V1315" i="2"/>
  <c r="R1315" i="2"/>
  <c r="E1315" i="2"/>
  <c r="D1315" i="2"/>
  <c r="C1315" i="2"/>
  <c r="AB1314" i="2"/>
  <c r="X1314" i="2"/>
  <c r="V1314" i="2"/>
  <c r="R1314" i="2"/>
  <c r="E1314" i="2"/>
  <c r="D1314" i="2"/>
  <c r="C1314" i="2"/>
  <c r="AB1313" i="2"/>
  <c r="X1313" i="2"/>
  <c r="V1313" i="2"/>
  <c r="R1313" i="2"/>
  <c r="E1313" i="2"/>
  <c r="D1313" i="2"/>
  <c r="C1313" i="2"/>
  <c r="AB1312" i="2"/>
  <c r="X1312" i="2"/>
  <c r="V1312" i="2"/>
  <c r="R1312" i="2"/>
  <c r="E1312" i="2"/>
  <c r="D1312" i="2"/>
  <c r="C1312" i="2"/>
  <c r="AB1311" i="2"/>
  <c r="X1311" i="2"/>
  <c r="V1311" i="2"/>
  <c r="R1311" i="2"/>
  <c r="E1311" i="2"/>
  <c r="D1311" i="2"/>
  <c r="C1311" i="2"/>
  <c r="AB1310" i="2"/>
  <c r="X1310" i="2"/>
  <c r="V1310" i="2"/>
  <c r="R1310" i="2"/>
  <c r="E1310" i="2"/>
  <c r="D1310" i="2"/>
  <c r="C1310" i="2"/>
  <c r="AB1309" i="2"/>
  <c r="X1309" i="2"/>
  <c r="V1309" i="2"/>
  <c r="R1309" i="2"/>
  <c r="E1309" i="2"/>
  <c r="D1309" i="2"/>
  <c r="C1309" i="2"/>
  <c r="AB1308" i="2"/>
  <c r="X1308" i="2"/>
  <c r="V1308" i="2"/>
  <c r="R1308" i="2"/>
  <c r="E1308" i="2"/>
  <c r="D1308" i="2"/>
  <c r="C1308" i="2"/>
  <c r="AB1307" i="2"/>
  <c r="X1307" i="2"/>
  <c r="V1307" i="2"/>
  <c r="R1307" i="2"/>
  <c r="E1307" i="2"/>
  <c r="D1307" i="2"/>
  <c r="C1307" i="2"/>
  <c r="AB1306" i="2"/>
  <c r="X1306" i="2"/>
  <c r="V1306" i="2"/>
  <c r="R1306" i="2"/>
  <c r="E1306" i="2"/>
  <c r="D1306" i="2"/>
  <c r="C1306" i="2"/>
  <c r="AB1305" i="2"/>
  <c r="X1305" i="2"/>
  <c r="V1305" i="2"/>
  <c r="R1305" i="2"/>
  <c r="E1305" i="2"/>
  <c r="D1305" i="2"/>
  <c r="C1305" i="2"/>
  <c r="AB1304" i="2"/>
  <c r="X1304" i="2"/>
  <c r="V1304" i="2"/>
  <c r="R1304" i="2"/>
  <c r="E1304" i="2"/>
  <c r="D1304" i="2"/>
  <c r="C1304" i="2"/>
  <c r="AB1303" i="2"/>
  <c r="X1303" i="2"/>
  <c r="V1303" i="2"/>
  <c r="R1303" i="2"/>
  <c r="E1303" i="2"/>
  <c r="D1303" i="2"/>
  <c r="C1303" i="2"/>
  <c r="AB1302" i="2"/>
  <c r="X1302" i="2"/>
  <c r="V1302" i="2"/>
  <c r="R1302" i="2"/>
  <c r="E1302" i="2"/>
  <c r="D1302" i="2"/>
  <c r="C1302" i="2"/>
  <c r="AB1301" i="2"/>
  <c r="X1301" i="2"/>
  <c r="V1301" i="2"/>
  <c r="R1301" i="2"/>
  <c r="E1301" i="2"/>
  <c r="D1301" i="2"/>
  <c r="C1301" i="2"/>
  <c r="AB1300" i="2"/>
  <c r="X1300" i="2"/>
  <c r="V1300" i="2"/>
  <c r="R1300" i="2"/>
  <c r="E1300" i="2"/>
  <c r="D1300" i="2"/>
  <c r="C1300" i="2"/>
  <c r="AB1299" i="2"/>
  <c r="X1299" i="2"/>
  <c r="V1299" i="2"/>
  <c r="R1299" i="2"/>
  <c r="E1299" i="2"/>
  <c r="D1299" i="2"/>
  <c r="C1299" i="2"/>
  <c r="AB1298" i="2"/>
  <c r="X1298" i="2"/>
  <c r="V1298" i="2"/>
  <c r="R1298" i="2"/>
  <c r="E1298" i="2"/>
  <c r="D1298" i="2"/>
  <c r="C1298" i="2"/>
  <c r="AB1297" i="2"/>
  <c r="X1297" i="2"/>
  <c r="V1297" i="2"/>
  <c r="R1297" i="2"/>
  <c r="E1297" i="2"/>
  <c r="D1297" i="2"/>
  <c r="C1297" i="2"/>
  <c r="AB1296" i="2"/>
  <c r="X1296" i="2"/>
  <c r="V1296" i="2"/>
  <c r="R1296" i="2"/>
  <c r="E1296" i="2"/>
  <c r="D1296" i="2"/>
  <c r="C1296" i="2"/>
  <c r="AB1295" i="2"/>
  <c r="X1295" i="2"/>
  <c r="V1295" i="2"/>
  <c r="R1295" i="2"/>
  <c r="E1295" i="2"/>
  <c r="D1295" i="2"/>
  <c r="C1295" i="2"/>
  <c r="AB1294" i="2"/>
  <c r="X1294" i="2"/>
  <c r="V1294" i="2"/>
  <c r="R1294" i="2"/>
  <c r="E1294" i="2"/>
  <c r="D1294" i="2"/>
  <c r="C1294" i="2"/>
  <c r="AB1293" i="2"/>
  <c r="X1293" i="2"/>
  <c r="V1293" i="2"/>
  <c r="R1293" i="2"/>
  <c r="E1293" i="2"/>
  <c r="D1293" i="2"/>
  <c r="C1293" i="2"/>
  <c r="AB1292" i="2"/>
  <c r="X1292" i="2"/>
  <c r="V1292" i="2"/>
  <c r="R1292" i="2"/>
  <c r="E1292" i="2"/>
  <c r="D1292" i="2"/>
  <c r="C1292" i="2"/>
  <c r="AB1291" i="2"/>
  <c r="X1291" i="2"/>
  <c r="V1291" i="2"/>
  <c r="R1291" i="2"/>
  <c r="E1291" i="2"/>
  <c r="D1291" i="2"/>
  <c r="C1291" i="2"/>
  <c r="AB1290" i="2"/>
  <c r="X1290" i="2"/>
  <c r="V1290" i="2"/>
  <c r="R1290" i="2"/>
  <c r="E1290" i="2"/>
  <c r="D1290" i="2"/>
  <c r="C1290" i="2"/>
  <c r="AB1289" i="2"/>
  <c r="X1289" i="2"/>
  <c r="V1289" i="2"/>
  <c r="R1289" i="2"/>
  <c r="E1289" i="2"/>
  <c r="D1289" i="2"/>
  <c r="C1289" i="2"/>
  <c r="AB1288" i="2"/>
  <c r="X1288" i="2"/>
  <c r="V1288" i="2"/>
  <c r="R1288" i="2"/>
  <c r="E1288" i="2"/>
  <c r="D1288" i="2"/>
  <c r="C1288" i="2"/>
  <c r="AB1287" i="2"/>
  <c r="X1287" i="2"/>
  <c r="V1287" i="2"/>
  <c r="R1287" i="2"/>
  <c r="E1287" i="2"/>
  <c r="D1287" i="2"/>
  <c r="C1287" i="2"/>
  <c r="AB1286" i="2"/>
  <c r="X1286" i="2"/>
  <c r="V1286" i="2"/>
  <c r="R1286" i="2"/>
  <c r="E1286" i="2"/>
  <c r="D1286" i="2"/>
  <c r="C1286" i="2"/>
  <c r="AB1285" i="2"/>
  <c r="X1285" i="2"/>
  <c r="V1285" i="2"/>
  <c r="R1285" i="2"/>
  <c r="E1285" i="2"/>
  <c r="D1285" i="2"/>
  <c r="C1285" i="2"/>
  <c r="AB1284" i="2"/>
  <c r="X1284" i="2"/>
  <c r="V1284" i="2"/>
  <c r="R1284" i="2"/>
  <c r="E1284" i="2"/>
  <c r="D1284" i="2"/>
  <c r="C1284" i="2"/>
  <c r="AB1283" i="2"/>
  <c r="X1283" i="2"/>
  <c r="V1283" i="2"/>
  <c r="R1283" i="2"/>
  <c r="E1283" i="2"/>
  <c r="D1283" i="2"/>
  <c r="C1283" i="2"/>
  <c r="AB1282" i="2"/>
  <c r="X1282" i="2"/>
  <c r="V1282" i="2"/>
  <c r="R1282" i="2"/>
  <c r="E1282" i="2"/>
  <c r="D1282" i="2"/>
  <c r="C1282" i="2"/>
  <c r="AB1281" i="2"/>
  <c r="X1281" i="2"/>
  <c r="V1281" i="2"/>
  <c r="R1281" i="2"/>
  <c r="E1281" i="2"/>
  <c r="D1281" i="2"/>
  <c r="C1281" i="2"/>
  <c r="AB1280" i="2"/>
  <c r="X1280" i="2"/>
  <c r="V1280" i="2"/>
  <c r="R1280" i="2"/>
  <c r="E1280" i="2"/>
  <c r="D1280" i="2"/>
  <c r="C1280" i="2"/>
  <c r="AB1279" i="2"/>
  <c r="X1279" i="2"/>
  <c r="V1279" i="2"/>
  <c r="R1279" i="2"/>
  <c r="E1279" i="2"/>
  <c r="D1279" i="2"/>
  <c r="C1279" i="2"/>
  <c r="AB1278" i="2"/>
  <c r="X1278" i="2"/>
  <c r="V1278" i="2"/>
  <c r="R1278" i="2"/>
  <c r="E1278" i="2"/>
  <c r="D1278" i="2"/>
  <c r="C1278" i="2"/>
  <c r="AB1277" i="2"/>
  <c r="X1277" i="2"/>
  <c r="V1277" i="2"/>
  <c r="R1277" i="2"/>
  <c r="E1277" i="2"/>
  <c r="D1277" i="2"/>
  <c r="C1277" i="2"/>
  <c r="AB1276" i="2"/>
  <c r="X1276" i="2"/>
  <c r="V1276" i="2"/>
  <c r="R1276" i="2"/>
  <c r="E1276" i="2"/>
  <c r="D1276" i="2"/>
  <c r="C1276" i="2"/>
  <c r="AB1275" i="2"/>
  <c r="X1275" i="2"/>
  <c r="V1275" i="2"/>
  <c r="R1275" i="2"/>
  <c r="E1275" i="2"/>
  <c r="D1275" i="2"/>
  <c r="C1275" i="2"/>
  <c r="AB1274" i="2"/>
  <c r="X1274" i="2"/>
  <c r="V1274" i="2"/>
  <c r="R1274" i="2"/>
  <c r="E1274" i="2"/>
  <c r="D1274" i="2"/>
  <c r="C1274" i="2"/>
  <c r="AB1273" i="2"/>
  <c r="X1273" i="2"/>
  <c r="V1273" i="2"/>
  <c r="R1273" i="2"/>
  <c r="E1273" i="2"/>
  <c r="D1273" i="2"/>
  <c r="C1273" i="2"/>
  <c r="AB1272" i="2"/>
  <c r="X1272" i="2"/>
  <c r="V1272" i="2"/>
  <c r="R1272" i="2"/>
  <c r="E1272" i="2"/>
  <c r="D1272" i="2"/>
  <c r="C1272" i="2"/>
  <c r="AB1271" i="2"/>
  <c r="X1271" i="2"/>
  <c r="V1271" i="2"/>
  <c r="R1271" i="2"/>
  <c r="E1271" i="2"/>
  <c r="D1271" i="2"/>
  <c r="C1271" i="2"/>
  <c r="AB1270" i="2"/>
  <c r="X1270" i="2"/>
  <c r="V1270" i="2"/>
  <c r="R1270" i="2"/>
  <c r="E1270" i="2"/>
  <c r="D1270" i="2"/>
  <c r="C1270" i="2"/>
  <c r="AB1269" i="2"/>
  <c r="X1269" i="2"/>
  <c r="V1269" i="2"/>
  <c r="R1269" i="2"/>
  <c r="E1269" i="2"/>
  <c r="D1269" i="2"/>
  <c r="C1269" i="2"/>
  <c r="AB1268" i="2"/>
  <c r="X1268" i="2"/>
  <c r="V1268" i="2"/>
  <c r="R1268" i="2"/>
  <c r="E1268" i="2"/>
  <c r="D1268" i="2"/>
  <c r="C1268" i="2"/>
  <c r="AB1267" i="2"/>
  <c r="X1267" i="2"/>
  <c r="V1267" i="2"/>
  <c r="R1267" i="2"/>
  <c r="E1267" i="2"/>
  <c r="D1267" i="2"/>
  <c r="C1267" i="2"/>
  <c r="AB1266" i="2"/>
  <c r="X1266" i="2"/>
  <c r="V1266" i="2"/>
  <c r="R1266" i="2"/>
  <c r="E1266" i="2"/>
  <c r="D1266" i="2"/>
  <c r="C1266" i="2"/>
  <c r="AB1265" i="2"/>
  <c r="X1265" i="2"/>
  <c r="V1265" i="2"/>
  <c r="R1265" i="2"/>
  <c r="E1265" i="2"/>
  <c r="D1265" i="2"/>
  <c r="C1265" i="2"/>
  <c r="AB1264" i="2"/>
  <c r="X1264" i="2"/>
  <c r="V1264" i="2"/>
  <c r="R1264" i="2"/>
  <c r="E1264" i="2"/>
  <c r="D1264" i="2"/>
  <c r="C1264" i="2"/>
  <c r="AB1263" i="2"/>
  <c r="X1263" i="2"/>
  <c r="V1263" i="2"/>
  <c r="R1263" i="2"/>
  <c r="E1263" i="2"/>
  <c r="D1263" i="2"/>
  <c r="C1263" i="2"/>
  <c r="AB1262" i="2"/>
  <c r="X1262" i="2"/>
  <c r="V1262" i="2"/>
  <c r="R1262" i="2"/>
  <c r="E1262" i="2"/>
  <c r="D1262" i="2"/>
  <c r="C1262" i="2"/>
  <c r="AB1261" i="2"/>
  <c r="X1261" i="2"/>
  <c r="V1261" i="2"/>
  <c r="R1261" i="2"/>
  <c r="E1261" i="2"/>
  <c r="D1261" i="2"/>
  <c r="C1261" i="2"/>
  <c r="AB1260" i="2"/>
  <c r="X1260" i="2"/>
  <c r="V1260" i="2"/>
  <c r="R1260" i="2"/>
  <c r="E1260" i="2"/>
  <c r="D1260" i="2"/>
  <c r="C1260" i="2"/>
  <c r="AB1259" i="2"/>
  <c r="X1259" i="2"/>
  <c r="V1259" i="2"/>
  <c r="R1259" i="2"/>
  <c r="E1259" i="2"/>
  <c r="D1259" i="2"/>
  <c r="C1259" i="2"/>
  <c r="AB1258" i="2"/>
  <c r="X1258" i="2"/>
  <c r="V1258" i="2"/>
  <c r="R1258" i="2"/>
  <c r="E1258" i="2"/>
  <c r="D1258" i="2"/>
  <c r="C1258" i="2"/>
  <c r="AB1257" i="2"/>
  <c r="X1257" i="2"/>
  <c r="V1257" i="2"/>
  <c r="R1257" i="2"/>
  <c r="E1257" i="2"/>
  <c r="D1257" i="2"/>
  <c r="C1257" i="2"/>
  <c r="AB1256" i="2"/>
  <c r="X1256" i="2"/>
  <c r="V1256" i="2"/>
  <c r="R1256" i="2"/>
  <c r="E1256" i="2"/>
  <c r="D1256" i="2"/>
  <c r="C1256" i="2"/>
  <c r="AB1255" i="2"/>
  <c r="X1255" i="2"/>
  <c r="V1255" i="2"/>
  <c r="R1255" i="2"/>
  <c r="E1255" i="2"/>
  <c r="D1255" i="2"/>
  <c r="C1255" i="2"/>
  <c r="AB1254" i="2"/>
  <c r="X1254" i="2"/>
  <c r="V1254" i="2"/>
  <c r="R1254" i="2"/>
  <c r="E1254" i="2"/>
  <c r="D1254" i="2"/>
  <c r="C1254" i="2"/>
  <c r="AB1253" i="2"/>
  <c r="X1253" i="2"/>
  <c r="V1253" i="2"/>
  <c r="R1253" i="2"/>
  <c r="E1253" i="2"/>
  <c r="D1253" i="2"/>
  <c r="C1253" i="2"/>
  <c r="AB1252" i="2"/>
  <c r="X1252" i="2"/>
  <c r="V1252" i="2"/>
  <c r="R1252" i="2"/>
  <c r="E1252" i="2"/>
  <c r="D1252" i="2"/>
  <c r="C1252" i="2"/>
  <c r="AB1251" i="2"/>
  <c r="X1251" i="2"/>
  <c r="V1251" i="2"/>
  <c r="R1251" i="2"/>
  <c r="E1251" i="2"/>
  <c r="D1251" i="2"/>
  <c r="C1251" i="2"/>
  <c r="AB1250" i="2"/>
  <c r="X1250" i="2"/>
  <c r="V1250" i="2"/>
  <c r="R1250" i="2"/>
  <c r="E1250" i="2"/>
  <c r="D1250" i="2"/>
  <c r="C1250" i="2"/>
  <c r="AB1249" i="2"/>
  <c r="X1249" i="2"/>
  <c r="V1249" i="2"/>
  <c r="R1249" i="2"/>
  <c r="E1249" i="2"/>
  <c r="D1249" i="2"/>
  <c r="C1249" i="2"/>
  <c r="AB1248" i="2"/>
  <c r="X1248" i="2"/>
  <c r="V1248" i="2"/>
  <c r="R1248" i="2"/>
  <c r="E1248" i="2"/>
  <c r="D1248" i="2"/>
  <c r="C1248" i="2"/>
  <c r="AB1247" i="2"/>
  <c r="X1247" i="2"/>
  <c r="V1247" i="2"/>
  <c r="R1247" i="2"/>
  <c r="E1247" i="2"/>
  <c r="D1247" i="2"/>
  <c r="C1247" i="2"/>
  <c r="AB1246" i="2"/>
  <c r="X1246" i="2"/>
  <c r="V1246" i="2"/>
  <c r="R1246" i="2"/>
  <c r="E1246" i="2"/>
  <c r="D1246" i="2"/>
  <c r="C1246" i="2"/>
  <c r="AB1245" i="2"/>
  <c r="X1245" i="2"/>
  <c r="V1245" i="2"/>
  <c r="R1245" i="2"/>
  <c r="E1245" i="2"/>
  <c r="D1245" i="2"/>
  <c r="C1245" i="2"/>
  <c r="AB1244" i="2"/>
  <c r="X1244" i="2"/>
  <c r="V1244" i="2"/>
  <c r="R1244" i="2"/>
  <c r="E1244" i="2"/>
  <c r="D1244" i="2"/>
  <c r="C1244" i="2"/>
  <c r="AB1243" i="2"/>
  <c r="X1243" i="2"/>
  <c r="V1243" i="2"/>
  <c r="R1243" i="2"/>
  <c r="E1243" i="2"/>
  <c r="D1243" i="2"/>
  <c r="C1243" i="2"/>
  <c r="AB1242" i="2"/>
  <c r="X1242" i="2"/>
  <c r="V1242" i="2"/>
  <c r="R1242" i="2"/>
  <c r="E1242" i="2"/>
  <c r="D1242" i="2"/>
  <c r="C1242" i="2"/>
  <c r="AB1241" i="2"/>
  <c r="X1241" i="2"/>
  <c r="V1241" i="2"/>
  <c r="R1241" i="2"/>
  <c r="E1241" i="2"/>
  <c r="D1241" i="2"/>
  <c r="C1241" i="2"/>
  <c r="AB1240" i="2"/>
  <c r="X1240" i="2"/>
  <c r="V1240" i="2"/>
  <c r="R1240" i="2"/>
  <c r="E1240" i="2"/>
  <c r="D1240" i="2"/>
  <c r="C1240" i="2"/>
  <c r="AB1239" i="2"/>
  <c r="X1239" i="2"/>
  <c r="V1239" i="2"/>
  <c r="R1239" i="2"/>
  <c r="E1239" i="2"/>
  <c r="D1239" i="2"/>
  <c r="C1239" i="2"/>
  <c r="AB1238" i="2"/>
  <c r="X1238" i="2"/>
  <c r="V1238" i="2"/>
  <c r="R1238" i="2"/>
  <c r="E1238" i="2"/>
  <c r="D1238" i="2"/>
  <c r="C1238" i="2"/>
  <c r="AB1237" i="2"/>
  <c r="X1237" i="2"/>
  <c r="V1237" i="2"/>
  <c r="R1237" i="2"/>
  <c r="E1237" i="2"/>
  <c r="D1237" i="2"/>
  <c r="C1237" i="2"/>
  <c r="AB1236" i="2"/>
  <c r="X1236" i="2"/>
  <c r="V1236" i="2"/>
  <c r="R1236" i="2"/>
  <c r="E1236" i="2"/>
  <c r="D1236" i="2"/>
  <c r="C1236" i="2"/>
  <c r="AB1235" i="2"/>
  <c r="X1235" i="2"/>
  <c r="V1235" i="2"/>
  <c r="R1235" i="2"/>
  <c r="E1235" i="2"/>
  <c r="D1235" i="2"/>
  <c r="C1235" i="2"/>
  <c r="AB1234" i="2"/>
  <c r="X1234" i="2"/>
  <c r="V1234" i="2"/>
  <c r="R1234" i="2"/>
  <c r="E1234" i="2"/>
  <c r="D1234" i="2"/>
  <c r="C1234" i="2"/>
  <c r="AB1233" i="2"/>
  <c r="X1233" i="2"/>
  <c r="V1233" i="2"/>
  <c r="R1233" i="2"/>
  <c r="E1233" i="2"/>
  <c r="D1233" i="2"/>
  <c r="C1233" i="2"/>
  <c r="AB1232" i="2"/>
  <c r="X1232" i="2"/>
  <c r="V1232" i="2"/>
  <c r="R1232" i="2"/>
  <c r="E1232" i="2"/>
  <c r="D1232" i="2"/>
  <c r="C1232" i="2"/>
  <c r="AB1231" i="2"/>
  <c r="X1231" i="2"/>
  <c r="V1231" i="2"/>
  <c r="R1231" i="2"/>
  <c r="E1231" i="2"/>
  <c r="D1231" i="2"/>
  <c r="C1231" i="2"/>
  <c r="AB1230" i="2"/>
  <c r="X1230" i="2"/>
  <c r="V1230" i="2"/>
  <c r="R1230" i="2"/>
  <c r="E1230" i="2"/>
  <c r="D1230" i="2"/>
  <c r="C1230" i="2"/>
  <c r="AB1229" i="2"/>
  <c r="X1229" i="2"/>
  <c r="V1229" i="2"/>
  <c r="R1229" i="2"/>
  <c r="E1229" i="2"/>
  <c r="D1229" i="2"/>
  <c r="C1229" i="2"/>
  <c r="AB1228" i="2"/>
  <c r="X1228" i="2"/>
  <c r="V1228" i="2"/>
  <c r="R1228" i="2"/>
  <c r="E1228" i="2"/>
  <c r="D1228" i="2"/>
  <c r="C1228" i="2"/>
  <c r="AB1227" i="2"/>
  <c r="X1227" i="2"/>
  <c r="V1227" i="2"/>
  <c r="R1227" i="2"/>
  <c r="E1227" i="2"/>
  <c r="D1227" i="2"/>
  <c r="C1227" i="2"/>
  <c r="AB1226" i="2"/>
  <c r="X1226" i="2"/>
  <c r="V1226" i="2"/>
  <c r="R1226" i="2"/>
  <c r="E1226" i="2"/>
  <c r="D1226" i="2"/>
  <c r="C1226" i="2"/>
  <c r="AB1225" i="2"/>
  <c r="X1225" i="2"/>
  <c r="V1225" i="2"/>
  <c r="R1225" i="2"/>
  <c r="E1225" i="2"/>
  <c r="D1225" i="2"/>
  <c r="C1225" i="2"/>
  <c r="AB1224" i="2"/>
  <c r="X1224" i="2"/>
  <c r="V1224" i="2"/>
  <c r="R1224" i="2"/>
  <c r="E1224" i="2"/>
  <c r="D1224" i="2"/>
  <c r="C1224" i="2"/>
  <c r="AB1223" i="2"/>
  <c r="X1223" i="2"/>
  <c r="V1223" i="2"/>
  <c r="R1223" i="2"/>
  <c r="E1223" i="2"/>
  <c r="D1223" i="2"/>
  <c r="C1223" i="2"/>
  <c r="AB1222" i="2"/>
  <c r="X1222" i="2"/>
  <c r="V1222" i="2"/>
  <c r="R1222" i="2"/>
  <c r="E1222" i="2"/>
  <c r="D1222" i="2"/>
  <c r="C1222" i="2"/>
  <c r="AB1221" i="2"/>
  <c r="X1221" i="2"/>
  <c r="V1221" i="2"/>
  <c r="R1221" i="2"/>
  <c r="E1221" i="2"/>
  <c r="D1221" i="2"/>
  <c r="C1221" i="2"/>
  <c r="AB1220" i="2"/>
  <c r="X1220" i="2"/>
  <c r="V1220" i="2"/>
  <c r="R1220" i="2"/>
  <c r="E1220" i="2"/>
  <c r="D1220" i="2"/>
  <c r="C1220" i="2"/>
  <c r="AB1219" i="2"/>
  <c r="X1219" i="2"/>
  <c r="V1219" i="2"/>
  <c r="R1219" i="2"/>
  <c r="E1219" i="2"/>
  <c r="D1219" i="2"/>
  <c r="C1219" i="2"/>
  <c r="AB1218" i="2"/>
  <c r="X1218" i="2"/>
  <c r="V1218" i="2"/>
  <c r="R1218" i="2"/>
  <c r="E1218" i="2"/>
  <c r="D1218" i="2"/>
  <c r="C1218" i="2"/>
  <c r="AB1217" i="2"/>
  <c r="X1217" i="2"/>
  <c r="V1217" i="2"/>
  <c r="R1217" i="2"/>
  <c r="E1217" i="2"/>
  <c r="D1217" i="2"/>
  <c r="C1217" i="2"/>
  <c r="AB1216" i="2"/>
  <c r="X1216" i="2"/>
  <c r="V1216" i="2"/>
  <c r="R1216" i="2"/>
  <c r="E1216" i="2"/>
  <c r="D1216" i="2"/>
  <c r="C1216" i="2"/>
  <c r="AB1215" i="2"/>
  <c r="X1215" i="2"/>
  <c r="V1215" i="2"/>
  <c r="R1215" i="2"/>
  <c r="E1215" i="2"/>
  <c r="D1215" i="2"/>
  <c r="C1215" i="2"/>
  <c r="AB1214" i="2"/>
  <c r="X1214" i="2"/>
  <c r="V1214" i="2"/>
  <c r="R1214" i="2"/>
  <c r="E1214" i="2"/>
  <c r="D1214" i="2"/>
  <c r="C1214" i="2"/>
  <c r="AB1213" i="2"/>
  <c r="X1213" i="2"/>
  <c r="V1213" i="2"/>
  <c r="R1213" i="2"/>
  <c r="E1213" i="2"/>
  <c r="D1213" i="2"/>
  <c r="C1213" i="2"/>
  <c r="AB1212" i="2"/>
  <c r="X1212" i="2"/>
  <c r="V1212" i="2"/>
  <c r="R1212" i="2"/>
  <c r="E1212" i="2"/>
  <c r="D1212" i="2"/>
  <c r="C1212" i="2"/>
  <c r="AB1211" i="2"/>
  <c r="X1211" i="2"/>
  <c r="V1211" i="2"/>
  <c r="R1211" i="2"/>
  <c r="E1211" i="2"/>
  <c r="D1211" i="2"/>
  <c r="C1211" i="2"/>
  <c r="AB1210" i="2"/>
  <c r="X1210" i="2"/>
  <c r="V1210" i="2"/>
  <c r="R1210" i="2"/>
  <c r="E1210" i="2"/>
  <c r="D1210" i="2"/>
  <c r="C1210" i="2"/>
  <c r="AB1209" i="2"/>
  <c r="X1209" i="2"/>
  <c r="V1209" i="2"/>
  <c r="R1209" i="2"/>
  <c r="E1209" i="2"/>
  <c r="D1209" i="2"/>
  <c r="C1209" i="2"/>
  <c r="AB1208" i="2"/>
  <c r="X1208" i="2"/>
  <c r="V1208" i="2"/>
  <c r="R1208" i="2"/>
  <c r="E1208" i="2"/>
  <c r="D1208" i="2"/>
  <c r="C1208" i="2"/>
  <c r="AB1207" i="2"/>
  <c r="X1207" i="2"/>
  <c r="V1207" i="2"/>
  <c r="R1207" i="2"/>
  <c r="E1207" i="2"/>
  <c r="D1207" i="2"/>
  <c r="C1207" i="2"/>
  <c r="AB1206" i="2"/>
  <c r="X1206" i="2"/>
  <c r="V1206" i="2"/>
  <c r="R1206" i="2"/>
  <c r="E1206" i="2"/>
  <c r="D1206" i="2"/>
  <c r="C1206" i="2"/>
  <c r="AB1205" i="2"/>
  <c r="X1205" i="2"/>
  <c r="V1205" i="2"/>
  <c r="R1205" i="2"/>
  <c r="E1205" i="2"/>
  <c r="D1205" i="2"/>
  <c r="C1205" i="2"/>
  <c r="AB1204" i="2"/>
  <c r="X1204" i="2"/>
  <c r="V1204" i="2"/>
  <c r="R1204" i="2"/>
  <c r="E1204" i="2"/>
  <c r="D1204" i="2"/>
  <c r="C1204" i="2"/>
  <c r="AB1203" i="2"/>
  <c r="X1203" i="2"/>
  <c r="V1203" i="2"/>
  <c r="R1203" i="2"/>
  <c r="E1203" i="2"/>
  <c r="D1203" i="2"/>
  <c r="C1203" i="2"/>
  <c r="AB1202" i="2"/>
  <c r="X1202" i="2"/>
  <c r="V1202" i="2"/>
  <c r="R1202" i="2"/>
  <c r="E1202" i="2"/>
  <c r="D1202" i="2"/>
  <c r="C1202" i="2"/>
  <c r="AB1201" i="2"/>
  <c r="X1201" i="2"/>
  <c r="V1201" i="2"/>
  <c r="R1201" i="2"/>
  <c r="E1201" i="2"/>
  <c r="D1201" i="2"/>
  <c r="C1201" i="2"/>
  <c r="AB1200" i="2"/>
  <c r="X1200" i="2"/>
  <c r="V1200" i="2"/>
  <c r="R1200" i="2"/>
  <c r="E1200" i="2"/>
  <c r="D1200" i="2"/>
  <c r="C1200" i="2"/>
  <c r="AB1199" i="2"/>
  <c r="X1199" i="2"/>
  <c r="V1199" i="2"/>
  <c r="R1199" i="2"/>
  <c r="E1199" i="2"/>
  <c r="D1199" i="2"/>
  <c r="C1199" i="2"/>
  <c r="AB1198" i="2"/>
  <c r="X1198" i="2"/>
  <c r="V1198" i="2"/>
  <c r="R1198" i="2"/>
  <c r="E1198" i="2"/>
  <c r="D1198" i="2"/>
  <c r="C1198" i="2"/>
  <c r="AB1197" i="2"/>
  <c r="X1197" i="2"/>
  <c r="V1197" i="2"/>
  <c r="R1197" i="2"/>
  <c r="E1197" i="2"/>
  <c r="D1197" i="2"/>
  <c r="C1197" i="2"/>
  <c r="AB1196" i="2"/>
  <c r="X1196" i="2"/>
  <c r="V1196" i="2"/>
  <c r="R1196" i="2"/>
  <c r="E1196" i="2"/>
  <c r="D1196" i="2"/>
  <c r="C1196" i="2"/>
  <c r="AB1195" i="2"/>
  <c r="X1195" i="2"/>
  <c r="V1195" i="2"/>
  <c r="R1195" i="2"/>
  <c r="E1195" i="2"/>
  <c r="D1195" i="2"/>
  <c r="C1195" i="2"/>
  <c r="AB1194" i="2"/>
  <c r="X1194" i="2"/>
  <c r="V1194" i="2"/>
  <c r="R1194" i="2"/>
  <c r="E1194" i="2"/>
  <c r="D1194" i="2"/>
  <c r="C1194" i="2"/>
  <c r="AB1193" i="2"/>
  <c r="X1193" i="2"/>
  <c r="V1193" i="2"/>
  <c r="R1193" i="2"/>
  <c r="E1193" i="2"/>
  <c r="D1193" i="2"/>
  <c r="C1193" i="2"/>
  <c r="AB1192" i="2"/>
  <c r="X1192" i="2"/>
  <c r="V1192" i="2"/>
  <c r="R1192" i="2"/>
  <c r="E1192" i="2"/>
  <c r="D1192" i="2"/>
  <c r="C1192" i="2"/>
  <c r="AB1191" i="2"/>
  <c r="X1191" i="2"/>
  <c r="V1191" i="2"/>
  <c r="R1191" i="2"/>
  <c r="E1191" i="2"/>
  <c r="D1191" i="2"/>
  <c r="C1191" i="2"/>
  <c r="AB1190" i="2"/>
  <c r="X1190" i="2"/>
  <c r="V1190" i="2"/>
  <c r="R1190" i="2"/>
  <c r="E1190" i="2"/>
  <c r="D1190" i="2"/>
  <c r="C1190" i="2"/>
  <c r="AB1189" i="2"/>
  <c r="X1189" i="2"/>
  <c r="V1189" i="2"/>
  <c r="R1189" i="2"/>
  <c r="E1189" i="2"/>
  <c r="D1189" i="2"/>
  <c r="C1189" i="2"/>
  <c r="AB1188" i="2"/>
  <c r="X1188" i="2"/>
  <c r="V1188" i="2"/>
  <c r="R1188" i="2"/>
  <c r="E1188" i="2"/>
  <c r="D1188" i="2"/>
  <c r="C1188" i="2"/>
  <c r="AB1187" i="2"/>
  <c r="X1187" i="2"/>
  <c r="V1187" i="2"/>
  <c r="R1187" i="2"/>
  <c r="E1187" i="2"/>
  <c r="D1187" i="2"/>
  <c r="C1187" i="2"/>
  <c r="AB1186" i="2"/>
  <c r="X1186" i="2"/>
  <c r="V1186" i="2"/>
  <c r="R1186" i="2"/>
  <c r="E1186" i="2"/>
  <c r="D1186" i="2"/>
  <c r="C1186" i="2"/>
  <c r="AB1185" i="2"/>
  <c r="X1185" i="2"/>
  <c r="V1185" i="2"/>
  <c r="R1185" i="2"/>
  <c r="E1185" i="2"/>
  <c r="D1185" i="2"/>
  <c r="C1185" i="2"/>
  <c r="AB1184" i="2"/>
  <c r="X1184" i="2"/>
  <c r="V1184" i="2"/>
  <c r="R1184" i="2"/>
  <c r="E1184" i="2"/>
  <c r="D1184" i="2"/>
  <c r="C1184" i="2"/>
  <c r="AB1183" i="2"/>
  <c r="X1183" i="2"/>
  <c r="V1183" i="2"/>
  <c r="R1183" i="2"/>
  <c r="E1183" i="2"/>
  <c r="D1183" i="2"/>
  <c r="C1183" i="2"/>
  <c r="AB1182" i="2"/>
  <c r="X1182" i="2"/>
  <c r="V1182" i="2"/>
  <c r="R1182" i="2"/>
  <c r="E1182" i="2"/>
  <c r="D1182" i="2"/>
  <c r="C1182" i="2"/>
  <c r="AB1181" i="2"/>
  <c r="X1181" i="2"/>
  <c r="V1181" i="2"/>
  <c r="R1181" i="2"/>
  <c r="E1181" i="2"/>
  <c r="D1181" i="2"/>
  <c r="C1181" i="2"/>
  <c r="AB1180" i="2"/>
  <c r="X1180" i="2"/>
  <c r="V1180" i="2"/>
  <c r="R1180" i="2"/>
  <c r="E1180" i="2"/>
  <c r="D1180" i="2"/>
  <c r="C1180" i="2"/>
  <c r="AB1179" i="2"/>
  <c r="X1179" i="2"/>
  <c r="V1179" i="2"/>
  <c r="R1179" i="2"/>
  <c r="E1179" i="2"/>
  <c r="D1179" i="2"/>
  <c r="C1179" i="2"/>
  <c r="AB1178" i="2"/>
  <c r="X1178" i="2"/>
  <c r="V1178" i="2"/>
  <c r="R1178" i="2"/>
  <c r="E1178" i="2"/>
  <c r="D1178" i="2"/>
  <c r="C1178" i="2"/>
  <c r="AB1177" i="2"/>
  <c r="X1177" i="2"/>
  <c r="V1177" i="2"/>
  <c r="R1177" i="2"/>
  <c r="E1177" i="2"/>
  <c r="D1177" i="2"/>
  <c r="C1177" i="2"/>
  <c r="AB1176" i="2"/>
  <c r="X1176" i="2"/>
  <c r="V1176" i="2"/>
  <c r="R1176" i="2"/>
  <c r="E1176" i="2"/>
  <c r="D1176" i="2"/>
  <c r="C1176" i="2"/>
  <c r="AB1175" i="2"/>
  <c r="X1175" i="2"/>
  <c r="V1175" i="2"/>
  <c r="R1175" i="2"/>
  <c r="E1175" i="2"/>
  <c r="D1175" i="2"/>
  <c r="C1175" i="2"/>
  <c r="AB1174" i="2"/>
  <c r="X1174" i="2"/>
  <c r="V1174" i="2"/>
  <c r="R1174" i="2"/>
  <c r="E1174" i="2"/>
  <c r="D1174" i="2"/>
  <c r="C1174" i="2"/>
  <c r="AB1173" i="2"/>
  <c r="X1173" i="2"/>
  <c r="V1173" i="2"/>
  <c r="R1173" i="2"/>
  <c r="E1173" i="2"/>
  <c r="D1173" i="2"/>
  <c r="C1173" i="2"/>
  <c r="AB1172" i="2"/>
  <c r="X1172" i="2"/>
  <c r="V1172" i="2"/>
  <c r="R1172" i="2"/>
  <c r="E1172" i="2"/>
  <c r="D1172" i="2"/>
  <c r="C1172" i="2"/>
  <c r="AB1171" i="2"/>
  <c r="X1171" i="2"/>
  <c r="V1171" i="2"/>
  <c r="R1171" i="2"/>
  <c r="E1171" i="2"/>
  <c r="D1171" i="2"/>
  <c r="C1171" i="2"/>
  <c r="AB1170" i="2"/>
  <c r="X1170" i="2"/>
  <c r="V1170" i="2"/>
  <c r="R1170" i="2"/>
  <c r="E1170" i="2"/>
  <c r="D1170" i="2"/>
  <c r="C1170" i="2"/>
  <c r="AB1169" i="2"/>
  <c r="X1169" i="2"/>
  <c r="V1169" i="2"/>
  <c r="R1169" i="2"/>
  <c r="E1169" i="2"/>
  <c r="D1169" i="2"/>
  <c r="C1169" i="2"/>
  <c r="AB1168" i="2"/>
  <c r="X1168" i="2"/>
  <c r="V1168" i="2"/>
  <c r="R1168" i="2"/>
  <c r="E1168" i="2"/>
  <c r="D1168" i="2"/>
  <c r="C1168" i="2"/>
  <c r="AB1167" i="2"/>
  <c r="X1167" i="2"/>
  <c r="V1167" i="2"/>
  <c r="R1167" i="2"/>
  <c r="E1167" i="2"/>
  <c r="D1167" i="2"/>
  <c r="C1167" i="2"/>
  <c r="AB1166" i="2"/>
  <c r="X1166" i="2"/>
  <c r="V1166" i="2"/>
  <c r="R1166" i="2"/>
  <c r="E1166" i="2"/>
  <c r="D1166" i="2"/>
  <c r="C1166" i="2"/>
  <c r="AB1165" i="2"/>
  <c r="X1165" i="2"/>
  <c r="V1165" i="2"/>
  <c r="R1165" i="2"/>
  <c r="E1165" i="2"/>
  <c r="D1165" i="2"/>
  <c r="C1165" i="2"/>
  <c r="AB1164" i="2"/>
  <c r="X1164" i="2"/>
  <c r="V1164" i="2"/>
  <c r="R1164" i="2"/>
  <c r="E1164" i="2"/>
  <c r="D1164" i="2"/>
  <c r="C1164" i="2"/>
  <c r="AB1163" i="2"/>
  <c r="X1163" i="2"/>
  <c r="V1163" i="2"/>
  <c r="R1163" i="2"/>
  <c r="E1163" i="2"/>
  <c r="D1163" i="2"/>
  <c r="C1163" i="2"/>
  <c r="AB1162" i="2"/>
  <c r="X1162" i="2"/>
  <c r="V1162" i="2"/>
  <c r="R1162" i="2"/>
  <c r="E1162" i="2"/>
  <c r="D1162" i="2"/>
  <c r="C1162" i="2"/>
  <c r="AB1161" i="2"/>
  <c r="X1161" i="2"/>
  <c r="V1161" i="2"/>
  <c r="R1161" i="2"/>
  <c r="E1161" i="2"/>
  <c r="D1161" i="2"/>
  <c r="C1161" i="2"/>
  <c r="AB1160" i="2"/>
  <c r="X1160" i="2"/>
  <c r="V1160" i="2"/>
  <c r="R1160" i="2"/>
  <c r="E1160" i="2"/>
  <c r="D1160" i="2"/>
  <c r="C1160" i="2"/>
  <c r="AB1159" i="2"/>
  <c r="X1159" i="2"/>
  <c r="V1159" i="2"/>
  <c r="R1159" i="2"/>
  <c r="E1159" i="2"/>
  <c r="D1159" i="2"/>
  <c r="C1159" i="2"/>
  <c r="AB1158" i="2"/>
  <c r="X1158" i="2"/>
  <c r="V1158" i="2"/>
  <c r="R1158" i="2"/>
  <c r="E1158" i="2"/>
  <c r="D1158" i="2"/>
  <c r="C1158" i="2"/>
  <c r="AB1157" i="2"/>
  <c r="X1157" i="2"/>
  <c r="V1157" i="2"/>
  <c r="R1157" i="2"/>
  <c r="E1157" i="2"/>
  <c r="D1157" i="2"/>
  <c r="C1157" i="2"/>
  <c r="AB1156" i="2"/>
  <c r="X1156" i="2"/>
  <c r="V1156" i="2"/>
  <c r="R1156" i="2"/>
  <c r="E1156" i="2"/>
  <c r="D1156" i="2"/>
  <c r="C1156" i="2"/>
  <c r="AB1155" i="2"/>
  <c r="X1155" i="2"/>
  <c r="V1155" i="2"/>
  <c r="R1155" i="2"/>
  <c r="E1155" i="2"/>
  <c r="D1155" i="2"/>
  <c r="C1155" i="2"/>
  <c r="AB1154" i="2"/>
  <c r="X1154" i="2"/>
  <c r="V1154" i="2"/>
  <c r="R1154" i="2"/>
  <c r="E1154" i="2"/>
  <c r="D1154" i="2"/>
  <c r="C1154" i="2"/>
  <c r="AB1153" i="2"/>
  <c r="X1153" i="2"/>
  <c r="V1153" i="2"/>
  <c r="R1153" i="2"/>
  <c r="E1153" i="2"/>
  <c r="D1153" i="2"/>
  <c r="C1153" i="2"/>
  <c r="AB1152" i="2"/>
  <c r="X1152" i="2"/>
  <c r="V1152" i="2"/>
  <c r="R1152" i="2"/>
  <c r="E1152" i="2"/>
  <c r="D1152" i="2"/>
  <c r="C1152" i="2"/>
  <c r="AB1151" i="2"/>
  <c r="X1151" i="2"/>
  <c r="V1151" i="2"/>
  <c r="R1151" i="2"/>
  <c r="E1151" i="2"/>
  <c r="D1151" i="2"/>
  <c r="C1151" i="2"/>
  <c r="AB1150" i="2"/>
  <c r="X1150" i="2"/>
  <c r="V1150" i="2"/>
  <c r="R1150" i="2"/>
  <c r="E1150" i="2"/>
  <c r="D1150" i="2"/>
  <c r="C1150" i="2"/>
  <c r="AB1149" i="2"/>
  <c r="X1149" i="2"/>
  <c r="V1149" i="2"/>
  <c r="R1149" i="2"/>
  <c r="E1149" i="2"/>
  <c r="D1149" i="2"/>
  <c r="C1149" i="2"/>
  <c r="AB1148" i="2"/>
  <c r="X1148" i="2"/>
  <c r="V1148" i="2"/>
  <c r="R1148" i="2"/>
  <c r="E1148" i="2"/>
  <c r="D1148" i="2"/>
  <c r="C1148" i="2"/>
  <c r="AB1147" i="2"/>
  <c r="X1147" i="2"/>
  <c r="V1147" i="2"/>
  <c r="R1147" i="2"/>
  <c r="E1147" i="2"/>
  <c r="D1147" i="2"/>
  <c r="C1147" i="2"/>
  <c r="AB1146" i="2"/>
  <c r="X1146" i="2"/>
  <c r="V1146" i="2"/>
  <c r="R1146" i="2"/>
  <c r="E1146" i="2"/>
  <c r="D1146" i="2"/>
  <c r="C1146" i="2"/>
  <c r="AB1145" i="2"/>
  <c r="X1145" i="2"/>
  <c r="V1145" i="2"/>
  <c r="R1145" i="2"/>
  <c r="E1145" i="2"/>
  <c r="D1145" i="2"/>
  <c r="C1145" i="2"/>
  <c r="AB1144" i="2"/>
  <c r="X1144" i="2"/>
  <c r="V1144" i="2"/>
  <c r="R1144" i="2"/>
  <c r="E1144" i="2"/>
  <c r="D1144" i="2"/>
  <c r="C1144" i="2"/>
  <c r="AB1143" i="2"/>
  <c r="X1143" i="2"/>
  <c r="V1143" i="2"/>
  <c r="R1143" i="2"/>
  <c r="E1143" i="2"/>
  <c r="D1143" i="2"/>
  <c r="C1143" i="2"/>
  <c r="AB1142" i="2"/>
  <c r="X1142" i="2"/>
  <c r="V1142" i="2"/>
  <c r="R1142" i="2"/>
  <c r="E1142" i="2"/>
  <c r="D1142" i="2"/>
  <c r="C1142" i="2"/>
  <c r="AB1141" i="2"/>
  <c r="X1141" i="2"/>
  <c r="V1141" i="2"/>
  <c r="R1141" i="2"/>
  <c r="E1141" i="2"/>
  <c r="D1141" i="2"/>
  <c r="C1141" i="2"/>
  <c r="AB1140" i="2"/>
  <c r="X1140" i="2"/>
  <c r="V1140" i="2"/>
  <c r="R1140" i="2"/>
  <c r="E1140" i="2"/>
  <c r="D1140" i="2"/>
  <c r="C1140" i="2"/>
  <c r="AB1139" i="2"/>
  <c r="X1139" i="2"/>
  <c r="V1139" i="2"/>
  <c r="R1139" i="2"/>
  <c r="E1139" i="2"/>
  <c r="D1139" i="2"/>
  <c r="C1139" i="2"/>
  <c r="AB1138" i="2"/>
  <c r="X1138" i="2"/>
  <c r="V1138" i="2"/>
  <c r="R1138" i="2"/>
  <c r="E1138" i="2"/>
  <c r="D1138" i="2"/>
  <c r="C1138" i="2"/>
  <c r="AB1137" i="2"/>
  <c r="X1137" i="2"/>
  <c r="V1137" i="2"/>
  <c r="R1137" i="2"/>
  <c r="E1137" i="2"/>
  <c r="D1137" i="2"/>
  <c r="C1137" i="2"/>
  <c r="AB1136" i="2"/>
  <c r="X1136" i="2"/>
  <c r="V1136" i="2"/>
  <c r="R1136" i="2"/>
  <c r="E1136" i="2"/>
  <c r="D1136" i="2"/>
  <c r="C1136" i="2"/>
  <c r="AB1135" i="2"/>
  <c r="X1135" i="2"/>
  <c r="V1135" i="2"/>
  <c r="R1135" i="2"/>
  <c r="E1135" i="2"/>
  <c r="D1135" i="2"/>
  <c r="C1135" i="2"/>
  <c r="AB1134" i="2"/>
  <c r="X1134" i="2"/>
  <c r="V1134" i="2"/>
  <c r="R1134" i="2"/>
  <c r="E1134" i="2"/>
  <c r="D1134" i="2"/>
  <c r="C1134" i="2"/>
  <c r="AB1133" i="2"/>
  <c r="X1133" i="2"/>
  <c r="V1133" i="2"/>
  <c r="R1133" i="2"/>
  <c r="E1133" i="2"/>
  <c r="D1133" i="2"/>
  <c r="C1133" i="2"/>
  <c r="AB1132" i="2"/>
  <c r="X1132" i="2"/>
  <c r="V1132" i="2"/>
  <c r="R1132" i="2"/>
  <c r="E1132" i="2"/>
  <c r="D1132" i="2"/>
  <c r="C1132" i="2"/>
  <c r="AB1131" i="2"/>
  <c r="X1131" i="2"/>
  <c r="V1131" i="2"/>
  <c r="R1131" i="2"/>
  <c r="E1131" i="2"/>
  <c r="D1131" i="2"/>
  <c r="C1131" i="2"/>
  <c r="AB1130" i="2"/>
  <c r="X1130" i="2"/>
  <c r="V1130" i="2"/>
  <c r="R1130" i="2"/>
  <c r="E1130" i="2"/>
  <c r="D1130" i="2"/>
  <c r="C1130" i="2"/>
  <c r="AB1129" i="2"/>
  <c r="X1129" i="2"/>
  <c r="V1129" i="2"/>
  <c r="R1129" i="2"/>
  <c r="E1129" i="2"/>
  <c r="D1129" i="2"/>
  <c r="C1129" i="2"/>
  <c r="AB1128" i="2"/>
  <c r="X1128" i="2"/>
  <c r="V1128" i="2"/>
  <c r="R1128" i="2"/>
  <c r="E1128" i="2"/>
  <c r="D1128" i="2"/>
  <c r="C1128" i="2"/>
  <c r="AB1127" i="2"/>
  <c r="X1127" i="2"/>
  <c r="V1127" i="2"/>
  <c r="R1127" i="2"/>
  <c r="E1127" i="2"/>
  <c r="D1127" i="2"/>
  <c r="C1127" i="2"/>
  <c r="AB1126" i="2"/>
  <c r="X1126" i="2"/>
  <c r="V1126" i="2"/>
  <c r="R1126" i="2"/>
  <c r="E1126" i="2"/>
  <c r="D1126" i="2"/>
  <c r="C1126" i="2"/>
  <c r="AB1125" i="2"/>
  <c r="X1125" i="2"/>
  <c r="V1125" i="2"/>
  <c r="R1125" i="2"/>
  <c r="E1125" i="2"/>
  <c r="D1125" i="2"/>
  <c r="C1125" i="2"/>
  <c r="AB1124" i="2"/>
  <c r="X1124" i="2"/>
  <c r="V1124" i="2"/>
  <c r="R1124" i="2"/>
  <c r="E1124" i="2"/>
  <c r="D1124" i="2"/>
  <c r="C1124" i="2"/>
  <c r="AB1123" i="2"/>
  <c r="X1123" i="2"/>
  <c r="V1123" i="2"/>
  <c r="R1123" i="2"/>
  <c r="E1123" i="2"/>
  <c r="D1123" i="2"/>
  <c r="C1123" i="2"/>
  <c r="AB1122" i="2"/>
  <c r="X1122" i="2"/>
  <c r="V1122" i="2"/>
  <c r="R1122" i="2"/>
  <c r="E1122" i="2"/>
  <c r="D1122" i="2"/>
  <c r="C1122" i="2"/>
  <c r="AB1121" i="2"/>
  <c r="X1121" i="2"/>
  <c r="V1121" i="2"/>
  <c r="R1121" i="2"/>
  <c r="E1121" i="2"/>
  <c r="D1121" i="2"/>
  <c r="C1121" i="2"/>
  <c r="AB1120" i="2"/>
  <c r="X1120" i="2"/>
  <c r="V1120" i="2"/>
  <c r="R1120" i="2"/>
  <c r="E1120" i="2"/>
  <c r="D1120" i="2"/>
  <c r="C1120" i="2"/>
  <c r="AB1119" i="2"/>
  <c r="X1119" i="2"/>
  <c r="V1119" i="2"/>
  <c r="R1119" i="2"/>
  <c r="E1119" i="2"/>
  <c r="D1119" i="2"/>
  <c r="C1119" i="2"/>
  <c r="AB1118" i="2"/>
  <c r="X1118" i="2"/>
  <c r="V1118" i="2"/>
  <c r="R1118" i="2"/>
  <c r="E1118" i="2"/>
  <c r="D1118" i="2"/>
  <c r="C1118" i="2"/>
  <c r="AB1117" i="2"/>
  <c r="X1117" i="2"/>
  <c r="V1117" i="2"/>
  <c r="R1117" i="2"/>
  <c r="E1117" i="2"/>
  <c r="D1117" i="2"/>
  <c r="C1117" i="2"/>
  <c r="AB1116" i="2"/>
  <c r="X1116" i="2"/>
  <c r="V1116" i="2"/>
  <c r="R1116" i="2"/>
  <c r="E1116" i="2"/>
  <c r="D1116" i="2"/>
  <c r="C1116" i="2"/>
  <c r="AB1115" i="2"/>
  <c r="X1115" i="2"/>
  <c r="V1115" i="2"/>
  <c r="R1115" i="2"/>
  <c r="E1115" i="2"/>
  <c r="D1115" i="2"/>
  <c r="C1115" i="2"/>
  <c r="AB1114" i="2"/>
  <c r="X1114" i="2"/>
  <c r="V1114" i="2"/>
  <c r="R1114" i="2"/>
  <c r="E1114" i="2"/>
  <c r="D1114" i="2"/>
  <c r="C1114" i="2"/>
  <c r="AB1113" i="2"/>
  <c r="X1113" i="2"/>
  <c r="V1113" i="2"/>
  <c r="R1113" i="2"/>
  <c r="E1113" i="2"/>
  <c r="D1113" i="2"/>
  <c r="C1113" i="2"/>
  <c r="AB1112" i="2"/>
  <c r="X1112" i="2"/>
  <c r="V1112" i="2"/>
  <c r="R1112" i="2"/>
  <c r="E1112" i="2"/>
  <c r="D1112" i="2"/>
  <c r="C1112" i="2"/>
  <c r="AB1111" i="2"/>
  <c r="X1111" i="2"/>
  <c r="V1111" i="2"/>
  <c r="R1111" i="2"/>
  <c r="E1111" i="2"/>
  <c r="D1111" i="2"/>
  <c r="C1111" i="2"/>
  <c r="AB1110" i="2"/>
  <c r="X1110" i="2"/>
  <c r="V1110" i="2"/>
  <c r="R1110" i="2"/>
  <c r="E1110" i="2"/>
  <c r="D1110" i="2"/>
  <c r="C1110" i="2"/>
  <c r="AB1109" i="2"/>
  <c r="X1109" i="2"/>
  <c r="V1109" i="2"/>
  <c r="R1109" i="2"/>
  <c r="E1109" i="2"/>
  <c r="D1109" i="2"/>
  <c r="C1109" i="2"/>
  <c r="AB1108" i="2"/>
  <c r="X1108" i="2"/>
  <c r="V1108" i="2"/>
  <c r="R1108" i="2"/>
  <c r="E1108" i="2"/>
  <c r="D1108" i="2"/>
  <c r="C1108" i="2"/>
  <c r="AB1107" i="2"/>
  <c r="X1107" i="2"/>
  <c r="V1107" i="2"/>
  <c r="R1107" i="2"/>
  <c r="E1107" i="2"/>
  <c r="D1107" i="2"/>
  <c r="C1107" i="2"/>
  <c r="AB1106" i="2"/>
  <c r="X1106" i="2"/>
  <c r="V1106" i="2"/>
  <c r="R1106" i="2"/>
  <c r="E1106" i="2"/>
  <c r="D1106" i="2"/>
  <c r="C1106" i="2"/>
  <c r="AB1105" i="2"/>
  <c r="X1105" i="2"/>
  <c r="V1105" i="2"/>
  <c r="R1105" i="2"/>
  <c r="E1105" i="2"/>
  <c r="D1105" i="2"/>
  <c r="C1105" i="2"/>
  <c r="AB1104" i="2"/>
  <c r="X1104" i="2"/>
  <c r="V1104" i="2"/>
  <c r="R1104" i="2"/>
  <c r="E1104" i="2"/>
  <c r="D1104" i="2"/>
  <c r="C1104" i="2"/>
  <c r="AB1103" i="2"/>
  <c r="X1103" i="2"/>
  <c r="V1103" i="2"/>
  <c r="R1103" i="2"/>
  <c r="E1103" i="2"/>
  <c r="D1103" i="2"/>
  <c r="C1103" i="2"/>
  <c r="AB1102" i="2"/>
  <c r="X1102" i="2"/>
  <c r="V1102" i="2"/>
  <c r="R1102" i="2"/>
  <c r="E1102" i="2"/>
  <c r="D1102" i="2"/>
  <c r="C1102" i="2"/>
  <c r="AB1101" i="2"/>
  <c r="X1101" i="2"/>
  <c r="V1101" i="2"/>
  <c r="R1101" i="2"/>
  <c r="E1101" i="2"/>
  <c r="D1101" i="2"/>
  <c r="C1101" i="2"/>
  <c r="AB1100" i="2"/>
  <c r="X1100" i="2"/>
  <c r="V1100" i="2"/>
  <c r="R1100" i="2"/>
  <c r="E1100" i="2"/>
  <c r="D1100" i="2"/>
  <c r="C1100" i="2"/>
  <c r="AB1099" i="2"/>
  <c r="X1099" i="2"/>
  <c r="V1099" i="2"/>
  <c r="R1099" i="2"/>
  <c r="E1099" i="2"/>
  <c r="D1099" i="2"/>
  <c r="C1099" i="2"/>
  <c r="AB1098" i="2"/>
  <c r="X1098" i="2"/>
  <c r="V1098" i="2"/>
  <c r="R1098" i="2"/>
  <c r="E1098" i="2"/>
  <c r="D1098" i="2"/>
  <c r="C1098" i="2"/>
  <c r="AB1097" i="2"/>
  <c r="X1097" i="2"/>
  <c r="V1097" i="2"/>
  <c r="R1097" i="2"/>
  <c r="E1097" i="2"/>
  <c r="D1097" i="2"/>
  <c r="C1097" i="2"/>
  <c r="AB1096" i="2"/>
  <c r="X1096" i="2"/>
  <c r="V1096" i="2"/>
  <c r="R1096" i="2"/>
  <c r="E1096" i="2"/>
  <c r="D1096" i="2"/>
  <c r="C1096" i="2"/>
  <c r="AB1095" i="2"/>
  <c r="X1095" i="2"/>
  <c r="V1095" i="2"/>
  <c r="R1095" i="2"/>
  <c r="E1095" i="2"/>
  <c r="D1095" i="2"/>
  <c r="C1095" i="2"/>
  <c r="AB1094" i="2"/>
  <c r="X1094" i="2"/>
  <c r="V1094" i="2"/>
  <c r="R1094" i="2"/>
  <c r="E1094" i="2"/>
  <c r="D1094" i="2"/>
  <c r="C1094" i="2"/>
  <c r="AB1093" i="2"/>
  <c r="X1093" i="2"/>
  <c r="V1093" i="2"/>
  <c r="R1093" i="2"/>
  <c r="E1093" i="2"/>
  <c r="D1093" i="2"/>
  <c r="C1093" i="2"/>
  <c r="AB1092" i="2"/>
  <c r="X1092" i="2"/>
  <c r="V1092" i="2"/>
  <c r="R1092" i="2"/>
  <c r="E1092" i="2"/>
  <c r="D1092" i="2"/>
  <c r="C1092" i="2"/>
  <c r="AB1091" i="2"/>
  <c r="X1091" i="2"/>
  <c r="V1091" i="2"/>
  <c r="R1091" i="2"/>
  <c r="E1091" i="2"/>
  <c r="D1091" i="2"/>
  <c r="C1091" i="2"/>
  <c r="AB1090" i="2"/>
  <c r="X1090" i="2"/>
  <c r="V1090" i="2"/>
  <c r="R1090" i="2"/>
  <c r="E1090" i="2"/>
  <c r="D1090" i="2"/>
  <c r="C1090" i="2"/>
  <c r="AB1089" i="2"/>
  <c r="X1089" i="2"/>
  <c r="V1089" i="2"/>
  <c r="R1089" i="2"/>
  <c r="E1089" i="2"/>
  <c r="D1089" i="2"/>
  <c r="C1089" i="2"/>
  <c r="AB1088" i="2"/>
  <c r="X1088" i="2"/>
  <c r="V1088" i="2"/>
  <c r="R1088" i="2"/>
  <c r="E1088" i="2"/>
  <c r="D1088" i="2"/>
  <c r="C1088" i="2"/>
  <c r="AB1087" i="2"/>
  <c r="X1087" i="2"/>
  <c r="V1087" i="2"/>
  <c r="R1087" i="2"/>
  <c r="E1087" i="2"/>
  <c r="D1087" i="2"/>
  <c r="C1087" i="2"/>
  <c r="AB1086" i="2"/>
  <c r="X1086" i="2"/>
  <c r="V1086" i="2"/>
  <c r="R1086" i="2"/>
  <c r="E1086" i="2"/>
  <c r="D1086" i="2"/>
  <c r="C1086" i="2"/>
  <c r="AB1085" i="2"/>
  <c r="X1085" i="2"/>
  <c r="V1085" i="2"/>
  <c r="R1085" i="2"/>
  <c r="E1085" i="2"/>
  <c r="D1085" i="2"/>
  <c r="C1085" i="2"/>
  <c r="AB1084" i="2"/>
  <c r="X1084" i="2"/>
  <c r="V1084" i="2"/>
  <c r="R1084" i="2"/>
  <c r="E1084" i="2"/>
  <c r="D1084" i="2"/>
  <c r="C1084" i="2"/>
  <c r="AB1083" i="2"/>
  <c r="X1083" i="2"/>
  <c r="V1083" i="2"/>
  <c r="R1083" i="2"/>
  <c r="E1083" i="2"/>
  <c r="D1083" i="2"/>
  <c r="C1083" i="2"/>
  <c r="AB1082" i="2"/>
  <c r="X1082" i="2"/>
  <c r="V1082" i="2"/>
  <c r="R1082" i="2"/>
  <c r="E1082" i="2"/>
  <c r="D1082" i="2"/>
  <c r="C1082" i="2"/>
  <c r="AB1081" i="2"/>
  <c r="X1081" i="2"/>
  <c r="V1081" i="2"/>
  <c r="R1081" i="2"/>
  <c r="E1081" i="2"/>
  <c r="D1081" i="2"/>
  <c r="C1081" i="2"/>
  <c r="AB1080" i="2"/>
  <c r="X1080" i="2"/>
  <c r="V1080" i="2"/>
  <c r="R1080" i="2"/>
  <c r="E1080" i="2"/>
  <c r="D1080" i="2"/>
  <c r="C1080" i="2"/>
  <c r="AB1079" i="2"/>
  <c r="X1079" i="2"/>
  <c r="V1079" i="2"/>
  <c r="R1079" i="2"/>
  <c r="E1079" i="2"/>
  <c r="D1079" i="2"/>
  <c r="C1079" i="2"/>
  <c r="AB1078" i="2"/>
  <c r="X1078" i="2"/>
  <c r="V1078" i="2"/>
  <c r="R1078" i="2"/>
  <c r="E1078" i="2"/>
  <c r="D1078" i="2"/>
  <c r="C1078" i="2"/>
  <c r="AB1077" i="2"/>
  <c r="X1077" i="2"/>
  <c r="V1077" i="2"/>
  <c r="R1077" i="2"/>
  <c r="E1077" i="2"/>
  <c r="D1077" i="2"/>
  <c r="C1077" i="2"/>
  <c r="AB1076" i="2"/>
  <c r="X1076" i="2"/>
  <c r="V1076" i="2"/>
  <c r="R1076" i="2"/>
  <c r="E1076" i="2"/>
  <c r="D1076" i="2"/>
  <c r="C1076" i="2"/>
  <c r="AB1075" i="2"/>
  <c r="X1075" i="2"/>
  <c r="V1075" i="2"/>
  <c r="R1075" i="2"/>
  <c r="E1075" i="2"/>
  <c r="D1075" i="2"/>
  <c r="C1075" i="2"/>
  <c r="AB1074" i="2"/>
  <c r="X1074" i="2"/>
  <c r="V1074" i="2"/>
  <c r="R1074" i="2"/>
  <c r="E1074" i="2"/>
  <c r="D1074" i="2"/>
  <c r="C1074" i="2"/>
  <c r="AB1073" i="2"/>
  <c r="X1073" i="2"/>
  <c r="V1073" i="2"/>
  <c r="R1073" i="2"/>
  <c r="E1073" i="2"/>
  <c r="D1073" i="2"/>
  <c r="C1073" i="2"/>
  <c r="AB1072" i="2"/>
  <c r="X1072" i="2"/>
  <c r="V1072" i="2"/>
  <c r="R1072" i="2"/>
  <c r="E1072" i="2"/>
  <c r="D1072" i="2"/>
  <c r="C1072" i="2"/>
  <c r="AB1071" i="2"/>
  <c r="X1071" i="2"/>
  <c r="V1071" i="2"/>
  <c r="R1071" i="2"/>
  <c r="E1071" i="2"/>
  <c r="D1071" i="2"/>
  <c r="C1071" i="2"/>
  <c r="AB1070" i="2"/>
  <c r="X1070" i="2"/>
  <c r="V1070" i="2"/>
  <c r="R1070" i="2"/>
  <c r="E1070" i="2"/>
  <c r="D1070" i="2"/>
  <c r="C1070" i="2"/>
  <c r="AB1069" i="2"/>
  <c r="X1069" i="2"/>
  <c r="V1069" i="2"/>
  <c r="R1069" i="2"/>
  <c r="E1069" i="2"/>
  <c r="D1069" i="2"/>
  <c r="C1069" i="2"/>
  <c r="AB1068" i="2"/>
  <c r="X1068" i="2"/>
  <c r="V1068" i="2"/>
  <c r="R1068" i="2"/>
  <c r="E1068" i="2"/>
  <c r="D1068" i="2"/>
  <c r="C1068" i="2"/>
  <c r="AB1067" i="2"/>
  <c r="X1067" i="2"/>
  <c r="V1067" i="2"/>
  <c r="R1067" i="2"/>
  <c r="E1067" i="2"/>
  <c r="D1067" i="2"/>
  <c r="C1067" i="2"/>
  <c r="AB1066" i="2"/>
  <c r="X1066" i="2"/>
  <c r="V1066" i="2"/>
  <c r="R1066" i="2"/>
  <c r="E1066" i="2"/>
  <c r="D1066" i="2"/>
  <c r="C1066" i="2"/>
  <c r="AB1065" i="2"/>
  <c r="X1065" i="2"/>
  <c r="V1065" i="2"/>
  <c r="R1065" i="2"/>
  <c r="E1065" i="2"/>
  <c r="D1065" i="2"/>
  <c r="C1065" i="2"/>
  <c r="AB1064" i="2"/>
  <c r="X1064" i="2"/>
  <c r="V1064" i="2"/>
  <c r="R1064" i="2"/>
  <c r="E1064" i="2"/>
  <c r="D1064" i="2"/>
  <c r="C1064" i="2"/>
  <c r="AB1063" i="2"/>
  <c r="X1063" i="2"/>
  <c r="V1063" i="2"/>
  <c r="R1063" i="2"/>
  <c r="E1063" i="2"/>
  <c r="D1063" i="2"/>
  <c r="C1063" i="2"/>
  <c r="AB1062" i="2"/>
  <c r="X1062" i="2"/>
  <c r="V1062" i="2"/>
  <c r="R1062" i="2"/>
  <c r="E1062" i="2"/>
  <c r="D1062" i="2"/>
  <c r="C1062" i="2"/>
  <c r="AB1061" i="2"/>
  <c r="X1061" i="2"/>
  <c r="V1061" i="2"/>
  <c r="R1061" i="2"/>
  <c r="E1061" i="2"/>
  <c r="D1061" i="2"/>
  <c r="C1061" i="2"/>
  <c r="AB1060" i="2"/>
  <c r="X1060" i="2"/>
  <c r="V1060" i="2"/>
  <c r="R1060" i="2"/>
  <c r="E1060" i="2"/>
  <c r="D1060" i="2"/>
  <c r="C1060" i="2"/>
  <c r="AB1059" i="2"/>
  <c r="X1059" i="2"/>
  <c r="V1059" i="2"/>
  <c r="R1059" i="2"/>
  <c r="E1059" i="2"/>
  <c r="D1059" i="2"/>
  <c r="C1059" i="2"/>
  <c r="AB1058" i="2"/>
  <c r="X1058" i="2"/>
  <c r="V1058" i="2"/>
  <c r="R1058" i="2"/>
  <c r="E1058" i="2"/>
  <c r="D1058" i="2"/>
  <c r="C1058" i="2"/>
  <c r="AB1057" i="2"/>
  <c r="X1057" i="2"/>
  <c r="V1057" i="2"/>
  <c r="R1057" i="2"/>
  <c r="E1057" i="2"/>
  <c r="D1057" i="2"/>
  <c r="C1057" i="2"/>
  <c r="AB1056" i="2"/>
  <c r="X1056" i="2"/>
  <c r="V1056" i="2"/>
  <c r="R1056" i="2"/>
  <c r="E1056" i="2"/>
  <c r="D1056" i="2"/>
  <c r="C1056" i="2"/>
  <c r="AB1055" i="2"/>
  <c r="X1055" i="2"/>
  <c r="V1055" i="2"/>
  <c r="R1055" i="2"/>
  <c r="E1055" i="2"/>
  <c r="D1055" i="2"/>
  <c r="C1055" i="2"/>
  <c r="AB1054" i="2"/>
  <c r="X1054" i="2"/>
  <c r="V1054" i="2"/>
  <c r="R1054" i="2"/>
  <c r="E1054" i="2"/>
  <c r="D1054" i="2"/>
  <c r="C1054" i="2"/>
  <c r="AB1053" i="2"/>
  <c r="X1053" i="2"/>
  <c r="V1053" i="2"/>
  <c r="R1053" i="2"/>
  <c r="E1053" i="2"/>
  <c r="D1053" i="2"/>
  <c r="C1053" i="2"/>
  <c r="AB1052" i="2"/>
  <c r="X1052" i="2"/>
  <c r="V1052" i="2"/>
  <c r="R1052" i="2"/>
  <c r="E1052" i="2"/>
  <c r="D1052" i="2"/>
  <c r="C1052" i="2"/>
  <c r="AB1051" i="2"/>
  <c r="X1051" i="2"/>
  <c r="V1051" i="2"/>
  <c r="R1051" i="2"/>
  <c r="E1051" i="2"/>
  <c r="D1051" i="2"/>
  <c r="C1051" i="2"/>
  <c r="AB1050" i="2"/>
  <c r="X1050" i="2"/>
  <c r="V1050" i="2"/>
  <c r="R1050" i="2"/>
  <c r="E1050" i="2"/>
  <c r="D1050" i="2"/>
  <c r="C1050" i="2"/>
  <c r="AB1049" i="2"/>
  <c r="X1049" i="2"/>
  <c r="V1049" i="2"/>
  <c r="R1049" i="2"/>
  <c r="E1049" i="2"/>
  <c r="D1049" i="2"/>
  <c r="C1049" i="2"/>
  <c r="AB1048" i="2"/>
  <c r="X1048" i="2"/>
  <c r="V1048" i="2"/>
  <c r="R1048" i="2"/>
  <c r="E1048" i="2"/>
  <c r="D1048" i="2"/>
  <c r="C1048" i="2"/>
  <c r="AB1047" i="2"/>
  <c r="X1047" i="2"/>
  <c r="V1047" i="2"/>
  <c r="R1047" i="2"/>
  <c r="E1047" i="2"/>
  <c r="D1047" i="2"/>
  <c r="C1047" i="2"/>
  <c r="AB1046" i="2"/>
  <c r="X1046" i="2"/>
  <c r="V1046" i="2"/>
  <c r="R1046" i="2"/>
  <c r="E1046" i="2"/>
  <c r="D1046" i="2"/>
  <c r="C1046" i="2"/>
  <c r="AB1045" i="2"/>
  <c r="X1045" i="2"/>
  <c r="V1045" i="2"/>
  <c r="R1045" i="2"/>
  <c r="E1045" i="2"/>
  <c r="D1045" i="2"/>
  <c r="C1045" i="2"/>
  <c r="AB1044" i="2"/>
  <c r="X1044" i="2"/>
  <c r="V1044" i="2"/>
  <c r="R1044" i="2"/>
  <c r="E1044" i="2"/>
  <c r="D1044" i="2"/>
  <c r="C1044" i="2"/>
  <c r="AB1043" i="2"/>
  <c r="X1043" i="2"/>
  <c r="V1043" i="2"/>
  <c r="R1043" i="2"/>
  <c r="E1043" i="2"/>
  <c r="D1043" i="2"/>
  <c r="C1043" i="2"/>
  <c r="AB1042" i="2"/>
  <c r="X1042" i="2"/>
  <c r="V1042" i="2"/>
  <c r="R1042" i="2"/>
  <c r="E1042" i="2"/>
  <c r="D1042" i="2"/>
  <c r="C1042" i="2"/>
  <c r="AB1041" i="2"/>
  <c r="X1041" i="2"/>
  <c r="V1041" i="2"/>
  <c r="R1041" i="2"/>
  <c r="E1041" i="2"/>
  <c r="D1041" i="2"/>
  <c r="C1041" i="2"/>
  <c r="AB1040" i="2"/>
  <c r="X1040" i="2"/>
  <c r="V1040" i="2"/>
  <c r="R1040" i="2"/>
  <c r="E1040" i="2"/>
  <c r="D1040" i="2"/>
  <c r="C1040" i="2"/>
  <c r="AB1039" i="2"/>
  <c r="X1039" i="2"/>
  <c r="V1039" i="2"/>
  <c r="R1039" i="2"/>
  <c r="E1039" i="2"/>
  <c r="D1039" i="2"/>
  <c r="C1039" i="2"/>
  <c r="AB1038" i="2"/>
  <c r="X1038" i="2"/>
  <c r="V1038" i="2"/>
  <c r="R1038" i="2"/>
  <c r="E1038" i="2"/>
  <c r="D1038" i="2"/>
  <c r="C1038" i="2"/>
  <c r="AB1037" i="2"/>
  <c r="X1037" i="2"/>
  <c r="V1037" i="2"/>
  <c r="R1037" i="2"/>
  <c r="E1037" i="2"/>
  <c r="D1037" i="2"/>
  <c r="C1037" i="2"/>
  <c r="AB1036" i="2"/>
  <c r="X1036" i="2"/>
  <c r="V1036" i="2"/>
  <c r="R1036" i="2"/>
  <c r="E1036" i="2"/>
  <c r="D1036" i="2"/>
  <c r="C1036" i="2"/>
  <c r="AB1035" i="2"/>
  <c r="X1035" i="2"/>
  <c r="V1035" i="2"/>
  <c r="R1035" i="2"/>
  <c r="E1035" i="2"/>
  <c r="D1035" i="2"/>
  <c r="C1035" i="2"/>
  <c r="AB1034" i="2"/>
  <c r="X1034" i="2"/>
  <c r="V1034" i="2"/>
  <c r="R1034" i="2"/>
  <c r="E1034" i="2"/>
  <c r="D1034" i="2"/>
  <c r="C1034" i="2"/>
  <c r="AB1033" i="2"/>
  <c r="X1033" i="2"/>
  <c r="V1033" i="2"/>
  <c r="R1033" i="2"/>
  <c r="E1033" i="2"/>
  <c r="D1033" i="2"/>
  <c r="C1033" i="2"/>
  <c r="AB1032" i="2"/>
  <c r="X1032" i="2"/>
  <c r="V1032" i="2"/>
  <c r="R1032" i="2"/>
  <c r="E1032" i="2"/>
  <c r="D1032" i="2"/>
  <c r="C1032" i="2"/>
  <c r="AB1031" i="2"/>
  <c r="X1031" i="2"/>
  <c r="V1031" i="2"/>
  <c r="R1031" i="2"/>
  <c r="E1031" i="2"/>
  <c r="D1031" i="2"/>
  <c r="C1031" i="2"/>
  <c r="AB1030" i="2"/>
  <c r="X1030" i="2"/>
  <c r="V1030" i="2"/>
  <c r="R1030" i="2"/>
  <c r="E1030" i="2"/>
  <c r="D1030" i="2"/>
  <c r="C1030" i="2"/>
  <c r="AB1029" i="2"/>
  <c r="X1029" i="2"/>
  <c r="V1029" i="2"/>
  <c r="R1029" i="2"/>
  <c r="E1029" i="2"/>
  <c r="D1029" i="2"/>
  <c r="C1029" i="2"/>
  <c r="AB1028" i="2"/>
  <c r="X1028" i="2"/>
  <c r="V1028" i="2"/>
  <c r="R1028" i="2"/>
  <c r="E1028" i="2"/>
  <c r="D1028" i="2"/>
  <c r="C1028" i="2"/>
  <c r="AB1027" i="2"/>
  <c r="X1027" i="2"/>
  <c r="V1027" i="2"/>
  <c r="R1027" i="2"/>
  <c r="E1027" i="2"/>
  <c r="D1027" i="2"/>
  <c r="C1027" i="2"/>
  <c r="AB1026" i="2"/>
  <c r="X1026" i="2"/>
  <c r="V1026" i="2"/>
  <c r="R1026" i="2"/>
  <c r="E1026" i="2"/>
  <c r="D1026" i="2"/>
  <c r="C1026" i="2"/>
  <c r="AB1025" i="2"/>
  <c r="X1025" i="2"/>
  <c r="V1025" i="2"/>
  <c r="R1025" i="2"/>
  <c r="E1025" i="2"/>
  <c r="D1025" i="2"/>
  <c r="C1025" i="2"/>
  <c r="AB1024" i="2"/>
  <c r="X1024" i="2"/>
  <c r="V1024" i="2"/>
  <c r="R1024" i="2"/>
  <c r="E1024" i="2"/>
  <c r="D1024" i="2"/>
  <c r="C1024" i="2"/>
  <c r="AB1023" i="2"/>
  <c r="X1023" i="2"/>
  <c r="V1023" i="2"/>
  <c r="R1023" i="2"/>
  <c r="E1023" i="2"/>
  <c r="D1023" i="2"/>
  <c r="C1023" i="2"/>
  <c r="AB1022" i="2"/>
  <c r="X1022" i="2"/>
  <c r="V1022" i="2"/>
  <c r="R1022" i="2"/>
  <c r="E1022" i="2"/>
  <c r="D1022" i="2"/>
  <c r="C1022" i="2"/>
  <c r="AB1021" i="2"/>
  <c r="X1021" i="2"/>
  <c r="V1021" i="2"/>
  <c r="R1021" i="2"/>
  <c r="E1021" i="2"/>
  <c r="D1021" i="2"/>
  <c r="C1021" i="2"/>
  <c r="AB1020" i="2"/>
  <c r="X1020" i="2"/>
  <c r="V1020" i="2"/>
  <c r="R1020" i="2"/>
  <c r="E1020" i="2"/>
  <c r="D1020" i="2"/>
  <c r="C1020" i="2"/>
  <c r="AB1019" i="2"/>
  <c r="X1019" i="2"/>
  <c r="V1019" i="2"/>
  <c r="R1019" i="2"/>
  <c r="E1019" i="2"/>
  <c r="D1019" i="2"/>
  <c r="C1019" i="2"/>
  <c r="AB1018" i="2"/>
  <c r="X1018" i="2"/>
  <c r="V1018" i="2"/>
  <c r="R1018" i="2"/>
  <c r="E1018" i="2"/>
  <c r="D1018" i="2"/>
  <c r="C1018" i="2"/>
  <c r="AB1017" i="2"/>
  <c r="X1017" i="2"/>
  <c r="V1017" i="2"/>
  <c r="R1017" i="2"/>
  <c r="E1017" i="2"/>
  <c r="D1017" i="2"/>
  <c r="C1017" i="2"/>
  <c r="AB1016" i="2"/>
  <c r="X1016" i="2"/>
  <c r="V1016" i="2"/>
  <c r="R1016" i="2"/>
  <c r="E1016" i="2"/>
  <c r="D1016" i="2"/>
  <c r="C1016" i="2"/>
  <c r="AB1015" i="2"/>
  <c r="X1015" i="2"/>
  <c r="V1015" i="2"/>
  <c r="R1015" i="2"/>
  <c r="E1015" i="2"/>
  <c r="D1015" i="2"/>
  <c r="C1015" i="2"/>
  <c r="AB1014" i="2"/>
  <c r="X1014" i="2"/>
  <c r="V1014" i="2"/>
  <c r="R1014" i="2"/>
  <c r="E1014" i="2"/>
  <c r="D1014" i="2"/>
  <c r="C1014" i="2"/>
  <c r="AB1013" i="2"/>
  <c r="X1013" i="2"/>
  <c r="V1013" i="2"/>
  <c r="R1013" i="2"/>
  <c r="E1013" i="2"/>
  <c r="D1013" i="2"/>
  <c r="C1013" i="2"/>
  <c r="AB1012" i="2"/>
  <c r="X1012" i="2"/>
  <c r="V1012" i="2"/>
  <c r="R1012" i="2"/>
  <c r="E1012" i="2"/>
  <c r="D1012" i="2"/>
  <c r="C1012" i="2"/>
  <c r="AB1011" i="2"/>
  <c r="X1011" i="2"/>
  <c r="V1011" i="2"/>
  <c r="R1011" i="2"/>
  <c r="E1011" i="2"/>
  <c r="D1011" i="2"/>
  <c r="C1011" i="2"/>
  <c r="AB1010" i="2"/>
  <c r="X1010" i="2"/>
  <c r="V1010" i="2"/>
  <c r="R1010" i="2"/>
  <c r="E1010" i="2"/>
  <c r="D1010" i="2"/>
  <c r="C1010" i="2"/>
  <c r="AB1009" i="2"/>
  <c r="X1009" i="2"/>
  <c r="V1009" i="2"/>
  <c r="R1009" i="2"/>
  <c r="E1009" i="2"/>
  <c r="D1009" i="2"/>
  <c r="C1009" i="2"/>
  <c r="AB1008" i="2"/>
  <c r="X1008" i="2"/>
  <c r="V1008" i="2"/>
  <c r="R1008" i="2"/>
  <c r="E1008" i="2"/>
  <c r="D1008" i="2"/>
  <c r="C1008" i="2"/>
  <c r="AB1007" i="2"/>
  <c r="X1007" i="2"/>
  <c r="V1007" i="2"/>
  <c r="R1007" i="2"/>
  <c r="E1007" i="2"/>
  <c r="D1007" i="2"/>
  <c r="C1007" i="2"/>
  <c r="AB1006" i="2"/>
  <c r="X1006" i="2"/>
  <c r="V1006" i="2"/>
  <c r="R1006" i="2"/>
  <c r="E1006" i="2"/>
  <c r="D1006" i="2"/>
  <c r="C1006" i="2"/>
  <c r="AB1005" i="2"/>
  <c r="X1005" i="2"/>
  <c r="V1005" i="2"/>
  <c r="R1005" i="2"/>
  <c r="E1005" i="2"/>
  <c r="D1005" i="2"/>
  <c r="C1005" i="2"/>
  <c r="AB1004" i="2"/>
  <c r="X1004" i="2"/>
  <c r="V1004" i="2"/>
  <c r="R1004" i="2"/>
  <c r="E1004" i="2"/>
  <c r="D1004" i="2"/>
  <c r="C1004" i="2"/>
  <c r="AB1003" i="2"/>
  <c r="X1003" i="2"/>
  <c r="V1003" i="2"/>
  <c r="R1003" i="2"/>
  <c r="E1003" i="2"/>
  <c r="D1003" i="2"/>
  <c r="C1003" i="2"/>
  <c r="AB1002" i="2"/>
  <c r="X1002" i="2"/>
  <c r="V1002" i="2"/>
  <c r="R1002" i="2"/>
  <c r="E1002" i="2"/>
  <c r="D1002" i="2"/>
  <c r="C1002" i="2"/>
  <c r="AB1001" i="2"/>
  <c r="X1001" i="2"/>
  <c r="V1001" i="2"/>
  <c r="R1001" i="2"/>
  <c r="E1001" i="2"/>
  <c r="D1001" i="2"/>
  <c r="C1001" i="2"/>
  <c r="AB1000" i="2"/>
  <c r="X1000" i="2"/>
  <c r="V1000" i="2"/>
  <c r="R1000" i="2"/>
  <c r="E1000" i="2"/>
  <c r="D1000" i="2"/>
  <c r="C1000" i="2"/>
  <c r="AB999" i="2"/>
  <c r="X999" i="2"/>
  <c r="V999" i="2"/>
  <c r="R999" i="2"/>
  <c r="E999" i="2"/>
  <c r="D999" i="2"/>
  <c r="C999" i="2"/>
  <c r="AB998" i="2"/>
  <c r="X998" i="2"/>
  <c r="V998" i="2"/>
  <c r="R998" i="2"/>
  <c r="E998" i="2"/>
  <c r="D998" i="2"/>
  <c r="C998" i="2"/>
  <c r="AB997" i="2"/>
  <c r="X997" i="2"/>
  <c r="V997" i="2"/>
  <c r="R997" i="2"/>
  <c r="E997" i="2"/>
  <c r="D997" i="2"/>
  <c r="C997" i="2"/>
  <c r="AB996" i="2"/>
  <c r="X996" i="2"/>
  <c r="V996" i="2"/>
  <c r="R996" i="2"/>
  <c r="E996" i="2"/>
  <c r="D996" i="2"/>
  <c r="C996" i="2"/>
  <c r="AB995" i="2"/>
  <c r="X995" i="2"/>
  <c r="V995" i="2"/>
  <c r="R995" i="2"/>
  <c r="E995" i="2"/>
  <c r="D995" i="2"/>
  <c r="C995" i="2"/>
  <c r="AB994" i="2"/>
  <c r="X994" i="2"/>
  <c r="V994" i="2"/>
  <c r="R994" i="2"/>
  <c r="E994" i="2"/>
  <c r="D994" i="2"/>
  <c r="C994" i="2"/>
  <c r="AB993" i="2"/>
  <c r="X993" i="2"/>
  <c r="V993" i="2"/>
  <c r="R993" i="2"/>
  <c r="E993" i="2"/>
  <c r="D993" i="2"/>
  <c r="C993" i="2"/>
  <c r="AB992" i="2"/>
  <c r="X992" i="2"/>
  <c r="V992" i="2"/>
  <c r="R992" i="2"/>
  <c r="E992" i="2"/>
  <c r="D992" i="2"/>
  <c r="C992" i="2"/>
  <c r="AB991" i="2"/>
  <c r="X991" i="2"/>
  <c r="V991" i="2"/>
  <c r="R991" i="2"/>
  <c r="E991" i="2"/>
  <c r="D991" i="2"/>
  <c r="C991" i="2"/>
  <c r="AB990" i="2"/>
  <c r="X990" i="2"/>
  <c r="V990" i="2"/>
  <c r="R990" i="2"/>
  <c r="E990" i="2"/>
  <c r="D990" i="2"/>
  <c r="C990" i="2"/>
  <c r="AB989" i="2"/>
  <c r="X989" i="2"/>
  <c r="V989" i="2"/>
  <c r="R989" i="2"/>
  <c r="E989" i="2"/>
  <c r="D989" i="2"/>
  <c r="C989" i="2"/>
  <c r="AB988" i="2"/>
  <c r="X988" i="2"/>
  <c r="V988" i="2"/>
  <c r="R988" i="2"/>
  <c r="E988" i="2"/>
  <c r="D988" i="2"/>
  <c r="C988" i="2"/>
  <c r="AB987" i="2"/>
  <c r="X987" i="2"/>
  <c r="V987" i="2"/>
  <c r="R987" i="2"/>
  <c r="E987" i="2"/>
  <c r="D987" i="2"/>
  <c r="C987" i="2"/>
  <c r="AB986" i="2"/>
  <c r="X986" i="2"/>
  <c r="V986" i="2"/>
  <c r="R986" i="2"/>
  <c r="E986" i="2"/>
  <c r="D986" i="2"/>
  <c r="C986" i="2"/>
  <c r="AB985" i="2"/>
  <c r="X985" i="2"/>
  <c r="V985" i="2"/>
  <c r="R985" i="2"/>
  <c r="E985" i="2"/>
  <c r="D985" i="2"/>
  <c r="C985" i="2"/>
  <c r="AB984" i="2"/>
  <c r="X984" i="2"/>
  <c r="V984" i="2"/>
  <c r="R984" i="2"/>
  <c r="E984" i="2"/>
  <c r="D984" i="2"/>
  <c r="C984" i="2"/>
  <c r="AB983" i="2"/>
  <c r="X983" i="2"/>
  <c r="V983" i="2"/>
  <c r="R983" i="2"/>
  <c r="E983" i="2"/>
  <c r="D983" i="2"/>
  <c r="C983" i="2"/>
  <c r="AB982" i="2"/>
  <c r="X982" i="2"/>
  <c r="V982" i="2"/>
  <c r="R982" i="2"/>
  <c r="E982" i="2"/>
  <c r="D982" i="2"/>
  <c r="C982" i="2"/>
  <c r="AB981" i="2"/>
  <c r="X981" i="2"/>
  <c r="V981" i="2"/>
  <c r="R981" i="2"/>
  <c r="E981" i="2"/>
  <c r="D981" i="2"/>
  <c r="C981" i="2"/>
  <c r="AB980" i="2"/>
  <c r="X980" i="2"/>
  <c r="V980" i="2"/>
  <c r="R980" i="2"/>
  <c r="E980" i="2"/>
  <c r="D980" i="2"/>
  <c r="C980" i="2"/>
  <c r="AB979" i="2"/>
  <c r="X979" i="2"/>
  <c r="V979" i="2"/>
  <c r="R979" i="2"/>
  <c r="E979" i="2"/>
  <c r="D979" i="2"/>
  <c r="C979" i="2"/>
  <c r="AB978" i="2"/>
  <c r="X978" i="2"/>
  <c r="V978" i="2"/>
  <c r="R978" i="2"/>
  <c r="E978" i="2"/>
  <c r="D978" i="2"/>
  <c r="C978" i="2"/>
  <c r="AB977" i="2"/>
  <c r="X977" i="2"/>
  <c r="V977" i="2"/>
  <c r="R977" i="2"/>
  <c r="E977" i="2"/>
  <c r="D977" i="2"/>
  <c r="C977" i="2"/>
  <c r="AB976" i="2"/>
  <c r="X976" i="2"/>
  <c r="V976" i="2"/>
  <c r="R976" i="2"/>
  <c r="E976" i="2"/>
  <c r="D976" i="2"/>
  <c r="C976" i="2"/>
  <c r="AB975" i="2"/>
  <c r="X975" i="2"/>
  <c r="V975" i="2"/>
  <c r="R975" i="2"/>
  <c r="E975" i="2"/>
  <c r="D975" i="2"/>
  <c r="C975" i="2"/>
  <c r="AB974" i="2"/>
  <c r="X974" i="2"/>
  <c r="V974" i="2"/>
  <c r="R974" i="2"/>
  <c r="E974" i="2"/>
  <c r="D974" i="2"/>
  <c r="C974" i="2"/>
  <c r="AB973" i="2"/>
  <c r="X973" i="2"/>
  <c r="V973" i="2"/>
  <c r="R973" i="2"/>
  <c r="E973" i="2"/>
  <c r="D973" i="2"/>
  <c r="C973" i="2"/>
  <c r="AB972" i="2"/>
  <c r="X972" i="2"/>
  <c r="V972" i="2"/>
  <c r="R972" i="2"/>
  <c r="E972" i="2"/>
  <c r="D972" i="2"/>
  <c r="C972" i="2"/>
  <c r="AB971" i="2"/>
  <c r="X971" i="2"/>
  <c r="V971" i="2"/>
  <c r="R971" i="2"/>
  <c r="E971" i="2"/>
  <c r="D971" i="2"/>
  <c r="C971" i="2"/>
  <c r="AB970" i="2"/>
  <c r="X970" i="2"/>
  <c r="V970" i="2"/>
  <c r="R970" i="2"/>
  <c r="E970" i="2"/>
  <c r="D970" i="2"/>
  <c r="C970" i="2"/>
  <c r="AB969" i="2"/>
  <c r="X969" i="2"/>
  <c r="V969" i="2"/>
  <c r="R969" i="2"/>
  <c r="E969" i="2"/>
  <c r="D969" i="2"/>
  <c r="C969" i="2"/>
  <c r="AB968" i="2"/>
  <c r="X968" i="2"/>
  <c r="V968" i="2"/>
  <c r="R968" i="2"/>
  <c r="E968" i="2"/>
  <c r="D968" i="2"/>
  <c r="C968" i="2"/>
  <c r="AB967" i="2"/>
  <c r="X967" i="2"/>
  <c r="V967" i="2"/>
  <c r="R967" i="2"/>
  <c r="E967" i="2"/>
  <c r="D967" i="2"/>
  <c r="C967" i="2"/>
  <c r="AB966" i="2"/>
  <c r="X966" i="2"/>
  <c r="V966" i="2"/>
  <c r="R966" i="2"/>
  <c r="E966" i="2"/>
  <c r="D966" i="2"/>
  <c r="C966" i="2"/>
  <c r="AB965" i="2"/>
  <c r="X965" i="2"/>
  <c r="V965" i="2"/>
  <c r="R965" i="2"/>
  <c r="E965" i="2"/>
  <c r="D965" i="2"/>
  <c r="C965" i="2"/>
  <c r="AB964" i="2"/>
  <c r="X964" i="2"/>
  <c r="V964" i="2"/>
  <c r="R964" i="2"/>
  <c r="E964" i="2"/>
  <c r="D964" i="2"/>
  <c r="C964" i="2"/>
  <c r="AB963" i="2"/>
  <c r="X963" i="2"/>
  <c r="V963" i="2"/>
  <c r="R963" i="2"/>
  <c r="E963" i="2"/>
  <c r="D963" i="2"/>
  <c r="C963" i="2"/>
  <c r="AB962" i="2"/>
  <c r="X962" i="2"/>
  <c r="V962" i="2"/>
  <c r="R962" i="2"/>
  <c r="E962" i="2"/>
  <c r="D962" i="2"/>
  <c r="C962" i="2"/>
  <c r="AB961" i="2"/>
  <c r="X961" i="2"/>
  <c r="V961" i="2"/>
  <c r="R961" i="2"/>
  <c r="E961" i="2"/>
  <c r="D961" i="2"/>
  <c r="C961" i="2"/>
  <c r="AB960" i="2"/>
  <c r="X960" i="2"/>
  <c r="V960" i="2"/>
  <c r="R960" i="2"/>
  <c r="E960" i="2"/>
  <c r="D960" i="2"/>
  <c r="C960" i="2"/>
  <c r="AB959" i="2"/>
  <c r="X959" i="2"/>
  <c r="V959" i="2"/>
  <c r="R959" i="2"/>
  <c r="E959" i="2"/>
  <c r="D959" i="2"/>
  <c r="C959" i="2"/>
  <c r="AB958" i="2"/>
  <c r="X958" i="2"/>
  <c r="V958" i="2"/>
  <c r="R958" i="2"/>
  <c r="E958" i="2"/>
  <c r="D958" i="2"/>
  <c r="C958" i="2"/>
  <c r="AB957" i="2"/>
  <c r="X957" i="2"/>
  <c r="V957" i="2"/>
  <c r="R957" i="2"/>
  <c r="E957" i="2"/>
  <c r="D957" i="2"/>
  <c r="C957" i="2"/>
  <c r="AB956" i="2"/>
  <c r="X956" i="2"/>
  <c r="V956" i="2"/>
  <c r="R956" i="2"/>
  <c r="E956" i="2"/>
  <c r="D956" i="2"/>
  <c r="C956" i="2"/>
  <c r="AB955" i="2"/>
  <c r="X955" i="2"/>
  <c r="V955" i="2"/>
  <c r="R955" i="2"/>
  <c r="E955" i="2"/>
  <c r="D955" i="2"/>
  <c r="C955" i="2"/>
  <c r="AB954" i="2"/>
  <c r="X954" i="2"/>
  <c r="V954" i="2"/>
  <c r="R954" i="2"/>
  <c r="E954" i="2"/>
  <c r="D954" i="2"/>
  <c r="C954" i="2"/>
  <c r="AB953" i="2"/>
  <c r="X953" i="2"/>
  <c r="V953" i="2"/>
  <c r="R953" i="2"/>
  <c r="E953" i="2"/>
  <c r="D953" i="2"/>
  <c r="C953" i="2"/>
  <c r="AB952" i="2"/>
  <c r="X952" i="2"/>
  <c r="V952" i="2"/>
  <c r="R952" i="2"/>
  <c r="E952" i="2"/>
  <c r="D952" i="2"/>
  <c r="C952" i="2"/>
  <c r="AB951" i="2"/>
  <c r="X951" i="2"/>
  <c r="V951" i="2"/>
  <c r="R951" i="2"/>
  <c r="E951" i="2"/>
  <c r="D951" i="2"/>
  <c r="C951" i="2"/>
  <c r="AB950" i="2"/>
  <c r="X950" i="2"/>
  <c r="V950" i="2"/>
  <c r="R950" i="2"/>
  <c r="E950" i="2"/>
  <c r="D950" i="2"/>
  <c r="C950" i="2"/>
  <c r="AB949" i="2"/>
  <c r="X949" i="2"/>
  <c r="V949" i="2"/>
  <c r="R949" i="2"/>
  <c r="E949" i="2"/>
  <c r="D949" i="2"/>
  <c r="C949" i="2"/>
  <c r="AB948" i="2"/>
  <c r="X948" i="2"/>
  <c r="V948" i="2"/>
  <c r="R948" i="2"/>
  <c r="E948" i="2"/>
  <c r="D948" i="2"/>
  <c r="C948" i="2"/>
  <c r="AB947" i="2"/>
  <c r="X947" i="2"/>
  <c r="V947" i="2"/>
  <c r="R947" i="2"/>
  <c r="E947" i="2"/>
  <c r="D947" i="2"/>
  <c r="C947" i="2"/>
  <c r="AB946" i="2"/>
  <c r="X946" i="2"/>
  <c r="V946" i="2"/>
  <c r="R946" i="2"/>
  <c r="E946" i="2"/>
  <c r="D946" i="2"/>
  <c r="C946" i="2"/>
  <c r="AB945" i="2"/>
  <c r="X945" i="2"/>
  <c r="V945" i="2"/>
  <c r="R945" i="2"/>
  <c r="E945" i="2"/>
  <c r="D945" i="2"/>
  <c r="C945" i="2"/>
  <c r="AB944" i="2"/>
  <c r="X944" i="2"/>
  <c r="V944" i="2"/>
  <c r="R944" i="2"/>
  <c r="E944" i="2"/>
  <c r="D944" i="2"/>
  <c r="C944" i="2"/>
  <c r="AB943" i="2"/>
  <c r="X943" i="2"/>
  <c r="V943" i="2"/>
  <c r="R943" i="2"/>
  <c r="E943" i="2"/>
  <c r="D943" i="2"/>
  <c r="C943" i="2"/>
  <c r="AB942" i="2"/>
  <c r="X942" i="2"/>
  <c r="V942" i="2"/>
  <c r="R942" i="2"/>
  <c r="E942" i="2"/>
  <c r="D942" i="2"/>
  <c r="C942" i="2"/>
  <c r="AB941" i="2"/>
  <c r="X941" i="2"/>
  <c r="V941" i="2"/>
  <c r="R941" i="2"/>
  <c r="E941" i="2"/>
  <c r="D941" i="2"/>
  <c r="C941" i="2"/>
  <c r="AB940" i="2"/>
  <c r="X940" i="2"/>
  <c r="V940" i="2"/>
  <c r="R940" i="2"/>
  <c r="E940" i="2"/>
  <c r="D940" i="2"/>
  <c r="C940" i="2"/>
  <c r="AB939" i="2"/>
  <c r="X939" i="2"/>
  <c r="V939" i="2"/>
  <c r="R939" i="2"/>
  <c r="E939" i="2"/>
  <c r="D939" i="2"/>
  <c r="C939" i="2"/>
  <c r="AB938" i="2"/>
  <c r="X938" i="2"/>
  <c r="V938" i="2"/>
  <c r="R938" i="2"/>
  <c r="E938" i="2"/>
  <c r="D938" i="2"/>
  <c r="C938" i="2"/>
  <c r="AB937" i="2"/>
  <c r="X937" i="2"/>
  <c r="V937" i="2"/>
  <c r="R937" i="2"/>
  <c r="E937" i="2"/>
  <c r="D937" i="2"/>
  <c r="C937" i="2"/>
  <c r="AB936" i="2"/>
  <c r="X936" i="2"/>
  <c r="V936" i="2"/>
  <c r="R936" i="2"/>
  <c r="E936" i="2"/>
  <c r="D936" i="2"/>
  <c r="C936" i="2"/>
  <c r="AB935" i="2"/>
  <c r="X935" i="2"/>
  <c r="V935" i="2"/>
  <c r="R935" i="2"/>
  <c r="E935" i="2"/>
  <c r="D935" i="2"/>
  <c r="C935" i="2"/>
  <c r="AB934" i="2"/>
  <c r="X934" i="2"/>
  <c r="V934" i="2"/>
  <c r="R934" i="2"/>
  <c r="E934" i="2"/>
  <c r="D934" i="2"/>
  <c r="C934" i="2"/>
  <c r="AB933" i="2"/>
  <c r="X933" i="2"/>
  <c r="V933" i="2"/>
  <c r="R933" i="2"/>
  <c r="E933" i="2"/>
  <c r="D933" i="2"/>
  <c r="C933" i="2"/>
  <c r="AB932" i="2"/>
  <c r="X932" i="2"/>
  <c r="V932" i="2"/>
  <c r="R932" i="2"/>
  <c r="E932" i="2"/>
  <c r="D932" i="2"/>
  <c r="C932" i="2"/>
  <c r="AB931" i="2"/>
  <c r="X931" i="2"/>
  <c r="V931" i="2"/>
  <c r="R931" i="2"/>
  <c r="E931" i="2"/>
  <c r="D931" i="2"/>
  <c r="C931" i="2"/>
  <c r="AB930" i="2"/>
  <c r="X930" i="2"/>
  <c r="V930" i="2"/>
  <c r="R930" i="2"/>
  <c r="E930" i="2"/>
  <c r="D930" i="2"/>
  <c r="C930" i="2"/>
  <c r="AB929" i="2"/>
  <c r="X929" i="2"/>
  <c r="V929" i="2"/>
  <c r="R929" i="2"/>
  <c r="E929" i="2"/>
  <c r="D929" i="2"/>
  <c r="C929" i="2"/>
  <c r="AB928" i="2"/>
  <c r="X928" i="2"/>
  <c r="V928" i="2"/>
  <c r="R928" i="2"/>
  <c r="E928" i="2"/>
  <c r="D928" i="2"/>
  <c r="C928" i="2"/>
  <c r="AB927" i="2"/>
  <c r="X927" i="2"/>
  <c r="V927" i="2"/>
  <c r="R927" i="2"/>
  <c r="E927" i="2"/>
  <c r="D927" i="2"/>
  <c r="C927" i="2"/>
  <c r="AB926" i="2"/>
  <c r="X926" i="2"/>
  <c r="V926" i="2"/>
  <c r="R926" i="2"/>
  <c r="E926" i="2"/>
  <c r="D926" i="2"/>
  <c r="C926" i="2"/>
  <c r="AB925" i="2"/>
  <c r="X925" i="2"/>
  <c r="V925" i="2"/>
  <c r="R925" i="2"/>
  <c r="E925" i="2"/>
  <c r="D925" i="2"/>
  <c r="C925" i="2"/>
  <c r="AB924" i="2"/>
  <c r="X924" i="2"/>
  <c r="V924" i="2"/>
  <c r="R924" i="2"/>
  <c r="E924" i="2"/>
  <c r="D924" i="2"/>
  <c r="C924" i="2"/>
  <c r="AB923" i="2"/>
  <c r="X923" i="2"/>
  <c r="V923" i="2"/>
  <c r="R923" i="2"/>
  <c r="E923" i="2"/>
  <c r="D923" i="2"/>
  <c r="C923" i="2"/>
  <c r="AB922" i="2"/>
  <c r="X922" i="2"/>
  <c r="V922" i="2"/>
  <c r="R922" i="2"/>
  <c r="E922" i="2"/>
  <c r="D922" i="2"/>
  <c r="C922" i="2"/>
  <c r="AB921" i="2"/>
  <c r="X921" i="2"/>
  <c r="V921" i="2"/>
  <c r="R921" i="2"/>
  <c r="E921" i="2"/>
  <c r="D921" i="2"/>
  <c r="C921" i="2"/>
  <c r="AB920" i="2"/>
  <c r="X920" i="2"/>
  <c r="V920" i="2"/>
  <c r="R920" i="2"/>
  <c r="E920" i="2"/>
  <c r="D920" i="2"/>
  <c r="C920" i="2"/>
  <c r="AB919" i="2"/>
  <c r="X919" i="2"/>
  <c r="V919" i="2"/>
  <c r="R919" i="2"/>
  <c r="E919" i="2"/>
  <c r="D919" i="2"/>
  <c r="C919" i="2"/>
  <c r="AB918" i="2"/>
  <c r="X918" i="2"/>
  <c r="V918" i="2"/>
  <c r="R918" i="2"/>
  <c r="E918" i="2"/>
  <c r="D918" i="2"/>
  <c r="C918" i="2"/>
  <c r="AB917" i="2"/>
  <c r="X917" i="2"/>
  <c r="V917" i="2"/>
  <c r="R917" i="2"/>
  <c r="E917" i="2"/>
  <c r="D917" i="2"/>
  <c r="C917" i="2"/>
  <c r="AB916" i="2"/>
  <c r="X916" i="2"/>
  <c r="V916" i="2"/>
  <c r="R916" i="2"/>
  <c r="E916" i="2"/>
  <c r="D916" i="2"/>
  <c r="C916" i="2"/>
  <c r="AB915" i="2"/>
  <c r="X915" i="2"/>
  <c r="V915" i="2"/>
  <c r="R915" i="2"/>
  <c r="E915" i="2"/>
  <c r="D915" i="2"/>
  <c r="C915" i="2"/>
  <c r="AB914" i="2"/>
  <c r="X914" i="2"/>
  <c r="V914" i="2"/>
  <c r="R914" i="2"/>
  <c r="E914" i="2"/>
  <c r="D914" i="2"/>
  <c r="C914" i="2"/>
  <c r="AB913" i="2"/>
  <c r="X913" i="2"/>
  <c r="V913" i="2"/>
  <c r="R913" i="2"/>
  <c r="E913" i="2"/>
  <c r="D913" i="2"/>
  <c r="C913" i="2"/>
  <c r="AB912" i="2"/>
  <c r="X912" i="2"/>
  <c r="V912" i="2"/>
  <c r="R912" i="2"/>
  <c r="E912" i="2"/>
  <c r="D912" i="2"/>
  <c r="C912" i="2"/>
  <c r="AB911" i="2"/>
  <c r="X911" i="2"/>
  <c r="V911" i="2"/>
  <c r="R911" i="2"/>
  <c r="E911" i="2"/>
  <c r="D911" i="2"/>
  <c r="C911" i="2"/>
  <c r="AB910" i="2"/>
  <c r="X910" i="2"/>
  <c r="V910" i="2"/>
  <c r="R910" i="2"/>
  <c r="E910" i="2"/>
  <c r="D910" i="2"/>
  <c r="C910" i="2"/>
  <c r="AB909" i="2"/>
  <c r="X909" i="2"/>
  <c r="V909" i="2"/>
  <c r="R909" i="2"/>
  <c r="E909" i="2"/>
  <c r="D909" i="2"/>
  <c r="C909" i="2"/>
  <c r="AB908" i="2"/>
  <c r="X908" i="2"/>
  <c r="V908" i="2"/>
  <c r="R908" i="2"/>
  <c r="E908" i="2"/>
  <c r="D908" i="2"/>
  <c r="C908" i="2"/>
  <c r="AB907" i="2"/>
  <c r="X907" i="2"/>
  <c r="V907" i="2"/>
  <c r="R907" i="2"/>
  <c r="E907" i="2"/>
  <c r="D907" i="2"/>
  <c r="C907" i="2"/>
  <c r="AB906" i="2"/>
  <c r="X906" i="2"/>
  <c r="V906" i="2"/>
  <c r="R906" i="2"/>
  <c r="E906" i="2"/>
  <c r="D906" i="2"/>
  <c r="C906" i="2"/>
  <c r="AB905" i="2"/>
  <c r="X905" i="2"/>
  <c r="V905" i="2"/>
  <c r="R905" i="2"/>
  <c r="E905" i="2"/>
  <c r="D905" i="2"/>
  <c r="C905" i="2"/>
  <c r="AB904" i="2"/>
  <c r="X904" i="2"/>
  <c r="V904" i="2"/>
  <c r="R904" i="2"/>
  <c r="E904" i="2"/>
  <c r="D904" i="2"/>
  <c r="C904" i="2"/>
  <c r="AB903" i="2"/>
  <c r="X903" i="2"/>
  <c r="V903" i="2"/>
  <c r="R903" i="2"/>
  <c r="E903" i="2"/>
  <c r="D903" i="2"/>
  <c r="C903" i="2"/>
  <c r="AB902" i="2"/>
  <c r="X902" i="2"/>
  <c r="V902" i="2"/>
  <c r="R902" i="2"/>
  <c r="E902" i="2"/>
  <c r="D902" i="2"/>
  <c r="C902" i="2"/>
  <c r="AB901" i="2"/>
  <c r="X901" i="2"/>
  <c r="V901" i="2"/>
  <c r="R901" i="2"/>
  <c r="E901" i="2"/>
  <c r="D901" i="2"/>
  <c r="C901" i="2"/>
  <c r="AB900" i="2"/>
  <c r="X900" i="2"/>
  <c r="V900" i="2"/>
  <c r="R900" i="2"/>
  <c r="E900" i="2"/>
  <c r="D900" i="2"/>
  <c r="C900" i="2"/>
  <c r="AB899" i="2"/>
  <c r="X899" i="2"/>
  <c r="V899" i="2"/>
  <c r="R899" i="2"/>
  <c r="E899" i="2"/>
  <c r="D899" i="2"/>
  <c r="C899" i="2"/>
  <c r="AB898" i="2"/>
  <c r="X898" i="2"/>
  <c r="V898" i="2"/>
  <c r="R898" i="2"/>
  <c r="E898" i="2"/>
  <c r="D898" i="2"/>
  <c r="C898" i="2"/>
  <c r="AB897" i="2"/>
  <c r="X897" i="2"/>
  <c r="V897" i="2"/>
  <c r="R897" i="2"/>
  <c r="E897" i="2"/>
  <c r="D897" i="2"/>
  <c r="C897" i="2"/>
  <c r="AB896" i="2"/>
  <c r="X896" i="2"/>
  <c r="V896" i="2"/>
  <c r="R896" i="2"/>
  <c r="E896" i="2"/>
  <c r="D896" i="2"/>
  <c r="C896" i="2"/>
  <c r="AB895" i="2"/>
  <c r="X895" i="2"/>
  <c r="V895" i="2"/>
  <c r="R895" i="2"/>
  <c r="E895" i="2"/>
  <c r="D895" i="2"/>
  <c r="C895" i="2"/>
  <c r="AB894" i="2"/>
  <c r="X894" i="2"/>
  <c r="V894" i="2"/>
  <c r="R894" i="2"/>
  <c r="E894" i="2"/>
  <c r="D894" i="2"/>
  <c r="C894" i="2"/>
  <c r="AB893" i="2"/>
  <c r="X893" i="2"/>
  <c r="V893" i="2"/>
  <c r="R893" i="2"/>
  <c r="E893" i="2"/>
  <c r="D893" i="2"/>
  <c r="C893" i="2"/>
  <c r="AB892" i="2"/>
  <c r="X892" i="2"/>
  <c r="V892" i="2"/>
  <c r="R892" i="2"/>
  <c r="E892" i="2"/>
  <c r="D892" i="2"/>
  <c r="C892" i="2"/>
  <c r="AB891" i="2"/>
  <c r="X891" i="2"/>
  <c r="V891" i="2"/>
  <c r="R891" i="2"/>
  <c r="E891" i="2"/>
  <c r="D891" i="2"/>
  <c r="C891" i="2"/>
  <c r="AB890" i="2"/>
  <c r="X890" i="2"/>
  <c r="V890" i="2"/>
  <c r="R890" i="2"/>
  <c r="E890" i="2"/>
  <c r="D890" i="2"/>
  <c r="C890" i="2"/>
  <c r="AB889" i="2"/>
  <c r="X889" i="2"/>
  <c r="V889" i="2"/>
  <c r="R889" i="2"/>
  <c r="E889" i="2"/>
  <c r="D889" i="2"/>
  <c r="C889" i="2"/>
  <c r="AB888" i="2"/>
  <c r="X888" i="2"/>
  <c r="V888" i="2"/>
  <c r="R888" i="2"/>
  <c r="E888" i="2"/>
  <c r="D888" i="2"/>
  <c r="C888" i="2"/>
  <c r="AB887" i="2"/>
  <c r="X887" i="2"/>
  <c r="V887" i="2"/>
  <c r="R887" i="2"/>
  <c r="E887" i="2"/>
  <c r="D887" i="2"/>
  <c r="C887" i="2"/>
  <c r="AB886" i="2"/>
  <c r="X886" i="2"/>
  <c r="V886" i="2"/>
  <c r="R886" i="2"/>
  <c r="E886" i="2"/>
  <c r="D886" i="2"/>
  <c r="C886" i="2"/>
  <c r="AB885" i="2"/>
  <c r="X885" i="2"/>
  <c r="V885" i="2"/>
  <c r="R885" i="2"/>
  <c r="E885" i="2"/>
  <c r="D885" i="2"/>
  <c r="C885" i="2"/>
  <c r="AB884" i="2"/>
  <c r="X884" i="2"/>
  <c r="V884" i="2"/>
  <c r="R884" i="2"/>
  <c r="E884" i="2"/>
  <c r="D884" i="2"/>
  <c r="C884" i="2"/>
  <c r="AB883" i="2"/>
  <c r="X883" i="2"/>
  <c r="V883" i="2"/>
  <c r="R883" i="2"/>
  <c r="E883" i="2"/>
  <c r="D883" i="2"/>
  <c r="C883" i="2"/>
  <c r="AB882" i="2"/>
  <c r="X882" i="2"/>
  <c r="V882" i="2"/>
  <c r="R882" i="2"/>
  <c r="E882" i="2"/>
  <c r="D882" i="2"/>
  <c r="C882" i="2"/>
  <c r="AB881" i="2"/>
  <c r="X881" i="2"/>
  <c r="V881" i="2"/>
  <c r="R881" i="2"/>
  <c r="E881" i="2"/>
  <c r="D881" i="2"/>
  <c r="C881" i="2"/>
  <c r="AB880" i="2"/>
  <c r="X880" i="2"/>
  <c r="V880" i="2"/>
  <c r="R880" i="2"/>
  <c r="E880" i="2"/>
  <c r="D880" i="2"/>
  <c r="C880" i="2"/>
  <c r="AB879" i="2"/>
  <c r="X879" i="2"/>
  <c r="V879" i="2"/>
  <c r="R879" i="2"/>
  <c r="E879" i="2"/>
  <c r="D879" i="2"/>
  <c r="C879" i="2"/>
  <c r="AB878" i="2"/>
  <c r="X878" i="2"/>
  <c r="V878" i="2"/>
  <c r="R878" i="2"/>
  <c r="E878" i="2"/>
  <c r="D878" i="2"/>
  <c r="C878" i="2"/>
  <c r="AB877" i="2"/>
  <c r="X877" i="2"/>
  <c r="V877" i="2"/>
  <c r="R877" i="2"/>
  <c r="E877" i="2"/>
  <c r="D877" i="2"/>
  <c r="C877" i="2"/>
  <c r="AB876" i="2"/>
  <c r="X876" i="2"/>
  <c r="V876" i="2"/>
  <c r="R876" i="2"/>
  <c r="E876" i="2"/>
  <c r="D876" i="2"/>
  <c r="C876" i="2"/>
  <c r="AB875" i="2"/>
  <c r="X875" i="2"/>
  <c r="V875" i="2"/>
  <c r="R875" i="2"/>
  <c r="E875" i="2"/>
  <c r="D875" i="2"/>
  <c r="C875" i="2"/>
  <c r="AB874" i="2"/>
  <c r="X874" i="2"/>
  <c r="V874" i="2"/>
  <c r="R874" i="2"/>
  <c r="E874" i="2"/>
  <c r="D874" i="2"/>
  <c r="C874" i="2"/>
  <c r="AB873" i="2"/>
  <c r="X873" i="2"/>
  <c r="V873" i="2"/>
  <c r="R873" i="2"/>
  <c r="E873" i="2"/>
  <c r="D873" i="2"/>
  <c r="C873" i="2"/>
  <c r="AB872" i="2"/>
  <c r="X872" i="2"/>
  <c r="V872" i="2"/>
  <c r="R872" i="2"/>
  <c r="E872" i="2"/>
  <c r="D872" i="2"/>
  <c r="C872" i="2"/>
  <c r="AB871" i="2"/>
  <c r="X871" i="2"/>
  <c r="V871" i="2"/>
  <c r="R871" i="2"/>
  <c r="E871" i="2"/>
  <c r="D871" i="2"/>
  <c r="C871" i="2"/>
  <c r="AB870" i="2"/>
  <c r="X870" i="2"/>
  <c r="V870" i="2"/>
  <c r="R870" i="2"/>
  <c r="E870" i="2"/>
  <c r="D870" i="2"/>
  <c r="C870" i="2"/>
  <c r="AB869" i="2"/>
  <c r="X869" i="2"/>
  <c r="V869" i="2"/>
  <c r="R869" i="2"/>
  <c r="E869" i="2"/>
  <c r="D869" i="2"/>
  <c r="C869" i="2"/>
  <c r="AB868" i="2"/>
  <c r="X868" i="2"/>
  <c r="V868" i="2"/>
  <c r="R868" i="2"/>
  <c r="E868" i="2"/>
  <c r="D868" i="2"/>
  <c r="C868" i="2"/>
  <c r="AB867" i="2"/>
  <c r="X867" i="2"/>
  <c r="V867" i="2"/>
  <c r="R867" i="2"/>
  <c r="E867" i="2"/>
  <c r="D867" i="2"/>
  <c r="C867" i="2"/>
  <c r="AB866" i="2"/>
  <c r="X866" i="2"/>
  <c r="V866" i="2"/>
  <c r="R866" i="2"/>
  <c r="E866" i="2"/>
  <c r="D866" i="2"/>
  <c r="C866" i="2"/>
  <c r="AB865" i="2"/>
  <c r="X865" i="2"/>
  <c r="V865" i="2"/>
  <c r="R865" i="2"/>
  <c r="E865" i="2"/>
  <c r="D865" i="2"/>
  <c r="C865" i="2"/>
  <c r="AB864" i="2"/>
  <c r="X864" i="2"/>
  <c r="V864" i="2"/>
  <c r="R864" i="2"/>
  <c r="E864" i="2"/>
  <c r="D864" i="2"/>
  <c r="C864" i="2"/>
  <c r="AB863" i="2"/>
  <c r="X863" i="2"/>
  <c r="V863" i="2"/>
  <c r="R863" i="2"/>
  <c r="E863" i="2"/>
  <c r="D863" i="2"/>
  <c r="C863" i="2"/>
  <c r="AB862" i="2"/>
  <c r="X862" i="2"/>
  <c r="V862" i="2"/>
  <c r="R862" i="2"/>
  <c r="E862" i="2"/>
  <c r="D862" i="2"/>
  <c r="C862" i="2"/>
  <c r="AB861" i="2"/>
  <c r="X861" i="2"/>
  <c r="V861" i="2"/>
  <c r="R861" i="2"/>
  <c r="E861" i="2"/>
  <c r="D861" i="2"/>
  <c r="C861" i="2"/>
  <c r="AB860" i="2"/>
  <c r="X860" i="2"/>
  <c r="V860" i="2"/>
  <c r="R860" i="2"/>
  <c r="E860" i="2"/>
  <c r="D860" i="2"/>
  <c r="C860" i="2"/>
  <c r="AB859" i="2"/>
  <c r="X859" i="2"/>
  <c r="V859" i="2"/>
  <c r="R859" i="2"/>
  <c r="E859" i="2"/>
  <c r="D859" i="2"/>
  <c r="C859" i="2"/>
  <c r="AB858" i="2"/>
  <c r="X858" i="2"/>
  <c r="V858" i="2"/>
  <c r="R858" i="2"/>
  <c r="E858" i="2"/>
  <c r="D858" i="2"/>
  <c r="C858" i="2"/>
  <c r="AB857" i="2"/>
  <c r="X857" i="2"/>
  <c r="V857" i="2"/>
  <c r="R857" i="2"/>
  <c r="E857" i="2"/>
  <c r="D857" i="2"/>
  <c r="C857" i="2"/>
  <c r="AB856" i="2"/>
  <c r="X856" i="2"/>
  <c r="V856" i="2"/>
  <c r="R856" i="2"/>
  <c r="E856" i="2"/>
  <c r="D856" i="2"/>
  <c r="C856" i="2"/>
  <c r="AB855" i="2"/>
  <c r="X855" i="2"/>
  <c r="V855" i="2"/>
  <c r="R855" i="2"/>
  <c r="E855" i="2"/>
  <c r="D855" i="2"/>
  <c r="C855" i="2"/>
  <c r="AB854" i="2"/>
  <c r="X854" i="2"/>
  <c r="V854" i="2"/>
  <c r="R854" i="2"/>
  <c r="E854" i="2"/>
  <c r="D854" i="2"/>
  <c r="C854" i="2"/>
  <c r="AB853" i="2"/>
  <c r="X853" i="2"/>
  <c r="V853" i="2"/>
  <c r="R853" i="2"/>
  <c r="E853" i="2"/>
  <c r="D853" i="2"/>
  <c r="C853" i="2"/>
  <c r="AB852" i="2"/>
  <c r="X852" i="2"/>
  <c r="V852" i="2"/>
  <c r="R852" i="2"/>
  <c r="E852" i="2"/>
  <c r="D852" i="2"/>
  <c r="C852" i="2"/>
  <c r="AB851" i="2"/>
  <c r="X851" i="2"/>
  <c r="V851" i="2"/>
  <c r="R851" i="2"/>
  <c r="E851" i="2"/>
  <c r="D851" i="2"/>
  <c r="C851" i="2"/>
  <c r="AB850" i="2"/>
  <c r="X850" i="2"/>
  <c r="V850" i="2"/>
  <c r="R850" i="2"/>
  <c r="E850" i="2"/>
  <c r="D850" i="2"/>
  <c r="C850" i="2"/>
  <c r="AB849" i="2"/>
  <c r="X849" i="2"/>
  <c r="V849" i="2"/>
  <c r="R849" i="2"/>
  <c r="E849" i="2"/>
  <c r="D849" i="2"/>
  <c r="C849" i="2"/>
  <c r="AB848" i="2"/>
  <c r="X848" i="2"/>
  <c r="V848" i="2"/>
  <c r="R848" i="2"/>
  <c r="E848" i="2"/>
  <c r="D848" i="2"/>
  <c r="C848" i="2"/>
  <c r="AB847" i="2"/>
  <c r="X847" i="2"/>
  <c r="V847" i="2"/>
  <c r="R847" i="2"/>
  <c r="E847" i="2"/>
  <c r="D847" i="2"/>
  <c r="C847" i="2"/>
  <c r="AB846" i="2"/>
  <c r="X846" i="2"/>
  <c r="V846" i="2"/>
  <c r="R846" i="2"/>
  <c r="E846" i="2"/>
  <c r="D846" i="2"/>
  <c r="C846" i="2"/>
  <c r="AB845" i="2"/>
  <c r="X845" i="2"/>
  <c r="V845" i="2"/>
  <c r="R845" i="2"/>
  <c r="E845" i="2"/>
  <c r="D845" i="2"/>
  <c r="C845" i="2"/>
  <c r="AB844" i="2"/>
  <c r="X844" i="2"/>
  <c r="V844" i="2"/>
  <c r="R844" i="2"/>
  <c r="E844" i="2"/>
  <c r="D844" i="2"/>
  <c r="C844" i="2"/>
  <c r="AB843" i="2"/>
  <c r="X843" i="2"/>
  <c r="V843" i="2"/>
  <c r="R843" i="2"/>
  <c r="E843" i="2"/>
  <c r="D843" i="2"/>
  <c r="C843" i="2"/>
  <c r="AB842" i="2"/>
  <c r="X842" i="2"/>
  <c r="V842" i="2"/>
  <c r="R842" i="2"/>
  <c r="E842" i="2"/>
  <c r="D842" i="2"/>
  <c r="C842" i="2"/>
  <c r="AB841" i="2"/>
  <c r="X841" i="2"/>
  <c r="V841" i="2"/>
  <c r="R841" i="2"/>
  <c r="E841" i="2"/>
  <c r="D841" i="2"/>
  <c r="C841" i="2"/>
  <c r="AB840" i="2"/>
  <c r="X840" i="2"/>
  <c r="V840" i="2"/>
  <c r="R840" i="2"/>
  <c r="E840" i="2"/>
  <c r="D840" i="2"/>
  <c r="C840" i="2"/>
  <c r="AB839" i="2"/>
  <c r="X839" i="2"/>
  <c r="V839" i="2"/>
  <c r="R839" i="2"/>
  <c r="E839" i="2"/>
  <c r="D839" i="2"/>
  <c r="C839" i="2"/>
  <c r="AB838" i="2"/>
  <c r="X838" i="2"/>
  <c r="V838" i="2"/>
  <c r="R838" i="2"/>
  <c r="E838" i="2"/>
  <c r="D838" i="2"/>
  <c r="C838" i="2"/>
  <c r="AB837" i="2"/>
  <c r="X837" i="2"/>
  <c r="V837" i="2"/>
  <c r="R837" i="2"/>
  <c r="E837" i="2"/>
  <c r="D837" i="2"/>
  <c r="C837" i="2"/>
  <c r="AB836" i="2"/>
  <c r="X836" i="2"/>
  <c r="V836" i="2"/>
  <c r="R836" i="2"/>
  <c r="E836" i="2"/>
  <c r="D836" i="2"/>
  <c r="C836" i="2"/>
  <c r="AB835" i="2"/>
  <c r="X835" i="2"/>
  <c r="V835" i="2"/>
  <c r="R835" i="2"/>
  <c r="E835" i="2"/>
  <c r="D835" i="2"/>
  <c r="C835" i="2"/>
  <c r="AB834" i="2"/>
  <c r="X834" i="2"/>
  <c r="V834" i="2"/>
  <c r="R834" i="2"/>
  <c r="E834" i="2"/>
  <c r="D834" i="2"/>
  <c r="C834" i="2"/>
  <c r="AB833" i="2"/>
  <c r="X833" i="2"/>
  <c r="V833" i="2"/>
  <c r="R833" i="2"/>
  <c r="E833" i="2"/>
  <c r="D833" i="2"/>
  <c r="C833" i="2"/>
  <c r="AB832" i="2"/>
  <c r="X832" i="2"/>
  <c r="V832" i="2"/>
  <c r="R832" i="2"/>
  <c r="E832" i="2"/>
  <c r="D832" i="2"/>
  <c r="C832" i="2"/>
  <c r="AB831" i="2"/>
  <c r="X831" i="2"/>
  <c r="V831" i="2"/>
  <c r="R831" i="2"/>
  <c r="E831" i="2"/>
  <c r="D831" i="2"/>
  <c r="C831" i="2"/>
  <c r="AB830" i="2"/>
  <c r="X830" i="2"/>
  <c r="V830" i="2"/>
  <c r="R830" i="2"/>
  <c r="E830" i="2"/>
  <c r="D830" i="2"/>
  <c r="C830" i="2"/>
  <c r="AB829" i="2"/>
  <c r="X829" i="2"/>
  <c r="V829" i="2"/>
  <c r="R829" i="2"/>
  <c r="E829" i="2"/>
  <c r="D829" i="2"/>
  <c r="C829" i="2"/>
  <c r="AB828" i="2"/>
  <c r="X828" i="2"/>
  <c r="V828" i="2"/>
  <c r="R828" i="2"/>
  <c r="E828" i="2"/>
  <c r="D828" i="2"/>
  <c r="C828" i="2"/>
  <c r="AB827" i="2"/>
  <c r="X827" i="2"/>
  <c r="V827" i="2"/>
  <c r="R827" i="2"/>
  <c r="E827" i="2"/>
  <c r="D827" i="2"/>
  <c r="C827" i="2"/>
  <c r="AB826" i="2"/>
  <c r="X826" i="2"/>
  <c r="V826" i="2"/>
  <c r="R826" i="2"/>
  <c r="E826" i="2"/>
  <c r="D826" i="2"/>
  <c r="C826" i="2"/>
  <c r="AB825" i="2"/>
  <c r="X825" i="2"/>
  <c r="V825" i="2"/>
  <c r="R825" i="2"/>
  <c r="E825" i="2"/>
  <c r="D825" i="2"/>
  <c r="C825" i="2"/>
  <c r="AB824" i="2"/>
  <c r="X824" i="2"/>
  <c r="V824" i="2"/>
  <c r="R824" i="2"/>
  <c r="E824" i="2"/>
  <c r="D824" i="2"/>
  <c r="C824" i="2"/>
  <c r="AB823" i="2"/>
  <c r="X823" i="2"/>
  <c r="V823" i="2"/>
  <c r="R823" i="2"/>
  <c r="E823" i="2"/>
  <c r="D823" i="2"/>
  <c r="C823" i="2"/>
  <c r="AB822" i="2"/>
  <c r="X822" i="2"/>
  <c r="V822" i="2"/>
  <c r="R822" i="2"/>
  <c r="E822" i="2"/>
  <c r="D822" i="2"/>
  <c r="C822" i="2"/>
  <c r="AB821" i="2"/>
  <c r="X821" i="2"/>
  <c r="V821" i="2"/>
  <c r="R821" i="2"/>
  <c r="E821" i="2"/>
  <c r="D821" i="2"/>
  <c r="C821" i="2"/>
  <c r="AB820" i="2"/>
  <c r="X820" i="2"/>
  <c r="V820" i="2"/>
  <c r="R820" i="2"/>
  <c r="E820" i="2"/>
  <c r="D820" i="2"/>
  <c r="C820" i="2"/>
  <c r="AB819" i="2"/>
  <c r="X819" i="2"/>
  <c r="V819" i="2"/>
  <c r="R819" i="2"/>
  <c r="E819" i="2"/>
  <c r="D819" i="2"/>
  <c r="C819" i="2"/>
  <c r="AB818" i="2"/>
  <c r="X818" i="2"/>
  <c r="V818" i="2"/>
  <c r="R818" i="2"/>
  <c r="E818" i="2"/>
  <c r="D818" i="2"/>
  <c r="C818" i="2"/>
  <c r="AB817" i="2"/>
  <c r="X817" i="2"/>
  <c r="V817" i="2"/>
  <c r="R817" i="2"/>
  <c r="E817" i="2"/>
  <c r="D817" i="2"/>
  <c r="C817" i="2"/>
  <c r="AB816" i="2"/>
  <c r="X816" i="2"/>
  <c r="V816" i="2"/>
  <c r="R816" i="2"/>
  <c r="E816" i="2"/>
  <c r="D816" i="2"/>
  <c r="C816" i="2"/>
  <c r="AB815" i="2"/>
  <c r="X815" i="2"/>
  <c r="V815" i="2"/>
  <c r="R815" i="2"/>
  <c r="E815" i="2"/>
  <c r="D815" i="2"/>
  <c r="C815" i="2"/>
  <c r="AB814" i="2"/>
  <c r="X814" i="2"/>
  <c r="V814" i="2"/>
  <c r="R814" i="2"/>
  <c r="E814" i="2"/>
  <c r="D814" i="2"/>
  <c r="C814" i="2"/>
  <c r="AB813" i="2"/>
  <c r="X813" i="2"/>
  <c r="V813" i="2"/>
  <c r="R813" i="2"/>
  <c r="E813" i="2"/>
  <c r="D813" i="2"/>
  <c r="C813" i="2"/>
  <c r="AB812" i="2"/>
  <c r="X812" i="2"/>
  <c r="V812" i="2"/>
  <c r="R812" i="2"/>
  <c r="E812" i="2"/>
  <c r="D812" i="2"/>
  <c r="C812" i="2"/>
  <c r="AB811" i="2"/>
  <c r="X811" i="2"/>
  <c r="V811" i="2"/>
  <c r="R811" i="2"/>
  <c r="E811" i="2"/>
  <c r="D811" i="2"/>
  <c r="C811" i="2"/>
  <c r="AB810" i="2"/>
  <c r="X810" i="2"/>
  <c r="V810" i="2"/>
  <c r="R810" i="2"/>
  <c r="E810" i="2"/>
  <c r="D810" i="2"/>
  <c r="C810" i="2"/>
  <c r="AB809" i="2"/>
  <c r="X809" i="2"/>
  <c r="V809" i="2"/>
  <c r="R809" i="2"/>
  <c r="E809" i="2"/>
  <c r="D809" i="2"/>
  <c r="C809" i="2"/>
  <c r="AB808" i="2"/>
  <c r="X808" i="2"/>
  <c r="V808" i="2"/>
  <c r="R808" i="2"/>
  <c r="E808" i="2"/>
  <c r="D808" i="2"/>
  <c r="C808" i="2"/>
  <c r="AB807" i="2"/>
  <c r="X807" i="2"/>
  <c r="V807" i="2"/>
  <c r="R807" i="2"/>
  <c r="E807" i="2"/>
  <c r="D807" i="2"/>
  <c r="C807" i="2"/>
  <c r="AB806" i="2"/>
  <c r="X806" i="2"/>
  <c r="V806" i="2"/>
  <c r="R806" i="2"/>
  <c r="E806" i="2"/>
  <c r="D806" i="2"/>
  <c r="C806" i="2"/>
  <c r="AB805" i="2"/>
  <c r="X805" i="2"/>
  <c r="V805" i="2"/>
  <c r="R805" i="2"/>
  <c r="E805" i="2"/>
  <c r="D805" i="2"/>
  <c r="C805" i="2"/>
  <c r="AB804" i="2"/>
  <c r="X804" i="2"/>
  <c r="V804" i="2"/>
  <c r="R804" i="2"/>
  <c r="E804" i="2"/>
  <c r="D804" i="2"/>
  <c r="C804" i="2"/>
  <c r="AB803" i="2"/>
  <c r="X803" i="2"/>
  <c r="V803" i="2"/>
  <c r="R803" i="2"/>
  <c r="E803" i="2"/>
  <c r="D803" i="2"/>
  <c r="C803" i="2"/>
  <c r="AB802" i="2"/>
  <c r="X802" i="2"/>
  <c r="V802" i="2"/>
  <c r="R802" i="2"/>
  <c r="E802" i="2"/>
  <c r="D802" i="2"/>
  <c r="C802" i="2"/>
  <c r="AB801" i="2"/>
  <c r="X801" i="2"/>
  <c r="V801" i="2"/>
  <c r="R801" i="2"/>
  <c r="E801" i="2"/>
  <c r="D801" i="2"/>
  <c r="C801" i="2"/>
  <c r="AB800" i="2"/>
  <c r="X800" i="2"/>
  <c r="V800" i="2"/>
  <c r="R800" i="2"/>
  <c r="E800" i="2"/>
  <c r="D800" i="2"/>
  <c r="C800" i="2"/>
  <c r="AB799" i="2"/>
  <c r="X799" i="2"/>
  <c r="V799" i="2"/>
  <c r="R799" i="2"/>
  <c r="E799" i="2"/>
  <c r="D799" i="2"/>
  <c r="C799" i="2"/>
  <c r="AB798" i="2"/>
  <c r="X798" i="2"/>
  <c r="V798" i="2"/>
  <c r="R798" i="2"/>
  <c r="E798" i="2"/>
  <c r="D798" i="2"/>
  <c r="C798" i="2"/>
  <c r="AB797" i="2"/>
  <c r="X797" i="2"/>
  <c r="V797" i="2"/>
  <c r="R797" i="2"/>
  <c r="E797" i="2"/>
  <c r="D797" i="2"/>
  <c r="C797" i="2"/>
  <c r="AB796" i="2"/>
  <c r="X796" i="2"/>
  <c r="V796" i="2"/>
  <c r="R796" i="2"/>
  <c r="E796" i="2"/>
  <c r="D796" i="2"/>
  <c r="C796" i="2"/>
  <c r="AB795" i="2"/>
  <c r="X795" i="2"/>
  <c r="V795" i="2"/>
  <c r="R795" i="2"/>
  <c r="E795" i="2"/>
  <c r="D795" i="2"/>
  <c r="C795" i="2"/>
  <c r="AB794" i="2"/>
  <c r="X794" i="2"/>
  <c r="V794" i="2"/>
  <c r="R794" i="2"/>
  <c r="E794" i="2"/>
  <c r="D794" i="2"/>
  <c r="C794" i="2"/>
  <c r="AB793" i="2"/>
  <c r="X793" i="2"/>
  <c r="V793" i="2"/>
  <c r="R793" i="2"/>
  <c r="E793" i="2"/>
  <c r="D793" i="2"/>
  <c r="C793" i="2"/>
  <c r="AB792" i="2"/>
  <c r="X792" i="2"/>
  <c r="V792" i="2"/>
  <c r="R792" i="2"/>
  <c r="E792" i="2"/>
  <c r="D792" i="2"/>
  <c r="C792" i="2"/>
  <c r="AB791" i="2"/>
  <c r="X791" i="2"/>
  <c r="V791" i="2"/>
  <c r="R791" i="2"/>
  <c r="E791" i="2"/>
  <c r="D791" i="2"/>
  <c r="C791" i="2"/>
  <c r="AB790" i="2"/>
  <c r="X790" i="2"/>
  <c r="V790" i="2"/>
  <c r="R790" i="2"/>
  <c r="E790" i="2"/>
  <c r="D790" i="2"/>
  <c r="C790" i="2"/>
  <c r="AB789" i="2"/>
  <c r="X789" i="2"/>
  <c r="V789" i="2"/>
  <c r="R789" i="2"/>
  <c r="E789" i="2"/>
  <c r="D789" i="2"/>
  <c r="C789" i="2"/>
  <c r="AB788" i="2"/>
  <c r="X788" i="2"/>
  <c r="V788" i="2"/>
  <c r="R788" i="2"/>
  <c r="E788" i="2"/>
  <c r="D788" i="2"/>
  <c r="C788" i="2"/>
  <c r="AB787" i="2"/>
  <c r="X787" i="2"/>
  <c r="V787" i="2"/>
  <c r="R787" i="2"/>
  <c r="E787" i="2"/>
  <c r="D787" i="2"/>
  <c r="C787" i="2"/>
  <c r="AB786" i="2"/>
  <c r="X786" i="2"/>
  <c r="V786" i="2"/>
  <c r="R786" i="2"/>
  <c r="E786" i="2"/>
  <c r="D786" i="2"/>
  <c r="C786" i="2"/>
  <c r="AB785" i="2"/>
  <c r="X785" i="2"/>
  <c r="V785" i="2"/>
  <c r="R785" i="2"/>
  <c r="E785" i="2"/>
  <c r="D785" i="2"/>
  <c r="C785" i="2"/>
  <c r="AB784" i="2"/>
  <c r="X784" i="2"/>
  <c r="V784" i="2"/>
  <c r="R784" i="2"/>
  <c r="E784" i="2"/>
  <c r="D784" i="2"/>
  <c r="C784" i="2"/>
  <c r="AB783" i="2"/>
  <c r="X783" i="2"/>
  <c r="V783" i="2"/>
  <c r="R783" i="2"/>
  <c r="E783" i="2"/>
  <c r="D783" i="2"/>
  <c r="C783" i="2"/>
  <c r="AB782" i="2"/>
  <c r="X782" i="2"/>
  <c r="V782" i="2"/>
  <c r="R782" i="2"/>
  <c r="E782" i="2"/>
  <c r="D782" i="2"/>
  <c r="C782" i="2"/>
  <c r="AB781" i="2"/>
  <c r="X781" i="2"/>
  <c r="V781" i="2"/>
  <c r="R781" i="2"/>
  <c r="E781" i="2"/>
  <c r="D781" i="2"/>
  <c r="C781" i="2"/>
  <c r="AB780" i="2"/>
  <c r="X780" i="2"/>
  <c r="V780" i="2"/>
  <c r="R780" i="2"/>
  <c r="E780" i="2"/>
  <c r="D780" i="2"/>
  <c r="C780" i="2"/>
  <c r="AB779" i="2"/>
  <c r="X779" i="2"/>
  <c r="V779" i="2"/>
  <c r="R779" i="2"/>
  <c r="E779" i="2"/>
  <c r="D779" i="2"/>
  <c r="C779" i="2"/>
  <c r="AB778" i="2"/>
  <c r="X778" i="2"/>
  <c r="V778" i="2"/>
  <c r="R778" i="2"/>
  <c r="E778" i="2"/>
  <c r="D778" i="2"/>
  <c r="C778" i="2"/>
  <c r="AB777" i="2"/>
  <c r="X777" i="2"/>
  <c r="V777" i="2"/>
  <c r="R777" i="2"/>
  <c r="E777" i="2"/>
  <c r="D777" i="2"/>
  <c r="C777" i="2"/>
  <c r="AB776" i="2"/>
  <c r="X776" i="2"/>
  <c r="V776" i="2"/>
  <c r="R776" i="2"/>
  <c r="E776" i="2"/>
  <c r="D776" i="2"/>
  <c r="C776" i="2"/>
  <c r="AB775" i="2"/>
  <c r="X775" i="2"/>
  <c r="V775" i="2"/>
  <c r="R775" i="2"/>
  <c r="E775" i="2"/>
  <c r="D775" i="2"/>
  <c r="C775" i="2"/>
  <c r="AB774" i="2"/>
  <c r="X774" i="2"/>
  <c r="V774" i="2"/>
  <c r="R774" i="2"/>
  <c r="E774" i="2"/>
  <c r="D774" i="2"/>
  <c r="C774" i="2"/>
  <c r="AB773" i="2"/>
  <c r="X773" i="2"/>
  <c r="V773" i="2"/>
  <c r="R773" i="2"/>
  <c r="E773" i="2"/>
  <c r="D773" i="2"/>
  <c r="C773" i="2"/>
  <c r="AB772" i="2"/>
  <c r="X772" i="2"/>
  <c r="V772" i="2"/>
  <c r="R772" i="2"/>
  <c r="E772" i="2"/>
  <c r="D772" i="2"/>
  <c r="C772" i="2"/>
  <c r="AB771" i="2"/>
  <c r="X771" i="2"/>
  <c r="V771" i="2"/>
  <c r="R771" i="2"/>
  <c r="E771" i="2"/>
  <c r="D771" i="2"/>
  <c r="C771" i="2"/>
  <c r="AB770" i="2"/>
  <c r="X770" i="2"/>
  <c r="V770" i="2"/>
  <c r="R770" i="2"/>
  <c r="E770" i="2"/>
  <c r="D770" i="2"/>
  <c r="C770" i="2"/>
  <c r="AB769" i="2"/>
  <c r="X769" i="2"/>
  <c r="V769" i="2"/>
  <c r="R769" i="2"/>
  <c r="E769" i="2"/>
  <c r="D769" i="2"/>
  <c r="C769" i="2"/>
  <c r="AB768" i="2"/>
  <c r="X768" i="2"/>
  <c r="V768" i="2"/>
  <c r="R768" i="2"/>
  <c r="E768" i="2"/>
  <c r="D768" i="2"/>
  <c r="C768" i="2"/>
  <c r="AB767" i="2"/>
  <c r="X767" i="2"/>
  <c r="V767" i="2"/>
  <c r="R767" i="2"/>
  <c r="E767" i="2"/>
  <c r="D767" i="2"/>
  <c r="C767" i="2"/>
  <c r="AB766" i="2"/>
  <c r="X766" i="2"/>
  <c r="V766" i="2"/>
  <c r="R766" i="2"/>
  <c r="E766" i="2"/>
  <c r="D766" i="2"/>
  <c r="C766" i="2"/>
  <c r="AB765" i="2"/>
  <c r="X765" i="2"/>
  <c r="V765" i="2"/>
  <c r="R765" i="2"/>
  <c r="E765" i="2"/>
  <c r="D765" i="2"/>
  <c r="C765" i="2"/>
  <c r="AB764" i="2"/>
  <c r="X764" i="2"/>
  <c r="V764" i="2"/>
  <c r="R764" i="2"/>
  <c r="E764" i="2"/>
  <c r="D764" i="2"/>
  <c r="C764" i="2"/>
  <c r="AB763" i="2"/>
  <c r="X763" i="2"/>
  <c r="V763" i="2"/>
  <c r="R763" i="2"/>
  <c r="E763" i="2"/>
  <c r="D763" i="2"/>
  <c r="C763" i="2"/>
  <c r="AB762" i="2"/>
  <c r="X762" i="2"/>
  <c r="V762" i="2"/>
  <c r="R762" i="2"/>
  <c r="E762" i="2"/>
  <c r="D762" i="2"/>
  <c r="C762" i="2"/>
  <c r="AB761" i="2"/>
  <c r="X761" i="2"/>
  <c r="V761" i="2"/>
  <c r="R761" i="2"/>
  <c r="E761" i="2"/>
  <c r="D761" i="2"/>
  <c r="C761" i="2"/>
  <c r="AB760" i="2"/>
  <c r="X760" i="2"/>
  <c r="V760" i="2"/>
  <c r="R760" i="2"/>
  <c r="E760" i="2"/>
  <c r="D760" i="2"/>
  <c r="C760" i="2"/>
  <c r="AB759" i="2"/>
  <c r="X759" i="2"/>
  <c r="V759" i="2"/>
  <c r="R759" i="2"/>
  <c r="E759" i="2"/>
  <c r="D759" i="2"/>
  <c r="C759" i="2"/>
  <c r="AB758" i="2"/>
  <c r="X758" i="2"/>
  <c r="V758" i="2"/>
  <c r="R758" i="2"/>
  <c r="E758" i="2"/>
  <c r="D758" i="2"/>
  <c r="C758" i="2"/>
  <c r="AB757" i="2"/>
  <c r="X757" i="2"/>
  <c r="V757" i="2"/>
  <c r="R757" i="2"/>
  <c r="E757" i="2"/>
  <c r="D757" i="2"/>
  <c r="C757" i="2"/>
  <c r="AB756" i="2"/>
  <c r="X756" i="2"/>
  <c r="V756" i="2"/>
  <c r="R756" i="2"/>
  <c r="E756" i="2"/>
  <c r="D756" i="2"/>
  <c r="C756" i="2"/>
  <c r="AB755" i="2"/>
  <c r="X755" i="2"/>
  <c r="V755" i="2"/>
  <c r="R755" i="2"/>
  <c r="E755" i="2"/>
  <c r="D755" i="2"/>
  <c r="C755" i="2"/>
  <c r="AB754" i="2"/>
  <c r="X754" i="2"/>
  <c r="V754" i="2"/>
  <c r="R754" i="2"/>
  <c r="E754" i="2"/>
  <c r="D754" i="2"/>
  <c r="C754" i="2"/>
  <c r="AB753" i="2"/>
  <c r="X753" i="2"/>
  <c r="V753" i="2"/>
  <c r="R753" i="2"/>
  <c r="E753" i="2"/>
  <c r="D753" i="2"/>
  <c r="C753" i="2"/>
  <c r="AB752" i="2"/>
  <c r="X752" i="2"/>
  <c r="V752" i="2"/>
  <c r="R752" i="2"/>
  <c r="E752" i="2"/>
  <c r="D752" i="2"/>
  <c r="C752" i="2"/>
  <c r="AB751" i="2"/>
  <c r="X751" i="2"/>
  <c r="V751" i="2"/>
  <c r="R751" i="2"/>
  <c r="E751" i="2"/>
  <c r="D751" i="2"/>
  <c r="C751" i="2"/>
  <c r="AB750" i="2"/>
  <c r="X750" i="2"/>
  <c r="V750" i="2"/>
  <c r="R750" i="2"/>
  <c r="E750" i="2"/>
  <c r="D750" i="2"/>
  <c r="C750" i="2"/>
  <c r="AB749" i="2"/>
  <c r="X749" i="2"/>
  <c r="V749" i="2"/>
  <c r="R749" i="2"/>
  <c r="E749" i="2"/>
  <c r="D749" i="2"/>
  <c r="C749" i="2"/>
  <c r="AB748" i="2"/>
  <c r="X748" i="2"/>
  <c r="V748" i="2"/>
  <c r="R748" i="2"/>
  <c r="E748" i="2"/>
  <c r="D748" i="2"/>
  <c r="C748" i="2"/>
  <c r="AB747" i="2"/>
  <c r="X747" i="2"/>
  <c r="V747" i="2"/>
  <c r="R747" i="2"/>
  <c r="E747" i="2"/>
  <c r="D747" i="2"/>
  <c r="C747" i="2"/>
  <c r="AB746" i="2"/>
  <c r="X746" i="2"/>
  <c r="V746" i="2"/>
  <c r="R746" i="2"/>
  <c r="E746" i="2"/>
  <c r="D746" i="2"/>
  <c r="C746" i="2"/>
  <c r="AB745" i="2"/>
  <c r="X745" i="2"/>
  <c r="V745" i="2"/>
  <c r="R745" i="2"/>
  <c r="E745" i="2"/>
  <c r="D745" i="2"/>
  <c r="C745" i="2"/>
  <c r="AB744" i="2"/>
  <c r="X744" i="2"/>
  <c r="V744" i="2"/>
  <c r="R744" i="2"/>
  <c r="E744" i="2"/>
  <c r="D744" i="2"/>
  <c r="C744" i="2"/>
  <c r="AB743" i="2"/>
  <c r="X743" i="2"/>
  <c r="V743" i="2"/>
  <c r="R743" i="2"/>
  <c r="E743" i="2"/>
  <c r="D743" i="2"/>
  <c r="C743" i="2"/>
  <c r="AB742" i="2"/>
  <c r="X742" i="2"/>
  <c r="V742" i="2"/>
  <c r="R742" i="2"/>
  <c r="E742" i="2"/>
  <c r="D742" i="2"/>
  <c r="C742" i="2"/>
  <c r="AB741" i="2"/>
  <c r="X741" i="2"/>
  <c r="V741" i="2"/>
  <c r="R741" i="2"/>
  <c r="E741" i="2"/>
  <c r="D741" i="2"/>
  <c r="C741" i="2"/>
  <c r="AB740" i="2"/>
  <c r="X740" i="2"/>
  <c r="V740" i="2"/>
  <c r="R740" i="2"/>
  <c r="E740" i="2"/>
  <c r="D740" i="2"/>
  <c r="C740" i="2"/>
  <c r="AB739" i="2"/>
  <c r="X739" i="2"/>
  <c r="V739" i="2"/>
  <c r="R739" i="2"/>
  <c r="E739" i="2"/>
  <c r="D739" i="2"/>
  <c r="C739" i="2"/>
  <c r="AB738" i="2"/>
  <c r="X738" i="2"/>
  <c r="V738" i="2"/>
  <c r="R738" i="2"/>
  <c r="E738" i="2"/>
  <c r="D738" i="2"/>
  <c r="C738" i="2"/>
  <c r="AB737" i="2"/>
  <c r="X737" i="2"/>
  <c r="V737" i="2"/>
  <c r="R737" i="2"/>
  <c r="E737" i="2"/>
  <c r="D737" i="2"/>
  <c r="C737" i="2"/>
  <c r="AB736" i="2"/>
  <c r="X736" i="2"/>
  <c r="V736" i="2"/>
  <c r="R736" i="2"/>
  <c r="E736" i="2"/>
  <c r="D736" i="2"/>
  <c r="C736" i="2"/>
  <c r="AB735" i="2"/>
  <c r="X735" i="2"/>
  <c r="V735" i="2"/>
  <c r="R735" i="2"/>
  <c r="E735" i="2"/>
  <c r="D735" i="2"/>
  <c r="C735" i="2"/>
  <c r="AB734" i="2"/>
  <c r="X734" i="2"/>
  <c r="V734" i="2"/>
  <c r="R734" i="2"/>
  <c r="E734" i="2"/>
  <c r="D734" i="2"/>
  <c r="C734" i="2"/>
  <c r="AB733" i="2"/>
  <c r="X733" i="2"/>
  <c r="V733" i="2"/>
  <c r="R733" i="2"/>
  <c r="E733" i="2"/>
  <c r="D733" i="2"/>
  <c r="C733" i="2"/>
  <c r="AB732" i="2"/>
  <c r="X732" i="2"/>
  <c r="V732" i="2"/>
  <c r="R732" i="2"/>
  <c r="E732" i="2"/>
  <c r="D732" i="2"/>
  <c r="C732" i="2"/>
  <c r="AB731" i="2"/>
  <c r="X731" i="2"/>
  <c r="V731" i="2"/>
  <c r="R731" i="2"/>
  <c r="E731" i="2"/>
  <c r="D731" i="2"/>
  <c r="C731" i="2"/>
  <c r="AB730" i="2"/>
  <c r="X730" i="2"/>
  <c r="V730" i="2"/>
  <c r="R730" i="2"/>
  <c r="E730" i="2"/>
  <c r="D730" i="2"/>
  <c r="C730" i="2"/>
  <c r="AB729" i="2"/>
  <c r="X729" i="2"/>
  <c r="V729" i="2"/>
  <c r="R729" i="2"/>
  <c r="E729" i="2"/>
  <c r="D729" i="2"/>
  <c r="C729" i="2"/>
  <c r="AB728" i="2"/>
  <c r="X728" i="2"/>
  <c r="V728" i="2"/>
  <c r="R728" i="2"/>
  <c r="E728" i="2"/>
  <c r="D728" i="2"/>
  <c r="C728" i="2"/>
  <c r="AB727" i="2"/>
  <c r="X727" i="2"/>
  <c r="V727" i="2"/>
  <c r="R727" i="2"/>
  <c r="E727" i="2"/>
  <c r="D727" i="2"/>
  <c r="C727" i="2"/>
  <c r="AB726" i="2"/>
  <c r="X726" i="2"/>
  <c r="V726" i="2"/>
  <c r="R726" i="2"/>
  <c r="E726" i="2"/>
  <c r="D726" i="2"/>
  <c r="C726" i="2"/>
  <c r="AB725" i="2"/>
  <c r="X725" i="2"/>
  <c r="V725" i="2"/>
  <c r="R725" i="2"/>
  <c r="E725" i="2"/>
  <c r="D725" i="2"/>
  <c r="C725" i="2"/>
  <c r="AB724" i="2"/>
  <c r="X724" i="2"/>
  <c r="V724" i="2"/>
  <c r="R724" i="2"/>
  <c r="E724" i="2"/>
  <c r="D724" i="2"/>
  <c r="C724" i="2"/>
  <c r="AB723" i="2"/>
  <c r="X723" i="2"/>
  <c r="V723" i="2"/>
  <c r="R723" i="2"/>
  <c r="E723" i="2"/>
  <c r="D723" i="2"/>
  <c r="C723" i="2"/>
  <c r="AB722" i="2"/>
  <c r="X722" i="2"/>
  <c r="V722" i="2"/>
  <c r="R722" i="2"/>
  <c r="E722" i="2"/>
  <c r="D722" i="2"/>
  <c r="C722" i="2"/>
  <c r="AB721" i="2"/>
  <c r="X721" i="2"/>
  <c r="V721" i="2"/>
  <c r="R721" i="2"/>
  <c r="E721" i="2"/>
  <c r="D721" i="2"/>
  <c r="C721" i="2"/>
  <c r="AB720" i="2"/>
  <c r="X720" i="2"/>
  <c r="V720" i="2"/>
  <c r="R720" i="2"/>
  <c r="E720" i="2"/>
  <c r="D720" i="2"/>
  <c r="C720" i="2"/>
  <c r="AB719" i="2"/>
  <c r="X719" i="2"/>
  <c r="V719" i="2"/>
  <c r="R719" i="2"/>
  <c r="E719" i="2"/>
  <c r="D719" i="2"/>
  <c r="C719" i="2"/>
  <c r="AB718" i="2"/>
  <c r="X718" i="2"/>
  <c r="V718" i="2"/>
  <c r="R718" i="2"/>
  <c r="E718" i="2"/>
  <c r="D718" i="2"/>
  <c r="C718" i="2"/>
  <c r="AB717" i="2"/>
  <c r="X717" i="2"/>
  <c r="V717" i="2"/>
  <c r="R717" i="2"/>
  <c r="E717" i="2"/>
  <c r="D717" i="2"/>
  <c r="C717" i="2"/>
  <c r="AB716" i="2"/>
  <c r="X716" i="2"/>
  <c r="V716" i="2"/>
  <c r="R716" i="2"/>
  <c r="E716" i="2"/>
  <c r="D716" i="2"/>
  <c r="C716" i="2"/>
  <c r="AB715" i="2"/>
  <c r="X715" i="2"/>
  <c r="V715" i="2"/>
  <c r="R715" i="2"/>
  <c r="E715" i="2"/>
  <c r="D715" i="2"/>
  <c r="C715" i="2"/>
  <c r="AB714" i="2"/>
  <c r="X714" i="2"/>
  <c r="V714" i="2"/>
  <c r="R714" i="2"/>
  <c r="E714" i="2"/>
  <c r="D714" i="2"/>
  <c r="C714" i="2"/>
  <c r="AB713" i="2"/>
  <c r="X713" i="2"/>
  <c r="V713" i="2"/>
  <c r="R713" i="2"/>
  <c r="E713" i="2"/>
  <c r="D713" i="2"/>
  <c r="C713" i="2"/>
  <c r="AB712" i="2"/>
  <c r="X712" i="2"/>
  <c r="V712" i="2"/>
  <c r="R712" i="2"/>
  <c r="E712" i="2"/>
  <c r="D712" i="2"/>
  <c r="C712" i="2"/>
  <c r="AB711" i="2"/>
  <c r="X711" i="2"/>
  <c r="V711" i="2"/>
  <c r="R711" i="2"/>
  <c r="E711" i="2"/>
  <c r="D711" i="2"/>
  <c r="C711" i="2"/>
  <c r="AB710" i="2"/>
  <c r="X710" i="2"/>
  <c r="V710" i="2"/>
  <c r="R710" i="2"/>
  <c r="E710" i="2"/>
  <c r="D710" i="2"/>
  <c r="C710" i="2"/>
  <c r="AB709" i="2"/>
  <c r="X709" i="2"/>
  <c r="V709" i="2"/>
  <c r="R709" i="2"/>
  <c r="E709" i="2"/>
  <c r="D709" i="2"/>
  <c r="C709" i="2"/>
  <c r="AB708" i="2"/>
  <c r="X708" i="2"/>
  <c r="V708" i="2"/>
  <c r="R708" i="2"/>
  <c r="E708" i="2"/>
  <c r="D708" i="2"/>
  <c r="C708" i="2"/>
  <c r="AB707" i="2"/>
  <c r="X707" i="2"/>
  <c r="V707" i="2"/>
  <c r="R707" i="2"/>
  <c r="E707" i="2"/>
  <c r="D707" i="2"/>
  <c r="C707" i="2"/>
  <c r="AB706" i="2"/>
  <c r="X706" i="2"/>
  <c r="V706" i="2"/>
  <c r="R706" i="2"/>
  <c r="E706" i="2"/>
  <c r="D706" i="2"/>
  <c r="C706" i="2"/>
  <c r="AB705" i="2"/>
  <c r="X705" i="2"/>
  <c r="V705" i="2"/>
  <c r="R705" i="2"/>
  <c r="E705" i="2"/>
  <c r="D705" i="2"/>
  <c r="C705" i="2"/>
  <c r="AB704" i="2"/>
  <c r="X704" i="2"/>
  <c r="V704" i="2"/>
  <c r="R704" i="2"/>
  <c r="E704" i="2"/>
  <c r="D704" i="2"/>
  <c r="C704" i="2"/>
  <c r="AB703" i="2"/>
  <c r="X703" i="2"/>
  <c r="V703" i="2"/>
  <c r="R703" i="2"/>
  <c r="E703" i="2"/>
  <c r="D703" i="2"/>
  <c r="C703" i="2"/>
  <c r="AB702" i="2"/>
  <c r="X702" i="2"/>
  <c r="V702" i="2"/>
  <c r="R702" i="2"/>
  <c r="E702" i="2"/>
  <c r="D702" i="2"/>
  <c r="C702" i="2"/>
  <c r="AB701" i="2"/>
  <c r="X701" i="2"/>
  <c r="V701" i="2"/>
  <c r="R701" i="2"/>
  <c r="E701" i="2"/>
  <c r="D701" i="2"/>
  <c r="C701" i="2"/>
  <c r="AB700" i="2"/>
  <c r="X700" i="2"/>
  <c r="V700" i="2"/>
  <c r="R700" i="2"/>
  <c r="E700" i="2"/>
  <c r="D700" i="2"/>
  <c r="C700" i="2"/>
  <c r="AB699" i="2"/>
  <c r="X699" i="2"/>
  <c r="V699" i="2"/>
  <c r="R699" i="2"/>
  <c r="E699" i="2"/>
  <c r="D699" i="2"/>
  <c r="C699" i="2"/>
  <c r="AB698" i="2"/>
  <c r="X698" i="2"/>
  <c r="V698" i="2"/>
  <c r="R698" i="2"/>
  <c r="E698" i="2"/>
  <c r="D698" i="2"/>
  <c r="C698" i="2"/>
  <c r="AB697" i="2"/>
  <c r="X697" i="2"/>
  <c r="V697" i="2"/>
  <c r="R697" i="2"/>
  <c r="E697" i="2"/>
  <c r="D697" i="2"/>
  <c r="C697" i="2"/>
  <c r="AB696" i="2"/>
  <c r="X696" i="2"/>
  <c r="V696" i="2"/>
  <c r="R696" i="2"/>
  <c r="E696" i="2"/>
  <c r="D696" i="2"/>
  <c r="C696" i="2"/>
  <c r="AB695" i="2"/>
  <c r="X695" i="2"/>
  <c r="V695" i="2"/>
  <c r="R695" i="2"/>
  <c r="E695" i="2"/>
  <c r="D695" i="2"/>
  <c r="C695" i="2"/>
  <c r="AB694" i="2"/>
  <c r="X694" i="2"/>
  <c r="V694" i="2"/>
  <c r="R694" i="2"/>
  <c r="E694" i="2"/>
  <c r="D694" i="2"/>
  <c r="C694" i="2"/>
  <c r="AB693" i="2"/>
  <c r="X693" i="2"/>
  <c r="V693" i="2"/>
  <c r="R693" i="2"/>
  <c r="E693" i="2"/>
  <c r="D693" i="2"/>
  <c r="C693" i="2"/>
  <c r="AB692" i="2"/>
  <c r="X692" i="2"/>
  <c r="V692" i="2"/>
  <c r="R692" i="2"/>
  <c r="E692" i="2"/>
  <c r="D692" i="2"/>
  <c r="C692" i="2"/>
  <c r="AB691" i="2"/>
  <c r="X691" i="2"/>
  <c r="V691" i="2"/>
  <c r="R691" i="2"/>
  <c r="E691" i="2"/>
  <c r="D691" i="2"/>
  <c r="C691" i="2"/>
  <c r="AB690" i="2"/>
  <c r="X690" i="2"/>
  <c r="V690" i="2"/>
  <c r="R690" i="2"/>
  <c r="E690" i="2"/>
  <c r="D690" i="2"/>
  <c r="C690" i="2"/>
  <c r="AB689" i="2"/>
  <c r="X689" i="2"/>
  <c r="V689" i="2"/>
  <c r="R689" i="2"/>
  <c r="E689" i="2"/>
  <c r="D689" i="2"/>
  <c r="C689" i="2"/>
  <c r="AB688" i="2"/>
  <c r="X688" i="2"/>
  <c r="V688" i="2"/>
  <c r="R688" i="2"/>
  <c r="E688" i="2"/>
  <c r="D688" i="2"/>
  <c r="C688" i="2"/>
  <c r="AB687" i="2"/>
  <c r="X687" i="2"/>
  <c r="V687" i="2"/>
  <c r="R687" i="2"/>
  <c r="E687" i="2"/>
  <c r="D687" i="2"/>
  <c r="C687" i="2"/>
  <c r="AB686" i="2"/>
  <c r="X686" i="2"/>
  <c r="V686" i="2"/>
  <c r="R686" i="2"/>
  <c r="E686" i="2"/>
  <c r="D686" i="2"/>
  <c r="C686" i="2"/>
  <c r="AB685" i="2"/>
  <c r="X685" i="2"/>
  <c r="V685" i="2"/>
  <c r="R685" i="2"/>
  <c r="E685" i="2"/>
  <c r="D685" i="2"/>
  <c r="C685" i="2"/>
  <c r="AB684" i="2"/>
  <c r="X684" i="2"/>
  <c r="V684" i="2"/>
  <c r="R684" i="2"/>
  <c r="E684" i="2"/>
  <c r="D684" i="2"/>
  <c r="C684" i="2"/>
  <c r="AB683" i="2"/>
  <c r="X683" i="2"/>
  <c r="V683" i="2"/>
  <c r="R683" i="2"/>
  <c r="E683" i="2"/>
  <c r="D683" i="2"/>
  <c r="C683" i="2"/>
  <c r="AB682" i="2"/>
  <c r="X682" i="2"/>
  <c r="V682" i="2"/>
  <c r="R682" i="2"/>
  <c r="E682" i="2"/>
  <c r="D682" i="2"/>
  <c r="C682" i="2"/>
  <c r="AB681" i="2"/>
  <c r="X681" i="2"/>
  <c r="V681" i="2"/>
  <c r="R681" i="2"/>
  <c r="E681" i="2"/>
  <c r="D681" i="2"/>
  <c r="C681" i="2"/>
  <c r="AB680" i="2"/>
  <c r="X680" i="2"/>
  <c r="V680" i="2"/>
  <c r="R680" i="2"/>
  <c r="E680" i="2"/>
  <c r="D680" i="2"/>
  <c r="C680" i="2"/>
  <c r="AB679" i="2"/>
  <c r="X679" i="2"/>
  <c r="V679" i="2"/>
  <c r="R679" i="2"/>
  <c r="E679" i="2"/>
  <c r="D679" i="2"/>
  <c r="C679" i="2"/>
  <c r="AB678" i="2"/>
  <c r="X678" i="2"/>
  <c r="V678" i="2"/>
  <c r="R678" i="2"/>
  <c r="E678" i="2"/>
  <c r="D678" i="2"/>
  <c r="C678" i="2"/>
  <c r="AB677" i="2"/>
  <c r="X677" i="2"/>
  <c r="V677" i="2"/>
  <c r="R677" i="2"/>
  <c r="E677" i="2"/>
  <c r="D677" i="2"/>
  <c r="C677" i="2"/>
  <c r="AB676" i="2"/>
  <c r="X676" i="2"/>
  <c r="V676" i="2"/>
  <c r="R676" i="2"/>
  <c r="E676" i="2"/>
  <c r="D676" i="2"/>
  <c r="C676" i="2"/>
  <c r="AB675" i="2"/>
  <c r="X675" i="2"/>
  <c r="V675" i="2"/>
  <c r="R675" i="2"/>
  <c r="E675" i="2"/>
  <c r="D675" i="2"/>
  <c r="C675" i="2"/>
  <c r="AB674" i="2"/>
  <c r="X674" i="2"/>
  <c r="V674" i="2"/>
  <c r="R674" i="2"/>
  <c r="E674" i="2"/>
  <c r="D674" i="2"/>
  <c r="C674" i="2"/>
  <c r="AB673" i="2"/>
  <c r="X673" i="2"/>
  <c r="V673" i="2"/>
  <c r="R673" i="2"/>
  <c r="E673" i="2"/>
  <c r="D673" i="2"/>
  <c r="C673" i="2"/>
  <c r="AB672" i="2"/>
  <c r="X672" i="2"/>
  <c r="V672" i="2"/>
  <c r="R672" i="2"/>
  <c r="E672" i="2"/>
  <c r="D672" i="2"/>
  <c r="C672" i="2"/>
  <c r="AB671" i="2"/>
  <c r="X671" i="2"/>
  <c r="V671" i="2"/>
  <c r="R671" i="2"/>
  <c r="E671" i="2"/>
  <c r="D671" i="2"/>
  <c r="C671" i="2"/>
  <c r="AB670" i="2"/>
  <c r="X670" i="2"/>
  <c r="V670" i="2"/>
  <c r="R670" i="2"/>
  <c r="E670" i="2"/>
  <c r="D670" i="2"/>
  <c r="C670" i="2"/>
  <c r="AB669" i="2"/>
  <c r="X669" i="2"/>
  <c r="V669" i="2"/>
  <c r="R669" i="2"/>
  <c r="E669" i="2"/>
  <c r="D669" i="2"/>
  <c r="C669" i="2"/>
  <c r="AB668" i="2"/>
  <c r="X668" i="2"/>
  <c r="V668" i="2"/>
  <c r="R668" i="2"/>
  <c r="E668" i="2"/>
  <c r="D668" i="2"/>
  <c r="C668" i="2"/>
  <c r="AB667" i="2"/>
  <c r="X667" i="2"/>
  <c r="V667" i="2"/>
  <c r="R667" i="2"/>
  <c r="E667" i="2"/>
  <c r="D667" i="2"/>
  <c r="C667" i="2"/>
  <c r="AB666" i="2"/>
  <c r="X666" i="2"/>
  <c r="V666" i="2"/>
  <c r="R666" i="2"/>
  <c r="E666" i="2"/>
  <c r="D666" i="2"/>
  <c r="C666" i="2"/>
  <c r="AB665" i="2"/>
  <c r="X665" i="2"/>
  <c r="V665" i="2"/>
  <c r="R665" i="2"/>
  <c r="E665" i="2"/>
  <c r="D665" i="2"/>
  <c r="C665" i="2"/>
  <c r="AB664" i="2"/>
  <c r="X664" i="2"/>
  <c r="V664" i="2"/>
  <c r="R664" i="2"/>
  <c r="E664" i="2"/>
  <c r="D664" i="2"/>
  <c r="C664" i="2"/>
  <c r="AB663" i="2"/>
  <c r="X663" i="2"/>
  <c r="V663" i="2"/>
  <c r="R663" i="2"/>
  <c r="E663" i="2"/>
  <c r="D663" i="2"/>
  <c r="C663" i="2"/>
  <c r="AB662" i="2"/>
  <c r="X662" i="2"/>
  <c r="V662" i="2"/>
  <c r="R662" i="2"/>
  <c r="E662" i="2"/>
  <c r="D662" i="2"/>
  <c r="C662" i="2"/>
  <c r="AB661" i="2"/>
  <c r="X661" i="2"/>
  <c r="V661" i="2"/>
  <c r="R661" i="2"/>
  <c r="E661" i="2"/>
  <c r="D661" i="2"/>
  <c r="C661" i="2"/>
  <c r="AB660" i="2"/>
  <c r="X660" i="2"/>
  <c r="V660" i="2"/>
  <c r="R660" i="2"/>
  <c r="E660" i="2"/>
  <c r="D660" i="2"/>
  <c r="C660" i="2"/>
  <c r="AB659" i="2"/>
  <c r="X659" i="2"/>
  <c r="V659" i="2"/>
  <c r="R659" i="2"/>
  <c r="E659" i="2"/>
  <c r="D659" i="2"/>
  <c r="C659" i="2"/>
  <c r="AB658" i="2"/>
  <c r="X658" i="2"/>
  <c r="V658" i="2"/>
  <c r="R658" i="2"/>
  <c r="E658" i="2"/>
  <c r="D658" i="2"/>
  <c r="C658" i="2"/>
  <c r="AB657" i="2"/>
  <c r="X657" i="2"/>
  <c r="V657" i="2"/>
  <c r="R657" i="2"/>
  <c r="E657" i="2"/>
  <c r="D657" i="2"/>
  <c r="C657" i="2"/>
  <c r="AB656" i="2"/>
  <c r="X656" i="2"/>
  <c r="V656" i="2"/>
  <c r="R656" i="2"/>
  <c r="E656" i="2"/>
  <c r="D656" i="2"/>
  <c r="C656" i="2"/>
  <c r="AB655" i="2"/>
  <c r="X655" i="2"/>
  <c r="V655" i="2"/>
  <c r="R655" i="2"/>
  <c r="E655" i="2"/>
  <c r="D655" i="2"/>
  <c r="C655" i="2"/>
  <c r="AB654" i="2"/>
  <c r="X654" i="2"/>
  <c r="V654" i="2"/>
  <c r="R654" i="2"/>
  <c r="E654" i="2"/>
  <c r="D654" i="2"/>
  <c r="C654" i="2"/>
  <c r="AB653" i="2"/>
  <c r="X653" i="2"/>
  <c r="V653" i="2"/>
  <c r="R653" i="2"/>
  <c r="E653" i="2"/>
  <c r="D653" i="2"/>
  <c r="C653" i="2"/>
  <c r="AB652" i="2"/>
  <c r="X652" i="2"/>
  <c r="V652" i="2"/>
  <c r="R652" i="2"/>
  <c r="E652" i="2"/>
  <c r="D652" i="2"/>
  <c r="C652" i="2"/>
  <c r="AB651" i="2"/>
  <c r="X651" i="2"/>
  <c r="V651" i="2"/>
  <c r="R651" i="2"/>
  <c r="E651" i="2"/>
  <c r="D651" i="2"/>
  <c r="C651" i="2"/>
  <c r="AB650" i="2"/>
  <c r="X650" i="2"/>
  <c r="V650" i="2"/>
  <c r="R650" i="2"/>
  <c r="E650" i="2"/>
  <c r="D650" i="2"/>
  <c r="C650" i="2"/>
  <c r="AB649" i="2"/>
  <c r="X649" i="2"/>
  <c r="V649" i="2"/>
  <c r="R649" i="2"/>
  <c r="E649" i="2"/>
  <c r="D649" i="2"/>
  <c r="C649" i="2"/>
  <c r="AB648" i="2"/>
  <c r="X648" i="2"/>
  <c r="V648" i="2"/>
  <c r="R648" i="2"/>
  <c r="E648" i="2"/>
  <c r="D648" i="2"/>
  <c r="C648" i="2"/>
  <c r="AB647" i="2"/>
  <c r="X647" i="2"/>
  <c r="V647" i="2"/>
  <c r="R647" i="2"/>
  <c r="E647" i="2"/>
  <c r="D647" i="2"/>
  <c r="C647" i="2"/>
  <c r="AB646" i="2"/>
  <c r="X646" i="2"/>
  <c r="V646" i="2"/>
  <c r="R646" i="2"/>
  <c r="E646" i="2"/>
  <c r="D646" i="2"/>
  <c r="C646" i="2"/>
  <c r="AB645" i="2"/>
  <c r="X645" i="2"/>
  <c r="V645" i="2"/>
  <c r="R645" i="2"/>
  <c r="E645" i="2"/>
  <c r="D645" i="2"/>
  <c r="C645" i="2"/>
  <c r="AB644" i="2"/>
  <c r="X644" i="2"/>
  <c r="V644" i="2"/>
  <c r="R644" i="2"/>
  <c r="E644" i="2"/>
  <c r="D644" i="2"/>
  <c r="C644" i="2"/>
  <c r="AB643" i="2"/>
  <c r="X643" i="2"/>
  <c r="V643" i="2"/>
  <c r="R643" i="2"/>
  <c r="E643" i="2"/>
  <c r="D643" i="2"/>
  <c r="C643" i="2"/>
  <c r="AB642" i="2"/>
  <c r="X642" i="2"/>
  <c r="V642" i="2"/>
  <c r="R642" i="2"/>
  <c r="E642" i="2"/>
  <c r="D642" i="2"/>
  <c r="C642" i="2"/>
  <c r="AB641" i="2"/>
  <c r="X641" i="2"/>
  <c r="V641" i="2"/>
  <c r="R641" i="2"/>
  <c r="E641" i="2"/>
  <c r="D641" i="2"/>
  <c r="C641" i="2"/>
  <c r="AB640" i="2"/>
  <c r="X640" i="2"/>
  <c r="V640" i="2"/>
  <c r="R640" i="2"/>
  <c r="E640" i="2"/>
  <c r="D640" i="2"/>
  <c r="C640" i="2"/>
  <c r="AB639" i="2"/>
  <c r="X639" i="2"/>
  <c r="V639" i="2"/>
  <c r="R639" i="2"/>
  <c r="E639" i="2"/>
  <c r="D639" i="2"/>
  <c r="C639" i="2"/>
  <c r="AB638" i="2"/>
  <c r="X638" i="2"/>
  <c r="V638" i="2"/>
  <c r="R638" i="2"/>
  <c r="E638" i="2"/>
  <c r="D638" i="2"/>
  <c r="C638" i="2"/>
  <c r="AB637" i="2"/>
  <c r="X637" i="2"/>
  <c r="V637" i="2"/>
  <c r="R637" i="2"/>
  <c r="E637" i="2"/>
  <c r="D637" i="2"/>
  <c r="C637" i="2"/>
  <c r="AB636" i="2"/>
  <c r="X636" i="2"/>
  <c r="V636" i="2"/>
  <c r="R636" i="2"/>
  <c r="E636" i="2"/>
  <c r="D636" i="2"/>
  <c r="C636" i="2"/>
  <c r="AB635" i="2"/>
  <c r="X635" i="2"/>
  <c r="V635" i="2"/>
  <c r="R635" i="2"/>
  <c r="E635" i="2"/>
  <c r="D635" i="2"/>
  <c r="C635" i="2"/>
  <c r="AB634" i="2"/>
  <c r="X634" i="2"/>
  <c r="V634" i="2"/>
  <c r="R634" i="2"/>
  <c r="E634" i="2"/>
  <c r="D634" i="2"/>
  <c r="C634" i="2"/>
  <c r="AB633" i="2"/>
  <c r="X633" i="2"/>
  <c r="V633" i="2"/>
  <c r="R633" i="2"/>
  <c r="E633" i="2"/>
  <c r="D633" i="2"/>
  <c r="C633" i="2"/>
  <c r="AB632" i="2"/>
  <c r="X632" i="2"/>
  <c r="V632" i="2"/>
  <c r="R632" i="2"/>
  <c r="E632" i="2"/>
  <c r="D632" i="2"/>
  <c r="C632" i="2"/>
  <c r="AB631" i="2"/>
  <c r="X631" i="2"/>
  <c r="V631" i="2"/>
  <c r="R631" i="2"/>
  <c r="E631" i="2"/>
  <c r="D631" i="2"/>
  <c r="C631" i="2"/>
  <c r="AB630" i="2"/>
  <c r="X630" i="2"/>
  <c r="V630" i="2"/>
  <c r="R630" i="2"/>
  <c r="E630" i="2"/>
  <c r="D630" i="2"/>
  <c r="C630" i="2"/>
  <c r="AB629" i="2"/>
  <c r="X629" i="2"/>
  <c r="V629" i="2"/>
  <c r="R629" i="2"/>
  <c r="E629" i="2"/>
  <c r="D629" i="2"/>
  <c r="C629" i="2"/>
  <c r="AB628" i="2"/>
  <c r="X628" i="2"/>
  <c r="V628" i="2"/>
  <c r="R628" i="2"/>
  <c r="E628" i="2"/>
  <c r="D628" i="2"/>
  <c r="C628" i="2"/>
  <c r="AB627" i="2"/>
  <c r="X627" i="2"/>
  <c r="V627" i="2"/>
  <c r="R627" i="2"/>
  <c r="E627" i="2"/>
  <c r="D627" i="2"/>
  <c r="C627" i="2"/>
  <c r="AB626" i="2"/>
  <c r="X626" i="2"/>
  <c r="V626" i="2"/>
  <c r="R626" i="2"/>
  <c r="E626" i="2"/>
  <c r="D626" i="2"/>
  <c r="C626" i="2"/>
  <c r="AB625" i="2"/>
  <c r="X625" i="2"/>
  <c r="V625" i="2"/>
  <c r="R625" i="2"/>
  <c r="E625" i="2"/>
  <c r="D625" i="2"/>
  <c r="C625" i="2"/>
  <c r="AB624" i="2"/>
  <c r="X624" i="2"/>
  <c r="V624" i="2"/>
  <c r="R624" i="2"/>
  <c r="E624" i="2"/>
  <c r="D624" i="2"/>
  <c r="C624" i="2"/>
  <c r="AB623" i="2"/>
  <c r="X623" i="2"/>
  <c r="V623" i="2"/>
  <c r="R623" i="2"/>
  <c r="E623" i="2"/>
  <c r="D623" i="2"/>
  <c r="C623" i="2"/>
  <c r="AB622" i="2"/>
  <c r="X622" i="2"/>
  <c r="V622" i="2"/>
  <c r="R622" i="2"/>
  <c r="E622" i="2"/>
  <c r="D622" i="2"/>
  <c r="C622" i="2"/>
  <c r="AB621" i="2"/>
  <c r="X621" i="2"/>
  <c r="V621" i="2"/>
  <c r="R621" i="2"/>
  <c r="E621" i="2"/>
  <c r="D621" i="2"/>
  <c r="C621" i="2"/>
  <c r="AB620" i="2"/>
  <c r="X620" i="2"/>
  <c r="V620" i="2"/>
  <c r="R620" i="2"/>
  <c r="E620" i="2"/>
  <c r="D620" i="2"/>
  <c r="C620" i="2"/>
  <c r="AB619" i="2"/>
  <c r="X619" i="2"/>
  <c r="V619" i="2"/>
  <c r="R619" i="2"/>
  <c r="E619" i="2"/>
  <c r="D619" i="2"/>
  <c r="C619" i="2"/>
  <c r="AB618" i="2"/>
  <c r="X618" i="2"/>
  <c r="V618" i="2"/>
  <c r="R618" i="2"/>
  <c r="E618" i="2"/>
  <c r="D618" i="2"/>
  <c r="C618" i="2"/>
  <c r="AB617" i="2"/>
  <c r="X617" i="2"/>
  <c r="V617" i="2"/>
  <c r="R617" i="2"/>
  <c r="E617" i="2"/>
  <c r="D617" i="2"/>
  <c r="C617" i="2"/>
  <c r="AB616" i="2"/>
  <c r="X616" i="2"/>
  <c r="V616" i="2"/>
  <c r="R616" i="2"/>
  <c r="E616" i="2"/>
  <c r="D616" i="2"/>
  <c r="C616" i="2"/>
  <c r="AB615" i="2"/>
  <c r="X615" i="2"/>
  <c r="V615" i="2"/>
  <c r="R615" i="2"/>
  <c r="E615" i="2"/>
  <c r="D615" i="2"/>
  <c r="C615" i="2"/>
  <c r="AB614" i="2"/>
  <c r="X614" i="2"/>
  <c r="V614" i="2"/>
  <c r="R614" i="2"/>
  <c r="E614" i="2"/>
  <c r="D614" i="2"/>
  <c r="C614" i="2"/>
  <c r="AB613" i="2"/>
  <c r="X613" i="2"/>
  <c r="V613" i="2"/>
  <c r="R613" i="2"/>
  <c r="E613" i="2"/>
  <c r="D613" i="2"/>
  <c r="C613" i="2"/>
  <c r="AB612" i="2"/>
  <c r="X612" i="2"/>
  <c r="V612" i="2"/>
  <c r="R612" i="2"/>
  <c r="E612" i="2"/>
  <c r="D612" i="2"/>
  <c r="C612" i="2"/>
  <c r="AB611" i="2"/>
  <c r="X611" i="2"/>
  <c r="V611" i="2"/>
  <c r="R611" i="2"/>
  <c r="E611" i="2"/>
  <c r="D611" i="2"/>
  <c r="C611" i="2"/>
  <c r="AB610" i="2"/>
  <c r="X610" i="2"/>
  <c r="V610" i="2"/>
  <c r="R610" i="2"/>
  <c r="E610" i="2"/>
  <c r="D610" i="2"/>
  <c r="C610" i="2"/>
  <c r="AB609" i="2"/>
  <c r="X609" i="2"/>
  <c r="V609" i="2"/>
  <c r="R609" i="2"/>
  <c r="E609" i="2"/>
  <c r="D609" i="2"/>
  <c r="C609" i="2"/>
  <c r="AB608" i="2"/>
  <c r="X608" i="2"/>
  <c r="V608" i="2"/>
  <c r="R608" i="2"/>
  <c r="E608" i="2"/>
  <c r="D608" i="2"/>
  <c r="C608" i="2"/>
  <c r="AB607" i="2"/>
  <c r="X607" i="2"/>
  <c r="V607" i="2"/>
  <c r="R607" i="2"/>
  <c r="E607" i="2"/>
  <c r="D607" i="2"/>
  <c r="C607" i="2"/>
  <c r="AB606" i="2"/>
  <c r="X606" i="2"/>
  <c r="V606" i="2"/>
  <c r="R606" i="2"/>
  <c r="E606" i="2"/>
  <c r="D606" i="2"/>
  <c r="C606" i="2"/>
  <c r="AB605" i="2"/>
  <c r="X605" i="2"/>
  <c r="V605" i="2"/>
  <c r="R605" i="2"/>
  <c r="E605" i="2"/>
  <c r="D605" i="2"/>
  <c r="C605" i="2"/>
  <c r="AB604" i="2"/>
  <c r="X604" i="2"/>
  <c r="V604" i="2"/>
  <c r="R604" i="2"/>
  <c r="E604" i="2"/>
  <c r="D604" i="2"/>
  <c r="C604" i="2"/>
  <c r="AB603" i="2"/>
  <c r="X603" i="2"/>
  <c r="V603" i="2"/>
  <c r="R603" i="2"/>
  <c r="E603" i="2"/>
  <c r="D603" i="2"/>
  <c r="C603" i="2"/>
  <c r="AB602" i="2"/>
  <c r="X602" i="2"/>
  <c r="V602" i="2"/>
  <c r="R602" i="2"/>
  <c r="E602" i="2"/>
  <c r="D602" i="2"/>
  <c r="C602" i="2"/>
  <c r="AB601" i="2"/>
  <c r="X601" i="2"/>
  <c r="V601" i="2"/>
  <c r="R601" i="2"/>
  <c r="E601" i="2"/>
  <c r="D601" i="2"/>
  <c r="C601" i="2"/>
  <c r="AB600" i="2"/>
  <c r="X600" i="2"/>
  <c r="V600" i="2"/>
  <c r="R600" i="2"/>
  <c r="E600" i="2"/>
  <c r="D600" i="2"/>
  <c r="C600" i="2"/>
  <c r="AB599" i="2"/>
  <c r="X599" i="2"/>
  <c r="V599" i="2"/>
  <c r="R599" i="2"/>
  <c r="E599" i="2"/>
  <c r="D599" i="2"/>
  <c r="C599" i="2"/>
  <c r="AB598" i="2"/>
  <c r="X598" i="2"/>
  <c r="V598" i="2"/>
  <c r="R598" i="2"/>
  <c r="E598" i="2"/>
  <c r="D598" i="2"/>
  <c r="C598" i="2"/>
  <c r="AB597" i="2"/>
  <c r="X597" i="2"/>
  <c r="V597" i="2"/>
  <c r="R597" i="2"/>
  <c r="E597" i="2"/>
  <c r="D597" i="2"/>
  <c r="C597" i="2"/>
  <c r="AB596" i="2"/>
  <c r="X596" i="2"/>
  <c r="V596" i="2"/>
  <c r="R596" i="2"/>
  <c r="E596" i="2"/>
  <c r="D596" i="2"/>
  <c r="C596" i="2"/>
  <c r="AB595" i="2"/>
  <c r="X595" i="2"/>
  <c r="V595" i="2"/>
  <c r="R595" i="2"/>
  <c r="E595" i="2"/>
  <c r="D595" i="2"/>
  <c r="C595" i="2"/>
  <c r="AB594" i="2"/>
  <c r="X594" i="2"/>
  <c r="V594" i="2"/>
  <c r="R594" i="2"/>
  <c r="E594" i="2"/>
  <c r="D594" i="2"/>
  <c r="C594" i="2"/>
  <c r="AB593" i="2"/>
  <c r="X593" i="2"/>
  <c r="V593" i="2"/>
  <c r="R593" i="2"/>
  <c r="E593" i="2"/>
  <c r="D593" i="2"/>
  <c r="C593" i="2"/>
  <c r="AB592" i="2"/>
  <c r="X592" i="2"/>
  <c r="V592" i="2"/>
  <c r="R592" i="2"/>
  <c r="E592" i="2"/>
  <c r="D592" i="2"/>
  <c r="C592" i="2"/>
  <c r="AB591" i="2"/>
  <c r="X591" i="2"/>
  <c r="V591" i="2"/>
  <c r="R591" i="2"/>
  <c r="E591" i="2"/>
  <c r="D591" i="2"/>
  <c r="C591" i="2"/>
  <c r="AB590" i="2"/>
  <c r="X590" i="2"/>
  <c r="V590" i="2"/>
  <c r="R590" i="2"/>
  <c r="E590" i="2"/>
  <c r="D590" i="2"/>
  <c r="C590" i="2"/>
  <c r="AB589" i="2"/>
  <c r="X589" i="2"/>
  <c r="V589" i="2"/>
  <c r="R589" i="2"/>
  <c r="E589" i="2"/>
  <c r="D589" i="2"/>
  <c r="C589" i="2"/>
  <c r="AB588" i="2"/>
  <c r="X588" i="2"/>
  <c r="V588" i="2"/>
  <c r="R588" i="2"/>
  <c r="E588" i="2"/>
  <c r="D588" i="2"/>
  <c r="C588" i="2"/>
  <c r="AB587" i="2"/>
  <c r="X587" i="2"/>
  <c r="V587" i="2"/>
  <c r="R587" i="2"/>
  <c r="E587" i="2"/>
  <c r="D587" i="2"/>
  <c r="C587" i="2"/>
  <c r="AB586" i="2"/>
  <c r="X586" i="2"/>
  <c r="V586" i="2"/>
  <c r="R586" i="2"/>
  <c r="E586" i="2"/>
  <c r="D586" i="2"/>
  <c r="C586" i="2"/>
  <c r="AB585" i="2"/>
  <c r="X585" i="2"/>
  <c r="V585" i="2"/>
  <c r="R585" i="2"/>
  <c r="E585" i="2"/>
  <c r="D585" i="2"/>
  <c r="C585" i="2"/>
  <c r="AB584" i="2"/>
  <c r="X584" i="2"/>
  <c r="V584" i="2"/>
  <c r="R584" i="2"/>
  <c r="E584" i="2"/>
  <c r="D584" i="2"/>
  <c r="C584" i="2"/>
  <c r="AB583" i="2"/>
  <c r="X583" i="2"/>
  <c r="V583" i="2"/>
  <c r="R583" i="2"/>
  <c r="E583" i="2"/>
  <c r="D583" i="2"/>
  <c r="C583" i="2"/>
  <c r="AB582" i="2"/>
  <c r="X582" i="2"/>
  <c r="V582" i="2"/>
  <c r="R582" i="2"/>
  <c r="E582" i="2"/>
  <c r="D582" i="2"/>
  <c r="C582" i="2"/>
  <c r="AB581" i="2"/>
  <c r="X581" i="2"/>
  <c r="V581" i="2"/>
  <c r="R581" i="2"/>
  <c r="E581" i="2"/>
  <c r="D581" i="2"/>
  <c r="C581" i="2"/>
  <c r="AB580" i="2"/>
  <c r="X580" i="2"/>
  <c r="V580" i="2"/>
  <c r="R580" i="2"/>
  <c r="E580" i="2"/>
  <c r="D580" i="2"/>
  <c r="C580" i="2"/>
  <c r="AB579" i="2"/>
  <c r="X579" i="2"/>
  <c r="V579" i="2"/>
  <c r="R579" i="2"/>
  <c r="E579" i="2"/>
  <c r="D579" i="2"/>
  <c r="C579" i="2"/>
  <c r="AB578" i="2"/>
  <c r="X578" i="2"/>
  <c r="V578" i="2"/>
  <c r="R578" i="2"/>
  <c r="E578" i="2"/>
  <c r="D578" i="2"/>
  <c r="C578" i="2"/>
  <c r="AB577" i="2"/>
  <c r="X577" i="2"/>
  <c r="V577" i="2"/>
  <c r="R577" i="2"/>
  <c r="E577" i="2"/>
  <c r="D577" i="2"/>
  <c r="C577" i="2"/>
  <c r="AB576" i="2"/>
  <c r="X576" i="2"/>
  <c r="V576" i="2"/>
  <c r="R576" i="2"/>
  <c r="E576" i="2"/>
  <c r="D576" i="2"/>
  <c r="C576" i="2"/>
  <c r="AB575" i="2"/>
  <c r="X575" i="2"/>
  <c r="V575" i="2"/>
  <c r="R575" i="2"/>
  <c r="E575" i="2"/>
  <c r="D575" i="2"/>
  <c r="C575" i="2"/>
  <c r="AB574" i="2"/>
  <c r="X574" i="2"/>
  <c r="V574" i="2"/>
  <c r="R574" i="2"/>
  <c r="E574" i="2"/>
  <c r="D574" i="2"/>
  <c r="C574" i="2"/>
  <c r="AB573" i="2"/>
  <c r="X573" i="2"/>
  <c r="V573" i="2"/>
  <c r="R573" i="2"/>
  <c r="E573" i="2"/>
  <c r="D573" i="2"/>
  <c r="C573" i="2"/>
  <c r="AB572" i="2"/>
  <c r="X572" i="2"/>
  <c r="V572" i="2"/>
  <c r="R572" i="2"/>
  <c r="E572" i="2"/>
  <c r="D572" i="2"/>
  <c r="C572" i="2"/>
  <c r="AB571" i="2"/>
  <c r="X571" i="2"/>
  <c r="V571" i="2"/>
  <c r="R571" i="2"/>
  <c r="E571" i="2"/>
  <c r="D571" i="2"/>
  <c r="C571" i="2"/>
  <c r="AB570" i="2"/>
  <c r="X570" i="2"/>
  <c r="V570" i="2"/>
  <c r="R570" i="2"/>
  <c r="E570" i="2"/>
  <c r="D570" i="2"/>
  <c r="C570" i="2"/>
  <c r="AB569" i="2"/>
  <c r="X569" i="2"/>
  <c r="V569" i="2"/>
  <c r="R569" i="2"/>
  <c r="E569" i="2"/>
  <c r="D569" i="2"/>
  <c r="C569" i="2"/>
  <c r="AB568" i="2"/>
  <c r="X568" i="2"/>
  <c r="V568" i="2"/>
  <c r="R568" i="2"/>
  <c r="E568" i="2"/>
  <c r="D568" i="2"/>
  <c r="C568" i="2"/>
  <c r="AB567" i="2"/>
  <c r="X567" i="2"/>
  <c r="V567" i="2"/>
  <c r="R567" i="2"/>
  <c r="E567" i="2"/>
  <c r="D567" i="2"/>
  <c r="C567" i="2"/>
  <c r="AB566" i="2"/>
  <c r="X566" i="2"/>
  <c r="V566" i="2"/>
  <c r="R566" i="2"/>
  <c r="E566" i="2"/>
  <c r="D566" i="2"/>
  <c r="C566" i="2"/>
  <c r="AB565" i="2"/>
  <c r="X565" i="2"/>
  <c r="V565" i="2"/>
  <c r="R565" i="2"/>
  <c r="E565" i="2"/>
  <c r="D565" i="2"/>
  <c r="C565" i="2"/>
  <c r="AB564" i="2"/>
  <c r="X564" i="2"/>
  <c r="V564" i="2"/>
  <c r="R564" i="2"/>
  <c r="E564" i="2"/>
  <c r="D564" i="2"/>
  <c r="C564" i="2"/>
  <c r="AB563" i="2"/>
  <c r="X563" i="2"/>
  <c r="V563" i="2"/>
  <c r="R563" i="2"/>
  <c r="E563" i="2"/>
  <c r="D563" i="2"/>
  <c r="C563" i="2"/>
  <c r="AB562" i="2"/>
  <c r="X562" i="2"/>
  <c r="V562" i="2"/>
  <c r="R562" i="2"/>
  <c r="E562" i="2"/>
  <c r="D562" i="2"/>
  <c r="C562" i="2"/>
  <c r="AB561" i="2"/>
  <c r="X561" i="2"/>
  <c r="V561" i="2"/>
  <c r="R561" i="2"/>
  <c r="E561" i="2"/>
  <c r="D561" i="2"/>
  <c r="C561" i="2"/>
  <c r="AB560" i="2"/>
  <c r="X560" i="2"/>
  <c r="V560" i="2"/>
  <c r="R560" i="2"/>
  <c r="E560" i="2"/>
  <c r="D560" i="2"/>
  <c r="C560" i="2"/>
  <c r="AB559" i="2"/>
  <c r="X559" i="2"/>
  <c r="V559" i="2"/>
  <c r="R559" i="2"/>
  <c r="E559" i="2"/>
  <c r="D559" i="2"/>
  <c r="C559" i="2"/>
  <c r="AB558" i="2"/>
  <c r="X558" i="2"/>
  <c r="V558" i="2"/>
  <c r="R558" i="2"/>
  <c r="E558" i="2"/>
  <c r="D558" i="2"/>
  <c r="C558" i="2"/>
  <c r="AB557" i="2"/>
  <c r="X557" i="2"/>
  <c r="V557" i="2"/>
  <c r="R557" i="2"/>
  <c r="E557" i="2"/>
  <c r="D557" i="2"/>
  <c r="C557" i="2"/>
  <c r="AB556" i="2"/>
  <c r="X556" i="2"/>
  <c r="V556" i="2"/>
  <c r="R556" i="2"/>
  <c r="E556" i="2"/>
  <c r="D556" i="2"/>
  <c r="C556" i="2"/>
  <c r="AB555" i="2"/>
  <c r="X555" i="2"/>
  <c r="V555" i="2"/>
  <c r="R555" i="2"/>
  <c r="E555" i="2"/>
  <c r="D555" i="2"/>
  <c r="C555" i="2"/>
  <c r="AB554" i="2"/>
  <c r="X554" i="2"/>
  <c r="V554" i="2"/>
  <c r="R554" i="2"/>
  <c r="E554" i="2"/>
  <c r="D554" i="2"/>
  <c r="C554" i="2"/>
  <c r="AB553" i="2"/>
  <c r="X553" i="2"/>
  <c r="V553" i="2"/>
  <c r="R553" i="2"/>
  <c r="E553" i="2"/>
  <c r="D553" i="2"/>
  <c r="C553" i="2"/>
  <c r="AB552" i="2"/>
  <c r="X552" i="2"/>
  <c r="V552" i="2"/>
  <c r="R552" i="2"/>
  <c r="E552" i="2"/>
  <c r="D552" i="2"/>
  <c r="C552" i="2"/>
  <c r="AB551" i="2"/>
  <c r="X551" i="2"/>
  <c r="V551" i="2"/>
  <c r="R551" i="2"/>
  <c r="E551" i="2"/>
  <c r="D551" i="2"/>
  <c r="C551" i="2"/>
  <c r="AB550" i="2"/>
  <c r="X550" i="2"/>
  <c r="V550" i="2"/>
  <c r="R550" i="2"/>
  <c r="E550" i="2"/>
  <c r="D550" i="2"/>
  <c r="C550" i="2"/>
  <c r="AB549" i="2"/>
  <c r="X549" i="2"/>
  <c r="V549" i="2"/>
  <c r="R549" i="2"/>
  <c r="E549" i="2"/>
  <c r="D549" i="2"/>
  <c r="C549" i="2"/>
  <c r="AB548" i="2"/>
  <c r="X548" i="2"/>
  <c r="V548" i="2"/>
  <c r="R548" i="2"/>
  <c r="E548" i="2"/>
  <c r="D548" i="2"/>
  <c r="C548" i="2"/>
  <c r="AB547" i="2"/>
  <c r="X547" i="2"/>
  <c r="V547" i="2"/>
  <c r="R547" i="2"/>
  <c r="E547" i="2"/>
  <c r="D547" i="2"/>
  <c r="C547" i="2"/>
  <c r="AB546" i="2"/>
  <c r="X546" i="2"/>
  <c r="V546" i="2"/>
  <c r="R546" i="2"/>
  <c r="E546" i="2"/>
  <c r="D546" i="2"/>
  <c r="C546" i="2"/>
  <c r="AB545" i="2"/>
  <c r="X545" i="2"/>
  <c r="V545" i="2"/>
  <c r="R545" i="2"/>
  <c r="E545" i="2"/>
  <c r="D545" i="2"/>
  <c r="C545" i="2"/>
  <c r="AB544" i="2"/>
  <c r="X544" i="2"/>
  <c r="V544" i="2"/>
  <c r="R544" i="2"/>
  <c r="E544" i="2"/>
  <c r="D544" i="2"/>
  <c r="C544" i="2"/>
  <c r="AB543" i="2"/>
  <c r="X543" i="2"/>
  <c r="V543" i="2"/>
  <c r="R543" i="2"/>
  <c r="E543" i="2"/>
  <c r="D543" i="2"/>
  <c r="C543" i="2"/>
  <c r="AB542" i="2"/>
  <c r="X542" i="2"/>
  <c r="V542" i="2"/>
  <c r="R542" i="2"/>
  <c r="E542" i="2"/>
  <c r="D542" i="2"/>
  <c r="C542" i="2"/>
  <c r="AB541" i="2"/>
  <c r="X541" i="2"/>
  <c r="V541" i="2"/>
  <c r="R541" i="2"/>
  <c r="E541" i="2"/>
  <c r="D541" i="2"/>
  <c r="C541" i="2"/>
  <c r="AB540" i="2"/>
  <c r="X540" i="2"/>
  <c r="V540" i="2"/>
  <c r="R540" i="2"/>
  <c r="E540" i="2"/>
  <c r="D540" i="2"/>
  <c r="C540" i="2"/>
  <c r="AB539" i="2"/>
  <c r="X539" i="2"/>
  <c r="V539" i="2"/>
  <c r="R539" i="2"/>
  <c r="E539" i="2"/>
  <c r="D539" i="2"/>
  <c r="C539" i="2"/>
  <c r="AB538" i="2"/>
  <c r="X538" i="2"/>
  <c r="V538" i="2"/>
  <c r="R538" i="2"/>
  <c r="E538" i="2"/>
  <c r="D538" i="2"/>
  <c r="C538" i="2"/>
  <c r="AB537" i="2"/>
  <c r="X537" i="2"/>
  <c r="V537" i="2"/>
  <c r="R537" i="2"/>
  <c r="E537" i="2"/>
  <c r="D537" i="2"/>
  <c r="C537" i="2"/>
  <c r="AB536" i="2"/>
  <c r="X536" i="2"/>
  <c r="V536" i="2"/>
  <c r="R536" i="2"/>
  <c r="E536" i="2"/>
  <c r="D536" i="2"/>
  <c r="C536" i="2"/>
  <c r="AB535" i="2"/>
  <c r="X535" i="2"/>
  <c r="V535" i="2"/>
  <c r="R535" i="2"/>
  <c r="E535" i="2"/>
  <c r="D535" i="2"/>
  <c r="C535" i="2"/>
  <c r="AB534" i="2"/>
  <c r="X534" i="2"/>
  <c r="V534" i="2"/>
  <c r="R534" i="2"/>
  <c r="E534" i="2"/>
  <c r="D534" i="2"/>
  <c r="C534" i="2"/>
  <c r="AB533" i="2"/>
  <c r="X533" i="2"/>
  <c r="V533" i="2"/>
  <c r="R533" i="2"/>
  <c r="E533" i="2"/>
  <c r="D533" i="2"/>
  <c r="C533" i="2"/>
  <c r="AB532" i="2"/>
  <c r="X532" i="2"/>
  <c r="V532" i="2"/>
  <c r="R532" i="2"/>
  <c r="E532" i="2"/>
  <c r="D532" i="2"/>
  <c r="C532" i="2"/>
  <c r="AB531" i="2"/>
  <c r="X531" i="2"/>
  <c r="V531" i="2"/>
  <c r="R531" i="2"/>
  <c r="E531" i="2"/>
  <c r="D531" i="2"/>
  <c r="C531" i="2"/>
  <c r="AB530" i="2"/>
  <c r="X530" i="2"/>
  <c r="V530" i="2"/>
  <c r="R530" i="2"/>
  <c r="E530" i="2"/>
  <c r="D530" i="2"/>
  <c r="C530" i="2"/>
  <c r="AB529" i="2"/>
  <c r="X529" i="2"/>
  <c r="V529" i="2"/>
  <c r="R529" i="2"/>
  <c r="E529" i="2"/>
  <c r="D529" i="2"/>
  <c r="C529" i="2"/>
  <c r="AB528" i="2"/>
  <c r="X528" i="2"/>
  <c r="V528" i="2"/>
  <c r="R528" i="2"/>
  <c r="E528" i="2"/>
  <c r="D528" i="2"/>
  <c r="C528" i="2"/>
  <c r="AB527" i="2"/>
  <c r="X527" i="2"/>
  <c r="V527" i="2"/>
  <c r="R527" i="2"/>
  <c r="E527" i="2"/>
  <c r="D527" i="2"/>
  <c r="C527" i="2"/>
  <c r="AB526" i="2"/>
  <c r="X526" i="2"/>
  <c r="V526" i="2"/>
  <c r="R526" i="2"/>
  <c r="E526" i="2"/>
  <c r="D526" i="2"/>
  <c r="C526" i="2"/>
  <c r="AB525" i="2"/>
  <c r="X525" i="2"/>
  <c r="V525" i="2"/>
  <c r="R525" i="2"/>
  <c r="E525" i="2"/>
  <c r="D525" i="2"/>
  <c r="C525" i="2"/>
  <c r="AB524" i="2"/>
  <c r="X524" i="2"/>
  <c r="V524" i="2"/>
  <c r="R524" i="2"/>
  <c r="E524" i="2"/>
  <c r="D524" i="2"/>
  <c r="C524" i="2"/>
  <c r="AB523" i="2"/>
  <c r="X523" i="2"/>
  <c r="V523" i="2"/>
  <c r="R523" i="2"/>
  <c r="E523" i="2"/>
  <c r="D523" i="2"/>
  <c r="C523" i="2"/>
  <c r="AB522" i="2"/>
  <c r="X522" i="2"/>
  <c r="V522" i="2"/>
  <c r="R522" i="2"/>
  <c r="E522" i="2"/>
  <c r="D522" i="2"/>
  <c r="C522" i="2"/>
  <c r="AB521" i="2"/>
  <c r="X521" i="2"/>
  <c r="V521" i="2"/>
  <c r="R521" i="2"/>
  <c r="E521" i="2"/>
  <c r="D521" i="2"/>
  <c r="C521" i="2"/>
  <c r="AB520" i="2"/>
  <c r="X520" i="2"/>
  <c r="V520" i="2"/>
  <c r="R520" i="2"/>
  <c r="E520" i="2"/>
  <c r="D520" i="2"/>
  <c r="C520" i="2"/>
  <c r="AB519" i="2"/>
  <c r="X519" i="2"/>
  <c r="V519" i="2"/>
  <c r="R519" i="2"/>
  <c r="E519" i="2"/>
  <c r="D519" i="2"/>
  <c r="C519" i="2"/>
  <c r="AB518" i="2"/>
  <c r="X518" i="2"/>
  <c r="V518" i="2"/>
  <c r="R518" i="2"/>
  <c r="E518" i="2"/>
  <c r="D518" i="2"/>
  <c r="C518" i="2"/>
  <c r="AB517" i="2"/>
  <c r="X517" i="2"/>
  <c r="V517" i="2"/>
  <c r="R517" i="2"/>
  <c r="E517" i="2"/>
  <c r="D517" i="2"/>
  <c r="C517" i="2"/>
  <c r="AB516" i="2"/>
  <c r="X516" i="2"/>
  <c r="V516" i="2"/>
  <c r="R516" i="2"/>
  <c r="E516" i="2"/>
  <c r="D516" i="2"/>
  <c r="C516" i="2"/>
  <c r="AB515" i="2"/>
  <c r="X515" i="2"/>
  <c r="V515" i="2"/>
  <c r="R515" i="2"/>
  <c r="E515" i="2"/>
  <c r="D515" i="2"/>
  <c r="C515" i="2"/>
  <c r="AB514" i="2"/>
  <c r="X514" i="2"/>
  <c r="V514" i="2"/>
  <c r="R514" i="2"/>
  <c r="E514" i="2"/>
  <c r="D514" i="2"/>
  <c r="C514" i="2"/>
  <c r="AB513" i="2"/>
  <c r="X513" i="2"/>
  <c r="V513" i="2"/>
  <c r="R513" i="2"/>
  <c r="E513" i="2"/>
  <c r="D513" i="2"/>
  <c r="C513" i="2"/>
  <c r="AB512" i="2"/>
  <c r="X512" i="2"/>
  <c r="V512" i="2"/>
  <c r="R512" i="2"/>
  <c r="E512" i="2"/>
  <c r="D512" i="2"/>
  <c r="C512" i="2"/>
  <c r="AB511" i="2"/>
  <c r="X511" i="2"/>
  <c r="V511" i="2"/>
  <c r="R511" i="2"/>
  <c r="E511" i="2"/>
  <c r="D511" i="2"/>
  <c r="C511" i="2"/>
  <c r="AB510" i="2"/>
  <c r="X510" i="2"/>
  <c r="V510" i="2"/>
  <c r="R510" i="2"/>
  <c r="E510" i="2"/>
  <c r="D510" i="2"/>
  <c r="C510" i="2"/>
  <c r="AB509" i="2"/>
  <c r="X509" i="2"/>
  <c r="V509" i="2"/>
  <c r="R509" i="2"/>
  <c r="E509" i="2"/>
  <c r="D509" i="2"/>
  <c r="C509" i="2"/>
  <c r="AB508" i="2"/>
  <c r="X508" i="2"/>
  <c r="V508" i="2"/>
  <c r="R508" i="2"/>
  <c r="E508" i="2"/>
  <c r="D508" i="2"/>
  <c r="C508" i="2"/>
  <c r="AB507" i="2"/>
  <c r="X507" i="2"/>
  <c r="V507" i="2"/>
  <c r="R507" i="2"/>
  <c r="E507" i="2"/>
  <c r="D507" i="2"/>
  <c r="C507" i="2"/>
  <c r="AB506" i="2"/>
  <c r="X506" i="2"/>
  <c r="V506" i="2"/>
  <c r="R506" i="2"/>
  <c r="E506" i="2"/>
  <c r="D506" i="2"/>
  <c r="C506" i="2"/>
  <c r="AB505" i="2"/>
  <c r="X505" i="2"/>
  <c r="V505" i="2"/>
  <c r="R505" i="2"/>
  <c r="E505" i="2"/>
  <c r="D505" i="2"/>
  <c r="C505" i="2"/>
  <c r="AB504" i="2"/>
  <c r="X504" i="2"/>
  <c r="V504" i="2"/>
  <c r="R504" i="2"/>
  <c r="E504" i="2"/>
  <c r="D504" i="2"/>
  <c r="C504" i="2"/>
  <c r="AB503" i="2"/>
  <c r="X503" i="2"/>
  <c r="V503" i="2"/>
  <c r="R503" i="2"/>
  <c r="E503" i="2"/>
  <c r="D503" i="2"/>
  <c r="C503" i="2"/>
  <c r="AB502" i="2"/>
  <c r="X502" i="2"/>
  <c r="V502" i="2"/>
  <c r="R502" i="2"/>
  <c r="E502" i="2"/>
  <c r="D502" i="2"/>
  <c r="C502" i="2"/>
  <c r="AB501" i="2"/>
  <c r="X501" i="2"/>
  <c r="V501" i="2"/>
  <c r="R501" i="2"/>
  <c r="E501" i="2"/>
  <c r="D501" i="2"/>
  <c r="C501" i="2"/>
  <c r="AB500" i="2"/>
  <c r="X500" i="2"/>
  <c r="V500" i="2"/>
  <c r="R500" i="2"/>
  <c r="E500" i="2"/>
  <c r="D500" i="2"/>
  <c r="C500" i="2"/>
  <c r="AB499" i="2"/>
  <c r="X499" i="2"/>
  <c r="V499" i="2"/>
  <c r="R499" i="2"/>
  <c r="E499" i="2"/>
  <c r="D499" i="2"/>
  <c r="C499" i="2"/>
  <c r="AB498" i="2"/>
  <c r="X498" i="2"/>
  <c r="V498" i="2"/>
  <c r="R498" i="2"/>
  <c r="E498" i="2"/>
  <c r="D498" i="2"/>
  <c r="C498" i="2"/>
  <c r="AB497" i="2"/>
  <c r="X497" i="2"/>
  <c r="V497" i="2"/>
  <c r="R497" i="2"/>
  <c r="E497" i="2"/>
  <c r="D497" i="2"/>
  <c r="C497" i="2"/>
  <c r="AB496" i="2"/>
  <c r="X496" i="2"/>
  <c r="V496" i="2"/>
  <c r="R496" i="2"/>
  <c r="E496" i="2"/>
  <c r="D496" i="2"/>
  <c r="C496" i="2"/>
  <c r="AB495" i="2"/>
  <c r="X495" i="2"/>
  <c r="V495" i="2"/>
  <c r="R495" i="2"/>
  <c r="E495" i="2"/>
  <c r="D495" i="2"/>
  <c r="C495" i="2"/>
  <c r="AB494" i="2"/>
  <c r="X494" i="2"/>
  <c r="V494" i="2"/>
  <c r="R494" i="2"/>
  <c r="E494" i="2"/>
  <c r="D494" i="2"/>
  <c r="C494" i="2"/>
  <c r="AB493" i="2"/>
  <c r="X493" i="2"/>
  <c r="V493" i="2"/>
  <c r="R493" i="2"/>
  <c r="E493" i="2"/>
  <c r="D493" i="2"/>
  <c r="C493" i="2"/>
  <c r="AB492" i="2"/>
  <c r="X492" i="2"/>
  <c r="V492" i="2"/>
  <c r="R492" i="2"/>
  <c r="E492" i="2"/>
  <c r="D492" i="2"/>
  <c r="C492" i="2"/>
  <c r="AB491" i="2"/>
  <c r="X491" i="2"/>
  <c r="V491" i="2"/>
  <c r="R491" i="2"/>
  <c r="E491" i="2"/>
  <c r="D491" i="2"/>
  <c r="C491" i="2"/>
  <c r="AB490" i="2"/>
  <c r="X490" i="2"/>
  <c r="V490" i="2"/>
  <c r="R490" i="2"/>
  <c r="E490" i="2"/>
  <c r="D490" i="2"/>
  <c r="C490" i="2"/>
  <c r="AB489" i="2"/>
  <c r="X489" i="2"/>
  <c r="V489" i="2"/>
  <c r="R489" i="2"/>
  <c r="E489" i="2"/>
  <c r="D489" i="2"/>
  <c r="C489" i="2"/>
  <c r="AB488" i="2"/>
  <c r="X488" i="2"/>
  <c r="V488" i="2"/>
  <c r="R488" i="2"/>
  <c r="E488" i="2"/>
  <c r="D488" i="2"/>
  <c r="C488" i="2"/>
  <c r="AB487" i="2"/>
  <c r="X487" i="2"/>
  <c r="V487" i="2"/>
  <c r="R487" i="2"/>
  <c r="E487" i="2"/>
  <c r="D487" i="2"/>
  <c r="C487" i="2"/>
  <c r="AB486" i="2"/>
  <c r="X486" i="2"/>
  <c r="V486" i="2"/>
  <c r="R486" i="2"/>
  <c r="E486" i="2"/>
  <c r="D486" i="2"/>
  <c r="C486" i="2"/>
  <c r="AB485" i="2"/>
  <c r="X485" i="2"/>
  <c r="V485" i="2"/>
  <c r="R485" i="2"/>
  <c r="E485" i="2"/>
  <c r="D485" i="2"/>
  <c r="C485" i="2"/>
  <c r="AB484" i="2"/>
  <c r="X484" i="2"/>
  <c r="V484" i="2"/>
  <c r="R484" i="2"/>
  <c r="E484" i="2"/>
  <c r="D484" i="2"/>
  <c r="C484" i="2"/>
  <c r="AB483" i="2"/>
  <c r="X483" i="2"/>
  <c r="V483" i="2"/>
  <c r="R483" i="2"/>
  <c r="E483" i="2"/>
  <c r="D483" i="2"/>
  <c r="C483" i="2"/>
  <c r="AB482" i="2"/>
  <c r="X482" i="2"/>
  <c r="V482" i="2"/>
  <c r="R482" i="2"/>
  <c r="E482" i="2"/>
  <c r="D482" i="2"/>
  <c r="C482" i="2"/>
  <c r="AB481" i="2"/>
  <c r="X481" i="2"/>
  <c r="V481" i="2"/>
  <c r="R481" i="2"/>
  <c r="E481" i="2"/>
  <c r="D481" i="2"/>
  <c r="C481" i="2"/>
  <c r="AB480" i="2"/>
  <c r="X480" i="2"/>
  <c r="V480" i="2"/>
  <c r="R480" i="2"/>
  <c r="E480" i="2"/>
  <c r="D480" i="2"/>
  <c r="C480" i="2"/>
  <c r="AB479" i="2"/>
  <c r="X479" i="2"/>
  <c r="V479" i="2"/>
  <c r="R479" i="2"/>
  <c r="E479" i="2"/>
  <c r="D479" i="2"/>
  <c r="C479" i="2"/>
  <c r="AB478" i="2"/>
  <c r="X478" i="2"/>
  <c r="V478" i="2"/>
  <c r="R478" i="2"/>
  <c r="E478" i="2"/>
  <c r="D478" i="2"/>
  <c r="C478" i="2"/>
  <c r="AB477" i="2"/>
  <c r="X477" i="2"/>
  <c r="V477" i="2"/>
  <c r="R477" i="2"/>
  <c r="E477" i="2"/>
  <c r="D477" i="2"/>
  <c r="C477" i="2"/>
  <c r="AB476" i="2"/>
  <c r="X476" i="2"/>
  <c r="V476" i="2"/>
  <c r="R476" i="2"/>
  <c r="E476" i="2"/>
  <c r="D476" i="2"/>
  <c r="C476" i="2"/>
  <c r="AB475" i="2"/>
  <c r="X475" i="2"/>
  <c r="V475" i="2"/>
  <c r="R475" i="2"/>
  <c r="E475" i="2"/>
  <c r="D475" i="2"/>
  <c r="C475" i="2"/>
  <c r="AB474" i="2"/>
  <c r="X474" i="2"/>
  <c r="V474" i="2"/>
  <c r="R474" i="2"/>
  <c r="E474" i="2"/>
  <c r="D474" i="2"/>
  <c r="C474" i="2"/>
  <c r="AB473" i="2"/>
  <c r="X473" i="2"/>
  <c r="V473" i="2"/>
  <c r="R473" i="2"/>
  <c r="E473" i="2"/>
  <c r="D473" i="2"/>
  <c r="C473" i="2"/>
  <c r="AB472" i="2"/>
  <c r="X472" i="2"/>
  <c r="V472" i="2"/>
  <c r="R472" i="2"/>
  <c r="E472" i="2"/>
  <c r="D472" i="2"/>
  <c r="C472" i="2"/>
  <c r="AB471" i="2"/>
  <c r="X471" i="2"/>
  <c r="V471" i="2"/>
  <c r="R471" i="2"/>
  <c r="E471" i="2"/>
  <c r="D471" i="2"/>
  <c r="C471" i="2"/>
  <c r="AB470" i="2"/>
  <c r="X470" i="2"/>
  <c r="V470" i="2"/>
  <c r="R470" i="2"/>
  <c r="E470" i="2"/>
  <c r="D470" i="2"/>
  <c r="C470" i="2"/>
  <c r="AB469" i="2"/>
  <c r="X469" i="2"/>
  <c r="V469" i="2"/>
  <c r="R469" i="2"/>
  <c r="E469" i="2"/>
  <c r="D469" i="2"/>
  <c r="C469" i="2"/>
  <c r="AB468" i="2"/>
  <c r="X468" i="2"/>
  <c r="V468" i="2"/>
  <c r="R468" i="2"/>
  <c r="E468" i="2"/>
  <c r="D468" i="2"/>
  <c r="C468" i="2"/>
  <c r="AB467" i="2"/>
  <c r="X467" i="2"/>
  <c r="V467" i="2"/>
  <c r="R467" i="2"/>
  <c r="E467" i="2"/>
  <c r="D467" i="2"/>
  <c r="C467" i="2"/>
  <c r="AB466" i="2"/>
  <c r="X466" i="2"/>
  <c r="V466" i="2"/>
  <c r="R466" i="2"/>
  <c r="E466" i="2"/>
  <c r="D466" i="2"/>
  <c r="C466" i="2"/>
  <c r="AB465" i="2"/>
  <c r="X465" i="2"/>
  <c r="V465" i="2"/>
  <c r="R465" i="2"/>
  <c r="E465" i="2"/>
  <c r="D465" i="2"/>
  <c r="C465" i="2"/>
  <c r="AB464" i="2"/>
  <c r="X464" i="2"/>
  <c r="V464" i="2"/>
  <c r="R464" i="2"/>
  <c r="E464" i="2"/>
  <c r="D464" i="2"/>
  <c r="C464" i="2"/>
  <c r="AB463" i="2"/>
  <c r="X463" i="2"/>
  <c r="V463" i="2"/>
  <c r="R463" i="2"/>
  <c r="E463" i="2"/>
  <c r="D463" i="2"/>
  <c r="C463" i="2"/>
  <c r="AB462" i="2"/>
  <c r="X462" i="2"/>
  <c r="V462" i="2"/>
  <c r="R462" i="2"/>
  <c r="E462" i="2"/>
  <c r="D462" i="2"/>
  <c r="C462" i="2"/>
  <c r="AB461" i="2"/>
  <c r="X461" i="2"/>
  <c r="V461" i="2"/>
  <c r="R461" i="2"/>
  <c r="E461" i="2"/>
  <c r="D461" i="2"/>
  <c r="C461" i="2"/>
  <c r="AB460" i="2"/>
  <c r="X460" i="2"/>
  <c r="V460" i="2"/>
  <c r="R460" i="2"/>
  <c r="E460" i="2"/>
  <c r="D460" i="2"/>
  <c r="C460" i="2"/>
  <c r="AB459" i="2"/>
  <c r="X459" i="2"/>
  <c r="V459" i="2"/>
  <c r="R459" i="2"/>
  <c r="E459" i="2"/>
  <c r="D459" i="2"/>
  <c r="C459" i="2"/>
  <c r="AB458" i="2"/>
  <c r="X458" i="2"/>
  <c r="V458" i="2"/>
  <c r="R458" i="2"/>
  <c r="E458" i="2"/>
  <c r="D458" i="2"/>
  <c r="C458" i="2"/>
  <c r="AB457" i="2"/>
  <c r="X457" i="2"/>
  <c r="V457" i="2"/>
  <c r="R457" i="2"/>
  <c r="E457" i="2"/>
  <c r="D457" i="2"/>
  <c r="C457" i="2"/>
  <c r="AB456" i="2"/>
  <c r="X456" i="2"/>
  <c r="V456" i="2"/>
  <c r="R456" i="2"/>
  <c r="E456" i="2"/>
  <c r="D456" i="2"/>
  <c r="C456" i="2"/>
  <c r="AB455" i="2"/>
  <c r="X455" i="2"/>
  <c r="V455" i="2"/>
  <c r="R455" i="2"/>
  <c r="E455" i="2"/>
  <c r="D455" i="2"/>
  <c r="C455" i="2"/>
  <c r="AB454" i="2"/>
  <c r="X454" i="2"/>
  <c r="V454" i="2"/>
  <c r="R454" i="2"/>
  <c r="E454" i="2"/>
  <c r="D454" i="2"/>
  <c r="C454" i="2"/>
  <c r="AB453" i="2"/>
  <c r="X453" i="2"/>
  <c r="V453" i="2"/>
  <c r="R453" i="2"/>
  <c r="E453" i="2"/>
  <c r="D453" i="2"/>
  <c r="C453" i="2"/>
  <c r="AB452" i="2"/>
  <c r="X452" i="2"/>
  <c r="V452" i="2"/>
  <c r="R452" i="2"/>
  <c r="E452" i="2"/>
  <c r="D452" i="2"/>
  <c r="C452" i="2"/>
  <c r="AB451" i="2"/>
  <c r="X451" i="2"/>
  <c r="V451" i="2"/>
  <c r="R451" i="2"/>
  <c r="E451" i="2"/>
  <c r="D451" i="2"/>
  <c r="C451" i="2"/>
  <c r="AB450" i="2"/>
  <c r="X450" i="2"/>
  <c r="V450" i="2"/>
  <c r="R450" i="2"/>
  <c r="E450" i="2"/>
  <c r="D450" i="2"/>
  <c r="C450" i="2"/>
  <c r="AB449" i="2"/>
  <c r="X449" i="2"/>
  <c r="V449" i="2"/>
  <c r="R449" i="2"/>
  <c r="E449" i="2"/>
  <c r="D449" i="2"/>
  <c r="C449" i="2"/>
  <c r="AB448" i="2"/>
  <c r="X448" i="2"/>
  <c r="V448" i="2"/>
  <c r="R448" i="2"/>
  <c r="E448" i="2"/>
  <c r="D448" i="2"/>
  <c r="C448" i="2"/>
  <c r="AB447" i="2"/>
  <c r="X447" i="2"/>
  <c r="V447" i="2"/>
  <c r="R447" i="2"/>
  <c r="E447" i="2"/>
  <c r="D447" i="2"/>
  <c r="C447" i="2"/>
  <c r="AB446" i="2"/>
  <c r="X446" i="2"/>
  <c r="V446" i="2"/>
  <c r="R446" i="2"/>
  <c r="E446" i="2"/>
  <c r="D446" i="2"/>
  <c r="C446" i="2"/>
  <c r="AB445" i="2"/>
  <c r="X445" i="2"/>
  <c r="V445" i="2"/>
  <c r="R445" i="2"/>
  <c r="E445" i="2"/>
  <c r="D445" i="2"/>
  <c r="C445" i="2"/>
  <c r="AB444" i="2"/>
  <c r="X444" i="2"/>
  <c r="V444" i="2"/>
  <c r="R444" i="2"/>
  <c r="E444" i="2"/>
  <c r="D444" i="2"/>
  <c r="C444" i="2"/>
  <c r="AB443" i="2"/>
  <c r="X443" i="2"/>
  <c r="V443" i="2"/>
  <c r="R443" i="2"/>
  <c r="E443" i="2"/>
  <c r="D443" i="2"/>
  <c r="C443" i="2"/>
  <c r="AB442" i="2"/>
  <c r="X442" i="2"/>
  <c r="V442" i="2"/>
  <c r="R442" i="2"/>
  <c r="E442" i="2"/>
  <c r="D442" i="2"/>
  <c r="C442" i="2"/>
  <c r="AB441" i="2"/>
  <c r="X441" i="2"/>
  <c r="V441" i="2"/>
  <c r="R441" i="2"/>
  <c r="E441" i="2"/>
  <c r="D441" i="2"/>
  <c r="C441" i="2"/>
  <c r="AB440" i="2"/>
  <c r="X440" i="2"/>
  <c r="V440" i="2"/>
  <c r="R440" i="2"/>
  <c r="E440" i="2"/>
  <c r="D440" i="2"/>
  <c r="C440" i="2"/>
  <c r="AB439" i="2"/>
  <c r="X439" i="2"/>
  <c r="V439" i="2"/>
  <c r="R439" i="2"/>
  <c r="E439" i="2"/>
  <c r="D439" i="2"/>
  <c r="C439" i="2"/>
  <c r="AB438" i="2"/>
  <c r="X438" i="2"/>
  <c r="V438" i="2"/>
  <c r="R438" i="2"/>
  <c r="E438" i="2"/>
  <c r="D438" i="2"/>
  <c r="C438" i="2"/>
  <c r="AB437" i="2"/>
  <c r="X437" i="2"/>
  <c r="V437" i="2"/>
  <c r="R437" i="2"/>
  <c r="E437" i="2"/>
  <c r="D437" i="2"/>
  <c r="C437" i="2"/>
  <c r="AB436" i="2"/>
  <c r="X436" i="2"/>
  <c r="V436" i="2"/>
  <c r="R436" i="2"/>
  <c r="E436" i="2"/>
  <c r="D436" i="2"/>
  <c r="C436" i="2"/>
  <c r="AB435" i="2"/>
  <c r="X435" i="2"/>
  <c r="V435" i="2"/>
  <c r="R435" i="2"/>
  <c r="E435" i="2"/>
  <c r="D435" i="2"/>
  <c r="C435" i="2"/>
  <c r="AB434" i="2"/>
  <c r="X434" i="2"/>
  <c r="V434" i="2"/>
  <c r="R434" i="2"/>
  <c r="E434" i="2"/>
  <c r="D434" i="2"/>
  <c r="C434" i="2"/>
  <c r="AB433" i="2"/>
  <c r="X433" i="2"/>
  <c r="V433" i="2"/>
  <c r="R433" i="2"/>
  <c r="E433" i="2"/>
  <c r="D433" i="2"/>
  <c r="C433" i="2"/>
  <c r="AB432" i="2"/>
  <c r="X432" i="2"/>
  <c r="V432" i="2"/>
  <c r="R432" i="2"/>
  <c r="E432" i="2"/>
  <c r="D432" i="2"/>
  <c r="C432" i="2"/>
  <c r="AB431" i="2"/>
  <c r="X431" i="2"/>
  <c r="V431" i="2"/>
  <c r="R431" i="2"/>
  <c r="E431" i="2"/>
  <c r="D431" i="2"/>
  <c r="C431" i="2"/>
  <c r="AB430" i="2"/>
  <c r="X430" i="2"/>
  <c r="V430" i="2"/>
  <c r="R430" i="2"/>
  <c r="E430" i="2"/>
  <c r="D430" i="2"/>
  <c r="C430" i="2"/>
  <c r="AB429" i="2"/>
  <c r="X429" i="2"/>
  <c r="V429" i="2"/>
  <c r="R429" i="2"/>
  <c r="E429" i="2"/>
  <c r="D429" i="2"/>
  <c r="C429" i="2"/>
  <c r="AB428" i="2"/>
  <c r="X428" i="2"/>
  <c r="V428" i="2"/>
  <c r="R428" i="2"/>
  <c r="E428" i="2"/>
  <c r="D428" i="2"/>
  <c r="C428" i="2"/>
  <c r="AB427" i="2"/>
  <c r="X427" i="2"/>
  <c r="V427" i="2"/>
  <c r="R427" i="2"/>
  <c r="E427" i="2"/>
  <c r="D427" i="2"/>
  <c r="C427" i="2"/>
  <c r="AB426" i="2"/>
  <c r="X426" i="2"/>
  <c r="V426" i="2"/>
  <c r="R426" i="2"/>
  <c r="E426" i="2"/>
  <c r="D426" i="2"/>
  <c r="C426" i="2"/>
  <c r="AB425" i="2"/>
  <c r="X425" i="2"/>
  <c r="V425" i="2"/>
  <c r="R425" i="2"/>
  <c r="E425" i="2"/>
  <c r="D425" i="2"/>
  <c r="C425" i="2"/>
  <c r="AB424" i="2"/>
  <c r="X424" i="2"/>
  <c r="V424" i="2"/>
  <c r="R424" i="2"/>
  <c r="E424" i="2"/>
  <c r="D424" i="2"/>
  <c r="C424" i="2"/>
  <c r="AB423" i="2"/>
  <c r="X423" i="2"/>
  <c r="V423" i="2"/>
  <c r="R423" i="2"/>
  <c r="E423" i="2"/>
  <c r="D423" i="2"/>
  <c r="C423" i="2"/>
  <c r="AB422" i="2"/>
  <c r="X422" i="2"/>
  <c r="V422" i="2"/>
  <c r="R422" i="2"/>
  <c r="E422" i="2"/>
  <c r="D422" i="2"/>
  <c r="C422" i="2"/>
  <c r="AB421" i="2"/>
  <c r="X421" i="2"/>
  <c r="V421" i="2"/>
  <c r="R421" i="2"/>
  <c r="E421" i="2"/>
  <c r="D421" i="2"/>
  <c r="C421" i="2"/>
  <c r="AB420" i="2"/>
  <c r="X420" i="2"/>
  <c r="V420" i="2"/>
  <c r="R420" i="2"/>
  <c r="E420" i="2"/>
  <c r="D420" i="2"/>
  <c r="C420" i="2"/>
  <c r="AB419" i="2"/>
  <c r="X419" i="2"/>
  <c r="V419" i="2"/>
  <c r="R419" i="2"/>
  <c r="E419" i="2"/>
  <c r="D419" i="2"/>
  <c r="C419" i="2"/>
  <c r="AB418" i="2"/>
  <c r="X418" i="2"/>
  <c r="V418" i="2"/>
  <c r="R418" i="2"/>
  <c r="E418" i="2"/>
  <c r="D418" i="2"/>
  <c r="C418" i="2"/>
  <c r="AB417" i="2"/>
  <c r="X417" i="2"/>
  <c r="V417" i="2"/>
  <c r="R417" i="2"/>
  <c r="E417" i="2"/>
  <c r="D417" i="2"/>
  <c r="C417" i="2"/>
  <c r="AB416" i="2"/>
  <c r="X416" i="2"/>
  <c r="V416" i="2"/>
  <c r="R416" i="2"/>
  <c r="E416" i="2"/>
  <c r="D416" i="2"/>
  <c r="C416" i="2"/>
  <c r="AB415" i="2"/>
  <c r="X415" i="2"/>
  <c r="V415" i="2"/>
  <c r="R415" i="2"/>
  <c r="E415" i="2"/>
  <c r="D415" i="2"/>
  <c r="C415" i="2"/>
  <c r="AB414" i="2"/>
  <c r="X414" i="2"/>
  <c r="V414" i="2"/>
  <c r="R414" i="2"/>
  <c r="E414" i="2"/>
  <c r="D414" i="2"/>
  <c r="C414" i="2"/>
  <c r="AB413" i="2"/>
  <c r="X413" i="2"/>
  <c r="V413" i="2"/>
  <c r="R413" i="2"/>
  <c r="E413" i="2"/>
  <c r="D413" i="2"/>
  <c r="C413" i="2"/>
  <c r="AB412" i="2"/>
  <c r="X412" i="2"/>
  <c r="V412" i="2"/>
  <c r="R412" i="2"/>
  <c r="E412" i="2"/>
  <c r="D412" i="2"/>
  <c r="C412" i="2"/>
  <c r="AB411" i="2"/>
  <c r="X411" i="2"/>
  <c r="V411" i="2"/>
  <c r="R411" i="2"/>
  <c r="E411" i="2"/>
  <c r="D411" i="2"/>
  <c r="C411" i="2"/>
  <c r="AB410" i="2"/>
  <c r="X410" i="2"/>
  <c r="V410" i="2"/>
  <c r="R410" i="2"/>
  <c r="E410" i="2"/>
  <c r="D410" i="2"/>
  <c r="C410" i="2"/>
  <c r="AB409" i="2"/>
  <c r="X409" i="2"/>
  <c r="V409" i="2"/>
  <c r="R409" i="2"/>
  <c r="E409" i="2"/>
  <c r="D409" i="2"/>
  <c r="C409" i="2"/>
  <c r="AB408" i="2"/>
  <c r="X408" i="2"/>
  <c r="V408" i="2"/>
  <c r="R408" i="2"/>
  <c r="E408" i="2"/>
  <c r="D408" i="2"/>
  <c r="C408" i="2"/>
  <c r="AB407" i="2"/>
  <c r="X407" i="2"/>
  <c r="V407" i="2"/>
  <c r="R407" i="2"/>
  <c r="E407" i="2"/>
  <c r="D407" i="2"/>
  <c r="C407" i="2"/>
  <c r="AB406" i="2"/>
  <c r="X406" i="2"/>
  <c r="V406" i="2"/>
  <c r="R406" i="2"/>
  <c r="E406" i="2"/>
  <c r="D406" i="2"/>
  <c r="C406" i="2"/>
  <c r="AB405" i="2"/>
  <c r="X405" i="2"/>
  <c r="V405" i="2"/>
  <c r="R405" i="2"/>
  <c r="E405" i="2"/>
  <c r="D405" i="2"/>
  <c r="C405" i="2"/>
  <c r="AB404" i="2"/>
  <c r="X404" i="2"/>
  <c r="V404" i="2"/>
  <c r="R404" i="2"/>
  <c r="E404" i="2"/>
  <c r="D404" i="2"/>
  <c r="C404" i="2"/>
  <c r="AB403" i="2"/>
  <c r="X403" i="2"/>
  <c r="V403" i="2"/>
  <c r="R403" i="2"/>
  <c r="E403" i="2"/>
  <c r="D403" i="2"/>
  <c r="C403" i="2"/>
  <c r="AB402" i="2"/>
  <c r="X402" i="2"/>
  <c r="V402" i="2"/>
  <c r="R402" i="2"/>
  <c r="E402" i="2"/>
  <c r="D402" i="2"/>
  <c r="C402" i="2"/>
  <c r="AB401" i="2"/>
  <c r="X401" i="2"/>
  <c r="V401" i="2"/>
  <c r="R401" i="2"/>
  <c r="E401" i="2"/>
  <c r="D401" i="2"/>
  <c r="C401" i="2"/>
  <c r="AB400" i="2"/>
  <c r="X400" i="2"/>
  <c r="V400" i="2"/>
  <c r="R400" i="2"/>
  <c r="E400" i="2"/>
  <c r="D400" i="2"/>
  <c r="C400" i="2"/>
  <c r="AB399" i="2"/>
  <c r="X399" i="2"/>
  <c r="V399" i="2"/>
  <c r="R399" i="2"/>
  <c r="E399" i="2"/>
  <c r="D399" i="2"/>
  <c r="C399" i="2"/>
  <c r="AB398" i="2"/>
  <c r="X398" i="2"/>
  <c r="V398" i="2"/>
  <c r="R398" i="2"/>
  <c r="E398" i="2"/>
  <c r="D398" i="2"/>
  <c r="C398" i="2"/>
  <c r="AB397" i="2"/>
  <c r="X397" i="2"/>
  <c r="V397" i="2"/>
  <c r="R397" i="2"/>
  <c r="E397" i="2"/>
  <c r="D397" i="2"/>
  <c r="C397" i="2"/>
  <c r="AB396" i="2"/>
  <c r="X396" i="2"/>
  <c r="V396" i="2"/>
  <c r="R396" i="2"/>
  <c r="E396" i="2"/>
  <c r="D396" i="2"/>
  <c r="C396" i="2"/>
  <c r="AB395" i="2"/>
  <c r="X395" i="2"/>
  <c r="V395" i="2"/>
  <c r="R395" i="2"/>
  <c r="E395" i="2"/>
  <c r="D395" i="2"/>
  <c r="C395" i="2"/>
  <c r="AB394" i="2"/>
  <c r="X394" i="2"/>
  <c r="V394" i="2"/>
  <c r="R394" i="2"/>
  <c r="E394" i="2"/>
  <c r="D394" i="2"/>
  <c r="C394" i="2"/>
  <c r="AB393" i="2"/>
  <c r="X393" i="2"/>
  <c r="V393" i="2"/>
  <c r="R393" i="2"/>
  <c r="E393" i="2"/>
  <c r="D393" i="2"/>
  <c r="C393" i="2"/>
  <c r="AB392" i="2"/>
  <c r="X392" i="2"/>
  <c r="V392" i="2"/>
  <c r="R392" i="2"/>
  <c r="E392" i="2"/>
  <c r="D392" i="2"/>
  <c r="C392" i="2"/>
  <c r="AB391" i="2"/>
  <c r="X391" i="2"/>
  <c r="V391" i="2"/>
  <c r="R391" i="2"/>
  <c r="E391" i="2"/>
  <c r="D391" i="2"/>
  <c r="C391" i="2"/>
  <c r="AB390" i="2"/>
  <c r="X390" i="2"/>
  <c r="V390" i="2"/>
  <c r="R390" i="2"/>
  <c r="E390" i="2"/>
  <c r="D390" i="2"/>
  <c r="C390" i="2"/>
  <c r="AB389" i="2"/>
  <c r="X389" i="2"/>
  <c r="V389" i="2"/>
  <c r="R389" i="2"/>
  <c r="E389" i="2"/>
  <c r="D389" i="2"/>
  <c r="C389" i="2"/>
  <c r="AB388" i="2"/>
  <c r="X388" i="2"/>
  <c r="V388" i="2"/>
  <c r="R388" i="2"/>
  <c r="E388" i="2"/>
  <c r="D388" i="2"/>
  <c r="C388" i="2"/>
  <c r="AB387" i="2"/>
  <c r="X387" i="2"/>
  <c r="V387" i="2"/>
  <c r="R387" i="2"/>
  <c r="E387" i="2"/>
  <c r="D387" i="2"/>
  <c r="C387" i="2"/>
  <c r="AB386" i="2"/>
  <c r="X386" i="2"/>
  <c r="V386" i="2"/>
  <c r="R386" i="2"/>
  <c r="E386" i="2"/>
  <c r="D386" i="2"/>
  <c r="C386" i="2"/>
  <c r="AB385" i="2"/>
  <c r="X385" i="2"/>
  <c r="V385" i="2"/>
  <c r="R385" i="2"/>
  <c r="E385" i="2"/>
  <c r="D385" i="2"/>
  <c r="C385" i="2"/>
  <c r="AB384" i="2"/>
  <c r="X384" i="2"/>
  <c r="V384" i="2"/>
  <c r="R384" i="2"/>
  <c r="E384" i="2"/>
  <c r="D384" i="2"/>
  <c r="C384" i="2"/>
  <c r="AB383" i="2"/>
  <c r="X383" i="2"/>
  <c r="V383" i="2"/>
  <c r="R383" i="2"/>
  <c r="E383" i="2"/>
  <c r="D383" i="2"/>
  <c r="C383" i="2"/>
  <c r="AB382" i="2"/>
  <c r="X382" i="2"/>
  <c r="V382" i="2"/>
  <c r="R382" i="2"/>
  <c r="E382" i="2"/>
  <c r="D382" i="2"/>
  <c r="C382" i="2"/>
  <c r="AB381" i="2"/>
  <c r="X381" i="2"/>
  <c r="V381" i="2"/>
  <c r="R381" i="2"/>
  <c r="E381" i="2"/>
  <c r="D381" i="2"/>
  <c r="C381" i="2"/>
  <c r="AB380" i="2"/>
  <c r="X380" i="2"/>
  <c r="V380" i="2"/>
  <c r="R380" i="2"/>
  <c r="E380" i="2"/>
  <c r="D380" i="2"/>
  <c r="C380" i="2"/>
  <c r="AB379" i="2"/>
  <c r="X379" i="2"/>
  <c r="V379" i="2"/>
  <c r="R379" i="2"/>
  <c r="E379" i="2"/>
  <c r="D379" i="2"/>
  <c r="C379" i="2"/>
  <c r="AB378" i="2"/>
  <c r="X378" i="2"/>
  <c r="V378" i="2"/>
  <c r="R378" i="2"/>
  <c r="E378" i="2"/>
  <c r="D378" i="2"/>
  <c r="C378" i="2"/>
  <c r="AB377" i="2"/>
  <c r="X377" i="2"/>
  <c r="V377" i="2"/>
  <c r="R377" i="2"/>
  <c r="E377" i="2"/>
  <c r="D377" i="2"/>
  <c r="C377" i="2"/>
  <c r="AB376" i="2"/>
  <c r="X376" i="2"/>
  <c r="V376" i="2"/>
  <c r="R376" i="2"/>
  <c r="E376" i="2"/>
  <c r="D376" i="2"/>
  <c r="C376" i="2"/>
  <c r="AB375" i="2"/>
  <c r="X375" i="2"/>
  <c r="V375" i="2"/>
  <c r="R375" i="2"/>
  <c r="E375" i="2"/>
  <c r="D375" i="2"/>
  <c r="C375" i="2"/>
  <c r="AB374" i="2"/>
  <c r="X374" i="2"/>
  <c r="V374" i="2"/>
  <c r="R374" i="2"/>
  <c r="E374" i="2"/>
  <c r="D374" i="2"/>
  <c r="C374" i="2"/>
  <c r="AB373" i="2"/>
  <c r="X373" i="2"/>
  <c r="V373" i="2"/>
  <c r="R373" i="2"/>
  <c r="E373" i="2"/>
  <c r="D373" i="2"/>
  <c r="C373" i="2"/>
  <c r="AB372" i="2"/>
  <c r="X372" i="2"/>
  <c r="V372" i="2"/>
  <c r="R372" i="2"/>
  <c r="E372" i="2"/>
  <c r="D372" i="2"/>
  <c r="C372" i="2"/>
  <c r="AB371" i="2"/>
  <c r="X371" i="2"/>
  <c r="V371" i="2"/>
  <c r="R371" i="2"/>
  <c r="E371" i="2"/>
  <c r="D371" i="2"/>
  <c r="C371" i="2"/>
  <c r="AB370" i="2"/>
  <c r="X370" i="2"/>
  <c r="V370" i="2"/>
  <c r="R370" i="2"/>
  <c r="E370" i="2"/>
  <c r="D370" i="2"/>
  <c r="C370" i="2"/>
  <c r="AB369" i="2"/>
  <c r="X369" i="2"/>
  <c r="V369" i="2"/>
  <c r="R369" i="2"/>
  <c r="E369" i="2"/>
  <c r="D369" i="2"/>
  <c r="C369" i="2"/>
  <c r="AB368" i="2"/>
  <c r="X368" i="2"/>
  <c r="V368" i="2"/>
  <c r="R368" i="2"/>
  <c r="E368" i="2"/>
  <c r="D368" i="2"/>
  <c r="C368" i="2"/>
  <c r="AB367" i="2"/>
  <c r="X367" i="2"/>
  <c r="V367" i="2"/>
  <c r="R367" i="2"/>
  <c r="E367" i="2"/>
  <c r="D367" i="2"/>
  <c r="C367" i="2"/>
  <c r="AB366" i="2"/>
  <c r="X366" i="2"/>
  <c r="V366" i="2"/>
  <c r="R366" i="2"/>
  <c r="E366" i="2"/>
  <c r="D366" i="2"/>
  <c r="C366" i="2"/>
  <c r="AB365" i="2"/>
  <c r="X365" i="2"/>
  <c r="V365" i="2"/>
  <c r="R365" i="2"/>
  <c r="E365" i="2"/>
  <c r="D365" i="2"/>
  <c r="C365" i="2"/>
  <c r="AB364" i="2"/>
  <c r="X364" i="2"/>
  <c r="V364" i="2"/>
  <c r="R364" i="2"/>
  <c r="E364" i="2"/>
  <c r="D364" i="2"/>
  <c r="C364" i="2"/>
  <c r="AB363" i="2"/>
  <c r="X363" i="2"/>
  <c r="V363" i="2"/>
  <c r="R363" i="2"/>
  <c r="E363" i="2"/>
  <c r="D363" i="2"/>
  <c r="C363" i="2"/>
  <c r="AB362" i="2"/>
  <c r="X362" i="2"/>
  <c r="V362" i="2"/>
  <c r="R362" i="2"/>
  <c r="E362" i="2"/>
  <c r="D362" i="2"/>
  <c r="C362" i="2"/>
  <c r="AB361" i="2"/>
  <c r="X361" i="2"/>
  <c r="V361" i="2"/>
  <c r="R361" i="2"/>
  <c r="E361" i="2"/>
  <c r="D361" i="2"/>
  <c r="C361" i="2"/>
  <c r="AB360" i="2"/>
  <c r="X360" i="2"/>
  <c r="V360" i="2"/>
  <c r="R360" i="2"/>
  <c r="E360" i="2"/>
  <c r="D360" i="2"/>
  <c r="C360" i="2"/>
  <c r="AB359" i="2"/>
  <c r="X359" i="2"/>
  <c r="V359" i="2"/>
  <c r="R359" i="2"/>
  <c r="E359" i="2"/>
  <c r="D359" i="2"/>
  <c r="C359" i="2"/>
  <c r="AB358" i="2"/>
  <c r="X358" i="2"/>
  <c r="V358" i="2"/>
  <c r="R358" i="2"/>
  <c r="E358" i="2"/>
  <c r="D358" i="2"/>
  <c r="C358" i="2"/>
  <c r="AB357" i="2"/>
  <c r="X357" i="2"/>
  <c r="V357" i="2"/>
  <c r="R357" i="2"/>
  <c r="E357" i="2"/>
  <c r="D357" i="2"/>
  <c r="C357" i="2"/>
  <c r="AB356" i="2"/>
  <c r="X356" i="2"/>
  <c r="V356" i="2"/>
  <c r="R356" i="2"/>
  <c r="E356" i="2"/>
  <c r="D356" i="2"/>
  <c r="C356" i="2"/>
  <c r="AB355" i="2"/>
  <c r="X355" i="2"/>
  <c r="V355" i="2"/>
  <c r="R355" i="2"/>
  <c r="E355" i="2"/>
  <c r="D355" i="2"/>
  <c r="C355" i="2"/>
  <c r="AB354" i="2"/>
  <c r="X354" i="2"/>
  <c r="V354" i="2"/>
  <c r="R354" i="2"/>
  <c r="E354" i="2"/>
  <c r="D354" i="2"/>
  <c r="C354" i="2"/>
  <c r="AB353" i="2"/>
  <c r="X353" i="2"/>
  <c r="V353" i="2"/>
  <c r="R353" i="2"/>
  <c r="E353" i="2"/>
  <c r="D353" i="2"/>
  <c r="C353" i="2"/>
  <c r="AB352" i="2"/>
  <c r="X352" i="2"/>
  <c r="V352" i="2"/>
  <c r="R352" i="2"/>
  <c r="E352" i="2"/>
  <c r="D352" i="2"/>
  <c r="C352" i="2"/>
  <c r="AB351" i="2"/>
  <c r="X351" i="2"/>
  <c r="V351" i="2"/>
  <c r="R351" i="2"/>
  <c r="E351" i="2"/>
  <c r="D351" i="2"/>
  <c r="C351" i="2"/>
  <c r="AB350" i="2"/>
  <c r="X350" i="2"/>
  <c r="V350" i="2"/>
  <c r="R350" i="2"/>
  <c r="E350" i="2"/>
  <c r="D350" i="2"/>
  <c r="C350" i="2"/>
  <c r="AB349" i="2"/>
  <c r="X349" i="2"/>
  <c r="V349" i="2"/>
  <c r="R349" i="2"/>
  <c r="E349" i="2"/>
  <c r="D349" i="2"/>
  <c r="C349" i="2"/>
  <c r="AB348" i="2"/>
  <c r="X348" i="2"/>
  <c r="V348" i="2"/>
  <c r="R348" i="2"/>
  <c r="E348" i="2"/>
  <c r="D348" i="2"/>
  <c r="C348" i="2"/>
  <c r="AB347" i="2"/>
  <c r="X347" i="2"/>
  <c r="V347" i="2"/>
  <c r="R347" i="2"/>
  <c r="E347" i="2"/>
  <c r="D347" i="2"/>
  <c r="C347" i="2"/>
  <c r="AB346" i="2"/>
  <c r="X346" i="2"/>
  <c r="V346" i="2"/>
  <c r="R346" i="2"/>
  <c r="E346" i="2"/>
  <c r="D346" i="2"/>
  <c r="C346" i="2"/>
  <c r="AB345" i="2"/>
  <c r="X345" i="2"/>
  <c r="V345" i="2"/>
  <c r="R345" i="2"/>
  <c r="E345" i="2"/>
  <c r="D345" i="2"/>
  <c r="C345" i="2"/>
  <c r="AB344" i="2"/>
  <c r="X344" i="2"/>
  <c r="V344" i="2"/>
  <c r="R344" i="2"/>
  <c r="E344" i="2"/>
  <c r="D344" i="2"/>
  <c r="C344" i="2"/>
  <c r="AB343" i="2"/>
  <c r="X343" i="2"/>
  <c r="V343" i="2"/>
  <c r="R343" i="2"/>
  <c r="E343" i="2"/>
  <c r="D343" i="2"/>
  <c r="C343" i="2"/>
  <c r="AB342" i="2"/>
  <c r="X342" i="2"/>
  <c r="V342" i="2"/>
  <c r="R342" i="2"/>
  <c r="E342" i="2"/>
  <c r="D342" i="2"/>
  <c r="C342" i="2"/>
  <c r="AB341" i="2"/>
  <c r="X341" i="2"/>
  <c r="V341" i="2"/>
  <c r="R341" i="2"/>
  <c r="E341" i="2"/>
  <c r="D341" i="2"/>
  <c r="C341" i="2"/>
  <c r="AB340" i="2"/>
  <c r="X340" i="2"/>
  <c r="V340" i="2"/>
  <c r="R340" i="2"/>
  <c r="E340" i="2"/>
  <c r="D340" i="2"/>
  <c r="C340" i="2"/>
  <c r="AB339" i="2"/>
  <c r="X339" i="2"/>
  <c r="V339" i="2"/>
  <c r="R339" i="2"/>
  <c r="E339" i="2"/>
  <c r="D339" i="2"/>
  <c r="C339" i="2"/>
  <c r="AB338" i="2"/>
  <c r="X338" i="2"/>
  <c r="V338" i="2"/>
  <c r="R338" i="2"/>
  <c r="E338" i="2"/>
  <c r="D338" i="2"/>
  <c r="C338" i="2"/>
  <c r="AB337" i="2"/>
  <c r="X337" i="2"/>
  <c r="V337" i="2"/>
  <c r="R337" i="2"/>
  <c r="E337" i="2"/>
  <c r="D337" i="2"/>
  <c r="C337" i="2"/>
  <c r="AB336" i="2"/>
  <c r="X336" i="2"/>
  <c r="V336" i="2"/>
  <c r="R336" i="2"/>
  <c r="E336" i="2"/>
  <c r="D336" i="2"/>
  <c r="C336" i="2"/>
  <c r="AB335" i="2"/>
  <c r="X335" i="2"/>
  <c r="V335" i="2"/>
  <c r="R335" i="2"/>
  <c r="E335" i="2"/>
  <c r="D335" i="2"/>
  <c r="C335" i="2"/>
  <c r="AB334" i="2"/>
  <c r="X334" i="2"/>
  <c r="V334" i="2"/>
  <c r="R334" i="2"/>
  <c r="E334" i="2"/>
  <c r="D334" i="2"/>
  <c r="C334" i="2"/>
  <c r="AB333" i="2"/>
  <c r="X333" i="2"/>
  <c r="V333" i="2"/>
  <c r="R333" i="2"/>
  <c r="E333" i="2"/>
  <c r="D333" i="2"/>
  <c r="C333" i="2"/>
  <c r="AB332" i="2"/>
  <c r="X332" i="2"/>
  <c r="V332" i="2"/>
  <c r="R332" i="2"/>
  <c r="E332" i="2"/>
  <c r="D332" i="2"/>
  <c r="C332" i="2"/>
  <c r="AB331" i="2"/>
  <c r="X331" i="2"/>
  <c r="V331" i="2"/>
  <c r="R331" i="2"/>
  <c r="E331" i="2"/>
  <c r="D331" i="2"/>
  <c r="C331" i="2"/>
  <c r="AB330" i="2"/>
  <c r="X330" i="2"/>
  <c r="V330" i="2"/>
  <c r="R330" i="2"/>
  <c r="E330" i="2"/>
  <c r="D330" i="2"/>
  <c r="C330" i="2"/>
  <c r="AB329" i="2"/>
  <c r="X329" i="2"/>
  <c r="V329" i="2"/>
  <c r="R329" i="2"/>
  <c r="E329" i="2"/>
  <c r="D329" i="2"/>
  <c r="C329" i="2"/>
  <c r="AB328" i="2"/>
  <c r="X328" i="2"/>
  <c r="V328" i="2"/>
  <c r="R328" i="2"/>
  <c r="E328" i="2"/>
  <c r="D328" i="2"/>
  <c r="C328" i="2"/>
  <c r="AB327" i="2"/>
  <c r="X327" i="2"/>
  <c r="V327" i="2"/>
  <c r="R327" i="2"/>
  <c r="E327" i="2"/>
  <c r="D327" i="2"/>
  <c r="C327" i="2"/>
  <c r="AB326" i="2"/>
  <c r="X326" i="2"/>
  <c r="V326" i="2"/>
  <c r="R326" i="2"/>
  <c r="E326" i="2"/>
  <c r="D326" i="2"/>
  <c r="C326" i="2"/>
  <c r="AB325" i="2"/>
  <c r="X325" i="2"/>
  <c r="V325" i="2"/>
  <c r="R325" i="2"/>
  <c r="E325" i="2"/>
  <c r="D325" i="2"/>
  <c r="C325" i="2"/>
  <c r="AB324" i="2"/>
  <c r="X324" i="2"/>
  <c r="V324" i="2"/>
  <c r="R324" i="2"/>
  <c r="E324" i="2"/>
  <c r="D324" i="2"/>
  <c r="C324" i="2"/>
  <c r="AB323" i="2"/>
  <c r="X323" i="2"/>
  <c r="V323" i="2"/>
  <c r="R323" i="2"/>
  <c r="E323" i="2"/>
  <c r="D323" i="2"/>
  <c r="C323" i="2"/>
  <c r="AB322" i="2"/>
  <c r="X322" i="2"/>
  <c r="V322" i="2"/>
  <c r="R322" i="2"/>
  <c r="E322" i="2"/>
  <c r="D322" i="2"/>
  <c r="C322" i="2"/>
  <c r="AB321" i="2"/>
  <c r="X321" i="2"/>
  <c r="V321" i="2"/>
  <c r="R321" i="2"/>
  <c r="E321" i="2"/>
  <c r="D321" i="2"/>
  <c r="C321" i="2"/>
  <c r="AB320" i="2"/>
  <c r="X320" i="2"/>
  <c r="V320" i="2"/>
  <c r="R320" i="2"/>
  <c r="E320" i="2"/>
  <c r="D320" i="2"/>
  <c r="C320" i="2"/>
  <c r="AB319" i="2"/>
  <c r="X319" i="2"/>
  <c r="V319" i="2"/>
  <c r="R319" i="2"/>
  <c r="E319" i="2"/>
  <c r="D319" i="2"/>
  <c r="C319" i="2"/>
  <c r="AB318" i="2"/>
  <c r="X318" i="2"/>
  <c r="V318" i="2"/>
  <c r="R318" i="2"/>
  <c r="E318" i="2"/>
  <c r="D318" i="2"/>
  <c r="C318" i="2"/>
  <c r="AB317" i="2"/>
  <c r="X317" i="2"/>
  <c r="V317" i="2"/>
  <c r="R317" i="2"/>
  <c r="E317" i="2"/>
  <c r="D317" i="2"/>
  <c r="C317" i="2"/>
  <c r="AB316" i="2"/>
  <c r="X316" i="2"/>
  <c r="V316" i="2"/>
  <c r="R316" i="2"/>
  <c r="E316" i="2"/>
  <c r="D316" i="2"/>
  <c r="C316" i="2"/>
  <c r="AB315" i="2"/>
  <c r="X315" i="2"/>
  <c r="V315" i="2"/>
  <c r="R315" i="2"/>
  <c r="E315" i="2"/>
  <c r="D315" i="2"/>
  <c r="C315" i="2"/>
  <c r="AB314" i="2"/>
  <c r="X314" i="2"/>
  <c r="V314" i="2"/>
  <c r="R314" i="2"/>
  <c r="E314" i="2"/>
  <c r="D314" i="2"/>
  <c r="C314" i="2"/>
  <c r="AB313" i="2"/>
  <c r="X313" i="2"/>
  <c r="V313" i="2"/>
  <c r="R313" i="2"/>
  <c r="E313" i="2"/>
  <c r="D313" i="2"/>
  <c r="C313" i="2"/>
  <c r="AB312" i="2"/>
  <c r="X312" i="2"/>
  <c r="V312" i="2"/>
  <c r="R312" i="2"/>
  <c r="E312" i="2"/>
  <c r="D312" i="2"/>
  <c r="C312" i="2"/>
  <c r="AB311" i="2"/>
  <c r="X311" i="2"/>
  <c r="V311" i="2"/>
  <c r="R311" i="2"/>
  <c r="E311" i="2"/>
  <c r="D311" i="2"/>
  <c r="C311" i="2"/>
  <c r="AB310" i="2"/>
  <c r="X310" i="2"/>
  <c r="V310" i="2"/>
  <c r="R310" i="2"/>
  <c r="E310" i="2"/>
  <c r="D310" i="2"/>
  <c r="C310" i="2"/>
  <c r="AB309" i="2"/>
  <c r="X309" i="2"/>
  <c r="V309" i="2"/>
  <c r="R309" i="2"/>
  <c r="E309" i="2"/>
  <c r="D309" i="2"/>
  <c r="C309" i="2"/>
  <c r="AB308" i="2"/>
  <c r="X308" i="2"/>
  <c r="V308" i="2"/>
  <c r="R308" i="2"/>
  <c r="E308" i="2"/>
  <c r="D308" i="2"/>
  <c r="C308" i="2"/>
  <c r="AB307" i="2"/>
  <c r="X307" i="2"/>
  <c r="V307" i="2"/>
  <c r="R307" i="2"/>
  <c r="E307" i="2"/>
  <c r="D307" i="2"/>
  <c r="C307" i="2"/>
  <c r="AB306" i="2"/>
  <c r="X306" i="2"/>
  <c r="V306" i="2"/>
  <c r="R306" i="2"/>
  <c r="E306" i="2"/>
  <c r="D306" i="2"/>
  <c r="C306" i="2"/>
  <c r="AB305" i="2"/>
  <c r="X305" i="2"/>
  <c r="V305" i="2"/>
  <c r="R305" i="2"/>
  <c r="E305" i="2"/>
  <c r="D305" i="2"/>
  <c r="C305" i="2"/>
  <c r="AB304" i="2"/>
  <c r="X304" i="2"/>
  <c r="V304" i="2"/>
  <c r="R304" i="2"/>
  <c r="E304" i="2"/>
  <c r="D304" i="2"/>
  <c r="C304" i="2"/>
  <c r="AB303" i="2"/>
  <c r="X303" i="2"/>
  <c r="V303" i="2"/>
  <c r="R303" i="2"/>
  <c r="E303" i="2"/>
  <c r="D303" i="2"/>
  <c r="C303" i="2"/>
  <c r="AB302" i="2"/>
  <c r="X302" i="2"/>
  <c r="V302" i="2"/>
  <c r="R302" i="2"/>
  <c r="E302" i="2"/>
  <c r="D302" i="2"/>
  <c r="C302" i="2"/>
  <c r="AB301" i="2"/>
  <c r="X301" i="2"/>
  <c r="V301" i="2"/>
  <c r="R301" i="2"/>
  <c r="E301" i="2"/>
  <c r="D301" i="2"/>
  <c r="C301" i="2"/>
  <c r="AB300" i="2"/>
  <c r="X300" i="2"/>
  <c r="V300" i="2"/>
  <c r="R300" i="2"/>
  <c r="E300" i="2"/>
  <c r="D300" i="2"/>
  <c r="C300" i="2"/>
  <c r="AB299" i="2"/>
  <c r="X299" i="2"/>
  <c r="V299" i="2"/>
  <c r="R299" i="2"/>
  <c r="E299" i="2"/>
  <c r="D299" i="2"/>
  <c r="C299" i="2"/>
  <c r="AB298" i="2"/>
  <c r="X298" i="2"/>
  <c r="V298" i="2"/>
  <c r="R298" i="2"/>
  <c r="E298" i="2"/>
  <c r="D298" i="2"/>
  <c r="C298" i="2"/>
  <c r="AB297" i="2"/>
  <c r="X297" i="2"/>
  <c r="V297" i="2"/>
  <c r="R297" i="2"/>
  <c r="E297" i="2"/>
  <c r="D297" i="2"/>
  <c r="C297" i="2"/>
  <c r="AB296" i="2"/>
  <c r="X296" i="2"/>
  <c r="V296" i="2"/>
  <c r="R296" i="2"/>
  <c r="E296" i="2"/>
  <c r="D296" i="2"/>
  <c r="C296" i="2"/>
  <c r="AB295" i="2"/>
  <c r="X295" i="2"/>
  <c r="V295" i="2"/>
  <c r="R295" i="2"/>
  <c r="E295" i="2"/>
  <c r="D295" i="2"/>
  <c r="C295" i="2"/>
  <c r="AB294" i="2"/>
  <c r="X294" i="2"/>
  <c r="V294" i="2"/>
  <c r="R294" i="2"/>
  <c r="E294" i="2"/>
  <c r="D294" i="2"/>
  <c r="C294" i="2"/>
  <c r="AB293" i="2"/>
  <c r="X293" i="2"/>
  <c r="V293" i="2"/>
  <c r="R293" i="2"/>
  <c r="E293" i="2"/>
  <c r="D293" i="2"/>
  <c r="C293" i="2"/>
  <c r="AB292" i="2"/>
  <c r="X292" i="2"/>
  <c r="V292" i="2"/>
  <c r="R292" i="2"/>
  <c r="E292" i="2"/>
  <c r="D292" i="2"/>
  <c r="C292" i="2"/>
  <c r="AB291" i="2"/>
  <c r="X291" i="2"/>
  <c r="V291" i="2"/>
  <c r="R291" i="2"/>
  <c r="E291" i="2"/>
  <c r="D291" i="2"/>
  <c r="C291" i="2"/>
  <c r="AB290" i="2"/>
  <c r="X290" i="2"/>
  <c r="V290" i="2"/>
  <c r="R290" i="2"/>
  <c r="E290" i="2"/>
  <c r="D290" i="2"/>
  <c r="C290" i="2"/>
  <c r="AB289" i="2"/>
  <c r="X289" i="2"/>
  <c r="V289" i="2"/>
  <c r="R289" i="2"/>
  <c r="E289" i="2"/>
  <c r="D289" i="2"/>
  <c r="C289" i="2"/>
  <c r="AB288" i="2"/>
  <c r="X288" i="2"/>
  <c r="V288" i="2"/>
  <c r="R288" i="2"/>
  <c r="E288" i="2"/>
  <c r="D288" i="2"/>
  <c r="C288" i="2"/>
  <c r="AB287" i="2"/>
  <c r="X287" i="2"/>
  <c r="V287" i="2"/>
  <c r="R287" i="2"/>
  <c r="E287" i="2"/>
  <c r="D287" i="2"/>
  <c r="C287" i="2"/>
  <c r="AB286" i="2"/>
  <c r="X286" i="2"/>
  <c r="V286" i="2"/>
  <c r="R286" i="2"/>
  <c r="E286" i="2"/>
  <c r="D286" i="2"/>
  <c r="C286" i="2"/>
  <c r="AB285" i="2"/>
  <c r="X285" i="2"/>
  <c r="V285" i="2"/>
  <c r="R285" i="2"/>
  <c r="E285" i="2"/>
  <c r="D285" i="2"/>
  <c r="C285" i="2"/>
  <c r="AB284" i="2"/>
  <c r="X284" i="2"/>
  <c r="V284" i="2"/>
  <c r="R284" i="2"/>
  <c r="E284" i="2"/>
  <c r="D284" i="2"/>
  <c r="C284" i="2"/>
  <c r="AB283" i="2"/>
  <c r="X283" i="2"/>
  <c r="V283" i="2"/>
  <c r="R283" i="2"/>
  <c r="E283" i="2"/>
  <c r="D283" i="2"/>
  <c r="C283" i="2"/>
  <c r="AB282" i="2"/>
  <c r="X282" i="2"/>
  <c r="V282" i="2"/>
  <c r="R282" i="2"/>
  <c r="E282" i="2"/>
  <c r="D282" i="2"/>
  <c r="C282" i="2"/>
  <c r="AB281" i="2"/>
  <c r="X281" i="2"/>
  <c r="V281" i="2"/>
  <c r="R281" i="2"/>
  <c r="E281" i="2"/>
  <c r="D281" i="2"/>
  <c r="C281" i="2"/>
  <c r="AB280" i="2"/>
  <c r="X280" i="2"/>
  <c r="V280" i="2"/>
  <c r="R280" i="2"/>
  <c r="E280" i="2"/>
  <c r="D280" i="2"/>
  <c r="C280" i="2"/>
  <c r="AB279" i="2"/>
  <c r="X279" i="2"/>
  <c r="V279" i="2"/>
  <c r="R279" i="2"/>
  <c r="E279" i="2"/>
  <c r="D279" i="2"/>
  <c r="C279" i="2"/>
  <c r="AB278" i="2"/>
  <c r="X278" i="2"/>
  <c r="V278" i="2"/>
  <c r="R278" i="2"/>
  <c r="E278" i="2"/>
  <c r="D278" i="2"/>
  <c r="C278" i="2"/>
  <c r="AB277" i="2"/>
  <c r="X277" i="2"/>
  <c r="V277" i="2"/>
  <c r="R277" i="2"/>
  <c r="E277" i="2"/>
  <c r="D277" i="2"/>
  <c r="C277" i="2"/>
  <c r="AB276" i="2"/>
  <c r="X276" i="2"/>
  <c r="V276" i="2"/>
  <c r="R276" i="2"/>
  <c r="E276" i="2"/>
  <c r="D276" i="2"/>
  <c r="C276" i="2"/>
  <c r="AB275" i="2"/>
  <c r="X275" i="2"/>
  <c r="V275" i="2"/>
  <c r="R275" i="2"/>
  <c r="E275" i="2"/>
  <c r="D275" i="2"/>
  <c r="C275" i="2"/>
  <c r="AB274" i="2"/>
  <c r="X274" i="2"/>
  <c r="V274" i="2"/>
  <c r="R274" i="2"/>
  <c r="E274" i="2"/>
  <c r="D274" i="2"/>
  <c r="C274" i="2"/>
  <c r="AB273" i="2"/>
  <c r="X273" i="2"/>
  <c r="V273" i="2"/>
  <c r="R273" i="2"/>
  <c r="E273" i="2"/>
  <c r="D273" i="2"/>
  <c r="C273" i="2"/>
  <c r="AB272" i="2"/>
  <c r="X272" i="2"/>
  <c r="V272" i="2"/>
  <c r="R272" i="2"/>
  <c r="E272" i="2"/>
  <c r="D272" i="2"/>
  <c r="C272" i="2"/>
  <c r="AB271" i="2"/>
  <c r="X271" i="2"/>
  <c r="V271" i="2"/>
  <c r="R271" i="2"/>
  <c r="E271" i="2"/>
  <c r="D271" i="2"/>
  <c r="C271" i="2"/>
  <c r="AB270" i="2"/>
  <c r="X270" i="2"/>
  <c r="V270" i="2"/>
  <c r="R270" i="2"/>
  <c r="E270" i="2"/>
  <c r="D270" i="2"/>
  <c r="C270" i="2"/>
  <c r="AB269" i="2"/>
  <c r="X269" i="2"/>
  <c r="V269" i="2"/>
  <c r="R269" i="2"/>
  <c r="E269" i="2"/>
  <c r="D269" i="2"/>
  <c r="C269" i="2"/>
  <c r="AB268" i="2"/>
  <c r="X268" i="2"/>
  <c r="V268" i="2"/>
  <c r="R268" i="2"/>
  <c r="E268" i="2"/>
  <c r="D268" i="2"/>
  <c r="C268" i="2"/>
  <c r="AB267" i="2"/>
  <c r="X267" i="2"/>
  <c r="V267" i="2"/>
  <c r="R267" i="2"/>
  <c r="E267" i="2"/>
  <c r="D267" i="2"/>
  <c r="C267" i="2"/>
  <c r="AB266" i="2"/>
  <c r="X266" i="2"/>
  <c r="V266" i="2"/>
  <c r="R266" i="2"/>
  <c r="E266" i="2"/>
  <c r="D266" i="2"/>
  <c r="C266" i="2"/>
  <c r="AB265" i="2"/>
  <c r="X265" i="2"/>
  <c r="V265" i="2"/>
  <c r="R265" i="2"/>
  <c r="E265" i="2"/>
  <c r="D265" i="2"/>
  <c r="C265" i="2"/>
  <c r="AB264" i="2"/>
  <c r="X264" i="2"/>
  <c r="V264" i="2"/>
  <c r="R264" i="2"/>
  <c r="E264" i="2"/>
  <c r="D264" i="2"/>
  <c r="C264" i="2"/>
  <c r="AB263" i="2"/>
  <c r="X263" i="2"/>
  <c r="V263" i="2"/>
  <c r="R263" i="2"/>
  <c r="E263" i="2"/>
  <c r="D263" i="2"/>
  <c r="C263" i="2"/>
  <c r="AB262" i="2"/>
  <c r="X262" i="2"/>
  <c r="V262" i="2"/>
  <c r="R262" i="2"/>
  <c r="E262" i="2"/>
  <c r="D262" i="2"/>
  <c r="C262" i="2"/>
  <c r="AB261" i="2"/>
  <c r="X261" i="2"/>
  <c r="V261" i="2"/>
  <c r="R261" i="2"/>
  <c r="E261" i="2"/>
  <c r="D261" i="2"/>
  <c r="C261" i="2"/>
  <c r="AB260" i="2"/>
  <c r="X260" i="2"/>
  <c r="V260" i="2"/>
  <c r="R260" i="2"/>
  <c r="E260" i="2"/>
  <c r="D260" i="2"/>
  <c r="C260" i="2"/>
  <c r="AB259" i="2"/>
  <c r="X259" i="2"/>
  <c r="V259" i="2"/>
  <c r="R259" i="2"/>
  <c r="E259" i="2"/>
  <c r="D259" i="2"/>
  <c r="C259" i="2"/>
  <c r="AB258" i="2"/>
  <c r="X258" i="2"/>
  <c r="V258" i="2"/>
  <c r="R258" i="2"/>
  <c r="E258" i="2"/>
  <c r="D258" i="2"/>
  <c r="C258" i="2"/>
  <c r="AB257" i="2"/>
  <c r="X257" i="2"/>
  <c r="V257" i="2"/>
  <c r="R257" i="2"/>
  <c r="E257" i="2"/>
  <c r="D257" i="2"/>
  <c r="C257" i="2"/>
  <c r="AB256" i="2"/>
  <c r="X256" i="2"/>
  <c r="V256" i="2"/>
  <c r="R256" i="2"/>
  <c r="E256" i="2"/>
  <c r="D256" i="2"/>
  <c r="C256" i="2"/>
  <c r="AB255" i="2"/>
  <c r="X255" i="2"/>
  <c r="V255" i="2"/>
  <c r="R255" i="2"/>
  <c r="E255" i="2"/>
  <c r="D255" i="2"/>
  <c r="C255" i="2"/>
  <c r="AB254" i="2"/>
  <c r="X254" i="2"/>
  <c r="V254" i="2"/>
  <c r="R254" i="2"/>
  <c r="E254" i="2"/>
  <c r="D254" i="2"/>
  <c r="C254" i="2"/>
  <c r="AB253" i="2"/>
  <c r="X253" i="2"/>
  <c r="V253" i="2"/>
  <c r="R253" i="2"/>
  <c r="E253" i="2"/>
  <c r="D253" i="2"/>
  <c r="C253" i="2"/>
  <c r="AB252" i="2"/>
  <c r="X252" i="2"/>
  <c r="V252" i="2"/>
  <c r="R252" i="2"/>
  <c r="E252" i="2"/>
  <c r="D252" i="2"/>
  <c r="C252" i="2"/>
  <c r="AB251" i="2"/>
  <c r="X251" i="2"/>
  <c r="V251" i="2"/>
  <c r="R251" i="2"/>
  <c r="E251" i="2"/>
  <c r="D251" i="2"/>
  <c r="C251" i="2"/>
  <c r="AB250" i="2"/>
  <c r="X250" i="2"/>
  <c r="V250" i="2"/>
  <c r="R250" i="2"/>
  <c r="E250" i="2"/>
  <c r="D250" i="2"/>
  <c r="C250" i="2"/>
  <c r="AB249" i="2"/>
  <c r="X249" i="2"/>
  <c r="V249" i="2"/>
  <c r="R249" i="2"/>
  <c r="E249" i="2"/>
  <c r="D249" i="2"/>
  <c r="C249" i="2"/>
  <c r="AB248" i="2"/>
  <c r="X248" i="2"/>
  <c r="V248" i="2"/>
  <c r="R248" i="2"/>
  <c r="E248" i="2"/>
  <c r="D248" i="2"/>
  <c r="C248" i="2"/>
  <c r="AB247" i="2"/>
  <c r="X247" i="2"/>
  <c r="V247" i="2"/>
  <c r="R247" i="2"/>
  <c r="E247" i="2"/>
  <c r="D247" i="2"/>
  <c r="C247" i="2"/>
  <c r="AB246" i="2"/>
  <c r="X246" i="2"/>
  <c r="V246" i="2"/>
  <c r="R246" i="2"/>
  <c r="E246" i="2"/>
  <c r="D246" i="2"/>
  <c r="C246" i="2"/>
  <c r="AB245" i="2"/>
  <c r="X245" i="2"/>
  <c r="V245" i="2"/>
  <c r="R245" i="2"/>
  <c r="E245" i="2"/>
  <c r="D245" i="2"/>
  <c r="C245" i="2"/>
  <c r="AB244" i="2"/>
  <c r="X244" i="2"/>
  <c r="V244" i="2"/>
  <c r="R244" i="2"/>
  <c r="E244" i="2"/>
  <c r="D244" i="2"/>
  <c r="C244" i="2"/>
  <c r="AB243" i="2"/>
  <c r="X243" i="2"/>
  <c r="V243" i="2"/>
  <c r="R243" i="2"/>
  <c r="E243" i="2"/>
  <c r="D243" i="2"/>
  <c r="C243" i="2"/>
  <c r="AB242" i="2"/>
  <c r="X242" i="2"/>
  <c r="V242" i="2"/>
  <c r="R242" i="2"/>
  <c r="E242" i="2"/>
  <c r="D242" i="2"/>
  <c r="C242" i="2"/>
  <c r="AB241" i="2"/>
  <c r="X241" i="2"/>
  <c r="V241" i="2"/>
  <c r="R241" i="2"/>
  <c r="E241" i="2"/>
  <c r="D241" i="2"/>
  <c r="C241" i="2"/>
  <c r="AB240" i="2"/>
  <c r="X240" i="2"/>
  <c r="V240" i="2"/>
  <c r="R240" i="2"/>
  <c r="E240" i="2"/>
  <c r="D240" i="2"/>
  <c r="C240" i="2"/>
  <c r="AB239" i="2"/>
  <c r="X239" i="2"/>
  <c r="V239" i="2"/>
  <c r="R239" i="2"/>
  <c r="E239" i="2"/>
  <c r="D239" i="2"/>
  <c r="C239" i="2"/>
  <c r="AB238" i="2"/>
  <c r="X238" i="2"/>
  <c r="V238" i="2"/>
  <c r="R238" i="2"/>
  <c r="E238" i="2"/>
  <c r="D238" i="2"/>
  <c r="C238" i="2"/>
  <c r="AB237" i="2"/>
  <c r="X237" i="2"/>
  <c r="V237" i="2"/>
  <c r="R237" i="2"/>
  <c r="E237" i="2"/>
  <c r="D237" i="2"/>
  <c r="C237" i="2"/>
  <c r="AB236" i="2"/>
  <c r="X236" i="2"/>
  <c r="V236" i="2"/>
  <c r="R236" i="2"/>
  <c r="E236" i="2"/>
  <c r="D236" i="2"/>
  <c r="C236" i="2"/>
  <c r="AB235" i="2"/>
  <c r="X235" i="2"/>
  <c r="V235" i="2"/>
  <c r="R235" i="2"/>
  <c r="E235" i="2"/>
  <c r="D235" i="2"/>
  <c r="C235" i="2"/>
  <c r="AB234" i="2"/>
  <c r="X234" i="2"/>
  <c r="V234" i="2"/>
  <c r="R234" i="2"/>
  <c r="E234" i="2"/>
  <c r="D234" i="2"/>
  <c r="C234" i="2"/>
  <c r="AB233" i="2"/>
  <c r="X233" i="2"/>
  <c r="V233" i="2"/>
  <c r="R233" i="2"/>
  <c r="E233" i="2"/>
  <c r="D233" i="2"/>
  <c r="C233" i="2"/>
  <c r="AB232" i="2"/>
  <c r="X232" i="2"/>
  <c r="V232" i="2"/>
  <c r="R232" i="2"/>
  <c r="E232" i="2"/>
  <c r="D232" i="2"/>
  <c r="C232" i="2"/>
  <c r="AB231" i="2"/>
  <c r="X231" i="2"/>
  <c r="V231" i="2"/>
  <c r="R231" i="2"/>
  <c r="E231" i="2"/>
  <c r="D231" i="2"/>
  <c r="C231" i="2"/>
  <c r="AB230" i="2"/>
  <c r="X230" i="2"/>
  <c r="V230" i="2"/>
  <c r="R230" i="2"/>
  <c r="E230" i="2"/>
  <c r="D230" i="2"/>
  <c r="C230" i="2"/>
  <c r="AB229" i="2"/>
  <c r="X229" i="2"/>
  <c r="V229" i="2"/>
  <c r="R229" i="2"/>
  <c r="E229" i="2"/>
  <c r="D229" i="2"/>
  <c r="C229" i="2"/>
  <c r="AB228" i="2"/>
  <c r="X228" i="2"/>
  <c r="V228" i="2"/>
  <c r="R228" i="2"/>
  <c r="E228" i="2"/>
  <c r="D228" i="2"/>
  <c r="C228" i="2"/>
  <c r="AB227" i="2"/>
  <c r="X227" i="2"/>
  <c r="V227" i="2"/>
  <c r="R227" i="2"/>
  <c r="E227" i="2"/>
  <c r="D227" i="2"/>
  <c r="C227" i="2"/>
  <c r="AB226" i="2"/>
  <c r="X226" i="2"/>
  <c r="V226" i="2"/>
  <c r="R226" i="2"/>
  <c r="E226" i="2"/>
  <c r="D226" i="2"/>
  <c r="C226" i="2"/>
  <c r="AB225" i="2"/>
  <c r="X225" i="2"/>
  <c r="V225" i="2"/>
  <c r="R225" i="2"/>
  <c r="E225" i="2"/>
  <c r="D225" i="2"/>
  <c r="C225" i="2"/>
  <c r="AB224" i="2"/>
  <c r="X224" i="2"/>
  <c r="V224" i="2"/>
  <c r="R224" i="2"/>
  <c r="E224" i="2"/>
  <c r="D224" i="2"/>
  <c r="C224" i="2"/>
  <c r="AB223" i="2"/>
  <c r="X223" i="2"/>
  <c r="V223" i="2"/>
  <c r="R223" i="2"/>
  <c r="E223" i="2"/>
  <c r="D223" i="2"/>
  <c r="C223" i="2"/>
  <c r="AB222" i="2"/>
  <c r="X222" i="2"/>
  <c r="V222" i="2"/>
  <c r="R222" i="2"/>
  <c r="E222" i="2"/>
  <c r="D222" i="2"/>
  <c r="C222" i="2"/>
  <c r="AB221" i="2"/>
  <c r="X221" i="2"/>
  <c r="V221" i="2"/>
  <c r="R221" i="2"/>
  <c r="E221" i="2"/>
  <c r="D221" i="2"/>
  <c r="C221" i="2"/>
  <c r="AB220" i="2"/>
  <c r="X220" i="2"/>
  <c r="V220" i="2"/>
  <c r="R220" i="2"/>
  <c r="E220" i="2"/>
  <c r="D220" i="2"/>
  <c r="C220" i="2"/>
  <c r="AB219" i="2"/>
  <c r="X219" i="2"/>
  <c r="V219" i="2"/>
  <c r="R219" i="2"/>
  <c r="E219" i="2"/>
  <c r="D219" i="2"/>
  <c r="C219" i="2"/>
  <c r="AB218" i="2"/>
  <c r="X218" i="2"/>
  <c r="V218" i="2"/>
  <c r="R218" i="2"/>
  <c r="E218" i="2"/>
  <c r="D218" i="2"/>
  <c r="C218" i="2"/>
  <c r="AB217" i="2"/>
  <c r="X217" i="2"/>
  <c r="V217" i="2"/>
  <c r="R217" i="2"/>
  <c r="E217" i="2"/>
  <c r="D217" i="2"/>
  <c r="C217" i="2"/>
  <c r="AB216" i="2"/>
  <c r="X216" i="2"/>
  <c r="V216" i="2"/>
  <c r="R216" i="2"/>
  <c r="E216" i="2"/>
  <c r="D216" i="2"/>
  <c r="C216" i="2"/>
  <c r="AB215" i="2"/>
  <c r="X215" i="2"/>
  <c r="V215" i="2"/>
  <c r="R215" i="2"/>
  <c r="E215" i="2"/>
  <c r="D215" i="2"/>
  <c r="C215" i="2"/>
  <c r="AB214" i="2"/>
  <c r="X214" i="2"/>
  <c r="V214" i="2"/>
  <c r="R214" i="2"/>
  <c r="E214" i="2"/>
  <c r="D214" i="2"/>
  <c r="C214" i="2"/>
  <c r="AB213" i="2"/>
  <c r="X213" i="2"/>
  <c r="V213" i="2"/>
  <c r="R213" i="2"/>
  <c r="E213" i="2"/>
  <c r="D213" i="2"/>
  <c r="C213" i="2"/>
  <c r="AB212" i="2"/>
  <c r="X212" i="2"/>
  <c r="V212" i="2"/>
  <c r="R212" i="2"/>
  <c r="E212" i="2"/>
  <c r="D212" i="2"/>
  <c r="C212" i="2"/>
  <c r="AB211" i="2"/>
  <c r="X211" i="2"/>
  <c r="V211" i="2"/>
  <c r="R211" i="2"/>
  <c r="E211" i="2"/>
  <c r="D211" i="2"/>
  <c r="C211" i="2"/>
  <c r="AB210" i="2"/>
  <c r="X210" i="2"/>
  <c r="V210" i="2"/>
  <c r="R210" i="2"/>
  <c r="E210" i="2"/>
  <c r="D210" i="2"/>
  <c r="C210" i="2"/>
  <c r="AB209" i="2"/>
  <c r="X209" i="2"/>
  <c r="V209" i="2"/>
  <c r="R209" i="2"/>
  <c r="E209" i="2"/>
  <c r="D209" i="2"/>
  <c r="C209" i="2"/>
  <c r="AB208" i="2"/>
  <c r="X208" i="2"/>
  <c r="V208" i="2"/>
  <c r="R208" i="2"/>
  <c r="E208" i="2"/>
  <c r="D208" i="2"/>
  <c r="C208" i="2"/>
  <c r="AB207" i="2"/>
  <c r="X207" i="2"/>
  <c r="V207" i="2"/>
  <c r="R207" i="2"/>
  <c r="E207" i="2"/>
  <c r="D207" i="2"/>
  <c r="C207" i="2"/>
  <c r="AB206" i="2"/>
  <c r="X206" i="2"/>
  <c r="V206" i="2"/>
  <c r="R206" i="2"/>
  <c r="E206" i="2"/>
  <c r="D206" i="2"/>
  <c r="C206" i="2"/>
  <c r="AB205" i="2"/>
  <c r="X205" i="2"/>
  <c r="V205" i="2"/>
  <c r="R205" i="2"/>
  <c r="E205" i="2"/>
  <c r="D205" i="2"/>
  <c r="C205" i="2"/>
  <c r="AB204" i="2"/>
  <c r="X204" i="2"/>
  <c r="V204" i="2"/>
  <c r="R204" i="2"/>
  <c r="E204" i="2"/>
  <c r="D204" i="2"/>
  <c r="C204" i="2"/>
  <c r="AB203" i="2"/>
  <c r="X203" i="2"/>
  <c r="V203" i="2"/>
  <c r="R203" i="2"/>
  <c r="E203" i="2"/>
  <c r="D203" i="2"/>
  <c r="C203" i="2"/>
  <c r="AB202" i="2"/>
  <c r="X202" i="2"/>
  <c r="V202" i="2"/>
  <c r="R202" i="2"/>
  <c r="E202" i="2"/>
  <c r="D202" i="2"/>
  <c r="C202" i="2"/>
  <c r="AB201" i="2"/>
  <c r="X201" i="2"/>
  <c r="V201" i="2"/>
  <c r="R201" i="2"/>
  <c r="E201" i="2"/>
  <c r="D201" i="2"/>
  <c r="C201" i="2"/>
  <c r="AB200" i="2"/>
  <c r="X200" i="2"/>
  <c r="V200" i="2"/>
  <c r="R200" i="2"/>
  <c r="E200" i="2"/>
  <c r="D200" i="2"/>
  <c r="C200" i="2"/>
  <c r="AB199" i="2"/>
  <c r="X199" i="2"/>
  <c r="V199" i="2"/>
  <c r="R199" i="2"/>
  <c r="E199" i="2"/>
  <c r="D199" i="2"/>
  <c r="C199" i="2"/>
  <c r="AB198" i="2"/>
  <c r="X198" i="2"/>
  <c r="V198" i="2"/>
  <c r="R198" i="2"/>
  <c r="E198" i="2"/>
  <c r="D198" i="2"/>
  <c r="C198" i="2"/>
  <c r="AB197" i="2"/>
  <c r="X197" i="2"/>
  <c r="V197" i="2"/>
  <c r="R197" i="2"/>
  <c r="E197" i="2"/>
  <c r="D197" i="2"/>
  <c r="C197" i="2"/>
  <c r="AB196" i="2"/>
  <c r="X196" i="2"/>
  <c r="V196" i="2"/>
  <c r="R196" i="2"/>
  <c r="E196" i="2"/>
  <c r="D196" i="2"/>
  <c r="C196" i="2"/>
  <c r="AB195" i="2"/>
  <c r="X195" i="2"/>
  <c r="V195" i="2"/>
  <c r="R195" i="2"/>
  <c r="E195" i="2"/>
  <c r="D195" i="2"/>
  <c r="C195" i="2"/>
  <c r="AB194" i="2"/>
  <c r="X194" i="2"/>
  <c r="V194" i="2"/>
  <c r="R194" i="2"/>
  <c r="E194" i="2"/>
  <c r="D194" i="2"/>
  <c r="C194" i="2"/>
  <c r="AB193" i="2"/>
  <c r="X193" i="2"/>
  <c r="V193" i="2"/>
  <c r="R193" i="2"/>
  <c r="E193" i="2"/>
  <c r="D193" i="2"/>
  <c r="C193" i="2"/>
  <c r="AB192" i="2"/>
  <c r="X192" i="2"/>
  <c r="V192" i="2"/>
  <c r="R192" i="2"/>
  <c r="E192" i="2"/>
  <c r="D192" i="2"/>
  <c r="C192" i="2"/>
  <c r="AB191" i="2"/>
  <c r="X191" i="2"/>
  <c r="V191" i="2"/>
  <c r="R191" i="2"/>
  <c r="E191" i="2"/>
  <c r="D191" i="2"/>
  <c r="C191" i="2"/>
  <c r="AB190" i="2"/>
  <c r="X190" i="2"/>
  <c r="V190" i="2"/>
  <c r="R190" i="2"/>
  <c r="E190" i="2"/>
  <c r="D190" i="2"/>
  <c r="C190" i="2"/>
  <c r="AB189" i="2"/>
  <c r="X189" i="2"/>
  <c r="V189" i="2"/>
  <c r="R189" i="2"/>
  <c r="E189" i="2"/>
  <c r="D189" i="2"/>
  <c r="C189" i="2"/>
  <c r="AB188" i="2"/>
  <c r="X188" i="2"/>
  <c r="V188" i="2"/>
  <c r="R188" i="2"/>
  <c r="E188" i="2"/>
  <c r="D188" i="2"/>
  <c r="C188" i="2"/>
  <c r="AB187" i="2"/>
  <c r="X187" i="2"/>
  <c r="V187" i="2"/>
  <c r="R187" i="2"/>
  <c r="E187" i="2"/>
  <c r="D187" i="2"/>
  <c r="C187" i="2"/>
  <c r="AB186" i="2"/>
  <c r="X186" i="2"/>
  <c r="V186" i="2"/>
  <c r="R186" i="2"/>
  <c r="E186" i="2"/>
  <c r="D186" i="2"/>
  <c r="C186" i="2"/>
  <c r="AB185" i="2"/>
  <c r="X185" i="2"/>
  <c r="V185" i="2"/>
  <c r="R185" i="2"/>
  <c r="E185" i="2"/>
  <c r="D185" i="2"/>
  <c r="C185" i="2"/>
  <c r="AB184" i="2"/>
  <c r="X184" i="2"/>
  <c r="V184" i="2"/>
  <c r="R184" i="2"/>
  <c r="E184" i="2"/>
  <c r="D184" i="2"/>
  <c r="C184" i="2"/>
  <c r="AB183" i="2"/>
  <c r="X183" i="2"/>
  <c r="V183" i="2"/>
  <c r="R183" i="2"/>
  <c r="E183" i="2"/>
  <c r="D183" i="2"/>
  <c r="C183" i="2"/>
  <c r="AB182" i="2"/>
  <c r="X182" i="2"/>
  <c r="V182" i="2"/>
  <c r="R182" i="2"/>
  <c r="E182" i="2"/>
  <c r="D182" i="2"/>
  <c r="C182" i="2"/>
  <c r="AB181" i="2"/>
  <c r="X181" i="2"/>
  <c r="V181" i="2"/>
  <c r="R181" i="2"/>
  <c r="E181" i="2"/>
  <c r="D181" i="2"/>
  <c r="C181" i="2"/>
  <c r="AB180" i="2"/>
  <c r="X180" i="2"/>
  <c r="V180" i="2"/>
  <c r="R180" i="2"/>
  <c r="E180" i="2"/>
  <c r="D180" i="2"/>
  <c r="C180" i="2"/>
  <c r="AB179" i="2"/>
  <c r="X179" i="2"/>
  <c r="V179" i="2"/>
  <c r="R179" i="2"/>
  <c r="E179" i="2"/>
  <c r="D179" i="2"/>
  <c r="C179" i="2"/>
  <c r="AB178" i="2"/>
  <c r="X178" i="2"/>
  <c r="V178" i="2"/>
  <c r="R178" i="2"/>
  <c r="E178" i="2"/>
  <c r="D178" i="2"/>
  <c r="C178" i="2"/>
  <c r="AB177" i="2"/>
  <c r="X177" i="2"/>
  <c r="V177" i="2"/>
  <c r="R177" i="2"/>
  <c r="E177" i="2"/>
  <c r="D177" i="2"/>
  <c r="C177" i="2"/>
  <c r="AB176" i="2"/>
  <c r="X176" i="2"/>
  <c r="V176" i="2"/>
  <c r="R176" i="2"/>
  <c r="E176" i="2"/>
  <c r="D176" i="2"/>
  <c r="C176" i="2"/>
  <c r="AB175" i="2"/>
  <c r="X175" i="2"/>
  <c r="V175" i="2"/>
  <c r="R175" i="2"/>
  <c r="E175" i="2"/>
  <c r="D175" i="2"/>
  <c r="C175" i="2"/>
  <c r="AB174" i="2"/>
  <c r="X174" i="2"/>
  <c r="V174" i="2"/>
  <c r="R174" i="2"/>
  <c r="E174" i="2"/>
  <c r="D174" i="2"/>
  <c r="C174" i="2"/>
  <c r="AB173" i="2"/>
  <c r="X173" i="2"/>
  <c r="V173" i="2"/>
  <c r="R173" i="2"/>
  <c r="E173" i="2"/>
  <c r="D173" i="2"/>
  <c r="C173" i="2"/>
  <c r="AB172" i="2"/>
  <c r="X172" i="2"/>
  <c r="V172" i="2"/>
  <c r="R172" i="2"/>
  <c r="E172" i="2"/>
  <c r="D172" i="2"/>
  <c r="C172" i="2"/>
  <c r="AB171" i="2"/>
  <c r="X171" i="2"/>
  <c r="V171" i="2"/>
  <c r="R171" i="2"/>
  <c r="E171" i="2"/>
  <c r="D171" i="2"/>
  <c r="C171" i="2"/>
  <c r="AB170" i="2"/>
  <c r="X170" i="2"/>
  <c r="V170" i="2"/>
  <c r="R170" i="2"/>
  <c r="E170" i="2"/>
  <c r="D170" i="2"/>
  <c r="C170" i="2"/>
  <c r="AB169" i="2"/>
  <c r="X169" i="2"/>
  <c r="V169" i="2"/>
  <c r="R169" i="2"/>
  <c r="E169" i="2"/>
  <c r="D169" i="2"/>
  <c r="C169" i="2"/>
  <c r="AB168" i="2"/>
  <c r="X168" i="2"/>
  <c r="V168" i="2"/>
  <c r="R168" i="2"/>
  <c r="E168" i="2"/>
  <c r="D168" i="2"/>
  <c r="C168" i="2"/>
  <c r="AB167" i="2"/>
  <c r="X167" i="2"/>
  <c r="V167" i="2"/>
  <c r="R167" i="2"/>
  <c r="E167" i="2"/>
  <c r="D167" i="2"/>
  <c r="C167" i="2"/>
  <c r="AB166" i="2"/>
  <c r="X166" i="2"/>
  <c r="V166" i="2"/>
  <c r="R166" i="2"/>
  <c r="E166" i="2"/>
  <c r="D166" i="2"/>
  <c r="C166" i="2"/>
  <c r="AB165" i="2"/>
  <c r="X165" i="2"/>
  <c r="V165" i="2"/>
  <c r="R165" i="2"/>
  <c r="E165" i="2"/>
  <c r="D165" i="2"/>
  <c r="C165" i="2"/>
  <c r="AB164" i="2"/>
  <c r="X164" i="2"/>
  <c r="V164" i="2"/>
  <c r="R164" i="2"/>
  <c r="E164" i="2"/>
  <c r="D164" i="2"/>
  <c r="C164" i="2"/>
  <c r="AB163" i="2"/>
  <c r="X163" i="2"/>
  <c r="V163" i="2"/>
  <c r="R163" i="2"/>
  <c r="E163" i="2"/>
  <c r="D163" i="2"/>
  <c r="C163" i="2"/>
  <c r="AB162" i="2"/>
  <c r="X162" i="2"/>
  <c r="V162" i="2"/>
  <c r="R162" i="2"/>
  <c r="E162" i="2"/>
  <c r="D162" i="2"/>
  <c r="C162" i="2"/>
  <c r="AB161" i="2"/>
  <c r="X161" i="2"/>
  <c r="V161" i="2"/>
  <c r="R161" i="2"/>
  <c r="E161" i="2"/>
  <c r="D161" i="2"/>
  <c r="C161" i="2"/>
  <c r="AB160" i="2"/>
  <c r="X160" i="2"/>
  <c r="V160" i="2"/>
  <c r="R160" i="2"/>
  <c r="E160" i="2"/>
  <c r="D160" i="2"/>
  <c r="C160" i="2"/>
  <c r="AB159" i="2"/>
  <c r="X159" i="2"/>
  <c r="V159" i="2"/>
  <c r="R159" i="2"/>
  <c r="E159" i="2"/>
  <c r="D159" i="2"/>
  <c r="C159" i="2"/>
  <c r="AB158" i="2"/>
  <c r="X158" i="2"/>
  <c r="V158" i="2"/>
  <c r="R158" i="2"/>
  <c r="E158" i="2"/>
  <c r="D158" i="2"/>
  <c r="C158" i="2"/>
  <c r="AB157" i="2"/>
  <c r="X157" i="2"/>
  <c r="V157" i="2"/>
  <c r="R157" i="2"/>
  <c r="E157" i="2"/>
  <c r="D157" i="2"/>
  <c r="C157" i="2"/>
  <c r="AB156" i="2"/>
  <c r="X156" i="2"/>
  <c r="V156" i="2"/>
  <c r="R156" i="2"/>
  <c r="E156" i="2"/>
  <c r="D156" i="2"/>
  <c r="C156" i="2"/>
  <c r="AB155" i="2"/>
  <c r="X155" i="2"/>
  <c r="V155" i="2"/>
  <c r="R155" i="2"/>
  <c r="E155" i="2"/>
  <c r="D155" i="2"/>
  <c r="C155" i="2"/>
  <c r="AB154" i="2"/>
  <c r="X154" i="2"/>
  <c r="V154" i="2"/>
  <c r="R154" i="2"/>
  <c r="E154" i="2"/>
  <c r="D154" i="2"/>
  <c r="C154" i="2"/>
  <c r="AB153" i="2"/>
  <c r="X153" i="2"/>
  <c r="V153" i="2"/>
  <c r="R153" i="2"/>
  <c r="E153" i="2"/>
  <c r="D153" i="2"/>
  <c r="C153" i="2"/>
  <c r="AB152" i="2"/>
  <c r="X152" i="2"/>
  <c r="V152" i="2"/>
  <c r="R152" i="2"/>
  <c r="E152" i="2"/>
  <c r="D152" i="2"/>
  <c r="C152" i="2"/>
  <c r="AB151" i="2"/>
  <c r="X151" i="2"/>
  <c r="V151" i="2"/>
  <c r="R151" i="2"/>
  <c r="E151" i="2"/>
  <c r="D151" i="2"/>
  <c r="C151" i="2"/>
  <c r="AB150" i="2"/>
  <c r="X150" i="2"/>
  <c r="V150" i="2"/>
  <c r="R150" i="2"/>
  <c r="E150" i="2"/>
  <c r="D150" i="2"/>
  <c r="C150" i="2"/>
  <c r="AB149" i="2"/>
  <c r="X149" i="2"/>
  <c r="V149" i="2"/>
  <c r="R149" i="2"/>
  <c r="E149" i="2"/>
  <c r="D149" i="2"/>
  <c r="C149" i="2"/>
  <c r="AB148" i="2"/>
  <c r="X148" i="2"/>
  <c r="V148" i="2"/>
  <c r="R148" i="2"/>
  <c r="E148" i="2"/>
  <c r="D148" i="2"/>
  <c r="C148" i="2"/>
  <c r="AB147" i="2"/>
  <c r="X147" i="2"/>
  <c r="V147" i="2"/>
  <c r="R147" i="2"/>
  <c r="E147" i="2"/>
  <c r="D147" i="2"/>
  <c r="C147" i="2"/>
  <c r="AB146" i="2"/>
  <c r="X146" i="2"/>
  <c r="V146" i="2"/>
  <c r="R146" i="2"/>
  <c r="E146" i="2"/>
  <c r="D146" i="2"/>
  <c r="C146" i="2"/>
  <c r="AB145" i="2"/>
  <c r="X145" i="2"/>
  <c r="V145" i="2"/>
  <c r="R145" i="2"/>
  <c r="E145" i="2"/>
  <c r="D145" i="2"/>
  <c r="C145" i="2"/>
  <c r="AB144" i="2"/>
  <c r="X144" i="2"/>
  <c r="V144" i="2"/>
  <c r="R144" i="2"/>
  <c r="E144" i="2"/>
  <c r="D144" i="2"/>
  <c r="C144" i="2"/>
  <c r="AB143" i="2"/>
  <c r="X143" i="2"/>
  <c r="V143" i="2"/>
  <c r="R143" i="2"/>
  <c r="E143" i="2"/>
  <c r="D143" i="2"/>
  <c r="C143" i="2"/>
  <c r="AB142" i="2"/>
  <c r="X142" i="2"/>
  <c r="V142" i="2"/>
  <c r="R142" i="2"/>
  <c r="E142" i="2"/>
  <c r="D142" i="2"/>
  <c r="C142" i="2"/>
  <c r="AB141" i="2"/>
  <c r="X141" i="2"/>
  <c r="V141" i="2"/>
  <c r="R141" i="2"/>
  <c r="E141" i="2"/>
  <c r="D141" i="2"/>
  <c r="C141" i="2"/>
  <c r="AB140" i="2"/>
  <c r="X140" i="2"/>
  <c r="V140" i="2"/>
  <c r="R140" i="2"/>
  <c r="E140" i="2"/>
  <c r="D140" i="2"/>
  <c r="C140" i="2"/>
  <c r="AB139" i="2"/>
  <c r="X139" i="2"/>
  <c r="V139" i="2"/>
  <c r="R139" i="2"/>
  <c r="E139" i="2"/>
  <c r="D139" i="2"/>
  <c r="C139" i="2"/>
  <c r="AB138" i="2"/>
  <c r="X138" i="2"/>
  <c r="V138" i="2"/>
  <c r="R138" i="2"/>
  <c r="E138" i="2"/>
  <c r="D138" i="2"/>
  <c r="C138" i="2"/>
  <c r="AB137" i="2"/>
  <c r="X137" i="2"/>
  <c r="V137" i="2"/>
  <c r="R137" i="2"/>
  <c r="E137" i="2"/>
  <c r="D137" i="2"/>
  <c r="C137" i="2"/>
  <c r="AB136" i="2"/>
  <c r="X136" i="2"/>
  <c r="V136" i="2"/>
  <c r="R136" i="2"/>
  <c r="E136" i="2"/>
  <c r="D136" i="2"/>
  <c r="C136" i="2"/>
  <c r="AB135" i="2"/>
  <c r="X135" i="2"/>
  <c r="V135" i="2"/>
  <c r="R135" i="2"/>
  <c r="E135" i="2"/>
  <c r="D135" i="2"/>
  <c r="C135" i="2"/>
  <c r="AB134" i="2"/>
  <c r="X134" i="2"/>
  <c r="V134" i="2"/>
  <c r="R134" i="2"/>
  <c r="E134" i="2"/>
  <c r="D134" i="2"/>
  <c r="C134" i="2"/>
  <c r="AB133" i="2"/>
  <c r="X133" i="2"/>
  <c r="V133" i="2"/>
  <c r="R133" i="2"/>
  <c r="E133" i="2"/>
  <c r="D133" i="2"/>
  <c r="C133" i="2"/>
  <c r="AB132" i="2"/>
  <c r="X132" i="2"/>
  <c r="V132" i="2"/>
  <c r="R132" i="2"/>
  <c r="E132" i="2"/>
  <c r="D132" i="2"/>
  <c r="C132" i="2"/>
  <c r="AB131" i="2"/>
  <c r="X131" i="2"/>
  <c r="V131" i="2"/>
  <c r="R131" i="2"/>
  <c r="E131" i="2"/>
  <c r="D131" i="2"/>
  <c r="C131" i="2"/>
  <c r="AB130" i="2"/>
  <c r="X130" i="2"/>
  <c r="V130" i="2"/>
  <c r="R130" i="2"/>
  <c r="E130" i="2"/>
  <c r="D130" i="2"/>
  <c r="C130" i="2"/>
  <c r="AB129" i="2"/>
  <c r="X129" i="2"/>
  <c r="V129" i="2"/>
  <c r="R129" i="2"/>
  <c r="E129" i="2"/>
  <c r="D129" i="2"/>
  <c r="C129" i="2"/>
  <c r="AB128" i="2"/>
  <c r="X128" i="2"/>
  <c r="V128" i="2"/>
  <c r="R128" i="2"/>
  <c r="E128" i="2"/>
  <c r="D128" i="2"/>
  <c r="C128" i="2"/>
  <c r="AB127" i="2"/>
  <c r="X127" i="2"/>
  <c r="V127" i="2"/>
  <c r="R127" i="2"/>
  <c r="E127" i="2"/>
  <c r="D127" i="2"/>
  <c r="C127" i="2"/>
  <c r="AB126" i="2"/>
  <c r="X126" i="2"/>
  <c r="V126" i="2"/>
  <c r="R126" i="2"/>
  <c r="E126" i="2"/>
  <c r="D126" i="2"/>
  <c r="C126" i="2"/>
  <c r="AB125" i="2"/>
  <c r="X125" i="2"/>
  <c r="V125" i="2"/>
  <c r="R125" i="2"/>
  <c r="E125" i="2"/>
  <c r="D125" i="2"/>
  <c r="C125" i="2"/>
  <c r="AB124" i="2"/>
  <c r="X124" i="2"/>
  <c r="V124" i="2"/>
  <c r="R124" i="2"/>
  <c r="E124" i="2"/>
  <c r="D124" i="2"/>
  <c r="C124" i="2"/>
  <c r="AB123" i="2"/>
  <c r="X123" i="2"/>
  <c r="V123" i="2"/>
  <c r="R123" i="2"/>
  <c r="E123" i="2"/>
  <c r="D123" i="2"/>
  <c r="C123" i="2"/>
  <c r="AB122" i="2"/>
  <c r="X122" i="2"/>
  <c r="V122" i="2"/>
  <c r="R122" i="2"/>
  <c r="E122" i="2"/>
  <c r="D122" i="2"/>
  <c r="C122" i="2"/>
  <c r="AB121" i="2"/>
  <c r="X121" i="2"/>
  <c r="V121" i="2"/>
  <c r="R121" i="2"/>
  <c r="E121" i="2"/>
  <c r="D121" i="2"/>
  <c r="C121" i="2"/>
  <c r="AB120" i="2"/>
  <c r="X120" i="2"/>
  <c r="V120" i="2"/>
  <c r="R120" i="2"/>
  <c r="E120" i="2"/>
  <c r="D120" i="2"/>
  <c r="C120" i="2"/>
  <c r="AB119" i="2"/>
  <c r="X119" i="2"/>
  <c r="V119" i="2"/>
  <c r="R119" i="2"/>
  <c r="E119" i="2"/>
  <c r="D119" i="2"/>
  <c r="C119" i="2"/>
  <c r="AB118" i="2"/>
  <c r="X118" i="2"/>
  <c r="V118" i="2"/>
  <c r="R118" i="2"/>
  <c r="E118" i="2"/>
  <c r="D118" i="2"/>
  <c r="C118" i="2"/>
  <c r="AB117" i="2"/>
  <c r="X117" i="2"/>
  <c r="V117" i="2"/>
  <c r="R117" i="2"/>
  <c r="E117" i="2"/>
  <c r="D117" i="2"/>
  <c r="C117" i="2"/>
  <c r="AB116" i="2"/>
  <c r="X116" i="2"/>
  <c r="V116" i="2"/>
  <c r="R116" i="2"/>
  <c r="E116" i="2"/>
  <c r="D116" i="2"/>
  <c r="C116" i="2"/>
  <c r="AB115" i="2"/>
  <c r="X115" i="2"/>
  <c r="V115" i="2"/>
  <c r="R115" i="2"/>
  <c r="E115" i="2"/>
  <c r="D115" i="2"/>
  <c r="C115" i="2"/>
  <c r="AB114" i="2"/>
  <c r="X114" i="2"/>
  <c r="V114" i="2"/>
  <c r="R114" i="2"/>
  <c r="E114" i="2"/>
  <c r="D114" i="2"/>
  <c r="C114" i="2"/>
  <c r="AB113" i="2"/>
  <c r="X113" i="2"/>
  <c r="V113" i="2"/>
  <c r="R113" i="2"/>
  <c r="E113" i="2"/>
  <c r="D113" i="2"/>
  <c r="C113" i="2"/>
  <c r="AB112" i="2"/>
  <c r="X112" i="2"/>
  <c r="V112" i="2"/>
  <c r="R112" i="2"/>
  <c r="E112" i="2"/>
  <c r="D112" i="2"/>
  <c r="C112" i="2"/>
  <c r="AB111" i="2"/>
  <c r="X111" i="2"/>
  <c r="V111" i="2"/>
  <c r="R111" i="2"/>
  <c r="E111" i="2"/>
  <c r="D111" i="2"/>
  <c r="C111" i="2"/>
  <c r="AB110" i="2"/>
  <c r="X110" i="2"/>
  <c r="V110" i="2"/>
  <c r="R110" i="2"/>
  <c r="E110" i="2"/>
  <c r="D110" i="2"/>
  <c r="C110" i="2"/>
  <c r="AB109" i="2"/>
  <c r="X109" i="2"/>
  <c r="V109" i="2"/>
  <c r="R109" i="2"/>
  <c r="E109" i="2"/>
  <c r="D109" i="2"/>
  <c r="C109" i="2"/>
  <c r="AB108" i="2"/>
  <c r="X108" i="2"/>
  <c r="V108" i="2"/>
  <c r="R108" i="2"/>
  <c r="E108" i="2"/>
  <c r="D108" i="2"/>
  <c r="C108" i="2"/>
  <c r="AB107" i="2"/>
  <c r="X107" i="2"/>
  <c r="V107" i="2"/>
  <c r="R107" i="2"/>
  <c r="E107" i="2"/>
  <c r="D107" i="2"/>
  <c r="C107" i="2"/>
  <c r="AB106" i="2"/>
  <c r="X106" i="2"/>
  <c r="V106" i="2"/>
  <c r="R106" i="2"/>
  <c r="E106" i="2"/>
  <c r="D106" i="2"/>
  <c r="C106" i="2"/>
  <c r="AB105" i="2"/>
  <c r="X105" i="2"/>
  <c r="V105" i="2"/>
  <c r="R105" i="2"/>
  <c r="E105" i="2"/>
  <c r="D105" i="2"/>
  <c r="C105" i="2"/>
  <c r="AB104" i="2"/>
  <c r="X104" i="2"/>
  <c r="V104" i="2"/>
  <c r="R104" i="2"/>
  <c r="E104" i="2"/>
  <c r="D104" i="2"/>
  <c r="C104" i="2"/>
  <c r="AB103" i="2"/>
  <c r="X103" i="2"/>
  <c r="V103" i="2"/>
  <c r="R103" i="2"/>
  <c r="E103" i="2"/>
  <c r="D103" i="2"/>
  <c r="C103" i="2"/>
  <c r="AB102" i="2"/>
  <c r="X102" i="2"/>
  <c r="V102" i="2"/>
  <c r="R102" i="2"/>
  <c r="E102" i="2"/>
  <c r="D102" i="2"/>
  <c r="C102" i="2"/>
  <c r="AB101" i="2"/>
  <c r="X101" i="2"/>
  <c r="V101" i="2"/>
  <c r="R101" i="2"/>
  <c r="E101" i="2"/>
  <c r="D101" i="2"/>
  <c r="C101" i="2"/>
  <c r="AB100" i="2"/>
  <c r="X100" i="2"/>
  <c r="V100" i="2"/>
  <c r="R100" i="2"/>
  <c r="E100" i="2"/>
  <c r="D100" i="2"/>
  <c r="C100" i="2"/>
  <c r="AB99" i="2"/>
  <c r="X99" i="2"/>
  <c r="V99" i="2"/>
  <c r="R99" i="2"/>
  <c r="E99" i="2"/>
  <c r="D99" i="2"/>
  <c r="C99" i="2"/>
  <c r="AB98" i="2"/>
  <c r="X98" i="2"/>
  <c r="V98" i="2"/>
  <c r="R98" i="2"/>
  <c r="E98" i="2"/>
  <c r="D98" i="2"/>
  <c r="C98" i="2"/>
  <c r="AB97" i="2"/>
  <c r="X97" i="2"/>
  <c r="V97" i="2"/>
  <c r="R97" i="2"/>
  <c r="E97" i="2"/>
  <c r="D97" i="2"/>
  <c r="C97" i="2"/>
  <c r="AB96" i="2"/>
  <c r="X96" i="2"/>
  <c r="V96" i="2"/>
  <c r="R96" i="2"/>
  <c r="E96" i="2"/>
  <c r="D96" i="2"/>
  <c r="C96" i="2"/>
  <c r="AB95" i="2"/>
  <c r="X95" i="2"/>
  <c r="V95" i="2"/>
  <c r="R95" i="2"/>
  <c r="E95" i="2"/>
  <c r="D95" i="2"/>
  <c r="C95" i="2"/>
  <c r="AB94" i="2"/>
  <c r="X94" i="2"/>
  <c r="V94" i="2"/>
  <c r="R94" i="2"/>
  <c r="E94" i="2"/>
  <c r="D94" i="2"/>
  <c r="C94" i="2"/>
  <c r="AB93" i="2"/>
  <c r="X93" i="2"/>
  <c r="V93" i="2"/>
  <c r="R93" i="2"/>
  <c r="E93" i="2"/>
  <c r="D93" i="2"/>
  <c r="C93" i="2"/>
  <c r="AB92" i="2"/>
  <c r="X92" i="2"/>
  <c r="V92" i="2"/>
  <c r="R92" i="2"/>
  <c r="E92" i="2"/>
  <c r="D92" i="2"/>
  <c r="C92" i="2"/>
  <c r="AB91" i="2"/>
  <c r="X91" i="2"/>
  <c r="V91" i="2"/>
  <c r="R91" i="2"/>
  <c r="E91" i="2"/>
  <c r="D91" i="2"/>
  <c r="C91" i="2"/>
  <c r="AB90" i="2"/>
  <c r="X90" i="2"/>
  <c r="V90" i="2"/>
  <c r="R90" i="2"/>
  <c r="E90" i="2"/>
  <c r="D90" i="2"/>
  <c r="C90" i="2"/>
  <c r="AB89" i="2"/>
  <c r="X89" i="2"/>
  <c r="V89" i="2"/>
  <c r="R89" i="2"/>
  <c r="E89" i="2"/>
  <c r="D89" i="2"/>
  <c r="C89" i="2"/>
  <c r="AB88" i="2"/>
  <c r="X88" i="2"/>
  <c r="V88" i="2"/>
  <c r="R88" i="2"/>
  <c r="E88" i="2"/>
  <c r="D88" i="2"/>
  <c r="C88" i="2"/>
  <c r="AB87" i="2"/>
  <c r="X87" i="2"/>
  <c r="V87" i="2"/>
  <c r="R87" i="2"/>
  <c r="E87" i="2"/>
  <c r="D87" i="2"/>
  <c r="C87" i="2"/>
  <c r="AB86" i="2"/>
  <c r="X86" i="2"/>
  <c r="V86" i="2"/>
  <c r="R86" i="2"/>
  <c r="E86" i="2"/>
  <c r="D86" i="2"/>
  <c r="C86" i="2"/>
  <c r="AB85" i="2"/>
  <c r="X85" i="2"/>
  <c r="V85" i="2"/>
  <c r="R85" i="2"/>
  <c r="E85" i="2"/>
  <c r="D85" i="2"/>
  <c r="C85" i="2"/>
  <c r="AB84" i="2"/>
  <c r="X84" i="2"/>
  <c r="V84" i="2"/>
  <c r="R84" i="2"/>
  <c r="E84" i="2"/>
  <c r="D84" i="2"/>
  <c r="C84" i="2"/>
  <c r="AB83" i="2"/>
  <c r="X83" i="2"/>
  <c r="V83" i="2"/>
  <c r="R83" i="2"/>
  <c r="E83" i="2"/>
  <c r="D83" i="2"/>
  <c r="C83" i="2"/>
  <c r="AB82" i="2"/>
  <c r="X82" i="2"/>
  <c r="V82" i="2"/>
  <c r="R82" i="2"/>
  <c r="E82" i="2"/>
  <c r="D82" i="2"/>
  <c r="C82" i="2"/>
  <c r="AB81" i="2"/>
  <c r="X81" i="2"/>
  <c r="V81" i="2"/>
  <c r="R81" i="2"/>
  <c r="E81" i="2"/>
  <c r="D81" i="2"/>
  <c r="C81" i="2"/>
  <c r="AB80" i="2"/>
  <c r="X80" i="2"/>
  <c r="V80" i="2"/>
  <c r="R80" i="2"/>
  <c r="E80" i="2"/>
  <c r="D80" i="2"/>
  <c r="C80" i="2"/>
  <c r="AB79" i="2"/>
  <c r="X79" i="2"/>
  <c r="V79" i="2"/>
  <c r="R79" i="2"/>
  <c r="E79" i="2"/>
  <c r="D79" i="2"/>
  <c r="C79" i="2"/>
  <c r="AB78" i="2"/>
  <c r="X78" i="2"/>
  <c r="V78" i="2"/>
  <c r="R78" i="2"/>
  <c r="E78" i="2"/>
  <c r="D78" i="2"/>
  <c r="C78" i="2"/>
  <c r="AB77" i="2"/>
  <c r="X77" i="2"/>
  <c r="V77" i="2"/>
  <c r="R77" i="2"/>
  <c r="E77" i="2"/>
  <c r="D77" i="2"/>
  <c r="C77" i="2"/>
  <c r="AB76" i="2"/>
  <c r="X76" i="2"/>
  <c r="V76" i="2"/>
  <c r="R76" i="2"/>
  <c r="E76" i="2"/>
  <c r="D76" i="2"/>
  <c r="C76" i="2"/>
  <c r="AB75" i="2"/>
  <c r="X75" i="2"/>
  <c r="V75" i="2"/>
  <c r="R75" i="2"/>
  <c r="E75" i="2"/>
  <c r="D75" i="2"/>
  <c r="C75" i="2"/>
  <c r="AB74" i="2"/>
  <c r="X74" i="2"/>
  <c r="V74" i="2"/>
  <c r="R74" i="2"/>
  <c r="E74" i="2"/>
  <c r="D74" i="2"/>
  <c r="C74" i="2"/>
  <c r="AB73" i="2"/>
  <c r="X73" i="2"/>
  <c r="V73" i="2"/>
  <c r="R73" i="2"/>
  <c r="E73" i="2"/>
  <c r="D73" i="2"/>
  <c r="C73" i="2"/>
  <c r="AB72" i="2"/>
  <c r="X72" i="2"/>
  <c r="V72" i="2"/>
  <c r="R72" i="2"/>
  <c r="E72" i="2"/>
  <c r="D72" i="2"/>
  <c r="C72" i="2"/>
  <c r="AB71" i="2"/>
  <c r="X71" i="2"/>
  <c r="V71" i="2"/>
  <c r="R71" i="2"/>
  <c r="E71" i="2"/>
  <c r="D71" i="2"/>
  <c r="C71" i="2"/>
  <c r="AB70" i="2"/>
  <c r="X70" i="2"/>
  <c r="V70" i="2"/>
  <c r="R70" i="2"/>
  <c r="E70" i="2"/>
  <c r="D70" i="2"/>
  <c r="C70" i="2"/>
  <c r="AB69" i="2"/>
  <c r="X69" i="2"/>
  <c r="V69" i="2"/>
  <c r="R69" i="2"/>
  <c r="E69" i="2"/>
  <c r="D69" i="2"/>
  <c r="C69" i="2"/>
  <c r="AB68" i="2"/>
  <c r="X68" i="2"/>
  <c r="V68" i="2"/>
  <c r="R68" i="2"/>
  <c r="E68" i="2"/>
  <c r="D68" i="2"/>
  <c r="C68" i="2"/>
  <c r="AB67" i="2"/>
  <c r="X67" i="2"/>
  <c r="V67" i="2"/>
  <c r="R67" i="2"/>
  <c r="E67" i="2"/>
  <c r="D67" i="2"/>
  <c r="C67" i="2"/>
  <c r="AB66" i="2"/>
  <c r="X66" i="2"/>
  <c r="V66" i="2"/>
  <c r="R66" i="2"/>
  <c r="E66" i="2"/>
  <c r="D66" i="2"/>
  <c r="C66" i="2"/>
  <c r="AB65" i="2"/>
  <c r="X65" i="2"/>
  <c r="V65" i="2"/>
  <c r="R65" i="2"/>
  <c r="E65" i="2"/>
  <c r="D65" i="2"/>
  <c r="C65" i="2"/>
  <c r="AB64" i="2"/>
  <c r="X64" i="2"/>
  <c r="V64" i="2"/>
  <c r="R64" i="2"/>
  <c r="E64" i="2"/>
  <c r="D64" i="2"/>
  <c r="C64" i="2"/>
  <c r="AB63" i="2"/>
  <c r="X63" i="2"/>
  <c r="V63" i="2"/>
  <c r="R63" i="2"/>
  <c r="E63" i="2"/>
  <c r="D63" i="2"/>
  <c r="C63" i="2"/>
  <c r="AB62" i="2"/>
  <c r="X62" i="2"/>
  <c r="V62" i="2"/>
  <c r="R62" i="2"/>
  <c r="E62" i="2"/>
  <c r="D62" i="2"/>
  <c r="C62" i="2"/>
  <c r="AB61" i="2"/>
  <c r="X61" i="2"/>
  <c r="V61" i="2"/>
  <c r="R61" i="2"/>
  <c r="E61" i="2"/>
  <c r="D61" i="2"/>
  <c r="C61" i="2"/>
  <c r="AB60" i="2"/>
  <c r="X60" i="2"/>
  <c r="V60" i="2"/>
  <c r="R60" i="2"/>
  <c r="E60" i="2"/>
  <c r="D60" i="2"/>
  <c r="C60" i="2"/>
  <c r="AB59" i="2"/>
  <c r="X59" i="2"/>
  <c r="V59" i="2"/>
  <c r="R59" i="2"/>
  <c r="E59" i="2"/>
  <c r="D59" i="2"/>
  <c r="C59" i="2"/>
  <c r="AB58" i="2"/>
  <c r="X58" i="2"/>
  <c r="V58" i="2"/>
  <c r="R58" i="2"/>
  <c r="E58" i="2"/>
  <c r="D58" i="2"/>
  <c r="C58" i="2"/>
  <c r="AB57" i="2"/>
  <c r="X57" i="2"/>
  <c r="V57" i="2"/>
  <c r="R57" i="2"/>
  <c r="E57" i="2"/>
  <c r="D57" i="2"/>
  <c r="C57" i="2"/>
  <c r="AB56" i="2"/>
  <c r="X56" i="2"/>
  <c r="V56" i="2"/>
  <c r="R56" i="2"/>
  <c r="E56" i="2"/>
  <c r="D56" i="2"/>
  <c r="C56" i="2"/>
  <c r="AB55" i="2"/>
  <c r="X55" i="2"/>
  <c r="V55" i="2"/>
  <c r="R55" i="2"/>
  <c r="E55" i="2"/>
  <c r="D55" i="2"/>
  <c r="C55" i="2"/>
  <c r="AB54" i="2"/>
  <c r="X54" i="2"/>
  <c r="V54" i="2"/>
  <c r="R54" i="2"/>
  <c r="E54" i="2"/>
  <c r="D54" i="2"/>
  <c r="C54" i="2"/>
  <c r="AB53" i="2"/>
  <c r="X53" i="2"/>
  <c r="V53" i="2"/>
  <c r="R53" i="2"/>
  <c r="E53" i="2"/>
  <c r="D53" i="2"/>
  <c r="C53" i="2"/>
  <c r="AB52" i="2"/>
  <c r="X52" i="2"/>
  <c r="V52" i="2"/>
  <c r="R52" i="2"/>
  <c r="E52" i="2"/>
  <c r="D52" i="2"/>
  <c r="C52" i="2"/>
  <c r="AB51" i="2"/>
  <c r="X51" i="2"/>
  <c r="V51" i="2"/>
  <c r="R51" i="2"/>
  <c r="E51" i="2"/>
  <c r="D51" i="2"/>
  <c r="C51" i="2"/>
  <c r="AB50" i="2"/>
  <c r="X50" i="2"/>
  <c r="G82" i="1" s="1"/>
  <c r="V50" i="2"/>
  <c r="R50" i="2"/>
  <c r="E50" i="2"/>
  <c r="D50" i="2"/>
  <c r="C50" i="2"/>
  <c r="AB49" i="2"/>
  <c r="X49" i="2"/>
  <c r="V49" i="2"/>
  <c r="R49" i="2"/>
  <c r="E49" i="2"/>
  <c r="D49" i="2"/>
  <c r="C49" i="2"/>
  <c r="AB48" i="2"/>
  <c r="X48" i="2"/>
  <c r="V48" i="2"/>
  <c r="R48" i="2"/>
  <c r="E48" i="2"/>
  <c r="D48" i="2"/>
  <c r="C48" i="2"/>
  <c r="AB47" i="2"/>
  <c r="X47" i="2"/>
  <c r="V47" i="2"/>
  <c r="R47" i="2"/>
  <c r="E47" i="2"/>
  <c r="D47" i="2"/>
  <c r="C47" i="2"/>
  <c r="AB46" i="2"/>
  <c r="X46" i="2"/>
  <c r="V46" i="2"/>
  <c r="R46" i="2"/>
  <c r="E46" i="2"/>
  <c r="D46" i="2"/>
  <c r="C46" i="2"/>
  <c r="AB45" i="2"/>
  <c r="X45" i="2"/>
  <c r="V45" i="2"/>
  <c r="R45" i="2"/>
  <c r="E45" i="2"/>
  <c r="D45" i="2"/>
  <c r="C45" i="2"/>
  <c r="AB44" i="2"/>
  <c r="X44" i="2"/>
  <c r="V44" i="2"/>
  <c r="R44" i="2"/>
  <c r="E44" i="2"/>
  <c r="D44" i="2"/>
  <c r="C44" i="2"/>
  <c r="AB43" i="2"/>
  <c r="X43" i="2"/>
  <c r="V43" i="2"/>
  <c r="R43" i="2"/>
  <c r="E43" i="2"/>
  <c r="D43" i="2"/>
  <c r="C43" i="2"/>
  <c r="AB42" i="2"/>
  <c r="X42" i="2"/>
  <c r="V42" i="2"/>
  <c r="R42" i="2"/>
  <c r="E42" i="2"/>
  <c r="D42" i="2"/>
  <c r="C42" i="2"/>
  <c r="AB41" i="2"/>
  <c r="X41" i="2"/>
  <c r="V41" i="2"/>
  <c r="R41" i="2"/>
  <c r="E41" i="2"/>
  <c r="D41" i="2"/>
  <c r="C41" i="2"/>
  <c r="AB40" i="2"/>
  <c r="X40" i="2"/>
  <c r="V40" i="2"/>
  <c r="R40" i="2"/>
  <c r="E40" i="2"/>
  <c r="D40" i="2"/>
  <c r="C40" i="2"/>
  <c r="AB39" i="2"/>
  <c r="X39" i="2"/>
  <c r="V39" i="2"/>
  <c r="R39" i="2"/>
  <c r="E39" i="2"/>
  <c r="D39" i="2"/>
  <c r="C39" i="2"/>
  <c r="AB38" i="2"/>
  <c r="X38" i="2"/>
  <c r="V38" i="2"/>
  <c r="R38" i="2"/>
  <c r="E38" i="2"/>
  <c r="D38" i="2"/>
  <c r="C38" i="2"/>
  <c r="AB37" i="2"/>
  <c r="X37" i="2"/>
  <c r="V37" i="2"/>
  <c r="R37" i="2"/>
  <c r="E37" i="2"/>
  <c r="D37" i="2"/>
  <c r="C37" i="2"/>
  <c r="AB36" i="2"/>
  <c r="X36" i="2"/>
  <c r="V36" i="2"/>
  <c r="R36" i="2"/>
  <c r="E36" i="2"/>
  <c r="D36" i="2"/>
  <c r="C36" i="2"/>
  <c r="AB35" i="2"/>
  <c r="X35" i="2"/>
  <c r="V35" i="2"/>
  <c r="R35" i="2"/>
  <c r="E35" i="2"/>
  <c r="D35" i="2"/>
  <c r="C35" i="2"/>
  <c r="AB34" i="2"/>
  <c r="X34" i="2"/>
  <c r="V34" i="2"/>
  <c r="R34" i="2"/>
  <c r="E34" i="2"/>
  <c r="D34" i="2"/>
  <c r="C34" i="2"/>
  <c r="AB33" i="2"/>
  <c r="X33" i="2"/>
  <c r="V33" i="2"/>
  <c r="R33" i="2"/>
  <c r="E33" i="2"/>
  <c r="D33" i="2"/>
  <c r="C33" i="2"/>
  <c r="AB32" i="2"/>
  <c r="G38" i="1" s="1"/>
  <c r="X32" i="2"/>
  <c r="E38" i="1" s="1"/>
  <c r="V32" i="2"/>
  <c r="F38" i="1" s="1"/>
  <c r="R32" i="2"/>
  <c r="E32" i="2"/>
  <c r="D32" i="2"/>
  <c r="C32" i="2"/>
  <c r="AB31" i="2"/>
  <c r="X31" i="2"/>
  <c r="V31" i="2"/>
  <c r="R31" i="2"/>
  <c r="E31" i="2"/>
  <c r="D31" i="2"/>
  <c r="C31" i="2"/>
  <c r="AB30" i="2"/>
  <c r="J53" i="1" s="1"/>
  <c r="X30" i="2"/>
  <c r="G53" i="1" s="1"/>
  <c r="V30" i="2"/>
  <c r="R30" i="2"/>
  <c r="E30" i="2"/>
  <c r="D30" i="2"/>
  <c r="C30" i="2"/>
  <c r="AB29" i="2"/>
  <c r="X29" i="2"/>
  <c r="V29" i="2"/>
  <c r="R29" i="2"/>
  <c r="E29" i="2"/>
  <c r="D29" i="2"/>
  <c r="C29" i="2"/>
  <c r="AB28" i="2"/>
  <c r="X28" i="2"/>
  <c r="V28" i="2"/>
  <c r="R28" i="2"/>
  <c r="E28" i="2"/>
  <c r="D28" i="2"/>
  <c r="C28" i="2"/>
  <c r="AB27" i="2"/>
  <c r="X27" i="2"/>
  <c r="V27" i="2"/>
  <c r="R27" i="2"/>
  <c r="E27" i="2"/>
  <c r="D27" i="2"/>
  <c r="C27" i="2"/>
  <c r="AB26" i="2"/>
  <c r="X26" i="2"/>
  <c r="V26" i="2"/>
  <c r="R26" i="2"/>
  <c r="E26" i="2"/>
  <c r="D26" i="2"/>
  <c r="C26" i="2"/>
  <c r="AB25" i="2"/>
  <c r="X25" i="2"/>
  <c r="V25" i="2"/>
  <c r="R25" i="2"/>
  <c r="E25" i="2"/>
  <c r="D25" i="2"/>
  <c r="C25" i="2"/>
  <c r="AB24" i="2"/>
  <c r="X24" i="2"/>
  <c r="V24" i="2"/>
  <c r="R24" i="2"/>
  <c r="E24" i="2"/>
  <c r="D24" i="2"/>
  <c r="C24" i="2"/>
  <c r="AB23" i="2"/>
  <c r="X23" i="2"/>
  <c r="V23" i="2"/>
  <c r="R23" i="2"/>
  <c r="E23" i="2"/>
  <c r="D23" i="2"/>
  <c r="C23" i="2"/>
  <c r="AB22" i="2"/>
  <c r="X22" i="2"/>
  <c r="V22" i="2"/>
  <c r="R22" i="2"/>
  <c r="E22" i="2"/>
  <c r="D22" i="2"/>
  <c r="C22" i="2"/>
  <c r="AB21" i="2"/>
  <c r="X21" i="2"/>
  <c r="V21" i="2"/>
  <c r="R21" i="2"/>
  <c r="E21" i="2"/>
  <c r="D21" i="2"/>
  <c r="C21" i="2"/>
  <c r="AB20" i="2"/>
  <c r="G46" i="1" s="1"/>
  <c r="X20" i="2"/>
  <c r="V20" i="2"/>
  <c r="R20" i="2"/>
  <c r="E20" i="2"/>
  <c r="D20" i="2"/>
  <c r="C20" i="2"/>
  <c r="AB19" i="2"/>
  <c r="X19" i="2"/>
  <c r="V19" i="2"/>
  <c r="R19" i="2"/>
  <c r="E19" i="2"/>
  <c r="D19" i="2"/>
  <c r="C19" i="2"/>
  <c r="AB18" i="2"/>
  <c r="X18" i="2"/>
  <c r="V18" i="2"/>
  <c r="R18" i="2"/>
  <c r="E18" i="2"/>
  <c r="D18" i="2"/>
  <c r="C18" i="2"/>
  <c r="AB17" i="2"/>
  <c r="X17" i="2"/>
  <c r="V17" i="2"/>
  <c r="R17" i="2"/>
  <c r="E17" i="2"/>
  <c r="D17" i="2"/>
  <c r="C17" i="2"/>
  <c r="AB16" i="2"/>
  <c r="X16" i="2"/>
  <c r="V16" i="2"/>
  <c r="R16" i="2"/>
  <c r="E16" i="2"/>
  <c r="D16" i="2"/>
  <c r="C16" i="2"/>
  <c r="AB15" i="2"/>
  <c r="X15" i="2"/>
  <c r="V15" i="2"/>
  <c r="R15" i="2"/>
  <c r="E15" i="2"/>
  <c r="D15" i="2"/>
  <c r="C15" i="2"/>
  <c r="AB14" i="2"/>
  <c r="X14" i="2"/>
  <c r="E45" i="1" s="1"/>
  <c r="V14" i="2"/>
  <c r="R14" i="2"/>
  <c r="E14" i="2"/>
  <c r="D14" i="2"/>
  <c r="C14" i="2"/>
  <c r="AB13" i="2"/>
  <c r="X13" i="2"/>
  <c r="V13" i="2"/>
  <c r="R13" i="2"/>
  <c r="E13" i="2"/>
  <c r="D13" i="2"/>
  <c r="C13" i="2"/>
  <c r="AB12" i="2"/>
  <c r="J55" i="1" s="1"/>
  <c r="X12" i="2"/>
  <c r="E41" i="1" s="1"/>
  <c r="V12" i="2"/>
  <c r="R12" i="2"/>
  <c r="E12" i="2"/>
  <c r="D12" i="2"/>
  <c r="C12" i="2"/>
  <c r="AB11" i="2"/>
  <c r="X11" i="2"/>
  <c r="V11" i="2"/>
  <c r="R11" i="2"/>
  <c r="E11" i="2"/>
  <c r="D11" i="2"/>
  <c r="C11" i="2"/>
  <c r="AB10" i="2"/>
  <c r="J52" i="1" s="1"/>
  <c r="X10" i="2"/>
  <c r="H31" i="1" s="1"/>
  <c r="V10" i="2"/>
  <c r="H70" i="1" s="1"/>
  <c r="R10" i="2"/>
  <c r="E10" i="2"/>
  <c r="D10" i="2"/>
  <c r="C10" i="2"/>
  <c r="AB9" i="2"/>
  <c r="X9" i="2"/>
  <c r="V9" i="2"/>
  <c r="R9" i="2"/>
  <c r="E9" i="2"/>
  <c r="D9" i="2"/>
  <c r="C9" i="2"/>
  <c r="AB8" i="2"/>
  <c r="J27" i="1" s="1"/>
  <c r="X8" i="2"/>
  <c r="H27" i="1" s="1"/>
  <c r="V8" i="2"/>
  <c r="R8" i="2"/>
  <c r="E8" i="2"/>
  <c r="D8" i="2"/>
  <c r="C8" i="2"/>
  <c r="AB7" i="2"/>
  <c r="X7" i="2"/>
  <c r="V7" i="2"/>
  <c r="R7" i="2"/>
  <c r="E7" i="2"/>
  <c r="D7" i="2"/>
  <c r="C7" i="2"/>
  <c r="AB6" i="2"/>
  <c r="J30" i="1" s="1"/>
  <c r="X6" i="2"/>
  <c r="E43" i="1" s="1"/>
  <c r="V6" i="2"/>
  <c r="F43" i="1" s="1"/>
  <c r="R6" i="2"/>
  <c r="E6" i="2"/>
  <c r="D6" i="2"/>
  <c r="C6" i="2"/>
  <c r="AB5" i="2"/>
  <c r="X5" i="2"/>
  <c r="V5" i="2"/>
  <c r="R5" i="2"/>
  <c r="E5" i="2"/>
  <c r="D5" i="2"/>
  <c r="C5" i="2"/>
  <c r="AB4" i="2"/>
  <c r="J29" i="1" s="1"/>
  <c r="X4" i="2"/>
  <c r="V4" i="2"/>
  <c r="R4" i="2"/>
  <c r="E4" i="2"/>
  <c r="D4" i="2"/>
  <c r="C4" i="2"/>
  <c r="AB3" i="2"/>
  <c r="G39" i="1" s="1"/>
  <c r="X3" i="2"/>
  <c r="V3" i="2"/>
  <c r="R3" i="2"/>
  <c r="E3" i="2"/>
  <c r="D3" i="2"/>
  <c r="C3" i="2"/>
  <c r="G92" i="1" s="1"/>
  <c r="AB2" i="2"/>
  <c r="D71" i="1" s="1"/>
  <c r="X2" i="2"/>
  <c r="H33" i="1" s="1"/>
  <c r="V2" i="2"/>
  <c r="R2" i="2"/>
  <c r="E2" i="2"/>
  <c r="D2" i="2"/>
  <c r="C2" i="2"/>
  <c r="G76" i="1"/>
  <c r="E76" i="1"/>
  <c r="D76" i="1"/>
  <c r="E71" i="1"/>
  <c r="G70" i="1"/>
  <c r="F70" i="1"/>
  <c r="D70" i="1"/>
  <c r="C70" i="1"/>
  <c r="G69" i="1"/>
  <c r="F69" i="1"/>
  <c r="D69" i="1"/>
  <c r="C69" i="1"/>
  <c r="G68" i="1"/>
  <c r="F68" i="1"/>
  <c r="D68" i="1"/>
  <c r="C68" i="1"/>
  <c r="G67" i="1"/>
  <c r="F67" i="1"/>
  <c r="D67" i="1"/>
  <c r="C67" i="1"/>
  <c r="I63" i="1"/>
  <c r="H63" i="1"/>
  <c r="G63" i="1"/>
  <c r="F63" i="1"/>
  <c r="E63" i="1"/>
  <c r="D63" i="1"/>
  <c r="C63" i="1"/>
  <c r="I62" i="1"/>
  <c r="G62" i="1"/>
  <c r="F62" i="1"/>
  <c r="E62" i="1"/>
  <c r="D62" i="1"/>
  <c r="C62" i="1"/>
  <c r="I61" i="1"/>
  <c r="H61" i="1"/>
  <c r="G61" i="1"/>
  <c r="F61" i="1"/>
  <c r="E61" i="1"/>
  <c r="D61" i="1"/>
  <c r="C61" i="1"/>
  <c r="I60" i="1"/>
  <c r="G60" i="1"/>
  <c r="F60" i="1"/>
  <c r="E60" i="1"/>
  <c r="D60" i="1"/>
  <c r="C60" i="1"/>
  <c r="I59" i="1"/>
  <c r="G59" i="1"/>
  <c r="F59" i="1"/>
  <c r="E59" i="1"/>
  <c r="D59" i="1"/>
  <c r="C59" i="1"/>
  <c r="H55" i="1"/>
  <c r="F55" i="1"/>
  <c r="E55" i="1"/>
  <c r="D55" i="1"/>
  <c r="C55" i="1"/>
  <c r="H54" i="1"/>
  <c r="F54" i="1"/>
  <c r="E54" i="1"/>
  <c r="D54" i="1"/>
  <c r="C54" i="1"/>
  <c r="H53" i="1"/>
  <c r="F53" i="1"/>
  <c r="E53" i="1"/>
  <c r="D53" i="1"/>
  <c r="C53" i="1"/>
  <c r="H52" i="1"/>
  <c r="F52" i="1"/>
  <c r="E52" i="1"/>
  <c r="D52" i="1"/>
  <c r="C52" i="1"/>
  <c r="J51" i="1"/>
  <c r="I51" i="1"/>
  <c r="H51" i="1"/>
  <c r="F51" i="1"/>
  <c r="E51" i="1"/>
  <c r="D51" i="1"/>
  <c r="C51" i="1"/>
  <c r="H50" i="1"/>
  <c r="F50" i="1"/>
  <c r="E50" i="1"/>
  <c r="D50" i="1"/>
  <c r="C50" i="1"/>
  <c r="J46" i="1"/>
  <c r="I46" i="1"/>
  <c r="H46" i="1"/>
  <c r="D46" i="1"/>
  <c r="C46" i="1"/>
  <c r="J45" i="1"/>
  <c r="I45" i="1"/>
  <c r="H45" i="1"/>
  <c r="D45" i="1"/>
  <c r="C45" i="1"/>
  <c r="J44" i="1"/>
  <c r="I44" i="1"/>
  <c r="H44" i="1"/>
  <c r="D44" i="1"/>
  <c r="C44" i="1"/>
  <c r="J43" i="1"/>
  <c r="I43" i="1"/>
  <c r="H43" i="1"/>
  <c r="D43" i="1"/>
  <c r="C43" i="1"/>
  <c r="J42" i="1"/>
  <c r="I42" i="1"/>
  <c r="H42" i="1"/>
  <c r="D42" i="1"/>
  <c r="C42" i="1"/>
  <c r="J41" i="1"/>
  <c r="I41" i="1"/>
  <c r="H41" i="1"/>
  <c r="D41" i="1"/>
  <c r="C41" i="1"/>
  <c r="J40" i="1"/>
  <c r="I40" i="1"/>
  <c r="H40" i="1"/>
  <c r="D40" i="1"/>
  <c r="C40" i="1"/>
  <c r="J39" i="1"/>
  <c r="I39" i="1"/>
  <c r="H39" i="1"/>
  <c r="D39" i="1"/>
  <c r="C39" i="1"/>
  <c r="J38" i="1"/>
  <c r="I38" i="1"/>
  <c r="H38" i="1"/>
  <c r="D38" i="1"/>
  <c r="C38" i="1"/>
  <c r="J37" i="1"/>
  <c r="I37" i="1"/>
  <c r="H37" i="1"/>
  <c r="D37" i="1"/>
  <c r="C37" i="1"/>
  <c r="I33" i="1"/>
  <c r="G33" i="1"/>
  <c r="F33" i="1"/>
  <c r="E33" i="1"/>
  <c r="D33" i="1"/>
  <c r="C33" i="1"/>
  <c r="I32" i="1"/>
  <c r="G32" i="1"/>
  <c r="F32" i="1"/>
  <c r="E32" i="1"/>
  <c r="D32" i="1"/>
  <c r="C32" i="1"/>
  <c r="I31" i="1"/>
  <c r="G31" i="1"/>
  <c r="F31" i="1"/>
  <c r="E31" i="1"/>
  <c r="D31" i="1"/>
  <c r="C31" i="1"/>
  <c r="I30" i="1"/>
  <c r="H30" i="1"/>
  <c r="G30" i="1"/>
  <c r="F30" i="1"/>
  <c r="E30" i="1"/>
  <c r="D30" i="1"/>
  <c r="C30" i="1"/>
  <c r="I29" i="1"/>
  <c r="G29" i="1"/>
  <c r="F29" i="1"/>
  <c r="E29" i="1"/>
  <c r="D29" i="1"/>
  <c r="C29" i="1"/>
  <c r="J28" i="1"/>
  <c r="I28" i="1"/>
  <c r="G28" i="1"/>
  <c r="F28" i="1"/>
  <c r="E28" i="1"/>
  <c r="D28" i="1"/>
  <c r="C28" i="1"/>
  <c r="I27" i="1"/>
  <c r="G27" i="1"/>
  <c r="F27" i="1"/>
  <c r="E27" i="1"/>
  <c r="D27" i="1"/>
  <c r="C27" i="1"/>
  <c r="J26" i="1"/>
  <c r="I26" i="1"/>
  <c r="G26" i="1"/>
  <c r="F26" i="1"/>
  <c r="E26" i="1"/>
  <c r="D26" i="1"/>
  <c r="C26" i="1"/>
  <c r="I25" i="1"/>
  <c r="G25" i="1"/>
  <c r="F25" i="1"/>
  <c r="E25" i="1"/>
  <c r="D25" i="1"/>
  <c r="C25" i="1"/>
  <c r="I21" i="1"/>
  <c r="H21" i="1"/>
  <c r="G21" i="1"/>
  <c r="F21" i="1"/>
  <c r="E21" i="1"/>
  <c r="D21" i="1"/>
  <c r="C21" i="1"/>
  <c r="I20" i="1"/>
  <c r="H20" i="1"/>
  <c r="G20" i="1"/>
  <c r="F20" i="1"/>
  <c r="E20" i="1"/>
  <c r="D20" i="1"/>
  <c r="C20" i="1"/>
  <c r="I18" i="1"/>
  <c r="H18" i="1"/>
  <c r="G18" i="1"/>
  <c r="F18" i="1"/>
  <c r="E18" i="1"/>
  <c r="D18" i="1"/>
  <c r="C18" i="1"/>
  <c r="I17" i="1"/>
  <c r="H17" i="1"/>
  <c r="G17" i="1"/>
  <c r="F17" i="1"/>
  <c r="E17" i="1"/>
  <c r="D17" i="1"/>
  <c r="C17" i="1"/>
  <c r="I15" i="1"/>
  <c r="H15" i="1"/>
  <c r="G15" i="1"/>
  <c r="F15" i="1"/>
  <c r="E15" i="1"/>
  <c r="D15" i="1"/>
  <c r="C15" i="1"/>
  <c r="I14" i="1"/>
  <c r="H14" i="1"/>
  <c r="G14" i="1"/>
  <c r="F14" i="1"/>
  <c r="E14" i="1"/>
  <c r="D14" i="1"/>
  <c r="C14" i="1"/>
  <c r="I13" i="1"/>
  <c r="H13" i="1"/>
  <c r="G13" i="1"/>
  <c r="F13" i="1"/>
  <c r="E13" i="1"/>
  <c r="D13" i="1"/>
  <c r="C13" i="1"/>
  <c r="H8" i="1"/>
  <c r="F8" i="1"/>
  <c r="D8" i="1"/>
  <c r="B8" i="1"/>
  <c r="H6" i="1"/>
  <c r="F6" i="1"/>
  <c r="D6" i="1"/>
  <c r="B6" i="1"/>
  <c r="E40" i="1" l="1"/>
  <c r="J90" i="1"/>
  <c r="G37" i="1"/>
  <c r="G75" i="1"/>
  <c r="G77" i="1" s="1"/>
  <c r="D104" i="1"/>
  <c r="H87" i="1"/>
  <c r="G55" i="1"/>
  <c r="J32" i="1"/>
  <c r="J31" i="1"/>
  <c r="F16" i="1"/>
  <c r="I75" i="1"/>
  <c r="J59" i="1"/>
  <c r="I102" i="1"/>
  <c r="H25" i="1"/>
  <c r="G43" i="1"/>
  <c r="G42" i="1"/>
  <c r="J75" i="1"/>
  <c r="E70" i="1"/>
  <c r="H88" i="1"/>
  <c r="G102" i="1"/>
  <c r="G84" i="1"/>
  <c r="J50" i="1"/>
  <c r="G41" i="1"/>
  <c r="H16" i="1"/>
  <c r="G51" i="1"/>
  <c r="I16" i="1"/>
  <c r="C76" i="1"/>
  <c r="G86" i="1"/>
  <c r="I19" i="1"/>
  <c r="C19" i="1"/>
  <c r="I54" i="1"/>
  <c r="H104" i="1"/>
  <c r="G45" i="1"/>
  <c r="C71" i="1"/>
  <c r="G88" i="1"/>
  <c r="I50" i="1"/>
  <c r="F42" i="1"/>
  <c r="F37" i="1"/>
  <c r="I52" i="1"/>
  <c r="F46" i="1"/>
  <c r="H69" i="1"/>
  <c r="F44" i="1"/>
  <c r="I53" i="1"/>
  <c r="H68" i="1"/>
  <c r="F45" i="1"/>
  <c r="J25" i="1"/>
  <c r="E68" i="1"/>
  <c r="G90" i="1"/>
  <c r="G54" i="1"/>
  <c r="H32" i="1"/>
  <c r="G50" i="1"/>
  <c r="E42" i="1"/>
  <c r="E37" i="1"/>
  <c r="G52" i="1"/>
  <c r="H29" i="1"/>
  <c r="E46" i="1"/>
  <c r="E44" i="1"/>
  <c r="E82" i="1"/>
  <c r="E88" i="1"/>
  <c r="E92" i="1"/>
  <c r="E94" i="1"/>
  <c r="E96" i="1"/>
  <c r="E98" i="1"/>
  <c r="E100" i="1"/>
  <c r="E102" i="1"/>
  <c r="E104" i="1"/>
  <c r="E84" i="1"/>
  <c r="E86" i="1"/>
  <c r="E90" i="1"/>
  <c r="G16" i="1"/>
  <c r="H28" i="1"/>
  <c r="F41" i="1"/>
  <c r="J54" i="1"/>
  <c r="H59" i="1"/>
  <c r="H75" i="1"/>
  <c r="F82" i="1"/>
  <c r="F84" i="1"/>
  <c r="F86" i="1"/>
  <c r="F88" i="1"/>
  <c r="F90" i="1"/>
  <c r="F92" i="1"/>
  <c r="F94" i="1"/>
  <c r="F96" i="1"/>
  <c r="F98" i="1"/>
  <c r="F100" i="1"/>
  <c r="F102" i="1"/>
  <c r="F104" i="1"/>
  <c r="D19" i="1"/>
  <c r="D81" i="1"/>
  <c r="D83" i="1"/>
  <c r="D87" i="1"/>
  <c r="D91" i="1"/>
  <c r="D97" i="1"/>
  <c r="J33" i="1"/>
  <c r="F40" i="1"/>
  <c r="J63" i="1"/>
  <c r="F71" i="1"/>
  <c r="F76" i="1"/>
  <c r="E81" i="1"/>
  <c r="E83" i="1"/>
  <c r="E85" i="1"/>
  <c r="E87" i="1"/>
  <c r="E89" i="1"/>
  <c r="E91" i="1"/>
  <c r="E93" i="1"/>
  <c r="E95" i="1"/>
  <c r="E97" i="1"/>
  <c r="E99" i="1"/>
  <c r="E101" i="1"/>
  <c r="E103" i="1"/>
  <c r="H96" i="1"/>
  <c r="F83" i="1"/>
  <c r="F85" i="1"/>
  <c r="F87" i="1"/>
  <c r="F89" i="1"/>
  <c r="F91" i="1"/>
  <c r="F93" i="1"/>
  <c r="F95" i="1"/>
  <c r="F97" i="1"/>
  <c r="F99" i="1"/>
  <c r="F101" i="1"/>
  <c r="F103" i="1"/>
  <c r="I82" i="1"/>
  <c r="I90" i="1"/>
  <c r="I94" i="1"/>
  <c r="I98" i="1"/>
  <c r="I100" i="1"/>
  <c r="I104" i="1"/>
  <c r="E19" i="1"/>
  <c r="I55" i="1"/>
  <c r="E69" i="1"/>
  <c r="F81" i="1"/>
  <c r="H71" i="1"/>
  <c r="H76" i="1"/>
  <c r="G81" i="1"/>
  <c r="G83" i="1"/>
  <c r="G85" i="1"/>
  <c r="G87" i="1"/>
  <c r="G89" i="1"/>
  <c r="G91" i="1"/>
  <c r="G93" i="1"/>
  <c r="G95" i="1"/>
  <c r="G97" i="1"/>
  <c r="G99" i="1"/>
  <c r="G101" i="1"/>
  <c r="G103" i="1"/>
  <c r="G104" i="1"/>
  <c r="H90" i="1"/>
  <c r="H102" i="1"/>
  <c r="I86" i="1"/>
  <c r="J88" i="1"/>
  <c r="J98" i="1"/>
  <c r="J104" i="1"/>
  <c r="F19" i="1"/>
  <c r="E67" i="1"/>
  <c r="C75" i="1"/>
  <c r="I76" i="1"/>
  <c r="H81" i="1"/>
  <c r="H83" i="1"/>
  <c r="H85" i="1"/>
  <c r="H89" i="1"/>
  <c r="H91" i="1"/>
  <c r="H93" i="1"/>
  <c r="H95" i="1"/>
  <c r="H97" i="1"/>
  <c r="H99" i="1"/>
  <c r="H101" i="1"/>
  <c r="H103" i="1"/>
  <c r="G96" i="1"/>
  <c r="G100" i="1"/>
  <c r="H84" i="1"/>
  <c r="H92" i="1"/>
  <c r="H100" i="1"/>
  <c r="I88" i="1"/>
  <c r="J102" i="1"/>
  <c r="D101" i="1"/>
  <c r="C16" i="1"/>
  <c r="H26" i="1"/>
  <c r="J60" i="1"/>
  <c r="H62" i="1"/>
  <c r="D75" i="1"/>
  <c r="D77" i="1" s="1"/>
  <c r="J76" i="1"/>
  <c r="J77" i="1" s="1"/>
  <c r="I81" i="1"/>
  <c r="I83" i="1"/>
  <c r="I85" i="1"/>
  <c r="I87" i="1"/>
  <c r="I89" i="1"/>
  <c r="I91" i="1"/>
  <c r="I93" i="1"/>
  <c r="I95" i="1"/>
  <c r="I97" i="1"/>
  <c r="I99" i="1"/>
  <c r="I101" i="1"/>
  <c r="I103" i="1"/>
  <c r="G94" i="1"/>
  <c r="G98" i="1"/>
  <c r="H86" i="1"/>
  <c r="H94" i="1"/>
  <c r="H98" i="1"/>
  <c r="J61" i="1"/>
  <c r="J84" i="1"/>
  <c r="J86" i="1"/>
  <c r="J92" i="1"/>
  <c r="J94" i="1"/>
  <c r="J96" i="1"/>
  <c r="J100" i="1"/>
  <c r="D85" i="1"/>
  <c r="D89" i="1"/>
  <c r="D93" i="1"/>
  <c r="D95" i="1"/>
  <c r="D99" i="1"/>
  <c r="D103" i="1"/>
  <c r="G19" i="1"/>
  <c r="G40" i="1"/>
  <c r="G71" i="1"/>
  <c r="H19" i="1"/>
  <c r="H60" i="1"/>
  <c r="D16" i="1"/>
  <c r="E39" i="1"/>
  <c r="G44" i="1"/>
  <c r="E75" i="1"/>
  <c r="E77" i="1" s="1"/>
  <c r="J81" i="1"/>
  <c r="J83" i="1"/>
  <c r="J85" i="1"/>
  <c r="J87" i="1"/>
  <c r="J89" i="1"/>
  <c r="J91" i="1"/>
  <c r="J93" i="1"/>
  <c r="J95" i="1"/>
  <c r="J97" i="1"/>
  <c r="J99" i="1"/>
  <c r="J101" i="1"/>
  <c r="J103" i="1"/>
  <c r="H82" i="1"/>
  <c r="I84" i="1"/>
  <c r="I92" i="1"/>
  <c r="I96" i="1"/>
  <c r="J82" i="1"/>
  <c r="E16" i="1"/>
  <c r="F39" i="1"/>
  <c r="J62" i="1"/>
  <c r="H67" i="1"/>
  <c r="F75" i="1"/>
  <c r="D82" i="1"/>
  <c r="D84" i="1"/>
  <c r="D86" i="1"/>
  <c r="D88" i="1"/>
  <c r="D90" i="1"/>
  <c r="D92" i="1"/>
  <c r="D94" i="1"/>
  <c r="D96" i="1"/>
  <c r="D98" i="1"/>
  <c r="D100" i="1"/>
  <c r="D102" i="1"/>
  <c r="C77" i="1" l="1"/>
  <c r="I77" i="1"/>
  <c r="H77" i="1"/>
  <c r="F77" i="1"/>
</calcChain>
</file>

<file path=xl/sharedStrings.xml><?xml version="1.0" encoding="utf-8"?>
<sst xmlns="http://schemas.openxmlformats.org/spreadsheetml/2006/main" count="22215" uniqueCount="4128">
  <si>
    <t>📊  ANÁLISIS DESCRIPTIVO — SUPPLY CHAIN</t>
  </si>
  <si>
    <t>1 ·  RESUMEN EJECUTIVO</t>
  </si>
  <si>
    <t>Total pedidos</t>
  </si>
  <si>
    <t>Valor total pedidos (€)</t>
  </si>
  <si>
    <t>Coste total transporte (€)</t>
  </si>
  <si>
    <t>% Coste transp. / Valor</t>
  </si>
  <si>
    <t>OTIF global</t>
  </si>
  <si>
    <t>% Pedidos retrasados</t>
  </si>
  <si>
    <t>% Pedidos con incidencia</t>
  </si>
  <si>
    <t>Lead time medio global (días)</t>
  </si>
  <si>
    <t>2 ·  ESTADÍSTICAS DESCRIPTIVAS — VARIABLES NUMÉRICAS</t>
  </si>
  <si>
    <t>Variable</t>
  </si>
  <si>
    <t>Mínimo</t>
  </si>
  <si>
    <t>Máximo</t>
  </si>
  <si>
    <t>Media</t>
  </si>
  <si>
    <t>Mediana</t>
  </si>
  <si>
    <t>Desv. Típica</t>
  </si>
  <si>
    <t>Percentil 25</t>
  </si>
  <si>
    <t>Percentil 75</t>
  </si>
  <si>
    <t>Valor_Total_EUR</t>
  </si>
  <si>
    <t>Coste_Transporte_EUR</t>
  </si>
  <si>
    <t>Lead_Time_Días</t>
  </si>
  <si>
    <t>Desviación_Días</t>
  </si>
  <si>
    <t>Cantidad</t>
  </si>
  <si>
    <t>Precio_Unitario_EUR</t>
  </si>
  <si>
    <t>Pct_Coste_Transporte</t>
  </si>
  <si>
    <t>Nivel_Stock_Inicial</t>
  </si>
  <si>
    <t>Nivel_Stock_Final</t>
  </si>
  <si>
    <t xml:space="preserve">3 ·  ANÁLISIS POR CATEGORÍA </t>
  </si>
  <si>
    <t>Categoría</t>
  </si>
  <si>
    <t>Nº Pedidos</t>
  </si>
  <si>
    <t>% s/Total</t>
  </si>
  <si>
    <t>Valor Total (€)</t>
  </si>
  <si>
    <t>% Valor s/Total</t>
  </si>
  <si>
    <t>Coste Transp. (€)</t>
  </si>
  <si>
    <t>OTIF (%)</t>
  </si>
  <si>
    <t>Lead Time Medio</t>
  </si>
  <si>
    <t>Desv. Media</t>
  </si>
  <si>
    <t>% Incidencias</t>
  </si>
  <si>
    <t>Maquinaria</t>
  </si>
  <si>
    <t>Automoción</t>
  </si>
  <si>
    <t>Electrónica</t>
  </si>
  <si>
    <t>Alimentación</t>
  </si>
  <si>
    <t>Farmacia</t>
  </si>
  <si>
    <t>Químicos</t>
  </si>
  <si>
    <t>Construcción</t>
  </si>
  <si>
    <t>Textil</t>
  </si>
  <si>
    <t>TOTAL</t>
  </si>
  <si>
    <t xml:space="preserve">4 ·  ANÁLISIS POR PROVEEDOR </t>
  </si>
  <si>
    <t>Proveedor</t>
  </si>
  <si>
    <t>Desv. Media (días)</t>
  </si>
  <si>
    <t>% Coste/Valor</t>
  </si>
  <si>
    <t>Valencia Port Traders</t>
  </si>
  <si>
    <t>LogiTech Supply S.L.</t>
  </si>
  <si>
    <t>FastShip Iberia</t>
  </si>
  <si>
    <t>EuroDistrib S.A.</t>
  </si>
  <si>
    <t>PenínsulaLogis</t>
  </si>
  <si>
    <t>MadridPack S.A.</t>
  </si>
  <si>
    <t>TransEuro Logistics</t>
  </si>
  <si>
    <t>Iberian Freight Co.</t>
  </si>
  <si>
    <t>Global Parts S.L.</t>
  </si>
  <si>
    <t>Almería Fresh Supply</t>
  </si>
  <si>
    <t>5 ·  ANÁLISIS POR ALMACÉN DE DESTINO</t>
  </si>
  <si>
    <t>Almacén</t>
  </si>
  <si>
    <t>ALM-VAL-01</t>
  </si>
  <si>
    <t>ALM-MAD-02</t>
  </si>
  <si>
    <t>ALM-BCN-01</t>
  </si>
  <si>
    <t>ALM-SEV-01</t>
  </si>
  <si>
    <t>ALM-ZGZ-01</t>
  </si>
  <si>
    <t>ALM-MAD-01</t>
  </si>
  <si>
    <t>Modo Transporte</t>
  </si>
  <si>
    <t>Marítimo</t>
  </si>
  <si>
    <t>Camión LTL</t>
  </si>
  <si>
    <t>Camión FTL</t>
  </si>
  <si>
    <t>Ferroviario</t>
  </si>
  <si>
    <t>Aéreo</t>
  </si>
  <si>
    <t>Tipo Incidencia</t>
  </si>
  <si>
    <t>Nº Casos</t>
  </si>
  <si>
    <t>% s/Total Pedidos</t>
  </si>
  <si>
    <t>% s/Total Incidencias</t>
  </si>
  <si>
    <t>Valor afectado (€)</t>
  </si>
  <si>
    <t>Error de cantidad</t>
  </si>
  <si>
    <t>Daño en mercancía</t>
  </si>
  <si>
    <t>Pérdida parcial</t>
  </si>
  <si>
    <t>Documentación incompleta</t>
  </si>
  <si>
    <t>TOTAL CON INCIDENCIA</t>
  </si>
  <si>
    <t>Año</t>
  </si>
  <si>
    <t>% Retrasos</t>
  </si>
  <si>
    <t>2023</t>
  </si>
  <si>
    <t>2024</t>
  </si>
  <si>
    <t>Δ Variación YoY  (2024 − 2023)</t>
  </si>
  <si>
    <t>Detalle mensual</t>
  </si>
  <si>
    <t>Mes</t>
  </si>
  <si>
    <t>ID_Pedido</t>
  </si>
  <si>
    <t>Fecha_Pedido</t>
  </si>
  <si>
    <t>Año_Pedido</t>
  </si>
  <si>
    <t>Mes_Pedido</t>
  </si>
  <si>
    <t>Semana_Pedido</t>
  </si>
  <si>
    <t>Producto_SKU</t>
  </si>
  <si>
    <t>Almacén_Destino</t>
  </si>
  <si>
    <t>Transportista</t>
  </si>
  <si>
    <t>Modo_Transporte</t>
  </si>
  <si>
    <t>Incoterm</t>
  </si>
  <si>
    <t>Unidad_Medida</t>
  </si>
  <si>
    <t>Fecha_Entrega_Estimada</t>
  </si>
  <si>
    <t>Fecha_Entrega_Real</t>
  </si>
  <si>
    <t>Estado</t>
  </si>
  <si>
    <t>OTIF</t>
  </si>
  <si>
    <t>Incidencias</t>
  </si>
  <si>
    <t>Flag_Incidencia</t>
  </si>
  <si>
    <t>PED-00001</t>
  </si>
  <si>
    <t>SKU-MAQ-5395</t>
  </si>
  <si>
    <t>FedEx ES</t>
  </si>
  <si>
    <t>EXW</t>
  </si>
  <si>
    <t>Metros</t>
  </si>
  <si>
    <t>Entregado</t>
  </si>
  <si>
    <t>Ninguna</t>
  </si>
  <si>
    <t>PED-00002</t>
  </si>
  <si>
    <t>SKU-MAQ-2522</t>
  </si>
  <si>
    <t>DAP</t>
  </si>
  <si>
    <t>Cajas</t>
  </si>
  <si>
    <t>PED-00003</t>
  </si>
  <si>
    <t>SKU-FAR-7105</t>
  </si>
  <si>
    <t>Correos Express</t>
  </si>
  <si>
    <t>FCA</t>
  </si>
  <si>
    <t>Retrasado</t>
  </si>
  <si>
    <t>PED-00004</t>
  </si>
  <si>
    <t>SKU-AUT-6615</t>
  </si>
  <si>
    <t>En almacén</t>
  </si>
  <si>
    <t>PED-00005</t>
  </si>
  <si>
    <t>SKU-QUÍ-3996</t>
  </si>
  <si>
    <t>DHL Express</t>
  </si>
  <si>
    <t>KG</t>
  </si>
  <si>
    <t>PED-00006</t>
  </si>
  <si>
    <t>SKU-TEX-2865</t>
  </si>
  <si>
    <t>CIF</t>
  </si>
  <si>
    <t>Litros</t>
  </si>
  <si>
    <t>PED-00007</t>
  </si>
  <si>
    <t>SKU-ELE-7566</t>
  </si>
  <si>
    <t>MRW</t>
  </si>
  <si>
    <t>Unidades</t>
  </si>
  <si>
    <t>PED-00008</t>
  </si>
  <si>
    <t>SKU-MAQ-7557</t>
  </si>
  <si>
    <t>XPO Logistics</t>
  </si>
  <si>
    <t>PED-00009</t>
  </si>
  <si>
    <t>SKU-CON-8479</t>
  </si>
  <si>
    <t>DDP</t>
  </si>
  <si>
    <t>PED-00010</t>
  </si>
  <si>
    <t>SKU-CON-5453</t>
  </si>
  <si>
    <t>PED-00011</t>
  </si>
  <si>
    <t>SKU-QUÍ-7319</t>
  </si>
  <si>
    <t>SEUR</t>
  </si>
  <si>
    <t>PED-00012</t>
  </si>
  <si>
    <t>SKU-TEX-8835</t>
  </si>
  <si>
    <t>PED-00013</t>
  </si>
  <si>
    <t>SKU-MAQ-7909</t>
  </si>
  <si>
    <t>FOB</t>
  </si>
  <si>
    <t>PED-00014</t>
  </si>
  <si>
    <t>SKU-MAQ-3732</t>
  </si>
  <si>
    <t>PED-00015</t>
  </si>
  <si>
    <t>SKU-ELE-2852</t>
  </si>
  <si>
    <t>PED-00016</t>
  </si>
  <si>
    <t>SKU-ELE-3171</t>
  </si>
  <si>
    <t>Palés</t>
  </si>
  <si>
    <t>PED-00017</t>
  </si>
  <si>
    <t>SKU-MAQ-1960</t>
  </si>
  <si>
    <t>PED-00018</t>
  </si>
  <si>
    <t>SKU-ALI-3611</t>
  </si>
  <si>
    <t>PED-00019</t>
  </si>
  <si>
    <t>SKU-MAQ-2699</t>
  </si>
  <si>
    <t>PED-00020</t>
  </si>
  <si>
    <t>SKU-QUÍ-7816</t>
  </si>
  <si>
    <t>PED-00021</t>
  </si>
  <si>
    <t>SKU-MAQ-8908</t>
  </si>
  <si>
    <t>PED-00022</t>
  </si>
  <si>
    <t>SKU-FAR-8178</t>
  </si>
  <si>
    <t>PED-00023</t>
  </si>
  <si>
    <t>SKU-AUT-3969</t>
  </si>
  <si>
    <t>PED-00024</t>
  </si>
  <si>
    <t>SKU-FAR-7221</t>
  </si>
  <si>
    <t>PED-00025</t>
  </si>
  <si>
    <t>SKU-FAR-6875</t>
  </si>
  <si>
    <t>PED-00026</t>
  </si>
  <si>
    <t>SKU-ALI-1472</t>
  </si>
  <si>
    <t>PED-00027</t>
  </si>
  <si>
    <t>SKU-ALI-3140</t>
  </si>
  <si>
    <t>PED-00028</t>
  </si>
  <si>
    <t>SKU-CON-8914</t>
  </si>
  <si>
    <t>PED-00029</t>
  </si>
  <si>
    <t>SKU-MAQ-8997</t>
  </si>
  <si>
    <t>PED-00030</t>
  </si>
  <si>
    <t>SKU-FAR-2850</t>
  </si>
  <si>
    <t>PED-00031</t>
  </si>
  <si>
    <t>SKU-ALI-7738</t>
  </si>
  <si>
    <t>PED-00032</t>
  </si>
  <si>
    <t>SKU-ELE-8220</t>
  </si>
  <si>
    <t>PED-00033</t>
  </si>
  <si>
    <t>SKU-MAQ-1753</t>
  </si>
  <si>
    <t>PED-00034</t>
  </si>
  <si>
    <t>SKU-QUÍ-2037</t>
  </si>
  <si>
    <t>PED-00035</t>
  </si>
  <si>
    <t>SKU-AUT-5286</t>
  </si>
  <si>
    <t>PED-00036</t>
  </si>
  <si>
    <t>SKU-TEX-6148</t>
  </si>
  <si>
    <t>PED-00037</t>
  </si>
  <si>
    <t>SKU-MAQ-1202</t>
  </si>
  <si>
    <t>PED-00038</t>
  </si>
  <si>
    <t>SKU-TEX-9598</t>
  </si>
  <si>
    <t>PED-00039</t>
  </si>
  <si>
    <t>SKU-FAR-4669</t>
  </si>
  <si>
    <t>PED-00040</t>
  </si>
  <si>
    <t>SKU-AUT-6542</t>
  </si>
  <si>
    <t>PED-00041</t>
  </si>
  <si>
    <t>SKU-TEX-9504</t>
  </si>
  <si>
    <t>PED-00042</t>
  </si>
  <si>
    <t>SKU-FAR-9570</t>
  </si>
  <si>
    <t>PED-00043</t>
  </si>
  <si>
    <t>SKU-ELE-2560</t>
  </si>
  <si>
    <t>PED-00044</t>
  </si>
  <si>
    <t>SKU-TEX-8091</t>
  </si>
  <si>
    <t>PED-00045</t>
  </si>
  <si>
    <t>SKU-AUT-5072</t>
  </si>
  <si>
    <t>PED-00046</t>
  </si>
  <si>
    <t>SKU-CON-8895</t>
  </si>
  <si>
    <t>PED-00047</t>
  </si>
  <si>
    <t>SKU-MAQ-6664</t>
  </si>
  <si>
    <t>PED-00048</t>
  </si>
  <si>
    <t>SKU-FAR-7305</t>
  </si>
  <si>
    <t>PED-00049</t>
  </si>
  <si>
    <t>SKU-MAQ-3435</t>
  </si>
  <si>
    <t>PED-00050</t>
  </si>
  <si>
    <t>SKU-AUT-1894</t>
  </si>
  <si>
    <t>PED-00051</t>
  </si>
  <si>
    <t>SKU-ALI-1190</t>
  </si>
  <si>
    <t>PED-00052</t>
  </si>
  <si>
    <t>SKU-FAR-3571</t>
  </si>
  <si>
    <t>PED-00053</t>
  </si>
  <si>
    <t>SKU-TEX-9283</t>
  </si>
  <si>
    <t>PED-00054</t>
  </si>
  <si>
    <t>SKU-FAR-8688</t>
  </si>
  <si>
    <t>PED-00055</t>
  </si>
  <si>
    <t>SKU-MAQ-9123</t>
  </si>
  <si>
    <t>PED-00056</t>
  </si>
  <si>
    <t>SKU-ELE-3709</t>
  </si>
  <si>
    <t>PED-00057</t>
  </si>
  <si>
    <t>SKU-FAR-2226</t>
  </si>
  <si>
    <t>PED-00058</t>
  </si>
  <si>
    <t>SKU-TEX-9055</t>
  </si>
  <si>
    <t>PED-00059</t>
  </si>
  <si>
    <t>SKU-ALI-6253</t>
  </si>
  <si>
    <t>PED-00060</t>
  </si>
  <si>
    <t>SKU-CON-4946</t>
  </si>
  <si>
    <t>PED-00061</t>
  </si>
  <si>
    <t>SKU-QUÍ-6421</t>
  </si>
  <si>
    <t>PED-00062</t>
  </si>
  <si>
    <t>SKU-ELE-5557</t>
  </si>
  <si>
    <t>PED-00063</t>
  </si>
  <si>
    <t>SKU-CON-1824</t>
  </si>
  <si>
    <t>PED-00064</t>
  </si>
  <si>
    <t>SKU-ALI-9305</t>
  </si>
  <si>
    <t>PED-00065</t>
  </si>
  <si>
    <t>SKU-FAR-4648</t>
  </si>
  <si>
    <t>PED-00066</t>
  </si>
  <si>
    <t>SKU-MAQ-7203</t>
  </si>
  <si>
    <t>PED-00067</t>
  </si>
  <si>
    <t>SKU-AUT-7607</t>
  </si>
  <si>
    <t>PED-00068</t>
  </si>
  <si>
    <t>SKU-MAQ-4850</t>
  </si>
  <si>
    <t>PED-00069</t>
  </si>
  <si>
    <t>SKU-CON-2291</t>
  </si>
  <si>
    <t>PED-00070</t>
  </si>
  <si>
    <t>SKU-TEX-8521</t>
  </si>
  <si>
    <t>PED-00071</t>
  </si>
  <si>
    <t>SKU-MAQ-8277</t>
  </si>
  <si>
    <t>PED-00072</t>
  </si>
  <si>
    <t>SKU-ELE-8341</t>
  </si>
  <si>
    <t>PED-00073</t>
  </si>
  <si>
    <t>SKU-MAQ-2442</t>
  </si>
  <si>
    <t>PED-00074</t>
  </si>
  <si>
    <t>SKU-TEX-9166</t>
  </si>
  <si>
    <t>PED-00075</t>
  </si>
  <si>
    <t>SKU-QUÍ-8324</t>
  </si>
  <si>
    <t>PED-00076</t>
  </si>
  <si>
    <t>SKU-FAR-6178</t>
  </si>
  <si>
    <t>PED-00077</t>
  </si>
  <si>
    <t>SKU-AUT-2944</t>
  </si>
  <si>
    <t>PED-00078</t>
  </si>
  <si>
    <t>SKU-CON-9148</t>
  </si>
  <si>
    <t>PED-00079</t>
  </si>
  <si>
    <t>SKU-FAR-1291</t>
  </si>
  <si>
    <t>PED-00080</t>
  </si>
  <si>
    <t>SKU-MAQ-2681</t>
  </si>
  <si>
    <t>PED-00081</t>
  </si>
  <si>
    <t>SKU-ALI-7609</t>
  </si>
  <si>
    <t>PED-00082</t>
  </si>
  <si>
    <t>SKU-FAR-7755</t>
  </si>
  <si>
    <t>PED-00083</t>
  </si>
  <si>
    <t>SKU-QUÍ-1587</t>
  </si>
  <si>
    <t>PED-00084</t>
  </si>
  <si>
    <t>SKU-MAQ-9996</t>
  </si>
  <si>
    <t>PED-00085</t>
  </si>
  <si>
    <t>SKU-AUT-1002</t>
  </si>
  <si>
    <t>PED-00086</t>
  </si>
  <si>
    <t>SKU-TEX-2489</t>
  </si>
  <si>
    <t>PED-00087</t>
  </si>
  <si>
    <t>SKU-QUÍ-5990</t>
  </si>
  <si>
    <t>PED-00088</t>
  </si>
  <si>
    <t>SKU-MAQ-9328</t>
  </si>
  <si>
    <t>PED-00089</t>
  </si>
  <si>
    <t>SKU-QUÍ-4389</t>
  </si>
  <si>
    <t>PED-00090</t>
  </si>
  <si>
    <t>SKU-FAR-8474</t>
  </si>
  <si>
    <t>PED-00091</t>
  </si>
  <si>
    <t>SKU-AUT-6584</t>
  </si>
  <si>
    <t>PED-00092</t>
  </si>
  <si>
    <t>SKU-TEX-6953</t>
  </si>
  <si>
    <t>PED-00093</t>
  </si>
  <si>
    <t>SKU-MAQ-1889</t>
  </si>
  <si>
    <t>PED-00094</t>
  </si>
  <si>
    <t>SKU-ELE-4652</t>
  </si>
  <si>
    <t>PED-00095</t>
  </si>
  <si>
    <t>SKU-CON-8445</t>
  </si>
  <si>
    <t>PED-00096</t>
  </si>
  <si>
    <t>SKU-TEX-6439</t>
  </si>
  <si>
    <t>PED-00097</t>
  </si>
  <si>
    <t>SKU-ELE-8751</t>
  </si>
  <si>
    <t>PED-00098</t>
  </si>
  <si>
    <t>SKU-QUÍ-6952</t>
  </si>
  <si>
    <t>PED-00099</t>
  </si>
  <si>
    <t>SKU-ALI-8414</t>
  </si>
  <si>
    <t>PED-00100</t>
  </si>
  <si>
    <t>SKU-TEX-2868</t>
  </si>
  <si>
    <t>PED-00101</t>
  </si>
  <si>
    <t>SKU-QUÍ-2596</t>
  </si>
  <si>
    <t>PED-00102</t>
  </si>
  <si>
    <t>SKU-ELE-4633</t>
  </si>
  <si>
    <t>PED-00103</t>
  </si>
  <si>
    <t>SKU-FAR-1035</t>
  </si>
  <si>
    <t>PED-00104</t>
  </si>
  <si>
    <t>SKU-FAR-6592</t>
  </si>
  <si>
    <t>PED-00105</t>
  </si>
  <si>
    <t>SKU-ALI-6818</t>
  </si>
  <si>
    <t>PED-00106</t>
  </si>
  <si>
    <t>SKU-CON-5783</t>
  </si>
  <si>
    <t>PED-00107</t>
  </si>
  <si>
    <t>SKU-TEX-9973</t>
  </si>
  <si>
    <t>PED-00108</t>
  </si>
  <si>
    <t>SKU-TEX-9552</t>
  </si>
  <si>
    <t>PED-00109</t>
  </si>
  <si>
    <t>SKU-TEX-7125</t>
  </si>
  <si>
    <t>PED-00110</t>
  </si>
  <si>
    <t>SKU-CON-2741</t>
  </si>
  <si>
    <t>PED-00111</t>
  </si>
  <si>
    <t>SKU-QUÍ-1750</t>
  </si>
  <si>
    <t>PED-00112</t>
  </si>
  <si>
    <t>SKU-AUT-3689</t>
  </si>
  <si>
    <t>PED-00113</t>
  </si>
  <si>
    <t>SKU-AUT-9067</t>
  </si>
  <si>
    <t>PED-00114</t>
  </si>
  <si>
    <t>SKU-ALI-3301</t>
  </si>
  <si>
    <t>PED-00115</t>
  </si>
  <si>
    <t>SKU-TEX-7704</t>
  </si>
  <si>
    <t>PED-00116</t>
  </si>
  <si>
    <t>SKU-QUÍ-2752</t>
  </si>
  <si>
    <t>PED-00117</t>
  </si>
  <si>
    <t>SKU-FAR-5166</t>
  </si>
  <si>
    <t>PED-00118</t>
  </si>
  <si>
    <t>SKU-ELE-4209</t>
  </si>
  <si>
    <t>PED-00119</t>
  </si>
  <si>
    <t>SKU-QUÍ-4072</t>
  </si>
  <si>
    <t>PED-00120</t>
  </si>
  <si>
    <t>SKU-CON-2978</t>
  </si>
  <si>
    <t>PED-00121</t>
  </si>
  <si>
    <t>SKU-AUT-7437</t>
  </si>
  <si>
    <t>PED-00122</t>
  </si>
  <si>
    <t>SKU-AUT-4532</t>
  </si>
  <si>
    <t>PED-00123</t>
  </si>
  <si>
    <t>SKU-FAR-8488</t>
  </si>
  <si>
    <t>PED-00124</t>
  </si>
  <si>
    <t>SKU-FAR-4122</t>
  </si>
  <si>
    <t>PED-00125</t>
  </si>
  <si>
    <t>SKU-CON-6536</t>
  </si>
  <si>
    <t>PED-00126</t>
  </si>
  <si>
    <t>SKU-ELE-2765</t>
  </si>
  <si>
    <t>PED-00127</t>
  </si>
  <si>
    <t>SKU-FAR-7790</t>
  </si>
  <si>
    <t>PED-00128</t>
  </si>
  <si>
    <t>SKU-ALI-1761</t>
  </si>
  <si>
    <t>PED-00129</t>
  </si>
  <si>
    <t>SKU-ELE-3018</t>
  </si>
  <si>
    <t>PED-00130</t>
  </si>
  <si>
    <t>SKU-FAR-8381</t>
  </si>
  <si>
    <t>PED-00131</t>
  </si>
  <si>
    <t>SKU-MAQ-8493</t>
  </si>
  <si>
    <t>PED-00132</t>
  </si>
  <si>
    <t>SKU-QUÍ-9260</t>
  </si>
  <si>
    <t>PED-00133</t>
  </si>
  <si>
    <t>SKU-FAR-3205</t>
  </si>
  <si>
    <t>PED-00134</t>
  </si>
  <si>
    <t>SKU-ALI-9172</t>
  </si>
  <si>
    <t>PED-00135</t>
  </si>
  <si>
    <t>SKU-TEX-1071</t>
  </si>
  <si>
    <t>PED-00136</t>
  </si>
  <si>
    <t>SKU-FAR-9689</t>
  </si>
  <si>
    <t>PED-00137</t>
  </si>
  <si>
    <t>SKU-AUT-1795</t>
  </si>
  <si>
    <t>PED-00138</t>
  </si>
  <si>
    <t>SKU-AUT-8091</t>
  </si>
  <si>
    <t>PED-00139</t>
  </si>
  <si>
    <t>SKU-AUT-8912</t>
  </si>
  <si>
    <t>PED-00140</t>
  </si>
  <si>
    <t>SKU-TEX-9328</t>
  </si>
  <si>
    <t>PED-00141</t>
  </si>
  <si>
    <t>SKU-AUT-3903</t>
  </si>
  <si>
    <t>PED-00142</t>
  </si>
  <si>
    <t>SKU-MAQ-3845</t>
  </si>
  <si>
    <t>PED-00143</t>
  </si>
  <si>
    <t>SKU-FAR-3103</t>
  </si>
  <si>
    <t>PED-00144</t>
  </si>
  <si>
    <t>SKU-CON-2696</t>
  </si>
  <si>
    <t>PED-00145</t>
  </si>
  <si>
    <t>SKU-AUT-7347</t>
  </si>
  <si>
    <t>PED-00146</t>
  </si>
  <si>
    <t>SKU-ELE-6273</t>
  </si>
  <si>
    <t>PED-00147</t>
  </si>
  <si>
    <t>SKU-CON-9259</t>
  </si>
  <si>
    <t>PED-00148</t>
  </si>
  <si>
    <t>SKU-TEX-7302</t>
  </si>
  <si>
    <t>PED-00149</t>
  </si>
  <si>
    <t>SKU-MAQ-7859</t>
  </si>
  <si>
    <t>PED-00150</t>
  </si>
  <si>
    <t>SKU-ELE-5067</t>
  </si>
  <si>
    <t>PED-00151</t>
  </si>
  <si>
    <t>SKU-ELE-5482</t>
  </si>
  <si>
    <t>PED-00152</t>
  </si>
  <si>
    <t>SKU-ELE-7518</t>
  </si>
  <si>
    <t>PED-00153</t>
  </si>
  <si>
    <t>SKU-ELE-6617</t>
  </si>
  <si>
    <t>PED-00154</t>
  </si>
  <si>
    <t>SKU-CON-5819</t>
  </si>
  <si>
    <t>PED-00155</t>
  </si>
  <si>
    <t>SKU-CON-8419</t>
  </si>
  <si>
    <t>PED-00156</t>
  </si>
  <si>
    <t>SKU-FAR-3185</t>
  </si>
  <si>
    <t>PED-00157</t>
  </si>
  <si>
    <t>SKU-AUT-3263</t>
  </si>
  <si>
    <t>PED-00158</t>
  </si>
  <si>
    <t>SKU-QUÍ-7762</t>
  </si>
  <si>
    <t>PED-00159</t>
  </si>
  <si>
    <t>SKU-FAR-9393</t>
  </si>
  <si>
    <t>PED-00160</t>
  </si>
  <si>
    <t>SKU-FAR-5897</t>
  </si>
  <si>
    <t>PED-00161</t>
  </si>
  <si>
    <t>SKU-MAQ-9975</t>
  </si>
  <si>
    <t>PED-00162</t>
  </si>
  <si>
    <t>SKU-MAQ-6143</t>
  </si>
  <si>
    <t>PED-00163</t>
  </si>
  <si>
    <t>SKU-AUT-4560</t>
  </si>
  <si>
    <t>PED-00164</t>
  </si>
  <si>
    <t>SKU-QUÍ-4291</t>
  </si>
  <si>
    <t>PED-00165</t>
  </si>
  <si>
    <t>SKU-MAQ-4435</t>
  </si>
  <si>
    <t>PED-00166</t>
  </si>
  <si>
    <t>SKU-AUT-5760</t>
  </si>
  <si>
    <t>PED-00167</t>
  </si>
  <si>
    <t>SKU-AUT-6657</t>
  </si>
  <si>
    <t>PED-00168</t>
  </si>
  <si>
    <t>SKU-CON-3173</t>
  </si>
  <si>
    <t>PED-00169</t>
  </si>
  <si>
    <t>SKU-ALI-3913</t>
  </si>
  <si>
    <t>PED-00170</t>
  </si>
  <si>
    <t>SKU-CON-9255</t>
  </si>
  <si>
    <t>PED-00171</t>
  </si>
  <si>
    <t>SKU-QUÍ-9888</t>
  </si>
  <si>
    <t>PED-00172</t>
  </si>
  <si>
    <t>SKU-MAQ-6281</t>
  </si>
  <si>
    <t>PED-00173</t>
  </si>
  <si>
    <t>SKU-QUÍ-2890</t>
  </si>
  <si>
    <t>PED-00174</t>
  </si>
  <si>
    <t>SKU-FAR-6771</t>
  </si>
  <si>
    <t>PED-00175</t>
  </si>
  <si>
    <t>SKU-FAR-8870</t>
  </si>
  <si>
    <t>PED-00176</t>
  </si>
  <si>
    <t>SKU-QUÍ-7839</t>
  </si>
  <si>
    <t>PED-00177</t>
  </si>
  <si>
    <t>SKU-ALI-9747</t>
  </si>
  <si>
    <t>PED-00178</t>
  </si>
  <si>
    <t>SKU-ALI-5684</t>
  </si>
  <si>
    <t>PED-00179</t>
  </si>
  <si>
    <t>SKU-CON-7920</t>
  </si>
  <si>
    <t>PED-00180</t>
  </si>
  <si>
    <t>SKU-QUÍ-1209</t>
  </si>
  <si>
    <t>PED-00181</t>
  </si>
  <si>
    <t>SKU-MAQ-9564</t>
  </si>
  <si>
    <t>PED-00182</t>
  </si>
  <si>
    <t>SKU-CON-2744</t>
  </si>
  <si>
    <t>PED-00183</t>
  </si>
  <si>
    <t>SKU-TEX-1414</t>
  </si>
  <si>
    <t>PED-00184</t>
  </si>
  <si>
    <t>SKU-ALI-7240</t>
  </si>
  <si>
    <t>PED-00185</t>
  </si>
  <si>
    <t>SKU-ELE-3381</t>
  </si>
  <si>
    <t>PED-00186</t>
  </si>
  <si>
    <t>SKU-CON-1869</t>
  </si>
  <si>
    <t>PED-00187</t>
  </si>
  <si>
    <t>SKU-FAR-1927</t>
  </si>
  <si>
    <t>PED-00188</t>
  </si>
  <si>
    <t>SKU-CON-4275</t>
  </si>
  <si>
    <t>PED-00189</t>
  </si>
  <si>
    <t>SKU-QUÍ-5374</t>
  </si>
  <si>
    <t>PED-00190</t>
  </si>
  <si>
    <t>SKU-ELE-3636</t>
  </si>
  <si>
    <t>PED-00191</t>
  </si>
  <si>
    <t>SKU-QUÍ-5695</t>
  </si>
  <si>
    <t>PED-00192</t>
  </si>
  <si>
    <t>SKU-AUT-5105</t>
  </si>
  <si>
    <t>PED-00193</t>
  </si>
  <si>
    <t>SKU-FAR-3399</t>
  </si>
  <si>
    <t>PED-00194</t>
  </si>
  <si>
    <t>SKU-FAR-2016</t>
  </si>
  <si>
    <t>PED-00195</t>
  </si>
  <si>
    <t>SKU-ALI-5835</t>
  </si>
  <si>
    <t>PED-00196</t>
  </si>
  <si>
    <t>SKU-CON-4342</t>
  </si>
  <si>
    <t>PED-00197</t>
  </si>
  <si>
    <t>SKU-ALI-9866</t>
  </si>
  <si>
    <t>PED-00198</t>
  </si>
  <si>
    <t>SKU-ELE-1529</t>
  </si>
  <si>
    <t>PED-00199</t>
  </si>
  <si>
    <t>SKU-CON-6876</t>
  </si>
  <si>
    <t>PED-00200</t>
  </si>
  <si>
    <t>SKU-AUT-8415</t>
  </si>
  <si>
    <t>PED-00201</t>
  </si>
  <si>
    <t>SKU-QUÍ-2679</t>
  </si>
  <si>
    <t>PED-00202</t>
  </si>
  <si>
    <t>SKU-AUT-4675</t>
  </si>
  <si>
    <t>PED-00203</t>
  </si>
  <si>
    <t>SKU-FAR-7371</t>
  </si>
  <si>
    <t>PED-00204</t>
  </si>
  <si>
    <t>SKU-ELE-4892</t>
  </si>
  <si>
    <t>PED-00205</t>
  </si>
  <si>
    <t>SKU-TEX-9370</t>
  </si>
  <si>
    <t>PED-00206</t>
  </si>
  <si>
    <t>SKU-ELE-5712</t>
  </si>
  <si>
    <t>PED-00207</t>
  </si>
  <si>
    <t>SKU-MAQ-1769</t>
  </si>
  <si>
    <t>PED-00208</t>
  </si>
  <si>
    <t>SKU-ELE-7251</t>
  </si>
  <si>
    <t>PED-00209</t>
  </si>
  <si>
    <t>SKU-AUT-7349</t>
  </si>
  <si>
    <t>PED-00210</t>
  </si>
  <si>
    <t>SKU-MAQ-7825</t>
  </si>
  <si>
    <t>PED-00211</t>
  </si>
  <si>
    <t>SKU-MAQ-6122</t>
  </si>
  <si>
    <t>PED-00212</t>
  </si>
  <si>
    <t>SKU-CON-1881</t>
  </si>
  <si>
    <t>PED-00213</t>
  </si>
  <si>
    <t>SKU-CON-1212</t>
  </si>
  <si>
    <t>PED-00214</t>
  </si>
  <si>
    <t>SKU-MAQ-5117</t>
  </si>
  <si>
    <t>PED-00215</t>
  </si>
  <si>
    <t>SKU-TEX-4327</t>
  </si>
  <si>
    <t>PED-00216</t>
  </si>
  <si>
    <t>SKU-CON-8259</t>
  </si>
  <si>
    <t>PED-00217</t>
  </si>
  <si>
    <t>SKU-ELE-4695</t>
  </si>
  <si>
    <t>PED-00218</t>
  </si>
  <si>
    <t>SKU-AUT-7025</t>
  </si>
  <si>
    <t>PED-00219</t>
  </si>
  <si>
    <t>SKU-ELE-9955</t>
  </si>
  <si>
    <t>PED-00220</t>
  </si>
  <si>
    <t>SKU-TEX-4218</t>
  </si>
  <si>
    <t>PED-00221</t>
  </si>
  <si>
    <t>SKU-FAR-4170</t>
  </si>
  <si>
    <t>PED-00222</t>
  </si>
  <si>
    <t>SKU-ALI-5819</t>
  </si>
  <si>
    <t>PED-00223</t>
  </si>
  <si>
    <t>SKU-AUT-8353</t>
  </si>
  <si>
    <t>PED-00224</t>
  </si>
  <si>
    <t>SKU-CON-3906</t>
  </si>
  <si>
    <t>PED-00225</t>
  </si>
  <si>
    <t>SKU-AUT-2220</t>
  </si>
  <si>
    <t>PED-00226</t>
  </si>
  <si>
    <t>SKU-ELE-4063</t>
  </si>
  <si>
    <t>PED-00227</t>
  </si>
  <si>
    <t>SKU-ALI-3847</t>
  </si>
  <si>
    <t>PED-00228</t>
  </si>
  <si>
    <t>SKU-QUÍ-9418</t>
  </si>
  <si>
    <t>PED-00229</t>
  </si>
  <si>
    <t>SKU-QUÍ-2955</t>
  </si>
  <si>
    <t>PED-00230</t>
  </si>
  <si>
    <t>SKU-CON-7180</t>
  </si>
  <si>
    <t>PED-00231</t>
  </si>
  <si>
    <t>SKU-TEX-1665</t>
  </si>
  <si>
    <t>PED-00232</t>
  </si>
  <si>
    <t>SKU-QUÍ-8020</t>
  </si>
  <si>
    <t>PED-00233</t>
  </si>
  <si>
    <t>SKU-AUT-5572</t>
  </si>
  <si>
    <t>PED-00234</t>
  </si>
  <si>
    <t>SKU-QUÍ-5329</t>
  </si>
  <si>
    <t>PED-00235</t>
  </si>
  <si>
    <t>SKU-FAR-3131</t>
  </si>
  <si>
    <t>PED-00236</t>
  </si>
  <si>
    <t>SKU-FAR-3636</t>
  </si>
  <si>
    <t>PED-00237</t>
  </si>
  <si>
    <t>SKU-CON-5178</t>
  </si>
  <si>
    <t>PED-00238</t>
  </si>
  <si>
    <t>SKU-FAR-1092</t>
  </si>
  <si>
    <t>PED-00239</t>
  </si>
  <si>
    <t>SKU-QUÍ-6415</t>
  </si>
  <si>
    <t>PED-00240</t>
  </si>
  <si>
    <t>SKU-TEX-8640</t>
  </si>
  <si>
    <t>PED-00241</t>
  </si>
  <si>
    <t>SKU-MAQ-3536</t>
  </si>
  <si>
    <t>PED-00242</t>
  </si>
  <si>
    <t>SKU-MAQ-1654</t>
  </si>
  <si>
    <t>PED-00243</t>
  </si>
  <si>
    <t>SKU-CON-3518</t>
  </si>
  <si>
    <t>PED-00244</t>
  </si>
  <si>
    <t>SKU-ALI-6285</t>
  </si>
  <si>
    <t>PED-00245</t>
  </si>
  <si>
    <t>SKU-MAQ-1833</t>
  </si>
  <si>
    <t>PED-00246</t>
  </si>
  <si>
    <t>SKU-MAQ-5934</t>
  </si>
  <si>
    <t>PED-00247</t>
  </si>
  <si>
    <t>SKU-FAR-9037</t>
  </si>
  <si>
    <t>PED-00248</t>
  </si>
  <si>
    <t>SKU-FAR-6866</t>
  </si>
  <si>
    <t>PED-00249</t>
  </si>
  <si>
    <t>SKU-QUÍ-2194</t>
  </si>
  <si>
    <t>PED-00250</t>
  </si>
  <si>
    <t>SKU-CON-6207</t>
  </si>
  <si>
    <t>PED-00251</t>
  </si>
  <si>
    <t>SKU-ALI-9608</t>
  </si>
  <si>
    <t>PED-00252</t>
  </si>
  <si>
    <t>SKU-CON-4603</t>
  </si>
  <si>
    <t>PED-00253</t>
  </si>
  <si>
    <t>SKU-ELE-4012</t>
  </si>
  <si>
    <t>PED-00254</t>
  </si>
  <si>
    <t>SKU-AUT-9529</t>
  </si>
  <si>
    <t>PED-00255</t>
  </si>
  <si>
    <t>SKU-ALI-2117</t>
  </si>
  <si>
    <t>PED-00256</t>
  </si>
  <si>
    <t>SKU-ALI-9276</t>
  </si>
  <si>
    <t>PED-00257</t>
  </si>
  <si>
    <t>SKU-TEX-3611</t>
  </si>
  <si>
    <t>PED-00258</t>
  </si>
  <si>
    <t>SKU-CON-7814</t>
  </si>
  <si>
    <t>PED-00259</t>
  </si>
  <si>
    <t>SKU-QUÍ-9897</t>
  </si>
  <si>
    <t>PED-00260</t>
  </si>
  <si>
    <t>SKU-TEX-9798</t>
  </si>
  <si>
    <t>PED-00261</t>
  </si>
  <si>
    <t>PED-00262</t>
  </si>
  <si>
    <t>SKU-ALI-2506</t>
  </si>
  <si>
    <t>PED-00263</t>
  </si>
  <si>
    <t>SKU-ALI-6724</t>
  </si>
  <si>
    <t>PED-00264</t>
  </si>
  <si>
    <t>SKU-MAQ-4624</t>
  </si>
  <si>
    <t>PED-00265</t>
  </si>
  <si>
    <t>SKU-CON-4495</t>
  </si>
  <si>
    <t>PED-00266</t>
  </si>
  <si>
    <t>SKU-AUT-6437</t>
  </si>
  <si>
    <t>PED-00267</t>
  </si>
  <si>
    <t>SKU-AUT-6424</t>
  </si>
  <si>
    <t>PED-00268</t>
  </si>
  <si>
    <t>SKU-TEX-6911</t>
  </si>
  <si>
    <t>PED-00269</t>
  </si>
  <si>
    <t>SKU-ALI-5809</t>
  </si>
  <si>
    <t>PED-00270</t>
  </si>
  <si>
    <t>SKU-AUT-4579</t>
  </si>
  <si>
    <t>PED-00271</t>
  </si>
  <si>
    <t>SKU-FAR-9691</t>
  </si>
  <si>
    <t>PED-00272</t>
  </si>
  <si>
    <t>SKU-CON-8780</t>
  </si>
  <si>
    <t>PED-00273</t>
  </si>
  <si>
    <t>SKU-AUT-1144</t>
  </si>
  <si>
    <t>PED-00274</t>
  </si>
  <si>
    <t>SKU-QUÍ-2879</t>
  </si>
  <si>
    <t>PED-00275</t>
  </si>
  <si>
    <t>SKU-CON-6668</t>
  </si>
  <si>
    <t>PED-00276</t>
  </si>
  <si>
    <t>SKU-QUÍ-8301</t>
  </si>
  <si>
    <t>PED-00277</t>
  </si>
  <si>
    <t>SKU-AUT-4937</t>
  </si>
  <si>
    <t>PED-00278</t>
  </si>
  <si>
    <t>SKU-FAR-4994</t>
  </si>
  <si>
    <t>PED-00279</t>
  </si>
  <si>
    <t>SKU-QUÍ-1653</t>
  </si>
  <si>
    <t>PED-00280</t>
  </si>
  <si>
    <t>SKU-MAQ-6258</t>
  </si>
  <si>
    <t>PED-00281</t>
  </si>
  <si>
    <t>SKU-AUT-7248</t>
  </si>
  <si>
    <t>PED-00282</t>
  </si>
  <si>
    <t>SKU-MAQ-2857</t>
  </si>
  <si>
    <t>PED-00283</t>
  </si>
  <si>
    <t>SKU-AUT-7322</t>
  </si>
  <si>
    <t>PED-00284</t>
  </si>
  <si>
    <t>SKU-ELE-5203</t>
  </si>
  <si>
    <t>PED-00285</t>
  </si>
  <si>
    <t>SKU-ELE-9851</t>
  </si>
  <si>
    <t>PED-00286</t>
  </si>
  <si>
    <t>SKU-ELE-5633</t>
  </si>
  <si>
    <t>PED-00287</t>
  </si>
  <si>
    <t>SKU-QUÍ-1404</t>
  </si>
  <si>
    <t>PED-00288</t>
  </si>
  <si>
    <t>SKU-MAQ-9468</t>
  </si>
  <si>
    <t>PED-00289</t>
  </si>
  <si>
    <t>SKU-MAQ-7143</t>
  </si>
  <si>
    <t>PED-00290</t>
  </si>
  <si>
    <t>SKU-MAQ-9426</t>
  </si>
  <si>
    <t>PED-00291</t>
  </si>
  <si>
    <t>SKU-FAR-9335</t>
  </si>
  <si>
    <t>PED-00292</t>
  </si>
  <si>
    <t>SKU-MAQ-8300</t>
  </si>
  <si>
    <t>PED-00293</t>
  </si>
  <si>
    <t>SKU-FAR-8975</t>
  </si>
  <si>
    <t>PED-00294</t>
  </si>
  <si>
    <t>SKU-ELE-1718</t>
  </si>
  <si>
    <t>PED-00295</t>
  </si>
  <si>
    <t>SKU-ELE-5856</t>
  </si>
  <si>
    <t>PED-00296</t>
  </si>
  <si>
    <t>SKU-QUÍ-4154</t>
  </si>
  <si>
    <t>PED-00297</t>
  </si>
  <si>
    <t>SKU-AUT-6248</t>
  </si>
  <si>
    <t>PED-00298</t>
  </si>
  <si>
    <t>SKU-ELE-9419</t>
  </si>
  <si>
    <t>PED-00299</t>
  </si>
  <si>
    <t>SKU-AUT-2349</t>
  </si>
  <si>
    <t>PED-00300</t>
  </si>
  <si>
    <t>SKU-AUT-2572</t>
  </si>
  <si>
    <t>PED-00301</t>
  </si>
  <si>
    <t>SKU-CON-3742</t>
  </si>
  <si>
    <t>PED-00302</t>
  </si>
  <si>
    <t>SKU-QUÍ-9814</t>
  </si>
  <si>
    <t>PED-00303</t>
  </si>
  <si>
    <t>SKU-ALI-9736</t>
  </si>
  <si>
    <t>PED-00304</t>
  </si>
  <si>
    <t>SKU-ALI-1120</t>
  </si>
  <si>
    <t>PED-00305</t>
  </si>
  <si>
    <t>SKU-TEX-2072</t>
  </si>
  <si>
    <t>PED-00306</t>
  </si>
  <si>
    <t>SKU-CON-4453</t>
  </si>
  <si>
    <t>PED-00307</t>
  </si>
  <si>
    <t>SKU-QUÍ-4492</t>
  </si>
  <si>
    <t>PED-00308</t>
  </si>
  <si>
    <t>SKU-TEX-7950</t>
  </si>
  <si>
    <t>PED-00309</t>
  </si>
  <si>
    <t>SKU-TEX-2702</t>
  </si>
  <si>
    <t>PED-00310</t>
  </si>
  <si>
    <t>SKU-CON-4368</t>
  </si>
  <si>
    <t>PED-00311</t>
  </si>
  <si>
    <t>SKU-ALI-9810</t>
  </si>
  <si>
    <t>PED-00312</t>
  </si>
  <si>
    <t>SKU-QUÍ-8130</t>
  </si>
  <si>
    <t>PED-00313</t>
  </si>
  <si>
    <t>SKU-ALI-2181</t>
  </si>
  <si>
    <t>PED-00314</t>
  </si>
  <si>
    <t>SKU-TEX-3519</t>
  </si>
  <si>
    <t>PED-00315</t>
  </si>
  <si>
    <t>SKU-QUÍ-1389</t>
  </si>
  <si>
    <t>PED-00316</t>
  </si>
  <si>
    <t>SKU-TEX-8523</t>
  </si>
  <si>
    <t>PED-00317</t>
  </si>
  <si>
    <t>SKU-MAQ-6434</t>
  </si>
  <si>
    <t>PED-00318</t>
  </si>
  <si>
    <t>SKU-CON-1620</t>
  </si>
  <si>
    <t>PED-00319</t>
  </si>
  <si>
    <t>SKU-AUT-2433</t>
  </si>
  <si>
    <t>PED-00320</t>
  </si>
  <si>
    <t>SKU-QUÍ-2200</t>
  </si>
  <si>
    <t>PED-00321</t>
  </si>
  <si>
    <t>SKU-QUÍ-1889</t>
  </si>
  <si>
    <t>PED-00322</t>
  </si>
  <si>
    <t>SKU-AUT-3916</t>
  </si>
  <si>
    <t>PED-00323</t>
  </si>
  <si>
    <t>SKU-TEX-5127</t>
  </si>
  <si>
    <t>PED-00324</t>
  </si>
  <si>
    <t>SKU-MAQ-2154</t>
  </si>
  <si>
    <t>PED-00325</t>
  </si>
  <si>
    <t>SKU-FAR-4729</t>
  </si>
  <si>
    <t>PED-00326</t>
  </si>
  <si>
    <t>SKU-AUT-5237</t>
  </si>
  <si>
    <t>PED-00327</t>
  </si>
  <si>
    <t>SKU-CON-7678</t>
  </si>
  <si>
    <t>PED-00328</t>
  </si>
  <si>
    <t>SKU-ALI-7357</t>
  </si>
  <si>
    <t>PED-00329</t>
  </si>
  <si>
    <t>SKU-TEX-8391</t>
  </si>
  <si>
    <t>PED-00330</t>
  </si>
  <si>
    <t>SKU-AUT-7626</t>
  </si>
  <si>
    <t>PED-00331</t>
  </si>
  <si>
    <t>SKU-AUT-8094</t>
  </si>
  <si>
    <t>PED-00332</t>
  </si>
  <si>
    <t>SKU-QUÍ-6183</t>
  </si>
  <si>
    <t>PED-00333</t>
  </si>
  <si>
    <t>SKU-ALI-1276</t>
  </si>
  <si>
    <t>PED-00334</t>
  </si>
  <si>
    <t>SKU-ALI-7381</t>
  </si>
  <si>
    <t>PED-00335</t>
  </si>
  <si>
    <t>SKU-CON-2938</t>
  </si>
  <si>
    <t>PED-00336</t>
  </si>
  <si>
    <t>SKU-ALI-9762</t>
  </si>
  <si>
    <t>PED-00337</t>
  </si>
  <si>
    <t>SKU-AUT-1096</t>
  </si>
  <si>
    <t>PED-00338</t>
  </si>
  <si>
    <t>SKU-FAR-2036</t>
  </si>
  <si>
    <t>PED-00339</t>
  </si>
  <si>
    <t>SKU-ELE-1745</t>
  </si>
  <si>
    <t>PED-00340</t>
  </si>
  <si>
    <t>SKU-TEX-2189</t>
  </si>
  <si>
    <t>PED-00341</t>
  </si>
  <si>
    <t>SKU-ELE-6860</t>
  </si>
  <si>
    <t>PED-00342</t>
  </si>
  <si>
    <t>SKU-AUT-9238</t>
  </si>
  <si>
    <t>PED-00343</t>
  </si>
  <si>
    <t>SKU-ELE-2738</t>
  </si>
  <si>
    <t>PED-00344</t>
  </si>
  <si>
    <t>SKU-AUT-5748</t>
  </si>
  <si>
    <t>PED-00345</t>
  </si>
  <si>
    <t>SKU-ELE-5937</t>
  </si>
  <si>
    <t>PED-00346</t>
  </si>
  <si>
    <t>SKU-ALI-2417</t>
  </si>
  <si>
    <t>PED-00347</t>
  </si>
  <si>
    <t>SKU-MAQ-5612</t>
  </si>
  <si>
    <t>PED-00348</t>
  </si>
  <si>
    <t>SKU-ALI-8170</t>
  </si>
  <si>
    <t>PED-00349</t>
  </si>
  <si>
    <t>SKU-ALI-7249</t>
  </si>
  <si>
    <t>PED-00350</t>
  </si>
  <si>
    <t>SKU-CON-7473</t>
  </si>
  <si>
    <t>PED-00351</t>
  </si>
  <si>
    <t>SKU-QUÍ-1504</t>
  </si>
  <si>
    <t>PED-00352</t>
  </si>
  <si>
    <t>SKU-QUÍ-8765</t>
  </si>
  <si>
    <t>PED-00353</t>
  </si>
  <si>
    <t>SKU-ELE-3561</t>
  </si>
  <si>
    <t>PED-00354</t>
  </si>
  <si>
    <t>SKU-AUT-9740</t>
  </si>
  <si>
    <t>PED-00355</t>
  </si>
  <si>
    <t>SKU-CON-4602</t>
  </si>
  <si>
    <t>PED-00356</t>
  </si>
  <si>
    <t>SKU-ALI-3234</t>
  </si>
  <si>
    <t>PED-00357</t>
  </si>
  <si>
    <t>SKU-CON-7406</t>
  </si>
  <si>
    <t>PED-00358</t>
  </si>
  <si>
    <t>SKU-ELE-9941</t>
  </si>
  <si>
    <t>PED-00359</t>
  </si>
  <si>
    <t>SKU-QUÍ-5832</t>
  </si>
  <si>
    <t>PED-00360</t>
  </si>
  <si>
    <t>SKU-MAQ-3360</t>
  </si>
  <si>
    <t>PED-00361</t>
  </si>
  <si>
    <t>SKU-TEX-5883</t>
  </si>
  <si>
    <t>PED-00362</t>
  </si>
  <si>
    <t>SKU-ELE-7113</t>
  </si>
  <si>
    <t>PED-00363</t>
  </si>
  <si>
    <t>SKU-CON-1182</t>
  </si>
  <si>
    <t>PED-00364</t>
  </si>
  <si>
    <t>SKU-MAQ-3316</t>
  </si>
  <si>
    <t>PED-00365</t>
  </si>
  <si>
    <t>SKU-TEX-3019</t>
  </si>
  <si>
    <t>PED-00366</t>
  </si>
  <si>
    <t>SKU-FAR-1684</t>
  </si>
  <si>
    <t>PED-00367</t>
  </si>
  <si>
    <t>SKU-ELE-1082</t>
  </si>
  <si>
    <t>PED-00368</t>
  </si>
  <si>
    <t>SKU-ELE-7456</t>
  </si>
  <si>
    <t>PED-00369</t>
  </si>
  <si>
    <t>SKU-FAR-9800</t>
  </si>
  <si>
    <t>PED-00370</t>
  </si>
  <si>
    <t>SKU-FAR-9970</t>
  </si>
  <si>
    <t>PED-00371</t>
  </si>
  <si>
    <t>SKU-ELE-2394</t>
  </si>
  <si>
    <t>PED-00372</t>
  </si>
  <si>
    <t>SKU-FAR-5992</t>
  </si>
  <si>
    <t>PED-00373</t>
  </si>
  <si>
    <t>SKU-ALI-4441</t>
  </si>
  <si>
    <t>PED-00374</t>
  </si>
  <si>
    <t>SKU-TEX-6633</t>
  </si>
  <si>
    <t>PED-00375</t>
  </si>
  <si>
    <t>SKU-TEX-4469</t>
  </si>
  <si>
    <t>PED-00376</t>
  </si>
  <si>
    <t>SKU-TEX-7760</t>
  </si>
  <si>
    <t>PED-00377</t>
  </si>
  <si>
    <t>SKU-ALI-9397</t>
  </si>
  <si>
    <t>PED-00378</t>
  </si>
  <si>
    <t>SKU-AUT-3333</t>
  </si>
  <si>
    <t>PED-00379</t>
  </si>
  <si>
    <t>SKU-FAR-3637</t>
  </si>
  <si>
    <t>PED-00380</t>
  </si>
  <si>
    <t>SKU-MAQ-4014</t>
  </si>
  <si>
    <t>PED-00381</t>
  </si>
  <si>
    <t>SKU-FAR-4617</t>
  </si>
  <si>
    <t>PED-00382</t>
  </si>
  <si>
    <t>SKU-ELE-5140</t>
  </si>
  <si>
    <t>PED-00383</t>
  </si>
  <si>
    <t>SKU-QUÍ-4183</t>
  </si>
  <si>
    <t>PED-00384</t>
  </si>
  <si>
    <t>SKU-CON-2877</t>
  </si>
  <si>
    <t>PED-00385</t>
  </si>
  <si>
    <t>SKU-CON-3971</t>
  </si>
  <si>
    <t>PED-00386</t>
  </si>
  <si>
    <t>SKU-TEX-1891</t>
  </si>
  <si>
    <t>PED-00387</t>
  </si>
  <si>
    <t>SKU-FAR-9992</t>
  </si>
  <si>
    <t>PED-00388</t>
  </si>
  <si>
    <t>SKU-MAQ-8557</t>
  </si>
  <si>
    <t>PED-00389</t>
  </si>
  <si>
    <t>SKU-ELE-2198</t>
  </si>
  <si>
    <t>PED-00390</t>
  </si>
  <si>
    <t>SKU-ALI-5762</t>
  </si>
  <si>
    <t>PED-00391</t>
  </si>
  <si>
    <t>SKU-AUT-2103</t>
  </si>
  <si>
    <t>PED-00392</t>
  </si>
  <si>
    <t>SKU-ALI-5107</t>
  </si>
  <si>
    <t>PED-00393</t>
  </si>
  <si>
    <t>SKU-MAQ-2608</t>
  </si>
  <si>
    <t>PED-00394</t>
  </si>
  <si>
    <t>SKU-ELE-4234</t>
  </si>
  <si>
    <t>PED-00395</t>
  </si>
  <si>
    <t>SKU-TEX-8982</t>
  </si>
  <si>
    <t>PED-00396</t>
  </si>
  <si>
    <t>SKU-FAR-6420</t>
  </si>
  <si>
    <t>PED-00397</t>
  </si>
  <si>
    <t>SKU-ELE-6851</t>
  </si>
  <si>
    <t>PED-00398</t>
  </si>
  <si>
    <t>SKU-CON-3100</t>
  </si>
  <si>
    <t>PED-00399</t>
  </si>
  <si>
    <t>SKU-AUT-4842</t>
  </si>
  <si>
    <t>PED-00400</t>
  </si>
  <si>
    <t>SKU-ALI-2639</t>
  </si>
  <si>
    <t>PED-00401</t>
  </si>
  <si>
    <t>SKU-AUT-5671</t>
  </si>
  <si>
    <t>PED-00402</t>
  </si>
  <si>
    <t>SKU-AUT-2143</t>
  </si>
  <si>
    <t>PED-00403</t>
  </si>
  <si>
    <t>SKU-MAQ-4170</t>
  </si>
  <si>
    <t>PED-00404</t>
  </si>
  <si>
    <t>SKU-MAQ-6206</t>
  </si>
  <si>
    <t>PED-00405</t>
  </si>
  <si>
    <t>SKU-FAR-8960</t>
  </si>
  <si>
    <t>PED-00406</t>
  </si>
  <si>
    <t>SKU-MAQ-8383</t>
  </si>
  <si>
    <t>PED-00407</t>
  </si>
  <si>
    <t>SKU-MAQ-6379</t>
  </si>
  <si>
    <t>PED-00408</t>
  </si>
  <si>
    <t>SKU-ELE-6008</t>
  </si>
  <si>
    <t>PED-00409</t>
  </si>
  <si>
    <t>SKU-CON-3496</t>
  </si>
  <si>
    <t>PED-00410</t>
  </si>
  <si>
    <t>SKU-TEX-6971</t>
  </si>
  <si>
    <t>PED-00411</t>
  </si>
  <si>
    <t>SKU-FAR-6182</t>
  </si>
  <si>
    <t>PED-00412</t>
  </si>
  <si>
    <t>SKU-ELE-8017</t>
  </si>
  <si>
    <t>PED-00413</t>
  </si>
  <si>
    <t>SKU-TEX-3762</t>
  </si>
  <si>
    <t>PED-00414</t>
  </si>
  <si>
    <t>SKU-AUT-1079</t>
  </si>
  <si>
    <t>PED-00415</t>
  </si>
  <si>
    <t>SKU-ELE-6131</t>
  </si>
  <si>
    <t>PED-00416</t>
  </si>
  <si>
    <t>SKU-QUÍ-5033</t>
  </si>
  <si>
    <t>PED-00417</t>
  </si>
  <si>
    <t>SKU-ELE-4629</t>
  </si>
  <si>
    <t>PED-00418</t>
  </si>
  <si>
    <t>SKU-MAQ-8145</t>
  </si>
  <si>
    <t>PED-00419</t>
  </si>
  <si>
    <t>SKU-TEX-5533</t>
  </si>
  <si>
    <t>PED-00420</t>
  </si>
  <si>
    <t>SKU-FAR-6889</t>
  </si>
  <si>
    <t>PED-00421</t>
  </si>
  <si>
    <t>SKU-FAR-3200</t>
  </si>
  <si>
    <t>PED-00422</t>
  </si>
  <si>
    <t>SKU-TEX-6432</t>
  </si>
  <si>
    <t>PED-00423</t>
  </si>
  <si>
    <t>SKU-MAQ-8863</t>
  </si>
  <si>
    <t>PED-00424</t>
  </si>
  <si>
    <t>SKU-ALI-8583</t>
  </si>
  <si>
    <t>PED-00425</t>
  </si>
  <si>
    <t>SKU-ELE-8296</t>
  </si>
  <si>
    <t>PED-00426</t>
  </si>
  <si>
    <t>SKU-MAQ-6877</t>
  </si>
  <si>
    <t>PED-00427</t>
  </si>
  <si>
    <t>SKU-QUÍ-6004</t>
  </si>
  <si>
    <t>PED-00428</t>
  </si>
  <si>
    <t>SKU-CON-8978</t>
  </si>
  <si>
    <t>PED-00429</t>
  </si>
  <si>
    <t>SKU-AUT-2783</t>
  </si>
  <si>
    <t>PED-00430</t>
  </si>
  <si>
    <t>SKU-TEX-3879</t>
  </si>
  <si>
    <t>PED-00431</t>
  </si>
  <si>
    <t>SKU-CON-2343</t>
  </si>
  <si>
    <t>PED-00432</t>
  </si>
  <si>
    <t>SKU-ELE-5597</t>
  </si>
  <si>
    <t>PED-00433</t>
  </si>
  <si>
    <t>SKU-FAR-3293</t>
  </si>
  <si>
    <t>PED-00434</t>
  </si>
  <si>
    <t>SKU-AUT-9824</t>
  </si>
  <si>
    <t>PED-00435</t>
  </si>
  <si>
    <t>SKU-CON-4218</t>
  </si>
  <si>
    <t>PED-00436</t>
  </si>
  <si>
    <t>SKU-ALI-5312</t>
  </si>
  <si>
    <t>PED-00437</t>
  </si>
  <si>
    <t>SKU-CON-2252</t>
  </si>
  <si>
    <t>PED-00438</t>
  </si>
  <si>
    <t>SKU-QUÍ-2235</t>
  </si>
  <si>
    <t>PED-00439</t>
  </si>
  <si>
    <t>SKU-FAR-1305</t>
  </si>
  <si>
    <t>PED-00440</t>
  </si>
  <si>
    <t>SKU-TEX-9309</t>
  </si>
  <si>
    <t>PED-00441</t>
  </si>
  <si>
    <t>SKU-ELE-1511</t>
  </si>
  <si>
    <t>PED-00442</t>
  </si>
  <si>
    <t>SKU-TEX-7637</t>
  </si>
  <si>
    <t>PED-00443</t>
  </si>
  <si>
    <t>SKU-AUT-4485</t>
  </si>
  <si>
    <t>PED-00444</t>
  </si>
  <si>
    <t>SKU-ELE-1600</t>
  </si>
  <si>
    <t>PED-00445</t>
  </si>
  <si>
    <t>SKU-MAQ-5269</t>
  </si>
  <si>
    <t>PED-00446</t>
  </si>
  <si>
    <t>SKU-ALI-9904</t>
  </si>
  <si>
    <t>PED-00447</t>
  </si>
  <si>
    <t>SKU-MAQ-9842</t>
  </si>
  <si>
    <t>PED-00448</t>
  </si>
  <si>
    <t>SKU-MAQ-8734</t>
  </si>
  <si>
    <t>PED-00449</t>
  </si>
  <si>
    <t>SKU-TEX-3435</t>
  </si>
  <si>
    <t>PED-00450</t>
  </si>
  <si>
    <t>SKU-AUT-6993</t>
  </si>
  <si>
    <t>PED-00451</t>
  </si>
  <si>
    <t>SKU-ALI-7430</t>
  </si>
  <si>
    <t>PED-00452</t>
  </si>
  <si>
    <t>SKU-CON-4658</t>
  </si>
  <si>
    <t>PED-00453</t>
  </si>
  <si>
    <t>SKU-ELE-5767</t>
  </si>
  <si>
    <t>PED-00454</t>
  </si>
  <si>
    <t>SKU-ELE-3193</t>
  </si>
  <si>
    <t>PED-00455</t>
  </si>
  <si>
    <t>SKU-QUÍ-8613</t>
  </si>
  <si>
    <t>PED-00456</t>
  </si>
  <si>
    <t>SKU-FAR-9210</t>
  </si>
  <si>
    <t>PED-00457</t>
  </si>
  <si>
    <t>SKU-QUÍ-9362</t>
  </si>
  <si>
    <t>PED-00458</t>
  </si>
  <si>
    <t>SKU-CON-2483</t>
  </si>
  <si>
    <t>PED-00459</t>
  </si>
  <si>
    <t>SKU-QUÍ-7500</t>
  </si>
  <si>
    <t>PED-00460</t>
  </si>
  <si>
    <t>SKU-ELE-6961</t>
  </si>
  <si>
    <t>PED-00461</t>
  </si>
  <si>
    <t>SKU-TEX-9227</t>
  </si>
  <si>
    <t>PED-00462</t>
  </si>
  <si>
    <t>SKU-MAQ-1173</t>
  </si>
  <si>
    <t>PED-00463</t>
  </si>
  <si>
    <t>SKU-AUT-4913</t>
  </si>
  <si>
    <t>PED-00464</t>
  </si>
  <si>
    <t>SKU-MAQ-3717</t>
  </si>
  <si>
    <t>PED-00465</t>
  </si>
  <si>
    <t>SKU-MAQ-9423</t>
  </si>
  <si>
    <t>PED-00466</t>
  </si>
  <si>
    <t>SKU-ALI-3299</t>
  </si>
  <si>
    <t>PED-00467</t>
  </si>
  <si>
    <t>SKU-ELE-8310</t>
  </si>
  <si>
    <t>PED-00468</t>
  </si>
  <si>
    <t>SKU-CON-3608</t>
  </si>
  <si>
    <t>PED-00469</t>
  </si>
  <si>
    <t>SKU-CON-3935</t>
  </si>
  <si>
    <t>PED-00470</t>
  </si>
  <si>
    <t>SKU-AUT-3395</t>
  </si>
  <si>
    <t>PED-00471</t>
  </si>
  <si>
    <t>SKU-TEX-8921</t>
  </si>
  <si>
    <t>PED-00472</t>
  </si>
  <si>
    <t>SKU-ALI-6878</t>
  </si>
  <si>
    <t>PED-00473</t>
  </si>
  <si>
    <t>SKU-FAR-1662</t>
  </si>
  <si>
    <t>PED-00474</t>
  </si>
  <si>
    <t>SKU-TEX-4585</t>
  </si>
  <si>
    <t>PED-00475</t>
  </si>
  <si>
    <t>SKU-QUÍ-8989</t>
  </si>
  <si>
    <t>PED-00476</t>
  </si>
  <si>
    <t>SKU-TEX-4796</t>
  </si>
  <si>
    <t>PED-00477</t>
  </si>
  <si>
    <t>SKU-TEX-2029</t>
  </si>
  <si>
    <t>PED-00478</t>
  </si>
  <si>
    <t>SKU-MAQ-5331</t>
  </si>
  <si>
    <t>PED-00479</t>
  </si>
  <si>
    <t>SKU-TEX-7052</t>
  </si>
  <si>
    <t>PED-00480</t>
  </si>
  <si>
    <t>SKU-CON-4834</t>
  </si>
  <si>
    <t>PED-00481</t>
  </si>
  <si>
    <t>SKU-QUÍ-1701</t>
  </si>
  <si>
    <t>PED-00482</t>
  </si>
  <si>
    <t>SKU-QUÍ-4387</t>
  </si>
  <si>
    <t>PED-00483</t>
  </si>
  <si>
    <t>SKU-ELE-9485</t>
  </si>
  <si>
    <t>PED-00484</t>
  </si>
  <si>
    <t>SKU-TEX-6918</t>
  </si>
  <si>
    <t>PED-00485</t>
  </si>
  <si>
    <t>SKU-MAQ-7358</t>
  </si>
  <si>
    <t>PED-00486</t>
  </si>
  <si>
    <t>SKU-TEX-8695</t>
  </si>
  <si>
    <t>PED-00487</t>
  </si>
  <si>
    <t>SKU-FAR-8448</t>
  </si>
  <si>
    <t>PED-00488</t>
  </si>
  <si>
    <t>SKU-FAR-1760</t>
  </si>
  <si>
    <t>PED-00489</t>
  </si>
  <si>
    <t>SKU-MAQ-1653</t>
  </si>
  <si>
    <t>PED-00490</t>
  </si>
  <si>
    <t>SKU-ELE-6309</t>
  </si>
  <si>
    <t>PED-00491</t>
  </si>
  <si>
    <t>SKU-ELE-2691</t>
  </si>
  <si>
    <t>PED-00492</t>
  </si>
  <si>
    <t>SKU-QUÍ-9542</t>
  </si>
  <si>
    <t>PED-00493</t>
  </si>
  <si>
    <t>SKU-QUÍ-5480</t>
  </si>
  <si>
    <t>PED-00494</t>
  </si>
  <si>
    <t>SKU-ALI-5314</t>
  </si>
  <si>
    <t>PED-00495</t>
  </si>
  <si>
    <t>SKU-MAQ-9918</t>
  </si>
  <si>
    <t>PED-00496</t>
  </si>
  <si>
    <t>SKU-TEX-3848</t>
  </si>
  <si>
    <t>PED-00497</t>
  </si>
  <si>
    <t>SKU-AUT-7171</t>
  </si>
  <si>
    <t>PED-00498</t>
  </si>
  <si>
    <t>SKU-MAQ-7201</t>
  </si>
  <si>
    <t>PED-00499</t>
  </si>
  <si>
    <t>SKU-ALI-6985</t>
  </si>
  <si>
    <t>PED-00500</t>
  </si>
  <si>
    <t>SKU-QUÍ-2275</t>
  </si>
  <si>
    <t>PED-00501</t>
  </si>
  <si>
    <t>SKU-MAQ-9465</t>
  </si>
  <si>
    <t>PED-00502</t>
  </si>
  <si>
    <t>SKU-MAQ-5121</t>
  </si>
  <si>
    <t>PED-00503</t>
  </si>
  <si>
    <t>SKU-QUÍ-7165</t>
  </si>
  <si>
    <t>PED-00504</t>
  </si>
  <si>
    <t>SKU-CON-4651</t>
  </si>
  <si>
    <t>PED-00505</t>
  </si>
  <si>
    <t>SKU-ALI-9460</t>
  </si>
  <si>
    <t>PED-00506</t>
  </si>
  <si>
    <t>SKU-QUÍ-7649</t>
  </si>
  <si>
    <t>PED-00507</t>
  </si>
  <si>
    <t>SKU-ELE-6781</t>
  </si>
  <si>
    <t>PED-00508</t>
  </si>
  <si>
    <t>SKU-TEX-6653</t>
  </si>
  <si>
    <t>PED-00509</t>
  </si>
  <si>
    <t>SKU-QUÍ-8976</t>
  </si>
  <si>
    <t>PED-00510</t>
  </si>
  <si>
    <t>SKU-ALI-8898</t>
  </si>
  <si>
    <t>PED-00511</t>
  </si>
  <si>
    <t>SKU-FAR-1108</t>
  </si>
  <si>
    <t>PED-00512</t>
  </si>
  <si>
    <t>SKU-ELE-9222</t>
  </si>
  <si>
    <t>PED-00513</t>
  </si>
  <si>
    <t>SKU-FAR-3276</t>
  </si>
  <si>
    <t>PED-00514</t>
  </si>
  <si>
    <t>SKU-AUT-8207</t>
  </si>
  <si>
    <t>PED-00515</t>
  </si>
  <si>
    <t>SKU-QUÍ-3713</t>
  </si>
  <si>
    <t>PED-00516</t>
  </si>
  <si>
    <t>SKU-ELE-4768</t>
  </si>
  <si>
    <t>PED-00517</t>
  </si>
  <si>
    <t>SKU-TEX-2263</t>
  </si>
  <si>
    <t>PED-00518</t>
  </si>
  <si>
    <t>SKU-QUÍ-9430</t>
  </si>
  <si>
    <t>PED-00519</t>
  </si>
  <si>
    <t>SKU-TEX-5600</t>
  </si>
  <si>
    <t>PED-00520</t>
  </si>
  <si>
    <t>SKU-CON-4465</t>
  </si>
  <si>
    <t>PED-00521</t>
  </si>
  <si>
    <t>SKU-MAQ-3461</t>
  </si>
  <si>
    <t>PED-00522</t>
  </si>
  <si>
    <t>SKU-FAR-4062</t>
  </si>
  <si>
    <t>PED-00523</t>
  </si>
  <si>
    <t>SKU-ELE-3578</t>
  </si>
  <si>
    <t>PED-00524</t>
  </si>
  <si>
    <t>SKU-TEX-6934</t>
  </si>
  <si>
    <t>PED-00525</t>
  </si>
  <si>
    <t>SKU-ALI-2938</t>
  </si>
  <si>
    <t>PED-00526</t>
  </si>
  <si>
    <t>SKU-TEX-4773</t>
  </si>
  <si>
    <t>PED-00527</t>
  </si>
  <si>
    <t>SKU-ALI-7793</t>
  </si>
  <si>
    <t>PED-00528</t>
  </si>
  <si>
    <t>SKU-QUÍ-6410</t>
  </si>
  <si>
    <t>PED-00529</t>
  </si>
  <si>
    <t>SKU-ELE-2856</t>
  </si>
  <si>
    <t>PED-00530</t>
  </si>
  <si>
    <t>SKU-TEX-8889</t>
  </si>
  <si>
    <t>PED-00531</t>
  </si>
  <si>
    <t>SKU-AUT-8844</t>
  </si>
  <si>
    <t>PED-00532</t>
  </si>
  <si>
    <t>SKU-TEX-8848</t>
  </si>
  <si>
    <t>PED-00533</t>
  </si>
  <si>
    <t>SKU-CON-4452</t>
  </si>
  <si>
    <t>PED-00534</t>
  </si>
  <si>
    <t>SKU-AUT-3641</t>
  </si>
  <si>
    <t>PED-00535</t>
  </si>
  <si>
    <t>SKU-ELE-7732</t>
  </si>
  <si>
    <t>PED-00536</t>
  </si>
  <si>
    <t>SKU-CON-1367</t>
  </si>
  <si>
    <t>PED-00537</t>
  </si>
  <si>
    <t>SKU-TEX-4992</t>
  </si>
  <si>
    <t>PED-00538</t>
  </si>
  <si>
    <t>SKU-ALI-1706</t>
  </si>
  <si>
    <t>PED-00539</t>
  </si>
  <si>
    <t>SKU-TEX-3095</t>
  </si>
  <si>
    <t>PED-00540</t>
  </si>
  <si>
    <t>SKU-FAR-3639</t>
  </si>
  <si>
    <t>PED-00541</t>
  </si>
  <si>
    <t>SKU-QUÍ-3207</t>
  </si>
  <si>
    <t>PED-00542</t>
  </si>
  <si>
    <t>SKU-MAQ-9399</t>
  </si>
  <si>
    <t>PED-00543</t>
  </si>
  <si>
    <t>SKU-ALI-1642</t>
  </si>
  <si>
    <t>PED-00544</t>
  </si>
  <si>
    <t>SKU-FAR-3406</t>
  </si>
  <si>
    <t>PED-00545</t>
  </si>
  <si>
    <t>SKU-AUT-1916</t>
  </si>
  <si>
    <t>PED-00546</t>
  </si>
  <si>
    <t>SKU-QUÍ-3725</t>
  </si>
  <si>
    <t>PED-00547</t>
  </si>
  <si>
    <t>SKU-ELE-5231</t>
  </si>
  <si>
    <t>PED-00548</t>
  </si>
  <si>
    <t>SKU-ALI-3949</t>
  </si>
  <si>
    <t>PED-00549</t>
  </si>
  <si>
    <t>SKU-MAQ-9464</t>
  </si>
  <si>
    <t>PED-00550</t>
  </si>
  <si>
    <t>SKU-QUÍ-7642</t>
  </si>
  <si>
    <t>PED-00551</t>
  </si>
  <si>
    <t>SKU-AUT-1305</t>
  </si>
  <si>
    <t>PED-00552</t>
  </si>
  <si>
    <t>SKU-CON-5644</t>
  </si>
  <si>
    <t>PED-00553</t>
  </si>
  <si>
    <t>SKU-CON-2404</t>
  </si>
  <si>
    <t>PED-00554</t>
  </si>
  <si>
    <t>SKU-MAQ-4548</t>
  </si>
  <si>
    <t>PED-00555</t>
  </si>
  <si>
    <t>SKU-ELE-8359</t>
  </si>
  <si>
    <t>PED-00556</t>
  </si>
  <si>
    <t>SKU-ELE-8723</t>
  </si>
  <si>
    <t>PED-00557</t>
  </si>
  <si>
    <t>SKU-AUT-8891</t>
  </si>
  <si>
    <t>PED-00558</t>
  </si>
  <si>
    <t>SKU-ALI-3794</t>
  </si>
  <si>
    <t>PED-00559</t>
  </si>
  <si>
    <t>SKU-AUT-4594</t>
  </si>
  <si>
    <t>PED-00560</t>
  </si>
  <si>
    <t>SKU-TEX-7730</t>
  </si>
  <si>
    <t>PED-00561</t>
  </si>
  <si>
    <t>SKU-ELE-3338</t>
  </si>
  <si>
    <t>PED-00562</t>
  </si>
  <si>
    <t>SKU-QUÍ-3979</t>
  </si>
  <si>
    <t>PED-00563</t>
  </si>
  <si>
    <t>SKU-TEX-9369</t>
  </si>
  <si>
    <t>PED-00564</t>
  </si>
  <si>
    <t>SKU-CON-5333</t>
  </si>
  <si>
    <t>PED-00565</t>
  </si>
  <si>
    <t>SKU-CON-3747</t>
  </si>
  <si>
    <t>PED-00566</t>
  </si>
  <si>
    <t>SKU-FAR-6614</t>
  </si>
  <si>
    <t>PED-00567</t>
  </si>
  <si>
    <t>SKU-MAQ-8429</t>
  </si>
  <si>
    <t>PED-00568</t>
  </si>
  <si>
    <t>SKU-TEX-2127</t>
  </si>
  <si>
    <t>PED-00569</t>
  </si>
  <si>
    <t>SKU-MAQ-4765</t>
  </si>
  <si>
    <t>PED-00570</t>
  </si>
  <si>
    <t>SKU-AUT-7196</t>
  </si>
  <si>
    <t>PED-00571</t>
  </si>
  <si>
    <t>SKU-TEX-7315</t>
  </si>
  <si>
    <t>PED-00572</t>
  </si>
  <si>
    <t>SKU-AUT-3166</t>
  </si>
  <si>
    <t>PED-00573</t>
  </si>
  <si>
    <t>SKU-FAR-2778</t>
  </si>
  <si>
    <t>PED-00574</t>
  </si>
  <si>
    <t>SKU-ELE-1271</t>
  </si>
  <si>
    <t>PED-00575</t>
  </si>
  <si>
    <t>SKU-CON-4315</t>
  </si>
  <si>
    <t>PED-00576</t>
  </si>
  <si>
    <t>SKU-FAR-9564</t>
  </si>
  <si>
    <t>PED-00577</t>
  </si>
  <si>
    <t>SKU-CON-9263</t>
  </si>
  <si>
    <t>PED-00578</t>
  </si>
  <si>
    <t>SKU-ELE-7877</t>
  </si>
  <si>
    <t>PED-00579</t>
  </si>
  <si>
    <t>SKU-AUT-3450</t>
  </si>
  <si>
    <t>PED-00580</t>
  </si>
  <si>
    <t>SKU-ELE-2577</t>
  </si>
  <si>
    <t>PED-00581</t>
  </si>
  <si>
    <t>PED-00582</t>
  </si>
  <si>
    <t>SKU-CON-8796</t>
  </si>
  <si>
    <t>PED-00583</t>
  </si>
  <si>
    <t>SKU-MAQ-1639</t>
  </si>
  <si>
    <t>PED-00584</t>
  </si>
  <si>
    <t>SKU-QUÍ-9706</t>
  </si>
  <si>
    <t>PED-00585</t>
  </si>
  <si>
    <t>SKU-FAR-9246</t>
  </si>
  <si>
    <t>PED-00586</t>
  </si>
  <si>
    <t>SKU-TEX-2925</t>
  </si>
  <si>
    <t>PED-00587</t>
  </si>
  <si>
    <t>SKU-CON-2526</t>
  </si>
  <si>
    <t>PED-00588</t>
  </si>
  <si>
    <t>SKU-FAR-8901</t>
  </si>
  <si>
    <t>PED-00589</t>
  </si>
  <si>
    <t>SKU-MAQ-3135</t>
  </si>
  <si>
    <t>PED-00590</t>
  </si>
  <si>
    <t>SKU-ELE-9835</t>
  </si>
  <si>
    <t>PED-00591</t>
  </si>
  <si>
    <t>SKU-MAQ-1019</t>
  </si>
  <si>
    <t>PED-00592</t>
  </si>
  <si>
    <t>SKU-ALI-8069</t>
  </si>
  <si>
    <t>PED-00593</t>
  </si>
  <si>
    <t>SKU-ALI-9553</t>
  </si>
  <si>
    <t>PED-00594</t>
  </si>
  <si>
    <t>SKU-TEX-7892</t>
  </si>
  <si>
    <t>PED-00595</t>
  </si>
  <si>
    <t>SKU-MAQ-7068</t>
  </si>
  <si>
    <t>PED-00596</t>
  </si>
  <si>
    <t>SKU-AUT-1711</t>
  </si>
  <si>
    <t>PED-00597</t>
  </si>
  <si>
    <t>SKU-TEX-9680</t>
  </si>
  <si>
    <t>PED-00598</t>
  </si>
  <si>
    <t>SKU-AUT-8028</t>
  </si>
  <si>
    <t>PED-00599</t>
  </si>
  <si>
    <t>SKU-TEX-4759</t>
  </si>
  <si>
    <t>PED-00600</t>
  </si>
  <si>
    <t>SKU-ALI-8899</t>
  </si>
  <si>
    <t>PED-00601</t>
  </si>
  <si>
    <t>SKU-TEX-7246</t>
  </si>
  <si>
    <t>PED-00602</t>
  </si>
  <si>
    <t>SKU-ALI-6742</t>
  </si>
  <si>
    <t>PED-00603</t>
  </si>
  <si>
    <t>SKU-CON-2600</t>
  </si>
  <si>
    <t>PED-00604</t>
  </si>
  <si>
    <t>SKU-ELE-7971</t>
  </si>
  <si>
    <t>PED-00605</t>
  </si>
  <si>
    <t>SKU-AUT-3193</t>
  </si>
  <si>
    <t>PED-00606</t>
  </si>
  <si>
    <t>SKU-MAQ-5170</t>
  </si>
  <si>
    <t>PED-00607</t>
  </si>
  <si>
    <t>SKU-CON-8817</t>
  </si>
  <si>
    <t>PED-00608</t>
  </si>
  <si>
    <t>SKU-CON-4809</t>
  </si>
  <si>
    <t>PED-00609</t>
  </si>
  <si>
    <t>SKU-TEX-2373</t>
  </si>
  <si>
    <t>PED-00610</t>
  </si>
  <si>
    <t>SKU-ALI-5641</t>
  </si>
  <si>
    <t>PED-00611</t>
  </si>
  <si>
    <t>SKU-FAR-9908</t>
  </si>
  <si>
    <t>PED-00612</t>
  </si>
  <si>
    <t>SKU-AUT-7695</t>
  </si>
  <si>
    <t>PED-00613</t>
  </si>
  <si>
    <t>SKU-CON-5223</t>
  </si>
  <si>
    <t>PED-00614</t>
  </si>
  <si>
    <t>SKU-TEX-4096</t>
  </si>
  <si>
    <t>PED-00615</t>
  </si>
  <si>
    <t>SKU-QUÍ-1089</t>
  </si>
  <si>
    <t>PED-00616</t>
  </si>
  <si>
    <t>SKU-ELE-1116</t>
  </si>
  <si>
    <t>PED-00617</t>
  </si>
  <si>
    <t>SKU-ELE-9561</t>
  </si>
  <si>
    <t>PED-00618</t>
  </si>
  <si>
    <t>SKU-FAR-2930</t>
  </si>
  <si>
    <t>PED-00619</t>
  </si>
  <si>
    <t>SKU-ALI-9515</t>
  </si>
  <si>
    <t>PED-00620</t>
  </si>
  <si>
    <t>SKU-TEX-1117</t>
  </si>
  <si>
    <t>PED-00621</t>
  </si>
  <si>
    <t>SKU-AUT-7144</t>
  </si>
  <si>
    <t>PED-00622</t>
  </si>
  <si>
    <t>SKU-ALI-4365</t>
  </si>
  <si>
    <t>PED-00623</t>
  </si>
  <si>
    <t>SKU-ELE-6175</t>
  </si>
  <si>
    <t>PED-00624</t>
  </si>
  <si>
    <t>SKU-ALI-7698</t>
  </si>
  <si>
    <t>PED-00625</t>
  </si>
  <si>
    <t>SKU-ELE-6935</t>
  </si>
  <si>
    <t>PED-00626</t>
  </si>
  <si>
    <t>SKU-ALI-2746</t>
  </si>
  <si>
    <t>PED-00627</t>
  </si>
  <si>
    <t>SKU-FAR-3535</t>
  </si>
  <si>
    <t>PED-00628</t>
  </si>
  <si>
    <t>SKU-MAQ-7980</t>
  </si>
  <si>
    <t>PED-00629</t>
  </si>
  <si>
    <t>SKU-FAR-5155</t>
  </si>
  <si>
    <t>PED-00630</t>
  </si>
  <si>
    <t>SKU-FAR-5281</t>
  </si>
  <si>
    <t>PED-00631</t>
  </si>
  <si>
    <t>SKU-MAQ-9783</t>
  </si>
  <si>
    <t>PED-00632</t>
  </si>
  <si>
    <t>SKU-MAQ-7939</t>
  </si>
  <si>
    <t>PED-00633</t>
  </si>
  <si>
    <t>SKU-CON-6990</t>
  </si>
  <si>
    <t>PED-00634</t>
  </si>
  <si>
    <t>SKU-CON-5514</t>
  </si>
  <si>
    <t>PED-00635</t>
  </si>
  <si>
    <t>SKU-TEX-7511</t>
  </si>
  <si>
    <t>PED-00636</t>
  </si>
  <si>
    <t>SKU-AUT-4337</t>
  </si>
  <si>
    <t>PED-00637</t>
  </si>
  <si>
    <t>SKU-AUT-7770</t>
  </si>
  <si>
    <t>PED-00638</t>
  </si>
  <si>
    <t>SKU-TEX-8904</t>
  </si>
  <si>
    <t>PED-00639</t>
  </si>
  <si>
    <t>SKU-FAR-3928</t>
  </si>
  <si>
    <t>PED-00640</t>
  </si>
  <si>
    <t>SKU-FAR-7065</t>
  </si>
  <si>
    <t>PED-00641</t>
  </si>
  <si>
    <t>SKU-ELE-8925</t>
  </si>
  <si>
    <t>PED-00642</t>
  </si>
  <si>
    <t>SKU-ELE-5157</t>
  </si>
  <si>
    <t>PED-00643</t>
  </si>
  <si>
    <t>SKU-AUT-6024</t>
  </si>
  <si>
    <t>PED-00644</t>
  </si>
  <si>
    <t>SKU-TEX-6641</t>
  </si>
  <si>
    <t>PED-00645</t>
  </si>
  <si>
    <t>SKU-QUÍ-7522</t>
  </si>
  <si>
    <t>PED-00646</t>
  </si>
  <si>
    <t>SKU-CON-3262</t>
  </si>
  <si>
    <t>PED-00647</t>
  </si>
  <si>
    <t>SKU-QUÍ-2951</t>
  </si>
  <si>
    <t>PED-00648</t>
  </si>
  <si>
    <t>SKU-TEX-4764</t>
  </si>
  <si>
    <t>PED-00649</t>
  </si>
  <si>
    <t>SKU-ELE-8317</t>
  </si>
  <si>
    <t>PED-00650</t>
  </si>
  <si>
    <t>SKU-AUT-3650</t>
  </si>
  <si>
    <t>PED-00651</t>
  </si>
  <si>
    <t>SKU-AUT-2642</t>
  </si>
  <si>
    <t>PED-00652</t>
  </si>
  <si>
    <t>SKU-ELE-4513</t>
  </si>
  <si>
    <t>PED-00653</t>
  </si>
  <si>
    <t>SKU-QUÍ-9328</t>
  </si>
  <si>
    <t>PED-00654</t>
  </si>
  <si>
    <t>SKU-ALI-7562</t>
  </si>
  <si>
    <t>PED-00655</t>
  </si>
  <si>
    <t>SKU-ALI-6544</t>
  </si>
  <si>
    <t>PED-00656</t>
  </si>
  <si>
    <t>SKU-ELE-1852</t>
  </si>
  <si>
    <t>PED-00657</t>
  </si>
  <si>
    <t>SKU-ALI-3633</t>
  </si>
  <si>
    <t>PED-00658</t>
  </si>
  <si>
    <t>SKU-MAQ-7375</t>
  </si>
  <si>
    <t>PED-00659</t>
  </si>
  <si>
    <t>SKU-TEX-1086</t>
  </si>
  <si>
    <t>PED-00660</t>
  </si>
  <si>
    <t>SKU-TEX-2492</t>
  </si>
  <si>
    <t>PED-00661</t>
  </si>
  <si>
    <t>PED-00662</t>
  </si>
  <si>
    <t>SKU-FAR-8727</t>
  </si>
  <si>
    <t>PED-00663</t>
  </si>
  <si>
    <t>SKU-CON-8133</t>
  </si>
  <si>
    <t>PED-00664</t>
  </si>
  <si>
    <t>SKU-QUÍ-2444</t>
  </si>
  <si>
    <t>PED-00665</t>
  </si>
  <si>
    <t>SKU-ELE-2049</t>
  </si>
  <si>
    <t>PED-00666</t>
  </si>
  <si>
    <t>SKU-ALI-5310</t>
  </si>
  <si>
    <t>PED-00667</t>
  </si>
  <si>
    <t>SKU-QUÍ-4633</t>
  </si>
  <si>
    <t>PED-00668</t>
  </si>
  <si>
    <t>SKU-FAR-7075</t>
  </si>
  <si>
    <t>PED-00669</t>
  </si>
  <si>
    <t>SKU-ALI-2311</t>
  </si>
  <si>
    <t>PED-00670</t>
  </si>
  <si>
    <t>SKU-AUT-1618</t>
  </si>
  <si>
    <t>PED-00671</t>
  </si>
  <si>
    <t>SKU-CON-7296</t>
  </si>
  <si>
    <t>PED-00672</t>
  </si>
  <si>
    <t>SKU-MAQ-7564</t>
  </si>
  <si>
    <t>PED-00673</t>
  </si>
  <si>
    <t>SKU-ALI-9536</t>
  </si>
  <si>
    <t>PED-00674</t>
  </si>
  <si>
    <t>SKU-MAQ-5693</t>
  </si>
  <si>
    <t>PED-00675</t>
  </si>
  <si>
    <t>SKU-QUÍ-1941</t>
  </si>
  <si>
    <t>PED-00676</t>
  </si>
  <si>
    <t>SKU-MAQ-3871</t>
  </si>
  <si>
    <t>PED-00677</t>
  </si>
  <si>
    <t>SKU-QUÍ-9099</t>
  </si>
  <si>
    <t>PED-00678</t>
  </si>
  <si>
    <t>SKU-QUÍ-8192</t>
  </si>
  <si>
    <t>PED-00679</t>
  </si>
  <si>
    <t>SKU-QUÍ-1175</t>
  </si>
  <si>
    <t>PED-00680</t>
  </si>
  <si>
    <t>SKU-QUÍ-4304</t>
  </si>
  <si>
    <t>PED-00681</t>
  </si>
  <si>
    <t>SKU-QUÍ-9489</t>
  </si>
  <si>
    <t>PED-00682</t>
  </si>
  <si>
    <t>SKU-ALI-5685</t>
  </si>
  <si>
    <t>PED-00683</t>
  </si>
  <si>
    <t>SKU-QUÍ-4190</t>
  </si>
  <si>
    <t>PED-00684</t>
  </si>
  <si>
    <t>SKU-ALI-1550</t>
  </si>
  <si>
    <t>PED-00685</t>
  </si>
  <si>
    <t>SKU-QUÍ-9364</t>
  </si>
  <si>
    <t>PED-00686</t>
  </si>
  <si>
    <t>SKU-MAQ-9451</t>
  </si>
  <si>
    <t>PED-00687</t>
  </si>
  <si>
    <t>SKU-AUT-4795</t>
  </si>
  <si>
    <t>PED-00688</t>
  </si>
  <si>
    <t>SKU-QUÍ-3776</t>
  </si>
  <si>
    <t>PED-00689</t>
  </si>
  <si>
    <t>SKU-FAR-1590</t>
  </si>
  <si>
    <t>PED-00690</t>
  </si>
  <si>
    <t>SKU-QUÍ-6893</t>
  </si>
  <si>
    <t>PED-00691</t>
  </si>
  <si>
    <t>SKU-QUÍ-4919</t>
  </si>
  <si>
    <t>PED-00692</t>
  </si>
  <si>
    <t>SKU-MAQ-1004</t>
  </si>
  <si>
    <t>PED-00693</t>
  </si>
  <si>
    <t>SKU-CON-3579</t>
  </si>
  <si>
    <t>PED-00694</t>
  </si>
  <si>
    <t>SKU-TEX-2422</t>
  </si>
  <si>
    <t>PED-00695</t>
  </si>
  <si>
    <t>SKU-MAQ-5520</t>
  </si>
  <si>
    <t>PED-00696</t>
  </si>
  <si>
    <t>SKU-FAR-7544</t>
  </si>
  <si>
    <t>PED-00697</t>
  </si>
  <si>
    <t>SKU-TEX-6785</t>
  </si>
  <si>
    <t>PED-00698</t>
  </si>
  <si>
    <t>SKU-ELE-7474</t>
  </si>
  <si>
    <t>PED-00699</t>
  </si>
  <si>
    <t>SKU-ELE-7642</t>
  </si>
  <si>
    <t>PED-00700</t>
  </si>
  <si>
    <t>SKU-CON-4281</t>
  </si>
  <si>
    <t>PED-00701</t>
  </si>
  <si>
    <t>SKU-FAR-9482</t>
  </si>
  <si>
    <t>PED-00702</t>
  </si>
  <si>
    <t>SKU-MAQ-1251</t>
  </si>
  <si>
    <t>PED-00703</t>
  </si>
  <si>
    <t>SKU-ALI-2124</t>
  </si>
  <si>
    <t>PED-00704</t>
  </si>
  <si>
    <t>SKU-FAR-2477</t>
  </si>
  <si>
    <t>PED-00705</t>
  </si>
  <si>
    <t>SKU-AUT-5661</t>
  </si>
  <si>
    <t>PED-00706</t>
  </si>
  <si>
    <t>SKU-TEX-6703</t>
  </si>
  <si>
    <t>PED-00707</t>
  </si>
  <si>
    <t>SKU-TEX-6693</t>
  </si>
  <si>
    <t>PED-00708</t>
  </si>
  <si>
    <t>SKU-QUÍ-5530</t>
  </si>
  <si>
    <t>PED-00709</t>
  </si>
  <si>
    <t>SKU-ELE-4707</t>
  </si>
  <si>
    <t>PED-00710</t>
  </si>
  <si>
    <t>SKU-CON-4187</t>
  </si>
  <si>
    <t>PED-00711</t>
  </si>
  <si>
    <t>SKU-TEX-8450</t>
  </si>
  <si>
    <t>PED-00712</t>
  </si>
  <si>
    <t>SKU-FAR-7618</t>
  </si>
  <si>
    <t>PED-00713</t>
  </si>
  <si>
    <t>SKU-TEX-1076</t>
  </si>
  <si>
    <t>PED-00714</t>
  </si>
  <si>
    <t>SKU-CON-5277</t>
  </si>
  <si>
    <t>PED-00715</t>
  </si>
  <si>
    <t>SKU-CON-3867</t>
  </si>
  <si>
    <t>PED-00716</t>
  </si>
  <si>
    <t>SKU-CON-7670</t>
  </si>
  <si>
    <t>PED-00717</t>
  </si>
  <si>
    <t>SKU-FAR-9294</t>
  </si>
  <si>
    <t>PED-00718</t>
  </si>
  <si>
    <t>SKU-ALI-2744</t>
  </si>
  <si>
    <t>PED-00719</t>
  </si>
  <si>
    <t>SKU-QUÍ-2185</t>
  </si>
  <si>
    <t>PED-00720</t>
  </si>
  <si>
    <t>SKU-ELE-9243</t>
  </si>
  <si>
    <t>PED-00721</t>
  </si>
  <si>
    <t>SKU-TEX-5821</t>
  </si>
  <si>
    <t>PED-00722</t>
  </si>
  <si>
    <t>SKU-FAR-6570</t>
  </si>
  <si>
    <t>PED-00723</t>
  </si>
  <si>
    <t>SKU-MAQ-2917</t>
  </si>
  <si>
    <t>PED-00724</t>
  </si>
  <si>
    <t>SKU-ELE-9409</t>
  </si>
  <si>
    <t>PED-00725</t>
  </si>
  <si>
    <t>SKU-ALI-5222</t>
  </si>
  <si>
    <t>PED-00726</t>
  </si>
  <si>
    <t>SKU-FAR-9813</t>
  </si>
  <si>
    <t>PED-00727</t>
  </si>
  <si>
    <t>SKU-AUT-5098</t>
  </si>
  <si>
    <t>PED-00728</t>
  </si>
  <si>
    <t>SKU-AUT-8254</t>
  </si>
  <si>
    <t>PED-00729</t>
  </si>
  <si>
    <t>SKU-QUÍ-7178</t>
  </si>
  <si>
    <t>PED-00730</t>
  </si>
  <si>
    <t>SKU-QUÍ-8923</t>
  </si>
  <si>
    <t>PED-00731</t>
  </si>
  <si>
    <t>SKU-ALI-4985</t>
  </si>
  <si>
    <t>PED-00732</t>
  </si>
  <si>
    <t>SKU-ALI-6565</t>
  </si>
  <si>
    <t>PED-00733</t>
  </si>
  <si>
    <t>SKU-QUÍ-8517</t>
  </si>
  <si>
    <t>PED-00734</t>
  </si>
  <si>
    <t>SKU-TEX-8548</t>
  </si>
  <si>
    <t>PED-00735</t>
  </si>
  <si>
    <t>SKU-TEX-1448</t>
  </si>
  <si>
    <t>PED-00736</t>
  </si>
  <si>
    <t>SKU-FAR-8896</t>
  </si>
  <si>
    <t>PED-00737</t>
  </si>
  <si>
    <t>SKU-MAQ-2904</t>
  </si>
  <si>
    <t>PED-00738</t>
  </si>
  <si>
    <t>SKU-FAR-5224</t>
  </si>
  <si>
    <t>PED-00739</t>
  </si>
  <si>
    <t>SKU-MAQ-2106</t>
  </si>
  <si>
    <t>PED-00740</t>
  </si>
  <si>
    <t>SKU-ALI-7269</t>
  </si>
  <si>
    <t>PED-00741</t>
  </si>
  <si>
    <t>SKU-ELE-4610</t>
  </si>
  <si>
    <t>PED-00742</t>
  </si>
  <si>
    <t>SKU-FAR-4767</t>
  </si>
  <si>
    <t>PED-00743</t>
  </si>
  <si>
    <t>SKU-FAR-6172</t>
  </si>
  <si>
    <t>PED-00744</t>
  </si>
  <si>
    <t>SKU-MAQ-7757</t>
  </si>
  <si>
    <t>PED-00745</t>
  </si>
  <si>
    <t>SKU-CON-6785</t>
  </si>
  <si>
    <t>PED-00746</t>
  </si>
  <si>
    <t>SKU-ALI-9462</t>
  </si>
  <si>
    <t>PED-00747</t>
  </si>
  <si>
    <t>SKU-ALI-9776</t>
  </si>
  <si>
    <t>PED-00748</t>
  </si>
  <si>
    <t>SKU-AUT-1159</t>
  </si>
  <si>
    <t>PED-00749</t>
  </si>
  <si>
    <t>SKU-CON-5314</t>
  </si>
  <si>
    <t>PED-00750</t>
  </si>
  <si>
    <t>SKU-MAQ-5067</t>
  </si>
  <si>
    <t>PED-00751</t>
  </si>
  <si>
    <t>SKU-ALI-5706</t>
  </si>
  <si>
    <t>PED-00752</t>
  </si>
  <si>
    <t>SKU-CON-2523</t>
  </si>
  <si>
    <t>PED-00753</t>
  </si>
  <si>
    <t>SKU-QUÍ-7536</t>
  </si>
  <si>
    <t>PED-00754</t>
  </si>
  <si>
    <t>SKU-CON-6603</t>
  </si>
  <si>
    <t>PED-00755</t>
  </si>
  <si>
    <t>SKU-TEX-2245</t>
  </si>
  <si>
    <t>PED-00756</t>
  </si>
  <si>
    <t>SKU-AUT-3924</t>
  </si>
  <si>
    <t>PED-00757</t>
  </si>
  <si>
    <t>SKU-QUÍ-8807</t>
  </si>
  <si>
    <t>PED-00758</t>
  </si>
  <si>
    <t>SKU-ELE-6142</t>
  </si>
  <si>
    <t>PED-00759</t>
  </si>
  <si>
    <t>SKU-FAR-6792</t>
  </si>
  <si>
    <t>PED-00760</t>
  </si>
  <si>
    <t>SKU-AUT-4580</t>
  </si>
  <si>
    <t>PED-00761</t>
  </si>
  <si>
    <t>SKU-ELE-5408</t>
  </si>
  <si>
    <t>PED-00762</t>
  </si>
  <si>
    <t>SKU-FAR-3994</t>
  </si>
  <si>
    <t>PED-00763</t>
  </si>
  <si>
    <t>SKU-TEX-4115</t>
  </si>
  <si>
    <t>PED-00764</t>
  </si>
  <si>
    <t>SKU-CON-9175</t>
  </si>
  <si>
    <t>PED-00765</t>
  </si>
  <si>
    <t>SKU-ALI-4271</t>
  </si>
  <si>
    <t>PED-00766</t>
  </si>
  <si>
    <t>SKU-QUÍ-4847</t>
  </si>
  <si>
    <t>PED-00767</t>
  </si>
  <si>
    <t>SKU-MAQ-4965</t>
  </si>
  <si>
    <t>PED-00768</t>
  </si>
  <si>
    <t>SKU-QUÍ-5348</t>
  </si>
  <si>
    <t>PED-00769</t>
  </si>
  <si>
    <t>SKU-TEX-4387</t>
  </si>
  <si>
    <t>PED-00770</t>
  </si>
  <si>
    <t>SKU-ELE-4755</t>
  </si>
  <si>
    <t>PED-00771</t>
  </si>
  <si>
    <t>SKU-MAQ-4322</t>
  </si>
  <si>
    <t>PED-00772</t>
  </si>
  <si>
    <t>SKU-ALI-5091</t>
  </si>
  <si>
    <t>PED-00773</t>
  </si>
  <si>
    <t>SKU-TEX-6833</t>
  </si>
  <si>
    <t>PED-00774</t>
  </si>
  <si>
    <t>SKU-MAQ-3555</t>
  </si>
  <si>
    <t>PED-00775</t>
  </si>
  <si>
    <t>SKU-TEX-2747</t>
  </si>
  <si>
    <t>PED-00776</t>
  </si>
  <si>
    <t>SKU-CON-2964</t>
  </si>
  <si>
    <t>PED-00777</t>
  </si>
  <si>
    <t>SKU-TEX-2285</t>
  </si>
  <si>
    <t>PED-00778</t>
  </si>
  <si>
    <t>SKU-ALI-9071</t>
  </si>
  <si>
    <t>PED-00779</t>
  </si>
  <si>
    <t>SKU-AUT-1108</t>
  </si>
  <si>
    <t>PED-00780</t>
  </si>
  <si>
    <t>SKU-FAR-9871</t>
  </si>
  <si>
    <t>PED-00781</t>
  </si>
  <si>
    <t>SKU-MAQ-1692</t>
  </si>
  <si>
    <t>PED-00782</t>
  </si>
  <si>
    <t>SKU-CON-8901</t>
  </si>
  <si>
    <t>PED-00783</t>
  </si>
  <si>
    <t>SKU-ALI-7081</t>
  </si>
  <si>
    <t>PED-00784</t>
  </si>
  <si>
    <t>SKU-TEX-6167</t>
  </si>
  <si>
    <t>PED-00785</t>
  </si>
  <si>
    <t>SKU-CON-9066</t>
  </si>
  <si>
    <t>PED-00786</t>
  </si>
  <si>
    <t>SKU-ALI-5501</t>
  </si>
  <si>
    <t>PED-00787</t>
  </si>
  <si>
    <t>SKU-AUT-9041</t>
  </si>
  <si>
    <t>PED-00788</t>
  </si>
  <si>
    <t>SKU-CON-3996</t>
  </si>
  <si>
    <t>PED-00789</t>
  </si>
  <si>
    <t>SKU-CON-9374</t>
  </si>
  <si>
    <t>PED-00790</t>
  </si>
  <si>
    <t>SKU-FAR-5591</t>
  </si>
  <si>
    <t>PED-00791</t>
  </si>
  <si>
    <t>SKU-QUÍ-7518</t>
  </si>
  <si>
    <t>PED-00792</t>
  </si>
  <si>
    <t>SKU-MAQ-4638</t>
  </si>
  <si>
    <t>PED-00793</t>
  </si>
  <si>
    <t>SKU-FAR-3101</t>
  </si>
  <si>
    <t>PED-00794</t>
  </si>
  <si>
    <t>SKU-ELE-1887</t>
  </si>
  <si>
    <t>PED-00795</t>
  </si>
  <si>
    <t>SKU-MAQ-9613</t>
  </si>
  <si>
    <t>PED-00796</t>
  </si>
  <si>
    <t>SKU-FAR-7933</t>
  </si>
  <si>
    <t>PED-00797</t>
  </si>
  <si>
    <t>SKU-TEX-8836</t>
  </si>
  <si>
    <t>PED-00798</t>
  </si>
  <si>
    <t>SKU-MAQ-9859</t>
  </si>
  <si>
    <t>PED-00799</t>
  </si>
  <si>
    <t>SKU-MAQ-1533</t>
  </si>
  <si>
    <t>PED-00800</t>
  </si>
  <si>
    <t>SKU-ALI-9232</t>
  </si>
  <si>
    <t>PED-00801</t>
  </si>
  <si>
    <t>SKU-TEX-6689</t>
  </si>
  <si>
    <t>PED-00802</t>
  </si>
  <si>
    <t>SKU-ELE-7450</t>
  </si>
  <si>
    <t>PED-00803</t>
  </si>
  <si>
    <t>SKU-QUÍ-3863</t>
  </si>
  <si>
    <t>PED-00804</t>
  </si>
  <si>
    <t>SKU-CON-8490</t>
  </si>
  <si>
    <t>PED-00805</t>
  </si>
  <si>
    <t>SKU-AUT-2972</t>
  </si>
  <si>
    <t>PED-00806</t>
  </si>
  <si>
    <t>SKU-FAR-9490</t>
  </si>
  <si>
    <t>PED-00807</t>
  </si>
  <si>
    <t>SKU-ALI-8537</t>
  </si>
  <si>
    <t>PED-00808</t>
  </si>
  <si>
    <t>SKU-FAR-6171</t>
  </si>
  <si>
    <t>PED-00809</t>
  </si>
  <si>
    <t>SKU-ELE-1137</t>
  </si>
  <si>
    <t>PED-00810</t>
  </si>
  <si>
    <t>SKU-CON-1193</t>
  </si>
  <si>
    <t>PED-00811</t>
  </si>
  <si>
    <t>SKU-ELE-4452</t>
  </si>
  <si>
    <t>PED-00812</t>
  </si>
  <si>
    <t>SKU-MAQ-7216</t>
  </si>
  <si>
    <t>PED-00813</t>
  </si>
  <si>
    <t>SKU-AUT-2650</t>
  </si>
  <si>
    <t>PED-00814</t>
  </si>
  <si>
    <t>SKU-ELE-6331</t>
  </si>
  <si>
    <t>PED-00815</t>
  </si>
  <si>
    <t>SKU-FAR-6924</t>
  </si>
  <si>
    <t>PED-00816</t>
  </si>
  <si>
    <t>SKU-TEX-5254</t>
  </si>
  <si>
    <t>PED-00817</t>
  </si>
  <si>
    <t>SKU-TEX-4066</t>
  </si>
  <si>
    <t>PED-00818</t>
  </si>
  <si>
    <t>SKU-MAQ-9987</t>
  </si>
  <si>
    <t>PED-00819</t>
  </si>
  <si>
    <t>SKU-QUÍ-5306</t>
  </si>
  <si>
    <t>PED-00820</t>
  </si>
  <si>
    <t>SKU-FAR-4885</t>
  </si>
  <si>
    <t>PED-00821</t>
  </si>
  <si>
    <t>SKU-FAR-5413</t>
  </si>
  <si>
    <t>PED-00822</t>
  </si>
  <si>
    <t>SKU-ELE-8722</t>
  </si>
  <si>
    <t>PED-00823</t>
  </si>
  <si>
    <t>SKU-AUT-6621</t>
  </si>
  <si>
    <t>PED-00824</t>
  </si>
  <si>
    <t>SKU-FAR-6995</t>
  </si>
  <si>
    <t>PED-00825</t>
  </si>
  <si>
    <t>SKU-ALI-4013</t>
  </si>
  <si>
    <t>PED-00826</t>
  </si>
  <si>
    <t>SKU-QUÍ-9171</t>
  </si>
  <si>
    <t>PED-00827</t>
  </si>
  <si>
    <t>SKU-ELE-7945</t>
  </si>
  <si>
    <t>PED-00828</t>
  </si>
  <si>
    <t>SKU-ALI-4449</t>
  </si>
  <si>
    <t>PED-00829</t>
  </si>
  <si>
    <t>SKU-MAQ-7866</t>
  </si>
  <si>
    <t>PED-00830</t>
  </si>
  <si>
    <t>SKU-TEX-7099</t>
  </si>
  <si>
    <t>PED-00831</t>
  </si>
  <si>
    <t>SKU-MAQ-6981</t>
  </si>
  <si>
    <t>PED-00832</t>
  </si>
  <si>
    <t>SKU-TEX-7563</t>
  </si>
  <si>
    <t>PED-00833</t>
  </si>
  <si>
    <t>SKU-MAQ-5581</t>
  </si>
  <si>
    <t>PED-00834</t>
  </si>
  <si>
    <t>SKU-FAR-8384</t>
  </si>
  <si>
    <t>PED-00835</t>
  </si>
  <si>
    <t>SKU-ALI-3947</t>
  </si>
  <si>
    <t>PED-00836</t>
  </si>
  <si>
    <t>SKU-TEX-3148</t>
  </si>
  <si>
    <t>PED-00837</t>
  </si>
  <si>
    <t>SKU-ELE-4744</t>
  </si>
  <si>
    <t>PED-00838</t>
  </si>
  <si>
    <t>SKU-ALI-2636</t>
  </si>
  <si>
    <t>PED-00839</t>
  </si>
  <si>
    <t>SKU-ELE-5422</t>
  </si>
  <si>
    <t>PED-00840</t>
  </si>
  <si>
    <t>SKU-ALI-4863</t>
  </si>
  <si>
    <t>PED-00841</t>
  </si>
  <si>
    <t>SKU-ALI-8081</t>
  </si>
  <si>
    <t>PED-00842</t>
  </si>
  <si>
    <t>SKU-MAQ-7240</t>
  </si>
  <si>
    <t>PED-00843</t>
  </si>
  <si>
    <t>SKU-TEX-4212</t>
  </si>
  <si>
    <t>PED-00844</t>
  </si>
  <si>
    <t>SKU-TEX-3389</t>
  </si>
  <si>
    <t>PED-00845</t>
  </si>
  <si>
    <t>PED-00846</t>
  </si>
  <si>
    <t>SKU-ALI-8749</t>
  </si>
  <si>
    <t>PED-00847</t>
  </si>
  <si>
    <t>SKU-FAR-1159</t>
  </si>
  <si>
    <t>PED-00848</t>
  </si>
  <si>
    <t>SKU-FAR-3893</t>
  </si>
  <si>
    <t>PED-00849</t>
  </si>
  <si>
    <t>SKU-ELE-7906</t>
  </si>
  <si>
    <t>PED-00850</t>
  </si>
  <si>
    <t>SKU-ELE-9185</t>
  </si>
  <si>
    <t>PED-00851</t>
  </si>
  <si>
    <t>SKU-MAQ-3203</t>
  </si>
  <si>
    <t>PED-00852</t>
  </si>
  <si>
    <t>SKU-ALI-9470</t>
  </si>
  <si>
    <t>PED-00853</t>
  </si>
  <si>
    <t>SKU-ELE-9748</t>
  </si>
  <si>
    <t>PED-00854</t>
  </si>
  <si>
    <t>SKU-ELE-6172</t>
  </si>
  <si>
    <t>PED-00855</t>
  </si>
  <si>
    <t>SKU-QUÍ-8972</t>
  </si>
  <si>
    <t>PED-00856</t>
  </si>
  <si>
    <t>SKU-ALI-5915</t>
  </si>
  <si>
    <t>PED-00857</t>
  </si>
  <si>
    <t>SKU-CON-5111</t>
  </si>
  <si>
    <t>PED-00858</t>
  </si>
  <si>
    <t>SKU-MAQ-1781</t>
  </si>
  <si>
    <t>PED-00859</t>
  </si>
  <si>
    <t>SKU-ELE-7527</t>
  </si>
  <si>
    <t>PED-00860</t>
  </si>
  <si>
    <t>SKU-MAQ-2621</t>
  </si>
  <si>
    <t>PED-00861</t>
  </si>
  <si>
    <t>SKU-TEX-3676</t>
  </si>
  <si>
    <t>PED-00862</t>
  </si>
  <si>
    <t>SKU-MAQ-1983</t>
  </si>
  <si>
    <t>PED-00863</t>
  </si>
  <si>
    <t>SKU-CON-4530</t>
  </si>
  <si>
    <t>PED-00864</t>
  </si>
  <si>
    <t>PED-00865</t>
  </si>
  <si>
    <t>SKU-CON-8807</t>
  </si>
  <si>
    <t>PED-00866</t>
  </si>
  <si>
    <t>SKU-FAR-2577</t>
  </si>
  <si>
    <t>PED-00867</t>
  </si>
  <si>
    <t>SKU-MAQ-8370</t>
  </si>
  <si>
    <t>PED-00868</t>
  </si>
  <si>
    <t>SKU-FAR-6483</t>
  </si>
  <si>
    <t>PED-00869</t>
  </si>
  <si>
    <t>SKU-TEX-5256</t>
  </si>
  <si>
    <t>PED-00870</t>
  </si>
  <si>
    <t>SKU-ALI-6914</t>
  </si>
  <si>
    <t>PED-00871</t>
  </si>
  <si>
    <t>SKU-FAR-6903</t>
  </si>
  <si>
    <t>PED-00872</t>
  </si>
  <si>
    <t>SKU-FAR-5222</t>
  </si>
  <si>
    <t>PED-00873</t>
  </si>
  <si>
    <t>SKU-MAQ-6638</t>
  </si>
  <si>
    <t>PED-00874</t>
  </si>
  <si>
    <t>SKU-TEX-1324</t>
  </si>
  <si>
    <t>PED-00875</t>
  </si>
  <si>
    <t>SKU-AUT-7746</t>
  </si>
  <si>
    <t>PED-00876</t>
  </si>
  <si>
    <t>SKU-AUT-2986</t>
  </si>
  <si>
    <t>PED-00877</t>
  </si>
  <si>
    <t>SKU-AUT-6752</t>
  </si>
  <si>
    <t>PED-00878</t>
  </si>
  <si>
    <t>SKU-AUT-4259</t>
  </si>
  <si>
    <t>PED-00879</t>
  </si>
  <si>
    <t>SKU-ALI-9821</t>
  </si>
  <si>
    <t>PED-00880</t>
  </si>
  <si>
    <t>SKU-CON-3859</t>
  </si>
  <si>
    <t>PED-00881</t>
  </si>
  <si>
    <t>SKU-MAQ-5663</t>
  </si>
  <si>
    <t>PED-00882</t>
  </si>
  <si>
    <t>SKU-MAQ-6818</t>
  </si>
  <si>
    <t>PED-00883</t>
  </si>
  <si>
    <t>SKU-QUÍ-6326</t>
  </si>
  <si>
    <t>PED-00884</t>
  </si>
  <si>
    <t>SKU-TEX-9363</t>
  </si>
  <si>
    <t>PED-00885</t>
  </si>
  <si>
    <t>SKU-AUT-8987</t>
  </si>
  <si>
    <t>PED-00886</t>
  </si>
  <si>
    <t>SKU-ALI-8322</t>
  </si>
  <si>
    <t>PED-00887</t>
  </si>
  <si>
    <t>SKU-TEX-2284</t>
  </si>
  <si>
    <t>PED-00888</t>
  </si>
  <si>
    <t>SKU-AUT-7243</t>
  </si>
  <si>
    <t>PED-00889</t>
  </si>
  <si>
    <t>SKU-ALI-5694</t>
  </si>
  <si>
    <t>PED-00890</t>
  </si>
  <si>
    <t>SKU-TEX-8598</t>
  </si>
  <si>
    <t>PED-00891</t>
  </si>
  <si>
    <t>SKU-MAQ-3373</t>
  </si>
  <si>
    <t>PED-00892</t>
  </si>
  <si>
    <t>SKU-MAQ-3745</t>
  </si>
  <si>
    <t>PED-00893</t>
  </si>
  <si>
    <t>SKU-CON-6527</t>
  </si>
  <si>
    <t>PED-00894</t>
  </si>
  <si>
    <t>SKU-ELE-7911</t>
  </si>
  <si>
    <t>PED-00895</t>
  </si>
  <si>
    <t>SKU-CON-7631</t>
  </si>
  <si>
    <t>PED-00896</t>
  </si>
  <si>
    <t>SKU-FAR-2168</t>
  </si>
  <si>
    <t>PED-00897</t>
  </si>
  <si>
    <t>SKU-CON-2296</t>
  </si>
  <si>
    <t>PED-00898</t>
  </si>
  <si>
    <t>SKU-AUT-3654</t>
  </si>
  <si>
    <t>PED-00899</t>
  </si>
  <si>
    <t>SKU-QUÍ-6629</t>
  </si>
  <si>
    <t>PED-00900</t>
  </si>
  <si>
    <t>SKU-TEX-4739</t>
  </si>
  <si>
    <t>PED-00901</t>
  </si>
  <si>
    <t>SKU-QUÍ-6136</t>
  </si>
  <si>
    <t>PED-00902</t>
  </si>
  <si>
    <t>SKU-ELE-6191</t>
  </si>
  <si>
    <t>PED-00903</t>
  </si>
  <si>
    <t>SKU-FAR-5773</t>
  </si>
  <si>
    <t>PED-00904</t>
  </si>
  <si>
    <t>SKU-TEX-5382</t>
  </si>
  <si>
    <t>PED-00905</t>
  </si>
  <si>
    <t>SKU-ALI-7479</t>
  </si>
  <si>
    <t>PED-00906</t>
  </si>
  <si>
    <t>SKU-AUT-5444</t>
  </si>
  <si>
    <t>PED-00907</t>
  </si>
  <si>
    <t>SKU-FAR-8289</t>
  </si>
  <si>
    <t>PED-00908</t>
  </si>
  <si>
    <t>SKU-MAQ-6950</t>
  </si>
  <si>
    <t>PED-00909</t>
  </si>
  <si>
    <t>SKU-ELE-9535</t>
  </si>
  <si>
    <t>PED-00910</t>
  </si>
  <si>
    <t>SKU-FAR-8377</t>
  </si>
  <si>
    <t>PED-00911</t>
  </si>
  <si>
    <t>SKU-AUT-7782</t>
  </si>
  <si>
    <t>PED-00912</t>
  </si>
  <si>
    <t>SKU-CON-3741</t>
  </si>
  <si>
    <t>PED-00913</t>
  </si>
  <si>
    <t>SKU-FAR-4012</t>
  </si>
  <si>
    <t>PED-00914</t>
  </si>
  <si>
    <t>SKU-CON-1378</t>
  </si>
  <si>
    <t>PED-00915</t>
  </si>
  <si>
    <t>SKU-AUT-3048</t>
  </si>
  <si>
    <t>PED-00916</t>
  </si>
  <si>
    <t>SKU-MAQ-4844</t>
  </si>
  <si>
    <t>PED-00917</t>
  </si>
  <si>
    <t>SKU-TEX-5122</t>
  </si>
  <si>
    <t>PED-00918</t>
  </si>
  <si>
    <t>PED-00919</t>
  </si>
  <si>
    <t>SKU-MAQ-4450</t>
  </si>
  <si>
    <t>PED-00920</t>
  </si>
  <si>
    <t>SKU-CON-3734</t>
  </si>
  <si>
    <t>PED-00921</t>
  </si>
  <si>
    <t>SKU-CON-7505</t>
  </si>
  <si>
    <t>PED-00922</t>
  </si>
  <si>
    <t>SKU-ALI-2687</t>
  </si>
  <si>
    <t>PED-00923</t>
  </si>
  <si>
    <t>SKU-TEX-2565</t>
  </si>
  <si>
    <t>PED-00924</t>
  </si>
  <si>
    <t>SKU-FAR-2045</t>
  </si>
  <si>
    <t>PED-00925</t>
  </si>
  <si>
    <t>SKU-ALI-8752</t>
  </si>
  <si>
    <t>PED-00926</t>
  </si>
  <si>
    <t>SKU-ELE-9985</t>
  </si>
  <si>
    <t>PED-00927</t>
  </si>
  <si>
    <t>SKU-ELE-1881</t>
  </si>
  <si>
    <t>PED-00928</t>
  </si>
  <si>
    <t>SKU-AUT-1431</t>
  </si>
  <si>
    <t>PED-00929</t>
  </si>
  <si>
    <t>SKU-MAQ-7504</t>
  </si>
  <si>
    <t>PED-00930</t>
  </si>
  <si>
    <t>SKU-CON-9584</t>
  </si>
  <si>
    <t>PED-00931</t>
  </si>
  <si>
    <t>SKU-TEX-2363</t>
  </si>
  <si>
    <t>PED-00932</t>
  </si>
  <si>
    <t>SKU-AUT-2702</t>
  </si>
  <si>
    <t>PED-00933</t>
  </si>
  <si>
    <t>SKU-MAQ-5300</t>
  </si>
  <si>
    <t>PED-00934</t>
  </si>
  <si>
    <t>SKU-MAQ-3544</t>
  </si>
  <si>
    <t>PED-00935</t>
  </si>
  <si>
    <t>SKU-AUT-2381</t>
  </si>
  <si>
    <t>PED-00936</t>
  </si>
  <si>
    <t>SKU-QUÍ-7387</t>
  </si>
  <si>
    <t>PED-00937</t>
  </si>
  <si>
    <t>SKU-MAQ-6068</t>
  </si>
  <si>
    <t>PED-00938</t>
  </si>
  <si>
    <t>SKU-QUÍ-4757</t>
  </si>
  <si>
    <t>PED-00939</t>
  </si>
  <si>
    <t>SKU-ELE-5053</t>
  </si>
  <si>
    <t>PED-00940</t>
  </si>
  <si>
    <t>SKU-ELE-5655</t>
  </si>
  <si>
    <t>PED-00941</t>
  </si>
  <si>
    <t>SKU-MAQ-8260</t>
  </si>
  <si>
    <t>PED-00942</t>
  </si>
  <si>
    <t>SKU-ELE-3071</t>
  </si>
  <si>
    <t>PED-00943</t>
  </si>
  <si>
    <t>SKU-TEX-3150</t>
  </si>
  <si>
    <t>PED-00944</t>
  </si>
  <si>
    <t>SKU-QUÍ-9630</t>
  </si>
  <si>
    <t>PED-00945</t>
  </si>
  <si>
    <t>SKU-QUÍ-3795</t>
  </si>
  <si>
    <t>PED-00946</t>
  </si>
  <si>
    <t>SKU-MAQ-1468</t>
  </si>
  <si>
    <t>PED-00947</t>
  </si>
  <si>
    <t>SKU-ELE-1575</t>
  </si>
  <si>
    <t>PED-00948</t>
  </si>
  <si>
    <t>SKU-ALI-6846</t>
  </si>
  <si>
    <t>PED-00949</t>
  </si>
  <si>
    <t>SKU-CON-6328</t>
  </si>
  <si>
    <t>PED-00950</t>
  </si>
  <si>
    <t>SKU-AUT-8801</t>
  </si>
  <si>
    <t>PED-00951</t>
  </si>
  <si>
    <t>SKU-AUT-8654</t>
  </si>
  <si>
    <t>PED-00952</t>
  </si>
  <si>
    <t>SKU-QUÍ-9856</t>
  </si>
  <si>
    <t>PED-00953</t>
  </si>
  <si>
    <t>SKU-MAQ-5463</t>
  </si>
  <si>
    <t>PED-00954</t>
  </si>
  <si>
    <t>PED-00955</t>
  </si>
  <si>
    <t>SKU-TEX-8288</t>
  </si>
  <si>
    <t>PED-00956</t>
  </si>
  <si>
    <t>SKU-FAR-3213</t>
  </si>
  <si>
    <t>PED-00957</t>
  </si>
  <si>
    <t>SKU-CON-9835</t>
  </si>
  <si>
    <t>PED-00958</t>
  </si>
  <si>
    <t>SKU-FAR-3900</t>
  </si>
  <si>
    <t>PED-00959</t>
  </si>
  <si>
    <t>SKU-QUÍ-8480</t>
  </si>
  <si>
    <t>PED-00960</t>
  </si>
  <si>
    <t>SKU-AUT-8126</t>
  </si>
  <si>
    <t>PED-00961</t>
  </si>
  <si>
    <t>SKU-TEX-9576</t>
  </si>
  <si>
    <t>PED-00962</t>
  </si>
  <si>
    <t>SKU-TEX-9745</t>
  </si>
  <si>
    <t>PED-00963</t>
  </si>
  <si>
    <t>SKU-TEX-6073</t>
  </si>
  <si>
    <t>PED-00964</t>
  </si>
  <si>
    <t>SKU-QUÍ-6688</t>
  </si>
  <si>
    <t>PED-00965</t>
  </si>
  <si>
    <t>SKU-FAR-8891</t>
  </si>
  <si>
    <t>PED-00966</t>
  </si>
  <si>
    <t>SKU-AUT-9841</t>
  </si>
  <si>
    <t>PED-00967</t>
  </si>
  <si>
    <t>SKU-TEX-4721</t>
  </si>
  <si>
    <t>PED-00968</t>
  </si>
  <si>
    <t>SKU-AUT-2467</t>
  </si>
  <si>
    <t>PED-00969</t>
  </si>
  <si>
    <t>SKU-ELE-8239</t>
  </si>
  <si>
    <t>PED-00970</t>
  </si>
  <si>
    <t>SKU-MAQ-6044</t>
  </si>
  <si>
    <t>PED-00971</t>
  </si>
  <si>
    <t>SKU-MAQ-6992</t>
  </si>
  <si>
    <t>PED-00972</t>
  </si>
  <si>
    <t>SKU-AUT-7753</t>
  </si>
  <si>
    <t>PED-00973</t>
  </si>
  <si>
    <t>SKU-ALI-5256</t>
  </si>
  <si>
    <t>PED-00974</t>
  </si>
  <si>
    <t>SKU-ALI-3551</t>
  </si>
  <si>
    <t>PED-00975</t>
  </si>
  <si>
    <t>SKU-QUÍ-5973</t>
  </si>
  <si>
    <t>PED-00976</t>
  </si>
  <si>
    <t>SKU-QUÍ-1172</t>
  </si>
  <si>
    <t>PED-00977</t>
  </si>
  <si>
    <t>SKU-MAQ-1001</t>
  </si>
  <si>
    <t>PED-00978</t>
  </si>
  <si>
    <t>SKU-ELE-9574</t>
  </si>
  <si>
    <t>PED-00979</t>
  </si>
  <si>
    <t>SKU-CON-3233</t>
  </si>
  <si>
    <t>PED-00980</t>
  </si>
  <si>
    <t>SKU-FAR-6634</t>
  </si>
  <si>
    <t>PED-00981</t>
  </si>
  <si>
    <t>SKU-FAR-5698</t>
  </si>
  <si>
    <t>PED-00982</t>
  </si>
  <si>
    <t>SKU-QUÍ-8687</t>
  </si>
  <si>
    <t>PED-00983</t>
  </si>
  <si>
    <t>SKU-ELE-9767</t>
  </si>
  <si>
    <t>PED-00984</t>
  </si>
  <si>
    <t>SKU-QUÍ-1136</t>
  </si>
  <si>
    <t>PED-00985</t>
  </si>
  <si>
    <t>SKU-CON-9059</t>
  </si>
  <si>
    <t>PED-00986</t>
  </si>
  <si>
    <t>SKU-FAR-8816</t>
  </si>
  <si>
    <t>PED-00987</t>
  </si>
  <si>
    <t>SKU-AUT-5908</t>
  </si>
  <si>
    <t>PED-00988</t>
  </si>
  <si>
    <t>SKU-QUÍ-1149</t>
  </si>
  <si>
    <t>PED-00989</t>
  </si>
  <si>
    <t>SKU-TEX-8052</t>
  </si>
  <si>
    <t>PED-00990</t>
  </si>
  <si>
    <t>SKU-AUT-5799</t>
  </si>
  <si>
    <t>PED-00991</t>
  </si>
  <si>
    <t>SKU-CON-4788</t>
  </si>
  <si>
    <t>PED-00992</t>
  </si>
  <si>
    <t>SKU-CON-1118</t>
  </si>
  <si>
    <t>PED-00993</t>
  </si>
  <si>
    <t>SKU-QUÍ-9981</t>
  </si>
  <si>
    <t>PED-00994</t>
  </si>
  <si>
    <t>SKU-MAQ-7121</t>
  </si>
  <si>
    <t>PED-00995</t>
  </si>
  <si>
    <t>SKU-QUÍ-4089</t>
  </si>
  <si>
    <t>PED-00996</t>
  </si>
  <si>
    <t>SKU-MAQ-7745</t>
  </si>
  <si>
    <t>PED-00997</t>
  </si>
  <si>
    <t>SKU-CON-8161</t>
  </si>
  <si>
    <t>PED-00998</t>
  </si>
  <si>
    <t>SKU-ELE-7467</t>
  </si>
  <si>
    <t>PED-00999</t>
  </si>
  <si>
    <t>SKU-CON-5094</t>
  </si>
  <si>
    <t>PED-01000</t>
  </si>
  <si>
    <t>SKU-FAR-3675</t>
  </si>
  <si>
    <t>PED-01001</t>
  </si>
  <si>
    <t>SKU-AUT-7385</t>
  </si>
  <si>
    <t>PED-01002</t>
  </si>
  <si>
    <t>SKU-AUT-7199</t>
  </si>
  <si>
    <t>PED-01003</t>
  </si>
  <si>
    <t>SKU-ALI-4614</t>
  </si>
  <si>
    <t>PED-01004</t>
  </si>
  <si>
    <t>SKU-ALI-5308</t>
  </si>
  <si>
    <t>PED-01005</t>
  </si>
  <si>
    <t>SKU-CON-2297</t>
  </si>
  <si>
    <t>PED-01006</t>
  </si>
  <si>
    <t>SKU-FAR-7917</t>
  </si>
  <si>
    <t>PED-01007</t>
  </si>
  <si>
    <t>SKU-ALI-4924</t>
  </si>
  <si>
    <t>PED-01008</t>
  </si>
  <si>
    <t>SKU-AUT-9464</t>
  </si>
  <si>
    <t>PED-01009</t>
  </si>
  <si>
    <t>SKU-QUÍ-5454</t>
  </si>
  <si>
    <t>PED-01010</t>
  </si>
  <si>
    <t>SKU-ELE-5664</t>
  </si>
  <si>
    <t>PED-01011</t>
  </si>
  <si>
    <t>SKU-ELE-9715</t>
  </si>
  <si>
    <t>PED-01012</t>
  </si>
  <si>
    <t>SKU-FAR-5404</t>
  </si>
  <si>
    <t>PED-01013</t>
  </si>
  <si>
    <t>SKU-CON-7765</t>
  </si>
  <si>
    <t>PED-01014</t>
  </si>
  <si>
    <t>SKU-ALI-4080</t>
  </si>
  <si>
    <t>PED-01015</t>
  </si>
  <si>
    <t>SKU-QUÍ-2121</t>
  </si>
  <si>
    <t>PED-01016</t>
  </si>
  <si>
    <t>SKU-ELE-3988</t>
  </si>
  <si>
    <t>PED-01017</t>
  </si>
  <si>
    <t>SKU-ELE-3238</t>
  </si>
  <si>
    <t>PED-01018</t>
  </si>
  <si>
    <t>SKU-TEX-5744</t>
  </si>
  <si>
    <t>PED-01019</t>
  </si>
  <si>
    <t>SKU-CON-2808</t>
  </si>
  <si>
    <t>PED-01020</t>
  </si>
  <si>
    <t>SKU-TEX-8460</t>
  </si>
  <si>
    <t>PED-01021</t>
  </si>
  <si>
    <t>SKU-AUT-8418</t>
  </si>
  <si>
    <t>PED-01022</t>
  </si>
  <si>
    <t>SKU-ELE-5458</t>
  </si>
  <si>
    <t>PED-01023</t>
  </si>
  <si>
    <t>SKU-FAR-9060</t>
  </si>
  <si>
    <t>PED-01024</t>
  </si>
  <si>
    <t>SKU-MAQ-4076</t>
  </si>
  <si>
    <t>PED-01025</t>
  </si>
  <si>
    <t>SKU-MAQ-6253</t>
  </si>
  <si>
    <t>PED-01026</t>
  </si>
  <si>
    <t>SKU-QUÍ-1317</t>
  </si>
  <si>
    <t>PED-01027</t>
  </si>
  <si>
    <t>SKU-ELE-3492</t>
  </si>
  <si>
    <t>PED-01028</t>
  </si>
  <si>
    <t>SKU-ELE-1813</t>
  </si>
  <si>
    <t>PED-01029</t>
  </si>
  <si>
    <t>SKU-AUT-9764</t>
  </si>
  <si>
    <t>PED-01030</t>
  </si>
  <si>
    <t>SKU-ELE-1362</t>
  </si>
  <si>
    <t>PED-01031</t>
  </si>
  <si>
    <t>SKU-FAR-4046</t>
  </si>
  <si>
    <t>PED-01032</t>
  </si>
  <si>
    <t>SKU-TEX-2675</t>
  </si>
  <si>
    <t>PED-01033</t>
  </si>
  <si>
    <t>SKU-ELE-5622</t>
  </si>
  <si>
    <t>PED-01034</t>
  </si>
  <si>
    <t>SKU-ELE-5410</t>
  </si>
  <si>
    <t>PED-01035</t>
  </si>
  <si>
    <t>PED-01036</t>
  </si>
  <si>
    <t>SKU-CON-8183</t>
  </si>
  <si>
    <t>PED-01037</t>
  </si>
  <si>
    <t>SKU-ALI-1134</t>
  </si>
  <si>
    <t>PED-01038</t>
  </si>
  <si>
    <t>SKU-CON-4814</t>
  </si>
  <si>
    <t>PED-01039</t>
  </si>
  <si>
    <t>SKU-AUT-2477</t>
  </si>
  <si>
    <t>PED-01040</t>
  </si>
  <si>
    <t>SKU-CON-3468</t>
  </si>
  <si>
    <t>PED-01041</t>
  </si>
  <si>
    <t>SKU-AUT-1241</t>
  </si>
  <si>
    <t>PED-01042</t>
  </si>
  <si>
    <t>SKU-FAR-9086</t>
  </si>
  <si>
    <t>PED-01043</t>
  </si>
  <si>
    <t>SKU-QUÍ-4558</t>
  </si>
  <si>
    <t>PED-01044</t>
  </si>
  <si>
    <t>SKU-ELE-6601</t>
  </si>
  <si>
    <t>PED-01045</t>
  </si>
  <si>
    <t>SKU-AUT-7885</t>
  </si>
  <si>
    <t>PED-01046</t>
  </si>
  <si>
    <t>SKU-AUT-6104</t>
  </si>
  <si>
    <t>PED-01047</t>
  </si>
  <si>
    <t>SKU-ALI-9165</t>
  </si>
  <si>
    <t>PED-01048</t>
  </si>
  <si>
    <t>SKU-AUT-7084</t>
  </si>
  <si>
    <t>PED-01049</t>
  </si>
  <si>
    <t>SKU-MAQ-8597</t>
  </si>
  <si>
    <t>PED-01050</t>
  </si>
  <si>
    <t>SKU-QUÍ-1519</t>
  </si>
  <si>
    <t>PED-01051</t>
  </si>
  <si>
    <t>SKU-ELE-6410</t>
  </si>
  <si>
    <t>PED-01052</t>
  </si>
  <si>
    <t>SKU-ELE-2314</t>
  </si>
  <si>
    <t>PED-01053</t>
  </si>
  <si>
    <t>SKU-ALI-3393</t>
  </si>
  <si>
    <t>PED-01054</t>
  </si>
  <si>
    <t>SKU-FAR-1918</t>
  </si>
  <si>
    <t>PED-01055</t>
  </si>
  <si>
    <t>SKU-ELE-5366</t>
  </si>
  <si>
    <t>PED-01056</t>
  </si>
  <si>
    <t>SKU-MAQ-7429</t>
  </si>
  <si>
    <t>PED-01057</t>
  </si>
  <si>
    <t>SKU-ELE-2169</t>
  </si>
  <si>
    <t>PED-01058</t>
  </si>
  <si>
    <t>SKU-MAQ-9899</t>
  </si>
  <si>
    <t>PED-01059</t>
  </si>
  <si>
    <t>SKU-QUÍ-8702</t>
  </si>
  <si>
    <t>PED-01060</t>
  </si>
  <si>
    <t>SKU-QUÍ-3975</t>
  </si>
  <si>
    <t>PED-01061</t>
  </si>
  <si>
    <t>SKU-TEX-4148</t>
  </si>
  <si>
    <t>PED-01062</t>
  </si>
  <si>
    <t>SKU-TEX-5097</t>
  </si>
  <si>
    <t>PED-01063</t>
  </si>
  <si>
    <t>SKU-MAQ-7251</t>
  </si>
  <si>
    <t>PED-01064</t>
  </si>
  <si>
    <t>SKU-FAR-1206</t>
  </si>
  <si>
    <t>PED-01065</t>
  </si>
  <si>
    <t>SKU-ELE-2998</t>
  </si>
  <si>
    <t>PED-01066</t>
  </si>
  <si>
    <t>SKU-AUT-5078</t>
  </si>
  <si>
    <t>PED-01067</t>
  </si>
  <si>
    <t>SKU-ELE-7304</t>
  </si>
  <si>
    <t>PED-01068</t>
  </si>
  <si>
    <t>SKU-TEX-8257</t>
  </si>
  <si>
    <t>PED-01069</t>
  </si>
  <si>
    <t>SKU-CON-5049</t>
  </si>
  <si>
    <t>PED-01070</t>
  </si>
  <si>
    <t>SKU-AUT-1549</t>
  </si>
  <si>
    <t>PED-01071</t>
  </si>
  <si>
    <t>SKU-MAQ-4263</t>
  </si>
  <si>
    <t>PED-01072</t>
  </si>
  <si>
    <t>SKU-AUT-8550</t>
  </si>
  <si>
    <t>PED-01073</t>
  </si>
  <si>
    <t>SKU-CON-2539</t>
  </si>
  <si>
    <t>PED-01074</t>
  </si>
  <si>
    <t>SKU-ELE-9538</t>
  </si>
  <si>
    <t>PED-01075</t>
  </si>
  <si>
    <t>SKU-ELE-4415</t>
  </si>
  <si>
    <t>PED-01076</t>
  </si>
  <si>
    <t>SKU-FAR-8746</t>
  </si>
  <si>
    <t>PED-01077</t>
  </si>
  <si>
    <t>SKU-ALI-7375</t>
  </si>
  <si>
    <t>PED-01078</t>
  </si>
  <si>
    <t>SKU-AUT-6113</t>
  </si>
  <si>
    <t>PED-01079</t>
  </si>
  <si>
    <t>SKU-TEX-6293</t>
  </si>
  <si>
    <t>PED-01080</t>
  </si>
  <si>
    <t>SKU-CON-3598</t>
  </si>
  <si>
    <t>PED-01081</t>
  </si>
  <si>
    <t>SKU-CON-1691</t>
  </si>
  <si>
    <t>PED-01082</t>
  </si>
  <si>
    <t>SKU-CON-9534</t>
  </si>
  <si>
    <t>PED-01083</t>
  </si>
  <si>
    <t>SKU-TEX-3001</t>
  </si>
  <si>
    <t>PED-01084</t>
  </si>
  <si>
    <t>SKU-ALI-5150</t>
  </si>
  <si>
    <t>PED-01085</t>
  </si>
  <si>
    <t>SKU-ELE-8884</t>
  </si>
  <si>
    <t>PED-01086</t>
  </si>
  <si>
    <t>SKU-FAR-5895</t>
  </si>
  <si>
    <t>PED-01087</t>
  </si>
  <si>
    <t>SKU-FAR-4255</t>
  </si>
  <si>
    <t>PED-01088</t>
  </si>
  <si>
    <t>SKU-TEX-6905</t>
  </si>
  <si>
    <t>PED-01089</t>
  </si>
  <si>
    <t>SKU-FAR-1853</t>
  </si>
  <si>
    <t>PED-01090</t>
  </si>
  <si>
    <t>SKU-CON-4568</t>
  </si>
  <si>
    <t>PED-01091</t>
  </si>
  <si>
    <t>SKU-QUÍ-2850</t>
  </si>
  <si>
    <t>PED-01092</t>
  </si>
  <si>
    <t>SKU-ALI-4866</t>
  </si>
  <si>
    <t>PED-01093</t>
  </si>
  <si>
    <t>SKU-ELE-8113</t>
  </si>
  <si>
    <t>PED-01094</t>
  </si>
  <si>
    <t>SKU-QUÍ-6316</t>
  </si>
  <si>
    <t>PED-01095</t>
  </si>
  <si>
    <t>SKU-ALI-1246</t>
  </si>
  <si>
    <t>PED-01096</t>
  </si>
  <si>
    <t>SKU-MAQ-3742</t>
  </si>
  <si>
    <t>PED-01097</t>
  </si>
  <si>
    <t>SKU-AUT-5523</t>
  </si>
  <si>
    <t>PED-01098</t>
  </si>
  <si>
    <t>SKU-TEX-2960</t>
  </si>
  <si>
    <t>PED-01099</t>
  </si>
  <si>
    <t>SKU-CON-7484</t>
  </si>
  <si>
    <t>PED-01100</t>
  </si>
  <si>
    <t>SKU-FAR-4982</t>
  </si>
  <si>
    <t>PED-01101</t>
  </si>
  <si>
    <t>SKU-MAQ-1146</t>
  </si>
  <si>
    <t>PED-01102</t>
  </si>
  <si>
    <t>SKU-FAR-1688</t>
  </si>
  <si>
    <t>PED-01103</t>
  </si>
  <si>
    <t>SKU-QUÍ-8786</t>
  </si>
  <si>
    <t>PED-01104</t>
  </si>
  <si>
    <t>SKU-ELE-3539</t>
  </si>
  <si>
    <t>PED-01105</t>
  </si>
  <si>
    <t>SKU-ELE-7084</t>
  </si>
  <si>
    <t>PED-01106</t>
  </si>
  <si>
    <t>SKU-ELE-2466</t>
  </si>
  <si>
    <t>PED-01107</t>
  </si>
  <si>
    <t>SKU-CON-5075</t>
  </si>
  <si>
    <t>PED-01108</t>
  </si>
  <si>
    <t>SKU-FAR-3583</t>
  </si>
  <si>
    <t>PED-01109</t>
  </si>
  <si>
    <t>SKU-MAQ-9190</t>
  </si>
  <si>
    <t>PED-01110</t>
  </si>
  <si>
    <t>SKU-ELE-2497</t>
  </si>
  <si>
    <t>PED-01111</t>
  </si>
  <si>
    <t>SKU-MAQ-6544</t>
  </si>
  <si>
    <t>PED-01112</t>
  </si>
  <si>
    <t>SKU-FAR-1983</t>
  </si>
  <si>
    <t>PED-01113</t>
  </si>
  <si>
    <t>SKU-CON-1979</t>
  </si>
  <si>
    <t>PED-01114</t>
  </si>
  <si>
    <t>SKU-QUÍ-6824</t>
  </si>
  <si>
    <t>PED-01115</t>
  </si>
  <si>
    <t>SKU-CON-3521</t>
  </si>
  <si>
    <t>PED-01116</t>
  </si>
  <si>
    <t>SKU-MAQ-9787</t>
  </si>
  <si>
    <t>PED-01117</t>
  </si>
  <si>
    <t>SKU-CON-2759</t>
  </si>
  <si>
    <t>PED-01118</t>
  </si>
  <si>
    <t>SKU-CON-3061</t>
  </si>
  <si>
    <t>PED-01119</t>
  </si>
  <si>
    <t>SKU-QUÍ-8992</t>
  </si>
  <si>
    <t>PED-01120</t>
  </si>
  <si>
    <t>SKU-FAR-4812</t>
  </si>
  <si>
    <t>PED-01121</t>
  </si>
  <si>
    <t>SKU-FAR-6189</t>
  </si>
  <si>
    <t>PED-01122</t>
  </si>
  <si>
    <t>SKU-TEX-6690</t>
  </si>
  <si>
    <t>PED-01123</t>
  </si>
  <si>
    <t>SKU-CON-8187</t>
  </si>
  <si>
    <t>PED-01124</t>
  </si>
  <si>
    <t>SKU-FAR-4161</t>
  </si>
  <si>
    <t>PED-01125</t>
  </si>
  <si>
    <t>SKU-FAR-1349</t>
  </si>
  <si>
    <t>PED-01126</t>
  </si>
  <si>
    <t>SKU-ALI-7189</t>
  </si>
  <si>
    <t>PED-01127</t>
  </si>
  <si>
    <t>SKU-ELE-6868</t>
  </si>
  <si>
    <t>PED-01128</t>
  </si>
  <si>
    <t>SKU-TEX-3207</t>
  </si>
  <si>
    <t>PED-01129</t>
  </si>
  <si>
    <t>SKU-AUT-5107</t>
  </si>
  <si>
    <t>PED-01130</t>
  </si>
  <si>
    <t>SKU-TEX-1646</t>
  </si>
  <si>
    <t>PED-01131</t>
  </si>
  <si>
    <t>SKU-TEX-8951</t>
  </si>
  <si>
    <t>PED-01132</t>
  </si>
  <si>
    <t>SKU-AUT-8168</t>
  </si>
  <si>
    <t>PED-01133</t>
  </si>
  <si>
    <t>SKU-ALI-5828</t>
  </si>
  <si>
    <t>PED-01134</t>
  </si>
  <si>
    <t>SKU-CON-9892</t>
  </si>
  <si>
    <t>PED-01135</t>
  </si>
  <si>
    <t>SKU-QUÍ-9029</t>
  </si>
  <si>
    <t>PED-01136</t>
  </si>
  <si>
    <t>SKU-FAR-4109</t>
  </si>
  <si>
    <t>PED-01137</t>
  </si>
  <si>
    <t>SKU-ELE-4057</t>
  </si>
  <si>
    <t>PED-01138</t>
  </si>
  <si>
    <t>SKU-MAQ-9906</t>
  </si>
  <si>
    <t>PED-01139</t>
  </si>
  <si>
    <t>SKU-CON-6696</t>
  </si>
  <si>
    <t>PED-01140</t>
  </si>
  <si>
    <t>SKU-AUT-6303</t>
  </si>
  <si>
    <t>PED-01141</t>
  </si>
  <si>
    <t>SKU-QUÍ-8674</t>
  </si>
  <si>
    <t>PED-01142</t>
  </si>
  <si>
    <t>SKU-CON-5510</t>
  </si>
  <si>
    <t>PED-01143</t>
  </si>
  <si>
    <t>SKU-AUT-3627</t>
  </si>
  <si>
    <t>PED-01144</t>
  </si>
  <si>
    <t>SKU-FAR-2128</t>
  </si>
  <si>
    <t>PED-01145</t>
  </si>
  <si>
    <t>SKU-ALI-9702</t>
  </si>
  <si>
    <t>PED-01146</t>
  </si>
  <si>
    <t>SKU-CON-3539</t>
  </si>
  <si>
    <t>PED-01147</t>
  </si>
  <si>
    <t>SKU-AUT-8362</t>
  </si>
  <si>
    <t>PED-01148</t>
  </si>
  <si>
    <t>SKU-FAR-5844</t>
  </si>
  <si>
    <t>PED-01149</t>
  </si>
  <si>
    <t>SKU-FAR-5314</t>
  </si>
  <si>
    <t>PED-01150</t>
  </si>
  <si>
    <t>SKU-ALI-9873</t>
  </si>
  <si>
    <t>PED-01151</t>
  </si>
  <si>
    <t>SKU-TEX-7014</t>
  </si>
  <si>
    <t>PED-01152</t>
  </si>
  <si>
    <t>SKU-CON-8439</t>
  </si>
  <si>
    <t>PED-01153</t>
  </si>
  <si>
    <t>SKU-CON-1011</t>
  </si>
  <si>
    <t>PED-01154</t>
  </si>
  <si>
    <t>SKU-TEX-9289</t>
  </si>
  <si>
    <t>PED-01155</t>
  </si>
  <si>
    <t>SKU-ELE-7210</t>
  </si>
  <si>
    <t>PED-01156</t>
  </si>
  <si>
    <t>SKU-ELE-4039</t>
  </si>
  <si>
    <t>PED-01157</t>
  </si>
  <si>
    <t>SKU-TEX-1306</t>
  </si>
  <si>
    <t>PED-01158</t>
  </si>
  <si>
    <t>SKU-QUÍ-6965</t>
  </si>
  <si>
    <t>PED-01159</t>
  </si>
  <si>
    <t>SKU-MAQ-4912</t>
  </si>
  <si>
    <t>PED-01160</t>
  </si>
  <si>
    <t>SKU-FAR-6254</t>
  </si>
  <si>
    <t>PED-01161</t>
  </si>
  <si>
    <t>SKU-MAQ-2037</t>
  </si>
  <si>
    <t>PED-01162</t>
  </si>
  <si>
    <t>SKU-FAR-9830</t>
  </si>
  <si>
    <t>PED-01163</t>
  </si>
  <si>
    <t>SKU-TEX-7348</t>
  </si>
  <si>
    <t>PED-01164</t>
  </si>
  <si>
    <t>SKU-ELE-4110</t>
  </si>
  <si>
    <t>PED-01165</t>
  </si>
  <si>
    <t>SKU-QUÍ-9586</t>
  </si>
  <si>
    <t>PED-01166</t>
  </si>
  <si>
    <t>SKU-ELE-9151</t>
  </si>
  <si>
    <t>PED-01167</t>
  </si>
  <si>
    <t>SKU-MAQ-3525</t>
  </si>
  <si>
    <t>PED-01168</t>
  </si>
  <si>
    <t>SKU-ELE-5638</t>
  </si>
  <si>
    <t>PED-01169</t>
  </si>
  <si>
    <t>SKU-TEX-6285</t>
  </si>
  <si>
    <t>PED-01170</t>
  </si>
  <si>
    <t>SKU-QUÍ-7714</t>
  </si>
  <si>
    <t>PED-01171</t>
  </si>
  <si>
    <t>SKU-MAQ-6276</t>
  </si>
  <si>
    <t>PED-01172</t>
  </si>
  <si>
    <t>SKU-QUÍ-2809</t>
  </si>
  <si>
    <t>PED-01173</t>
  </si>
  <si>
    <t>SKU-CON-2577</t>
  </si>
  <si>
    <t>PED-01174</t>
  </si>
  <si>
    <t>SKU-FAR-9572</t>
  </si>
  <si>
    <t>PED-01175</t>
  </si>
  <si>
    <t>SKU-ELE-2092</t>
  </si>
  <si>
    <t>PED-01176</t>
  </si>
  <si>
    <t>SKU-QUÍ-1717</t>
  </si>
  <si>
    <t>PED-01177</t>
  </si>
  <si>
    <t>SKU-ALI-3126</t>
  </si>
  <si>
    <t>PED-01178</t>
  </si>
  <si>
    <t>SKU-CON-3926</t>
  </si>
  <si>
    <t>PED-01179</t>
  </si>
  <si>
    <t>SKU-ELE-1512</t>
  </si>
  <si>
    <t>PED-01180</t>
  </si>
  <si>
    <t>SKU-FAR-4310</t>
  </si>
  <si>
    <t>PED-01181</t>
  </si>
  <si>
    <t>SKU-QUÍ-2753</t>
  </si>
  <si>
    <t>PED-01182</t>
  </si>
  <si>
    <t>SKU-MAQ-8952</t>
  </si>
  <si>
    <t>PED-01183</t>
  </si>
  <si>
    <t>SKU-FAR-4139</t>
  </si>
  <si>
    <t>PED-01184</t>
  </si>
  <si>
    <t>SKU-ALI-2617</t>
  </si>
  <si>
    <t>PED-01185</t>
  </si>
  <si>
    <t>SKU-QUÍ-1521</t>
  </si>
  <si>
    <t>PED-01186</t>
  </si>
  <si>
    <t>SKU-AUT-7366</t>
  </si>
  <si>
    <t>PED-01187</t>
  </si>
  <si>
    <t>SKU-AUT-9026</t>
  </si>
  <si>
    <t>PED-01188</t>
  </si>
  <si>
    <t>SKU-TEX-9615</t>
  </si>
  <si>
    <t>PED-01189</t>
  </si>
  <si>
    <t>SKU-ELE-5193</t>
  </si>
  <si>
    <t>PED-01190</t>
  </si>
  <si>
    <t>SKU-MAQ-1804</t>
  </si>
  <si>
    <t>PED-01191</t>
  </si>
  <si>
    <t>SKU-TEX-7002</t>
  </si>
  <si>
    <t>PED-01192</t>
  </si>
  <si>
    <t>SKU-QUÍ-4616</t>
  </si>
  <si>
    <t>PED-01193</t>
  </si>
  <si>
    <t>SKU-AUT-2161</t>
  </si>
  <si>
    <t>PED-01194</t>
  </si>
  <si>
    <t>SKU-AUT-1214</t>
  </si>
  <si>
    <t>PED-01195</t>
  </si>
  <si>
    <t>SKU-AUT-4419</t>
  </si>
  <si>
    <t>PED-01196</t>
  </si>
  <si>
    <t>SKU-QUÍ-9051</t>
  </si>
  <si>
    <t>PED-01197</t>
  </si>
  <si>
    <t>SKU-AUT-2310</t>
  </si>
  <si>
    <t>PED-01198</t>
  </si>
  <si>
    <t>SKU-FAR-8668</t>
  </si>
  <si>
    <t>PED-01199</t>
  </si>
  <si>
    <t>SKU-CON-1994</t>
  </si>
  <si>
    <t>PED-01200</t>
  </si>
  <si>
    <t>SKU-QUÍ-6913</t>
  </si>
  <si>
    <t>PED-01201</t>
  </si>
  <si>
    <t>SKU-MAQ-7814</t>
  </si>
  <si>
    <t>PED-01202</t>
  </si>
  <si>
    <t>SKU-CON-7046</t>
  </si>
  <si>
    <t>PED-01203</t>
  </si>
  <si>
    <t>SKU-TEX-1955</t>
  </si>
  <si>
    <t>PED-01204</t>
  </si>
  <si>
    <t>SKU-MAQ-5355</t>
  </si>
  <si>
    <t>PED-01205</t>
  </si>
  <si>
    <t>SKU-CON-9667</t>
  </si>
  <si>
    <t>PED-01206</t>
  </si>
  <si>
    <t>SKU-ALI-1666</t>
  </si>
  <si>
    <t>PED-01207</t>
  </si>
  <si>
    <t>SKU-AUT-2153</t>
  </si>
  <si>
    <t>PED-01208</t>
  </si>
  <si>
    <t>SKU-ALI-5979</t>
  </si>
  <si>
    <t>PED-01209</t>
  </si>
  <si>
    <t>SKU-ELE-2276</t>
  </si>
  <si>
    <t>PED-01210</t>
  </si>
  <si>
    <t>SKU-ELE-4537</t>
  </si>
  <si>
    <t>PED-01211</t>
  </si>
  <si>
    <t>SKU-CON-9511</t>
  </si>
  <si>
    <t>PED-01212</t>
  </si>
  <si>
    <t>SKU-ALI-2591</t>
  </si>
  <si>
    <t>PED-01213</t>
  </si>
  <si>
    <t>SKU-QUÍ-2658</t>
  </si>
  <si>
    <t>PED-01214</t>
  </si>
  <si>
    <t>SKU-MAQ-4784</t>
  </si>
  <si>
    <t>PED-01215</t>
  </si>
  <si>
    <t>SKU-ALI-9710</t>
  </si>
  <si>
    <t>PED-01216</t>
  </si>
  <si>
    <t>SKU-ELE-7313</t>
  </si>
  <si>
    <t>PED-01217</t>
  </si>
  <si>
    <t>SKU-ALI-4104</t>
  </si>
  <si>
    <t>PED-01218</t>
  </si>
  <si>
    <t>SKU-QUÍ-4164</t>
  </si>
  <si>
    <t>PED-01219</t>
  </si>
  <si>
    <t>SKU-ALI-9621</t>
  </si>
  <si>
    <t>PED-01220</t>
  </si>
  <si>
    <t>SKU-MAQ-5075</t>
  </si>
  <si>
    <t>PED-01221</t>
  </si>
  <si>
    <t>SKU-TEX-3931</t>
  </si>
  <si>
    <t>PED-01222</t>
  </si>
  <si>
    <t>SKU-QUÍ-7802</t>
  </si>
  <si>
    <t>PED-01223</t>
  </si>
  <si>
    <t>SKU-ELE-2728</t>
  </si>
  <si>
    <t>PED-01224</t>
  </si>
  <si>
    <t>SKU-MAQ-6864</t>
  </si>
  <si>
    <t>PED-01225</t>
  </si>
  <si>
    <t>SKU-ALI-8515</t>
  </si>
  <si>
    <t>PED-01226</t>
  </si>
  <si>
    <t>SKU-ALI-7997</t>
  </si>
  <si>
    <t>PED-01227</t>
  </si>
  <si>
    <t>SKU-TEX-2705</t>
  </si>
  <si>
    <t>PED-01228</t>
  </si>
  <si>
    <t>SKU-ELE-3733</t>
  </si>
  <si>
    <t>PED-01229</t>
  </si>
  <si>
    <t>SKU-ELE-3955</t>
  </si>
  <si>
    <t>PED-01230</t>
  </si>
  <si>
    <t>SKU-FAR-7579</t>
  </si>
  <si>
    <t>PED-01231</t>
  </si>
  <si>
    <t>SKU-ELE-9268</t>
  </si>
  <si>
    <t>PED-01232</t>
  </si>
  <si>
    <t>SKU-TEX-6529</t>
  </si>
  <si>
    <t>PED-01233</t>
  </si>
  <si>
    <t>SKU-AUT-3591</t>
  </si>
  <si>
    <t>PED-01234</t>
  </si>
  <si>
    <t>SKU-FAR-9747</t>
  </si>
  <si>
    <t>PED-01235</t>
  </si>
  <si>
    <t>SKU-FAR-8258</t>
  </si>
  <si>
    <t>PED-01236</t>
  </si>
  <si>
    <t>SKU-ALI-6772</t>
  </si>
  <si>
    <t>PED-01237</t>
  </si>
  <si>
    <t>SKU-ALI-6163</t>
  </si>
  <si>
    <t>PED-01238</t>
  </si>
  <si>
    <t>SKU-ELE-6319</t>
  </si>
  <si>
    <t>PED-01239</t>
  </si>
  <si>
    <t>SKU-FAR-7090</t>
  </si>
  <si>
    <t>PED-01240</t>
  </si>
  <si>
    <t>SKU-CON-7755</t>
  </si>
  <si>
    <t>PED-01241</t>
  </si>
  <si>
    <t>SKU-ALI-8054</t>
  </si>
  <si>
    <t>PED-01242</t>
  </si>
  <si>
    <t>SKU-TEX-6299</t>
  </si>
  <si>
    <t>PED-01243</t>
  </si>
  <si>
    <t>SKU-CON-4943</t>
  </si>
  <si>
    <t>PED-01244</t>
  </si>
  <si>
    <t>SKU-ALI-9939</t>
  </si>
  <si>
    <t>PED-01245</t>
  </si>
  <si>
    <t>SKU-QUÍ-4504</t>
  </si>
  <si>
    <t>PED-01246</t>
  </si>
  <si>
    <t>SKU-QUÍ-7145</t>
  </si>
  <si>
    <t>PED-01247</t>
  </si>
  <si>
    <t>SKU-ALI-5162</t>
  </si>
  <si>
    <t>PED-01248</t>
  </si>
  <si>
    <t>SKU-FAR-6898</t>
  </si>
  <si>
    <t>PED-01249</t>
  </si>
  <si>
    <t>SKU-AUT-8412</t>
  </si>
  <si>
    <t>PED-01250</t>
  </si>
  <si>
    <t>SKU-AUT-8331</t>
  </si>
  <si>
    <t>PED-01251</t>
  </si>
  <si>
    <t>SKU-FAR-7505</t>
  </si>
  <si>
    <t>PED-01252</t>
  </si>
  <si>
    <t>SKU-MAQ-1003</t>
  </si>
  <si>
    <t>PED-01253</t>
  </si>
  <si>
    <t>SKU-AUT-1567</t>
  </si>
  <si>
    <t>PED-01254</t>
  </si>
  <si>
    <t>SKU-QUÍ-5660</t>
  </si>
  <si>
    <t>PED-01255</t>
  </si>
  <si>
    <t>SKU-TEX-1267</t>
  </si>
  <si>
    <t>PED-01256</t>
  </si>
  <si>
    <t>SKU-FAR-9480</t>
  </si>
  <si>
    <t>PED-01257</t>
  </si>
  <si>
    <t>SKU-ELE-3213</t>
  </si>
  <si>
    <t>PED-01258</t>
  </si>
  <si>
    <t>SKU-QUÍ-5945</t>
  </si>
  <si>
    <t>PED-01259</t>
  </si>
  <si>
    <t>SKU-TEX-1107</t>
  </si>
  <si>
    <t>PED-01260</t>
  </si>
  <si>
    <t>SKU-TEX-5920</t>
  </si>
  <si>
    <t>PED-01261</t>
  </si>
  <si>
    <t>SKU-FAR-4635</t>
  </si>
  <si>
    <t>PED-01262</t>
  </si>
  <si>
    <t>SKU-TEX-4519</t>
  </si>
  <si>
    <t>PED-01263</t>
  </si>
  <si>
    <t>SKU-FAR-6159</t>
  </si>
  <si>
    <t>PED-01264</t>
  </si>
  <si>
    <t>SKU-AUT-1355</t>
  </si>
  <si>
    <t>PED-01265</t>
  </si>
  <si>
    <t>SKU-ALI-5521</t>
  </si>
  <si>
    <t>PED-01266</t>
  </si>
  <si>
    <t>SKU-QUÍ-9376</t>
  </si>
  <si>
    <t>PED-01267</t>
  </si>
  <si>
    <t>SKU-MAQ-3534</t>
  </si>
  <si>
    <t>PED-01268</t>
  </si>
  <si>
    <t>SKU-ALI-2544</t>
  </si>
  <si>
    <t>PED-01269</t>
  </si>
  <si>
    <t>SKU-QUÍ-1618</t>
  </si>
  <si>
    <t>PED-01270</t>
  </si>
  <si>
    <t>SKU-FAR-8542</t>
  </si>
  <si>
    <t>PED-01271</t>
  </si>
  <si>
    <t>SKU-QUÍ-6827</t>
  </si>
  <si>
    <t>PED-01272</t>
  </si>
  <si>
    <t>SKU-AUT-3557</t>
  </si>
  <si>
    <t>PED-01273</t>
  </si>
  <si>
    <t>SKU-FAR-3267</t>
  </si>
  <si>
    <t>PED-01274</t>
  </si>
  <si>
    <t>SKU-ALI-5341</t>
  </si>
  <si>
    <t>PED-01275</t>
  </si>
  <si>
    <t>SKU-ELE-7014</t>
  </si>
  <si>
    <t>PED-01276</t>
  </si>
  <si>
    <t>SKU-ELE-5093</t>
  </si>
  <si>
    <t>PED-01277</t>
  </si>
  <si>
    <t>SKU-CON-4817</t>
  </si>
  <si>
    <t>PED-01278</t>
  </si>
  <si>
    <t>SKU-CON-5198</t>
  </si>
  <si>
    <t>PED-01279</t>
  </si>
  <si>
    <t>SKU-QUÍ-5920</t>
  </si>
  <si>
    <t>PED-01280</t>
  </si>
  <si>
    <t>SKU-ELE-2505</t>
  </si>
  <si>
    <t>PED-01281</t>
  </si>
  <si>
    <t>SKU-FAR-7550</t>
  </si>
  <si>
    <t>PED-01282</t>
  </si>
  <si>
    <t>SKU-TEX-4562</t>
  </si>
  <si>
    <t>PED-01283</t>
  </si>
  <si>
    <t>SKU-FAR-2264</t>
  </si>
  <si>
    <t>PED-01284</t>
  </si>
  <si>
    <t>SKU-TEX-6319</t>
  </si>
  <si>
    <t>PED-01285</t>
  </si>
  <si>
    <t>SKU-ALI-8905</t>
  </si>
  <si>
    <t>PED-01286</t>
  </si>
  <si>
    <t>SKU-MAQ-3832</t>
  </si>
  <si>
    <t>PED-01287</t>
  </si>
  <si>
    <t>SKU-TEX-8999</t>
  </si>
  <si>
    <t>PED-01288</t>
  </si>
  <si>
    <t>SKU-ELE-2562</t>
  </si>
  <si>
    <t>PED-01289</t>
  </si>
  <si>
    <t>SKU-FAR-5921</t>
  </si>
  <si>
    <t>PED-01290</t>
  </si>
  <si>
    <t>SKU-ALI-1612</t>
  </si>
  <si>
    <t>PED-01291</t>
  </si>
  <si>
    <t>PED-01292</t>
  </si>
  <si>
    <t>SKU-ALI-2285</t>
  </si>
  <si>
    <t>PED-01293</t>
  </si>
  <si>
    <t>SKU-MAQ-1916</t>
  </si>
  <si>
    <t>PED-01294</t>
  </si>
  <si>
    <t>SKU-AUT-6478</t>
  </si>
  <si>
    <t>PED-01295</t>
  </si>
  <si>
    <t>SKU-FAR-6700</t>
  </si>
  <si>
    <t>PED-01296</t>
  </si>
  <si>
    <t>SKU-QUÍ-8115</t>
  </si>
  <si>
    <t>PED-01297</t>
  </si>
  <si>
    <t>SKU-FAR-7824</t>
  </si>
  <si>
    <t>PED-01298</t>
  </si>
  <si>
    <t>SKU-CON-2974</t>
  </si>
  <si>
    <t>PED-01299</t>
  </si>
  <si>
    <t>SKU-MAQ-4714</t>
  </si>
  <si>
    <t>PED-01300</t>
  </si>
  <si>
    <t>SKU-FAR-1187</t>
  </si>
  <si>
    <t>PED-01301</t>
  </si>
  <si>
    <t>SKU-CON-7266</t>
  </si>
  <si>
    <t>PED-01302</t>
  </si>
  <si>
    <t>SKU-QUÍ-1886</t>
  </si>
  <si>
    <t>PED-01303</t>
  </si>
  <si>
    <t>SKU-TEX-5993</t>
  </si>
  <si>
    <t>PED-01304</t>
  </si>
  <si>
    <t>SKU-ALI-9591</t>
  </si>
  <si>
    <t>PED-01305</t>
  </si>
  <si>
    <t>SKU-QUÍ-1674</t>
  </si>
  <si>
    <t>PED-01306</t>
  </si>
  <si>
    <t>SKU-ELE-6231</t>
  </si>
  <si>
    <t>PED-01307</t>
  </si>
  <si>
    <t>SKU-MAQ-9846</t>
  </si>
  <si>
    <t>PED-01308</t>
  </si>
  <si>
    <t>SKU-TEX-3450</t>
  </si>
  <si>
    <t>PED-01309</t>
  </si>
  <si>
    <t>SKU-ELE-6354</t>
  </si>
  <si>
    <t>PED-01310</t>
  </si>
  <si>
    <t>SKU-ELE-9231</t>
  </si>
  <si>
    <t>PED-01311</t>
  </si>
  <si>
    <t>SKU-MAQ-4617</t>
  </si>
  <si>
    <t>PED-01312</t>
  </si>
  <si>
    <t>SKU-TEX-3509</t>
  </si>
  <si>
    <t>PED-01313</t>
  </si>
  <si>
    <t>SKU-AUT-1827</t>
  </si>
  <si>
    <t>PED-01314</t>
  </si>
  <si>
    <t>SKU-ELE-7436</t>
  </si>
  <si>
    <t>PED-01315</t>
  </si>
  <si>
    <t>SKU-ELE-8300</t>
  </si>
  <si>
    <t>PED-01316</t>
  </si>
  <si>
    <t>SKU-TEX-9269</t>
  </si>
  <si>
    <t>PED-01317</t>
  </si>
  <si>
    <t>SKU-FAR-2475</t>
  </si>
  <si>
    <t>PED-01318</t>
  </si>
  <si>
    <t>SKU-ELE-4638</t>
  </si>
  <si>
    <t>PED-01319</t>
  </si>
  <si>
    <t>SKU-ALI-8076</t>
  </si>
  <si>
    <t>PED-01320</t>
  </si>
  <si>
    <t>SKU-TEX-5747</t>
  </si>
  <si>
    <t>PED-01321</t>
  </si>
  <si>
    <t>SKU-ELE-7460</t>
  </si>
  <si>
    <t>PED-01322</t>
  </si>
  <si>
    <t>SKU-MAQ-3425</t>
  </si>
  <si>
    <t>PED-01323</t>
  </si>
  <si>
    <t>SKU-QUÍ-3165</t>
  </si>
  <si>
    <t>PED-01324</t>
  </si>
  <si>
    <t>SKU-ALI-6507</t>
  </si>
  <si>
    <t>PED-01325</t>
  </si>
  <si>
    <t>SKU-CON-2352</t>
  </si>
  <si>
    <t>PED-01326</t>
  </si>
  <si>
    <t>PED-01327</t>
  </si>
  <si>
    <t>SKU-QUÍ-1807</t>
  </si>
  <si>
    <t>PED-01328</t>
  </si>
  <si>
    <t>SKU-CON-9980</t>
  </si>
  <si>
    <t>PED-01329</t>
  </si>
  <si>
    <t>SKU-QUÍ-7540</t>
  </si>
  <si>
    <t>PED-01330</t>
  </si>
  <si>
    <t>SKU-ELE-5301</t>
  </si>
  <si>
    <t>PED-01331</t>
  </si>
  <si>
    <t>SKU-ALI-2393</t>
  </si>
  <si>
    <t>PED-01332</t>
  </si>
  <si>
    <t>SKU-ALI-7529</t>
  </si>
  <si>
    <t>PED-01333</t>
  </si>
  <si>
    <t>SKU-FAR-9221</t>
  </si>
  <si>
    <t>PED-01334</t>
  </si>
  <si>
    <t>SKU-QUÍ-8118</t>
  </si>
  <si>
    <t>PED-01335</t>
  </si>
  <si>
    <t>SKU-ALI-3136</t>
  </si>
  <si>
    <t>PED-01336</t>
  </si>
  <si>
    <t>SKU-FAR-3209</t>
  </si>
  <si>
    <t>PED-01337</t>
  </si>
  <si>
    <t>SKU-TEX-8879</t>
  </si>
  <si>
    <t>PED-01338</t>
  </si>
  <si>
    <t>SKU-FAR-4245</t>
  </si>
  <si>
    <t>PED-01339</t>
  </si>
  <si>
    <t>SKU-MAQ-8993</t>
  </si>
  <si>
    <t>PED-01340</t>
  </si>
  <si>
    <t>SKU-AUT-7476</t>
  </si>
  <si>
    <t>PED-01341</t>
  </si>
  <si>
    <t>SKU-ELE-4212</t>
  </si>
  <si>
    <t>PED-01342</t>
  </si>
  <si>
    <t>SKU-TEX-9589</t>
  </si>
  <si>
    <t>PED-01343</t>
  </si>
  <si>
    <t>SKU-AUT-5034</t>
  </si>
  <si>
    <t>PED-01344</t>
  </si>
  <si>
    <t>SKU-AUT-4970</t>
  </si>
  <si>
    <t>PED-01345</t>
  </si>
  <si>
    <t>SKU-TEX-2173</t>
  </si>
  <si>
    <t>PED-01346</t>
  </si>
  <si>
    <t>SKU-MAQ-5362</t>
  </si>
  <si>
    <t>PED-01347</t>
  </si>
  <si>
    <t>SKU-FAR-8046</t>
  </si>
  <si>
    <t>PED-01348</t>
  </si>
  <si>
    <t>SKU-ELE-6298</t>
  </si>
  <si>
    <t>PED-01349</t>
  </si>
  <si>
    <t>SKU-FAR-2467</t>
  </si>
  <si>
    <t>PED-01350</t>
  </si>
  <si>
    <t>SKU-ALI-2843</t>
  </si>
  <si>
    <t>PED-01351</t>
  </si>
  <si>
    <t>SKU-FAR-7776</t>
  </si>
  <si>
    <t>PED-01352</t>
  </si>
  <si>
    <t>SKU-CON-7939</t>
  </si>
  <si>
    <t>PED-01353</t>
  </si>
  <si>
    <t>SKU-TEX-6984</t>
  </si>
  <si>
    <t>PED-01354</t>
  </si>
  <si>
    <t>SKU-ELE-6706</t>
  </si>
  <si>
    <t>PED-01355</t>
  </si>
  <si>
    <t>SKU-FAR-4120</t>
  </si>
  <si>
    <t>PED-01356</t>
  </si>
  <si>
    <t>SKU-ELE-6254</t>
  </si>
  <si>
    <t>PED-01357</t>
  </si>
  <si>
    <t>SKU-ELE-6644</t>
  </si>
  <si>
    <t>PED-01358</t>
  </si>
  <si>
    <t>SKU-ALI-1396</t>
  </si>
  <si>
    <t>PED-01359</t>
  </si>
  <si>
    <t>SKU-ALI-5994</t>
  </si>
  <si>
    <t>PED-01360</t>
  </si>
  <si>
    <t>SKU-TEX-3773</t>
  </si>
  <si>
    <t>PED-01361</t>
  </si>
  <si>
    <t>SKU-MAQ-6729</t>
  </si>
  <si>
    <t>PED-01362</t>
  </si>
  <si>
    <t>SKU-CON-8245</t>
  </si>
  <si>
    <t>PED-01363</t>
  </si>
  <si>
    <t>SKU-AUT-3389</t>
  </si>
  <si>
    <t>PED-01364</t>
  </si>
  <si>
    <t>SKU-ELE-8216</t>
  </si>
  <si>
    <t>PED-01365</t>
  </si>
  <si>
    <t>SKU-MAQ-1735</t>
  </si>
  <si>
    <t>PED-01366</t>
  </si>
  <si>
    <t>SKU-AUT-4825</t>
  </si>
  <si>
    <t>PED-01367</t>
  </si>
  <si>
    <t>SKU-AUT-4271</t>
  </si>
  <si>
    <t>PED-01368</t>
  </si>
  <si>
    <t>SKU-CON-7124</t>
  </si>
  <si>
    <t>PED-01369</t>
  </si>
  <si>
    <t>SKU-TEX-3555</t>
  </si>
  <si>
    <t>PED-01370</t>
  </si>
  <si>
    <t>SKU-AUT-2405</t>
  </si>
  <si>
    <t>PED-01371</t>
  </si>
  <si>
    <t>SKU-CON-2841</t>
  </si>
  <si>
    <t>PED-01372</t>
  </si>
  <si>
    <t>SKU-AUT-1893</t>
  </si>
  <si>
    <t>PED-01373</t>
  </si>
  <si>
    <t>SKU-ELE-4982</t>
  </si>
  <si>
    <t>PED-01374</t>
  </si>
  <si>
    <t>SKU-ELE-3419</t>
  </si>
  <si>
    <t>PED-01375</t>
  </si>
  <si>
    <t>SKU-QUÍ-5713</t>
  </si>
  <si>
    <t>PED-01376</t>
  </si>
  <si>
    <t>SKU-MAQ-1225</t>
  </si>
  <si>
    <t>PED-01377</t>
  </si>
  <si>
    <t>SKU-FAR-6624</t>
  </si>
  <si>
    <t>PED-01378</t>
  </si>
  <si>
    <t>SKU-CON-2823</t>
  </si>
  <si>
    <t>PED-01379</t>
  </si>
  <si>
    <t>SKU-ALI-5999</t>
  </si>
  <si>
    <t>PED-01380</t>
  </si>
  <si>
    <t>SKU-CON-8373</t>
  </si>
  <si>
    <t>PED-01381</t>
  </si>
  <si>
    <t>SKU-FAR-8719</t>
  </si>
  <si>
    <t>PED-01382</t>
  </si>
  <si>
    <t>SKU-MAQ-1372</t>
  </si>
  <si>
    <t>PED-01383</t>
  </si>
  <si>
    <t>SKU-ALI-6437</t>
  </si>
  <si>
    <t>PED-01384</t>
  </si>
  <si>
    <t>SKU-FAR-4424</t>
  </si>
  <si>
    <t>PED-01385</t>
  </si>
  <si>
    <t>PED-01386</t>
  </si>
  <si>
    <t>SKU-ALI-4471</t>
  </si>
  <si>
    <t>PED-01387</t>
  </si>
  <si>
    <t>SKU-ELE-4339</t>
  </si>
  <si>
    <t>PED-01388</t>
  </si>
  <si>
    <t>SKU-FAR-9952</t>
  </si>
  <si>
    <t>PED-01389</t>
  </si>
  <si>
    <t>SKU-CON-9573</t>
  </si>
  <si>
    <t>PED-01390</t>
  </si>
  <si>
    <t>SKU-ALI-5237</t>
  </si>
  <si>
    <t>PED-01391</t>
  </si>
  <si>
    <t>SKU-QUÍ-9991</t>
  </si>
  <si>
    <t>PED-01392</t>
  </si>
  <si>
    <t>SKU-CON-8913</t>
  </si>
  <si>
    <t>PED-01393</t>
  </si>
  <si>
    <t>SKU-AUT-3315</t>
  </si>
  <si>
    <t>PED-01394</t>
  </si>
  <si>
    <t>SKU-ALI-1301</t>
  </si>
  <si>
    <t>PED-01395</t>
  </si>
  <si>
    <t>SKU-ALI-7170</t>
  </si>
  <si>
    <t>PED-01396</t>
  </si>
  <si>
    <t>SKU-QUÍ-9631</t>
  </si>
  <si>
    <t>PED-01397</t>
  </si>
  <si>
    <t>SKU-AUT-1712</t>
  </si>
  <si>
    <t>PED-01398</t>
  </si>
  <si>
    <t>SKU-FAR-5185</t>
  </si>
  <si>
    <t>PED-01399</t>
  </si>
  <si>
    <t>SKU-TEX-3790</t>
  </si>
  <si>
    <t>PED-01400</t>
  </si>
  <si>
    <t>SKU-FAR-1984</t>
  </si>
  <si>
    <t>PED-01401</t>
  </si>
  <si>
    <t>SKU-AUT-5653</t>
  </si>
  <si>
    <t>PED-01402</t>
  </si>
  <si>
    <t>SKU-MAQ-4288</t>
  </si>
  <si>
    <t>PED-01403</t>
  </si>
  <si>
    <t>SKU-CON-5444</t>
  </si>
  <si>
    <t>PED-01404</t>
  </si>
  <si>
    <t>SKU-QUÍ-1869</t>
  </si>
  <si>
    <t>PED-01405</t>
  </si>
  <si>
    <t>SKU-FAR-8617</t>
  </si>
  <si>
    <t>PED-01406</t>
  </si>
  <si>
    <t>SKU-ALI-1136</t>
  </si>
  <si>
    <t>PED-01407</t>
  </si>
  <si>
    <t>SKU-QUÍ-2091</t>
  </si>
  <si>
    <t>PED-01408</t>
  </si>
  <si>
    <t>SKU-ELE-7367</t>
  </si>
  <si>
    <t>PED-01409</t>
  </si>
  <si>
    <t>SKU-AUT-5445</t>
  </si>
  <si>
    <t>PED-01410</t>
  </si>
  <si>
    <t>SKU-CON-6901</t>
  </si>
  <si>
    <t>PED-01411</t>
  </si>
  <si>
    <t>SKU-FAR-2767</t>
  </si>
  <si>
    <t>PED-01412</t>
  </si>
  <si>
    <t>SKU-QUÍ-1312</t>
  </si>
  <si>
    <t>PED-01413</t>
  </si>
  <si>
    <t>SKU-CON-5792</t>
  </si>
  <si>
    <t>PED-01414</t>
  </si>
  <si>
    <t>SKU-FAR-7332</t>
  </si>
  <si>
    <t>PED-01415</t>
  </si>
  <si>
    <t>SKU-QUÍ-4787</t>
  </si>
  <si>
    <t>PED-01416</t>
  </si>
  <si>
    <t>SKU-ALI-7237</t>
  </si>
  <si>
    <t>PED-01417</t>
  </si>
  <si>
    <t>SKU-ELE-9331</t>
  </si>
  <si>
    <t>PED-01418</t>
  </si>
  <si>
    <t>SKU-ELE-2631</t>
  </si>
  <si>
    <t>PED-01419</t>
  </si>
  <si>
    <t>SKU-MAQ-6168</t>
  </si>
  <si>
    <t>PED-01420</t>
  </si>
  <si>
    <t>SKU-QUÍ-8940</t>
  </si>
  <si>
    <t>PED-01421</t>
  </si>
  <si>
    <t>SKU-FAR-9709</t>
  </si>
  <si>
    <t>PED-01422</t>
  </si>
  <si>
    <t>SKU-ELE-2442</t>
  </si>
  <si>
    <t>PED-01423</t>
  </si>
  <si>
    <t>SKU-AUT-4054</t>
  </si>
  <si>
    <t>PED-01424</t>
  </si>
  <si>
    <t>SKU-ELE-4258</t>
  </si>
  <si>
    <t>PED-01425</t>
  </si>
  <si>
    <t>SKU-TEX-9202</t>
  </si>
  <si>
    <t>PED-01426</t>
  </si>
  <si>
    <t>SKU-TEX-8503</t>
  </si>
  <si>
    <t>PED-01427</t>
  </si>
  <si>
    <t>SKU-ELE-1352</t>
  </si>
  <si>
    <t>PED-01428</t>
  </si>
  <si>
    <t>SKU-QUÍ-1651</t>
  </si>
  <si>
    <t>PED-01429</t>
  </si>
  <si>
    <t>SKU-MAQ-5053</t>
  </si>
  <si>
    <t>PED-01430</t>
  </si>
  <si>
    <t>SKU-ELE-9673</t>
  </si>
  <si>
    <t>PED-01431</t>
  </si>
  <si>
    <t>SKU-ALI-5995</t>
  </si>
  <si>
    <t>PED-01432</t>
  </si>
  <si>
    <t>SKU-CON-6465</t>
  </si>
  <si>
    <t>PED-01433</t>
  </si>
  <si>
    <t>SKU-FAR-9027</t>
  </si>
  <si>
    <t>PED-01434</t>
  </si>
  <si>
    <t>SKU-MAQ-7445</t>
  </si>
  <si>
    <t>PED-01435</t>
  </si>
  <si>
    <t>SKU-ALI-3572</t>
  </si>
  <si>
    <t>PED-01436</t>
  </si>
  <si>
    <t>SKU-MAQ-1301</t>
  </si>
  <si>
    <t>PED-01437</t>
  </si>
  <si>
    <t>SKU-ALI-6681</t>
  </si>
  <si>
    <t>PED-01438</t>
  </si>
  <si>
    <t>SKU-FAR-6765</t>
  </si>
  <si>
    <t>PED-01439</t>
  </si>
  <si>
    <t>SKU-FAR-6822</t>
  </si>
  <si>
    <t>PED-01440</t>
  </si>
  <si>
    <t>SKU-TEX-5953</t>
  </si>
  <si>
    <t>PED-01441</t>
  </si>
  <si>
    <t>SKU-QUÍ-4869</t>
  </si>
  <si>
    <t>PED-01442</t>
  </si>
  <si>
    <t>SKU-ALI-9212</t>
  </si>
  <si>
    <t>PED-01443</t>
  </si>
  <si>
    <t>SKU-CON-5519</t>
  </si>
  <si>
    <t>PED-01444</t>
  </si>
  <si>
    <t>SKU-TEX-2015</t>
  </si>
  <si>
    <t>PED-01445</t>
  </si>
  <si>
    <t>SKU-ALI-5221</t>
  </si>
  <si>
    <t>PED-01446</t>
  </si>
  <si>
    <t>SKU-TEX-7343</t>
  </si>
  <si>
    <t>PED-01447</t>
  </si>
  <si>
    <t>SKU-FAR-1482</t>
  </si>
  <si>
    <t>PED-01448</t>
  </si>
  <si>
    <t>SKU-MAQ-5590</t>
  </si>
  <si>
    <t>PED-01449</t>
  </si>
  <si>
    <t>SKU-AUT-4695</t>
  </si>
  <si>
    <t>PED-01450</t>
  </si>
  <si>
    <t>SKU-TEX-3485</t>
  </si>
  <si>
    <t>PED-01451</t>
  </si>
  <si>
    <t>SKU-ALI-6599</t>
  </si>
  <si>
    <t>PED-01452</t>
  </si>
  <si>
    <t>SKU-ALI-7436</t>
  </si>
  <si>
    <t>PED-01453</t>
  </si>
  <si>
    <t>SKU-AUT-3248</t>
  </si>
  <si>
    <t>PED-01454</t>
  </si>
  <si>
    <t>SKU-QUÍ-2438</t>
  </si>
  <si>
    <t>PED-01455</t>
  </si>
  <si>
    <t>SKU-CON-7262</t>
  </si>
  <si>
    <t>PED-01456</t>
  </si>
  <si>
    <t>SKU-FAR-9531</t>
  </si>
  <si>
    <t>PED-01457</t>
  </si>
  <si>
    <t>SKU-ALI-4726</t>
  </si>
  <si>
    <t>PED-01458</t>
  </si>
  <si>
    <t>SKU-ELE-7837</t>
  </si>
  <si>
    <t>PED-01459</t>
  </si>
  <si>
    <t>SKU-MAQ-4938</t>
  </si>
  <si>
    <t>PED-01460</t>
  </si>
  <si>
    <t>SKU-TEX-3502</t>
  </si>
  <si>
    <t>PED-01461</t>
  </si>
  <si>
    <t>SKU-QUÍ-7987</t>
  </si>
  <si>
    <t>PED-01462</t>
  </si>
  <si>
    <t>SKU-CON-6118</t>
  </si>
  <si>
    <t>PED-01463</t>
  </si>
  <si>
    <t>SKU-AUT-6395</t>
  </si>
  <si>
    <t>PED-01464</t>
  </si>
  <si>
    <t>SKU-MAQ-8359</t>
  </si>
  <si>
    <t>PED-01465</t>
  </si>
  <si>
    <t>SKU-FAR-9883</t>
  </si>
  <si>
    <t>PED-01466</t>
  </si>
  <si>
    <t>SKU-QUÍ-3158</t>
  </si>
  <si>
    <t>PED-01467</t>
  </si>
  <si>
    <t>SKU-CON-4387</t>
  </si>
  <si>
    <t>PED-01468</t>
  </si>
  <si>
    <t>SKU-TEX-3270</t>
  </si>
  <si>
    <t>PED-01469</t>
  </si>
  <si>
    <t>SKU-TEX-9869</t>
  </si>
  <si>
    <t>PED-01470</t>
  </si>
  <si>
    <t>SKU-AUT-4314</t>
  </si>
  <si>
    <t>PED-01471</t>
  </si>
  <si>
    <t>SKU-ELE-3262</t>
  </si>
  <si>
    <t>PED-01472</t>
  </si>
  <si>
    <t>SKU-AUT-6062</t>
  </si>
  <si>
    <t>PED-01473</t>
  </si>
  <si>
    <t>SKU-FAR-9582</t>
  </si>
  <si>
    <t>PED-01474</t>
  </si>
  <si>
    <t>SKU-QUÍ-3215</t>
  </si>
  <si>
    <t>PED-01475</t>
  </si>
  <si>
    <t>SKU-QUÍ-8046</t>
  </si>
  <si>
    <t>PED-01476</t>
  </si>
  <si>
    <t>SKU-ALI-3378</t>
  </si>
  <si>
    <t>PED-01477</t>
  </si>
  <si>
    <t>SKU-ELE-3589</t>
  </si>
  <si>
    <t>PED-01478</t>
  </si>
  <si>
    <t>SKU-ELE-6201</t>
  </si>
  <si>
    <t>PED-01479</t>
  </si>
  <si>
    <t>SKU-QUÍ-2111</t>
  </si>
  <si>
    <t>PED-01480</t>
  </si>
  <si>
    <t>SKU-QUÍ-9732</t>
  </si>
  <si>
    <t>PED-01481</t>
  </si>
  <si>
    <t>SKU-MAQ-2939</t>
  </si>
  <si>
    <t>PED-01482</t>
  </si>
  <si>
    <t>SKU-CON-4016</t>
  </si>
  <si>
    <t>PED-01483</t>
  </si>
  <si>
    <t>SKU-MAQ-6203</t>
  </si>
  <si>
    <t>PED-01484</t>
  </si>
  <si>
    <t>SKU-MAQ-3384</t>
  </si>
  <si>
    <t>PED-01485</t>
  </si>
  <si>
    <t>SKU-ELE-1483</t>
  </si>
  <si>
    <t>PED-01486</t>
  </si>
  <si>
    <t>SKU-ALI-6221</t>
  </si>
  <si>
    <t>PED-01487</t>
  </si>
  <si>
    <t>SKU-TEX-7783</t>
  </si>
  <si>
    <t>PED-01488</t>
  </si>
  <si>
    <t>SKU-MAQ-7737</t>
  </si>
  <si>
    <t>PED-01489</t>
  </si>
  <si>
    <t>SKU-ALI-5970</t>
  </si>
  <si>
    <t>PED-01490</t>
  </si>
  <si>
    <t>SKU-AUT-8258</t>
  </si>
  <si>
    <t>PED-01491</t>
  </si>
  <si>
    <t>SKU-FAR-5485</t>
  </si>
  <si>
    <t>PED-01492</t>
  </si>
  <si>
    <t>SKU-MAQ-3489</t>
  </si>
  <si>
    <t>PED-01493</t>
  </si>
  <si>
    <t>SKU-AUT-4079</t>
  </si>
  <si>
    <t>PED-01494</t>
  </si>
  <si>
    <t>SKU-TEX-2749</t>
  </si>
  <si>
    <t>PED-01495</t>
  </si>
  <si>
    <t>SKU-FAR-3155</t>
  </si>
  <si>
    <t>PED-01496</t>
  </si>
  <si>
    <t>SKU-FAR-4026</t>
  </si>
  <si>
    <t>PED-01497</t>
  </si>
  <si>
    <t>SKU-TEX-1429</t>
  </si>
  <si>
    <t>PED-01498</t>
  </si>
  <si>
    <t>SKU-MAQ-5372</t>
  </si>
  <si>
    <t>PED-01499</t>
  </si>
  <si>
    <t>SKU-ELE-4783</t>
  </si>
  <si>
    <t>PED-01500</t>
  </si>
  <si>
    <t>SKU-TEX-4804</t>
  </si>
  <si>
    <t>PED-01501</t>
  </si>
  <si>
    <t>SKU-TEX-4783</t>
  </si>
  <si>
    <t>PED-01502</t>
  </si>
  <si>
    <t>SKU-TEX-1427</t>
  </si>
  <si>
    <t>PED-01503</t>
  </si>
  <si>
    <t>SKU-FAR-6886</t>
  </si>
  <si>
    <t>PED-01504</t>
  </si>
  <si>
    <t>SKU-CON-2302</t>
  </si>
  <si>
    <t>PED-01505</t>
  </si>
  <si>
    <t>SKU-ALI-8808</t>
  </si>
  <si>
    <t>PED-01506</t>
  </si>
  <si>
    <t>SKU-AUT-3196</t>
  </si>
  <si>
    <t>PED-01507</t>
  </si>
  <si>
    <t>SKU-ELE-9230</t>
  </si>
  <si>
    <t>PED-01508</t>
  </si>
  <si>
    <t>SKU-MAQ-8680</t>
  </si>
  <si>
    <t>PED-01509</t>
  </si>
  <si>
    <t>SKU-MAQ-7126</t>
  </si>
  <si>
    <t>PED-01510</t>
  </si>
  <si>
    <t>SKU-AUT-4014</t>
  </si>
  <si>
    <t>PED-01511</t>
  </si>
  <si>
    <t>SKU-ALI-7348</t>
  </si>
  <si>
    <t>PED-01512</t>
  </si>
  <si>
    <t>SKU-TEX-9051</t>
  </si>
  <si>
    <t>PED-01513</t>
  </si>
  <si>
    <t>SKU-CON-8763</t>
  </si>
  <si>
    <t>PED-01514</t>
  </si>
  <si>
    <t>SKU-ELE-3253</t>
  </si>
  <si>
    <t>PED-01515</t>
  </si>
  <si>
    <t>SKU-MAQ-3683</t>
  </si>
  <si>
    <t>PED-01516</t>
  </si>
  <si>
    <t>SKU-AUT-4166</t>
  </si>
  <si>
    <t>PED-01517</t>
  </si>
  <si>
    <t>SKU-QUÍ-4707</t>
  </si>
  <si>
    <t>PED-01518</t>
  </si>
  <si>
    <t>SKU-CON-1528</t>
  </si>
  <si>
    <t>PED-01519</t>
  </si>
  <si>
    <t>SKU-AUT-7694</t>
  </si>
  <si>
    <t>PED-01520</t>
  </si>
  <si>
    <t>SKU-CON-1245</t>
  </si>
  <si>
    <t>PED-01521</t>
  </si>
  <si>
    <t>SKU-MAQ-5421</t>
  </si>
  <si>
    <t>PED-01522</t>
  </si>
  <si>
    <t>SKU-TEX-7767</t>
  </si>
  <si>
    <t>PED-01523</t>
  </si>
  <si>
    <t>SKU-QUÍ-4646</t>
  </si>
  <si>
    <t>PED-01524</t>
  </si>
  <si>
    <t>SKU-ALI-4323</t>
  </si>
  <si>
    <t>PED-01525</t>
  </si>
  <si>
    <t>SKU-ELE-4351</t>
  </si>
  <si>
    <t>PED-01526</t>
  </si>
  <si>
    <t>SKU-ALI-2083</t>
  </si>
  <si>
    <t>PED-01527</t>
  </si>
  <si>
    <t>SKU-ALI-3901</t>
  </si>
  <si>
    <t>PED-01528</t>
  </si>
  <si>
    <t>SKU-AUT-8197</t>
  </si>
  <si>
    <t>PED-01529</t>
  </si>
  <si>
    <t>SKU-CON-9027</t>
  </si>
  <si>
    <t>PED-01530</t>
  </si>
  <si>
    <t>SKU-ELE-6323</t>
  </si>
  <si>
    <t>PED-01531</t>
  </si>
  <si>
    <t>SKU-ELE-8496</t>
  </si>
  <si>
    <t>PED-01532</t>
  </si>
  <si>
    <t>SKU-MAQ-5043</t>
  </si>
  <si>
    <t>PED-01533</t>
  </si>
  <si>
    <t>SKU-MAQ-8005</t>
  </si>
  <si>
    <t>PED-01534</t>
  </si>
  <si>
    <t>SKU-ELE-7633</t>
  </si>
  <si>
    <t>PED-01535</t>
  </si>
  <si>
    <t>SKU-QUÍ-1685</t>
  </si>
  <si>
    <t>PED-01536</t>
  </si>
  <si>
    <t>SKU-FAR-7232</t>
  </si>
  <si>
    <t>PED-01537</t>
  </si>
  <si>
    <t>SKU-MAQ-6126</t>
  </si>
  <si>
    <t>PED-01538</t>
  </si>
  <si>
    <t>SKU-FAR-7457</t>
  </si>
  <si>
    <t>PED-01539</t>
  </si>
  <si>
    <t>SKU-AUT-9784</t>
  </si>
  <si>
    <t>PED-01540</t>
  </si>
  <si>
    <t>SKU-QUÍ-9605</t>
  </si>
  <si>
    <t>PED-01541</t>
  </si>
  <si>
    <t>SKU-ELE-1630</t>
  </si>
  <si>
    <t>PED-01542</t>
  </si>
  <si>
    <t>SKU-QUÍ-9530</t>
  </si>
  <si>
    <t>PED-01543</t>
  </si>
  <si>
    <t>SKU-MAQ-2791</t>
  </si>
  <si>
    <t>PED-01544</t>
  </si>
  <si>
    <t>SKU-ALI-8399</t>
  </si>
  <si>
    <t>PED-01545</t>
  </si>
  <si>
    <t>SKU-AUT-8485</t>
  </si>
  <si>
    <t>PED-01546</t>
  </si>
  <si>
    <t>SKU-ELE-1694</t>
  </si>
  <si>
    <t>PED-01547</t>
  </si>
  <si>
    <t>SKU-TEX-5025</t>
  </si>
  <si>
    <t>PED-01548</t>
  </si>
  <si>
    <t>SKU-AUT-9498</t>
  </si>
  <si>
    <t>PED-01549</t>
  </si>
  <si>
    <t>SKU-CON-9812</t>
  </si>
  <si>
    <t>PED-01550</t>
  </si>
  <si>
    <t>SKU-FAR-7481</t>
  </si>
  <si>
    <t>PED-01551</t>
  </si>
  <si>
    <t>SKU-QUÍ-1643</t>
  </si>
  <si>
    <t>PED-01552</t>
  </si>
  <si>
    <t>SKU-ELE-7347</t>
  </si>
  <si>
    <t>PED-01553</t>
  </si>
  <si>
    <t>SKU-AUT-9456</t>
  </si>
  <si>
    <t>PED-01554</t>
  </si>
  <si>
    <t>PED-01555</t>
  </si>
  <si>
    <t>PED-01556</t>
  </si>
  <si>
    <t>SKU-MAQ-5770</t>
  </si>
  <si>
    <t>PED-01557</t>
  </si>
  <si>
    <t>SKU-AUT-8201</t>
  </si>
  <si>
    <t>PED-01558</t>
  </si>
  <si>
    <t>SKU-MAQ-7521</t>
  </si>
  <si>
    <t>PED-01559</t>
  </si>
  <si>
    <t>SKU-AUT-5989</t>
  </si>
  <si>
    <t>PED-01560</t>
  </si>
  <si>
    <t>SKU-MAQ-5684</t>
  </si>
  <si>
    <t>PED-01561</t>
  </si>
  <si>
    <t>SKU-CON-8558</t>
  </si>
  <si>
    <t>PED-01562</t>
  </si>
  <si>
    <t>SKU-QUÍ-3727</t>
  </si>
  <si>
    <t>PED-01563</t>
  </si>
  <si>
    <t>SKU-TEX-7921</t>
  </si>
  <si>
    <t>PED-01564</t>
  </si>
  <si>
    <t>SKU-AUT-5823</t>
  </si>
  <si>
    <t>PED-01565</t>
  </si>
  <si>
    <t>SKU-CON-1893</t>
  </si>
  <si>
    <t>PED-01566</t>
  </si>
  <si>
    <t>SKU-AUT-9470</t>
  </si>
  <si>
    <t>PED-01567</t>
  </si>
  <si>
    <t>SKU-MAQ-3330</t>
  </si>
  <si>
    <t>PED-01568</t>
  </si>
  <si>
    <t>SKU-ELE-8595</t>
  </si>
  <si>
    <t>PED-01569</t>
  </si>
  <si>
    <t>SKU-AUT-8400</t>
  </si>
  <si>
    <t>PED-01570</t>
  </si>
  <si>
    <t>SKU-CON-2481</t>
  </si>
  <si>
    <t>PED-01571</t>
  </si>
  <si>
    <t>SKU-MAQ-9202</t>
  </si>
  <si>
    <t>PED-01572</t>
  </si>
  <si>
    <t>SKU-ALI-2854</t>
  </si>
  <si>
    <t>PED-01573</t>
  </si>
  <si>
    <t>SKU-MAQ-3945</t>
  </si>
  <si>
    <t>PED-01574</t>
  </si>
  <si>
    <t>SKU-QUÍ-9952</t>
  </si>
  <si>
    <t>PED-01575</t>
  </si>
  <si>
    <t>SKU-TEX-3216</t>
  </si>
  <si>
    <t>PED-01576</t>
  </si>
  <si>
    <t>SKU-ALI-7440</t>
  </si>
  <si>
    <t>PED-01577</t>
  </si>
  <si>
    <t>SKU-QUÍ-7775</t>
  </si>
  <si>
    <t>PED-01578</t>
  </si>
  <si>
    <t>SKU-QUÍ-6299</t>
  </si>
  <si>
    <t>PED-01579</t>
  </si>
  <si>
    <t>SKU-QUÍ-8387</t>
  </si>
  <si>
    <t>PED-01580</t>
  </si>
  <si>
    <t>SKU-ELE-1408</t>
  </si>
  <si>
    <t>PED-01581</t>
  </si>
  <si>
    <t>SKU-QUÍ-3930</t>
  </si>
  <si>
    <t>PED-01582</t>
  </si>
  <si>
    <t>SKU-ELE-8433</t>
  </si>
  <si>
    <t>PED-01583</t>
  </si>
  <si>
    <t>SKU-QUÍ-4308</t>
  </si>
  <si>
    <t>PED-01584</t>
  </si>
  <si>
    <t>SKU-FAR-8449</t>
  </si>
  <si>
    <t>PED-01585</t>
  </si>
  <si>
    <t>SKU-CON-2477</t>
  </si>
  <si>
    <t>PED-01586</t>
  </si>
  <si>
    <t>SKU-ALI-5097</t>
  </si>
  <si>
    <t>PED-01587</t>
  </si>
  <si>
    <t>SKU-FAR-6309</t>
  </si>
  <si>
    <t>PED-01588</t>
  </si>
  <si>
    <t>SKU-QUÍ-3686</t>
  </si>
  <si>
    <t>PED-01589</t>
  </si>
  <si>
    <t>SKU-ALI-3024</t>
  </si>
  <si>
    <t>PED-01590</t>
  </si>
  <si>
    <t>SKU-ALI-2494</t>
  </si>
  <si>
    <t>PED-01591</t>
  </si>
  <si>
    <t>SKU-AUT-2870</t>
  </si>
  <si>
    <t>PED-01592</t>
  </si>
  <si>
    <t>SKU-TEX-8362</t>
  </si>
  <si>
    <t>PED-01593</t>
  </si>
  <si>
    <t>SKU-FAR-6946</t>
  </si>
  <si>
    <t>PED-01594</t>
  </si>
  <si>
    <t>SKU-TEX-2397</t>
  </si>
  <si>
    <t>PED-01595</t>
  </si>
  <si>
    <t>SKU-ALI-9582</t>
  </si>
  <si>
    <t>PED-01596</t>
  </si>
  <si>
    <t>SKU-ELE-7292</t>
  </si>
  <si>
    <t>PED-01597</t>
  </si>
  <si>
    <t>SKU-ALI-9383</t>
  </si>
  <si>
    <t>PED-01598</t>
  </si>
  <si>
    <t>SKU-TEX-3619</t>
  </si>
  <si>
    <t>PED-01599</t>
  </si>
  <si>
    <t>SKU-FAR-7204</t>
  </si>
  <si>
    <t>PED-01600</t>
  </si>
  <si>
    <t>SKU-QUÍ-7235</t>
  </si>
  <si>
    <t>PED-01601</t>
  </si>
  <si>
    <t>SKU-AUT-1719</t>
  </si>
  <si>
    <t>PED-01602</t>
  </si>
  <si>
    <t>SKU-AUT-3799</t>
  </si>
  <si>
    <t>PED-01603</t>
  </si>
  <si>
    <t>SKU-AUT-6491</t>
  </si>
  <si>
    <t>PED-01604</t>
  </si>
  <si>
    <t>SKU-QUÍ-3459</t>
  </si>
  <si>
    <t>PED-01605</t>
  </si>
  <si>
    <t>SKU-AUT-3656</t>
  </si>
  <si>
    <t>PED-01606</t>
  </si>
  <si>
    <t>SKU-FAR-3369</t>
  </si>
  <si>
    <t>PED-01607</t>
  </si>
  <si>
    <t>PED-01608</t>
  </si>
  <si>
    <t>SKU-AUT-1840</t>
  </si>
  <si>
    <t>PED-01609</t>
  </si>
  <si>
    <t>SKU-QUÍ-7874</t>
  </si>
  <si>
    <t>PED-01610</t>
  </si>
  <si>
    <t>SKU-TEX-6047</t>
  </si>
  <si>
    <t>PED-01611</t>
  </si>
  <si>
    <t>SKU-CON-6071</t>
  </si>
  <si>
    <t>PED-01612</t>
  </si>
  <si>
    <t>SKU-CON-8311</t>
  </si>
  <si>
    <t>PED-01613</t>
  </si>
  <si>
    <t>SKU-FAR-5731</t>
  </si>
  <si>
    <t>PED-01614</t>
  </si>
  <si>
    <t>SKU-MAQ-3960</t>
  </si>
  <si>
    <t>PED-01615</t>
  </si>
  <si>
    <t>SKU-ELE-2926</t>
  </si>
  <si>
    <t>PED-01616</t>
  </si>
  <si>
    <t>SKU-AUT-3155</t>
  </si>
  <si>
    <t>PED-01617</t>
  </si>
  <si>
    <t>SKU-ELE-4323</t>
  </si>
  <si>
    <t>PED-01618</t>
  </si>
  <si>
    <t>SKU-QUÍ-1057</t>
  </si>
  <si>
    <t>PED-01619</t>
  </si>
  <si>
    <t>SKU-ELE-5146</t>
  </si>
  <si>
    <t>PED-01620</t>
  </si>
  <si>
    <t>SKU-FAR-1200</t>
  </si>
  <si>
    <t>PED-01621</t>
  </si>
  <si>
    <t>SKU-FAR-8514</t>
  </si>
  <si>
    <t>PED-01622</t>
  </si>
  <si>
    <t>SKU-ALI-9153</t>
  </si>
  <si>
    <t>PED-01623</t>
  </si>
  <si>
    <t>SKU-CON-9169</t>
  </si>
  <si>
    <t>PED-01624</t>
  </si>
  <si>
    <t>SKU-AUT-9904</t>
  </si>
  <si>
    <t>PED-01625</t>
  </si>
  <si>
    <t>SKU-ALI-1094</t>
  </si>
  <si>
    <t>PED-01626</t>
  </si>
  <si>
    <t>SKU-ELE-9084</t>
  </si>
  <si>
    <t>PED-01627</t>
  </si>
  <si>
    <t>SKU-MAQ-4897</t>
  </si>
  <si>
    <t>PED-01628</t>
  </si>
  <si>
    <t>SKU-ALI-4553</t>
  </si>
  <si>
    <t>PED-01629</t>
  </si>
  <si>
    <t>SKU-ALI-8794</t>
  </si>
  <si>
    <t>PED-01630</t>
  </si>
  <si>
    <t>SKU-FAR-8434</t>
  </si>
  <si>
    <t>PED-01631</t>
  </si>
  <si>
    <t>SKU-MAQ-7719</t>
  </si>
  <si>
    <t>PED-01632</t>
  </si>
  <si>
    <t>SKU-QUÍ-8239</t>
  </si>
  <si>
    <t>PED-01633</t>
  </si>
  <si>
    <t>SKU-ELE-2300</t>
  </si>
  <si>
    <t>PED-01634</t>
  </si>
  <si>
    <t>SKU-ALI-1107</t>
  </si>
  <si>
    <t>PED-01635</t>
  </si>
  <si>
    <t>SKU-MAQ-5009</t>
  </si>
  <si>
    <t>PED-01636</t>
  </si>
  <si>
    <t>SKU-CON-9967</t>
  </si>
  <si>
    <t>PED-01637</t>
  </si>
  <si>
    <t>SKU-AUT-5556</t>
  </si>
  <si>
    <t>PED-01638</t>
  </si>
  <si>
    <t>SKU-MAQ-4401</t>
  </si>
  <si>
    <t>PED-01639</t>
  </si>
  <si>
    <t>SKU-CON-1801</t>
  </si>
  <si>
    <t>PED-01640</t>
  </si>
  <si>
    <t>SKU-ELE-4028</t>
  </si>
  <si>
    <t>PED-01641</t>
  </si>
  <si>
    <t>SKU-MAQ-3429</t>
  </si>
  <si>
    <t>PED-01642</t>
  </si>
  <si>
    <t>SKU-CON-1902</t>
  </si>
  <si>
    <t>PED-01643</t>
  </si>
  <si>
    <t>SKU-MAQ-6718</t>
  </si>
  <si>
    <t>PED-01644</t>
  </si>
  <si>
    <t>SKU-MAQ-1601</t>
  </si>
  <si>
    <t>PED-01645</t>
  </si>
  <si>
    <t>SKU-AUT-3381</t>
  </si>
  <si>
    <t>PED-01646</t>
  </si>
  <si>
    <t>SKU-CON-1531</t>
  </si>
  <si>
    <t>PED-01647</t>
  </si>
  <si>
    <t>SKU-CON-5889</t>
  </si>
  <si>
    <t>PED-01648</t>
  </si>
  <si>
    <t>SKU-ALI-6424</t>
  </si>
  <si>
    <t>PED-01649</t>
  </si>
  <si>
    <t>SKU-ELE-2436</t>
  </si>
  <si>
    <t>PED-01650</t>
  </si>
  <si>
    <t>SKU-AUT-1803</t>
  </si>
  <si>
    <t>PED-01651</t>
  </si>
  <si>
    <t>SKU-MAQ-2784</t>
  </si>
  <si>
    <t>PED-01652</t>
  </si>
  <si>
    <t>SKU-MAQ-7831</t>
  </si>
  <si>
    <t>PED-01653</t>
  </si>
  <si>
    <t>SKU-ALI-3920</t>
  </si>
  <si>
    <t>PED-01654</t>
  </si>
  <si>
    <t>SKU-ELE-3643</t>
  </si>
  <si>
    <t>PED-01655</t>
  </si>
  <si>
    <t>SKU-FAR-5659</t>
  </si>
  <si>
    <t>PED-01656</t>
  </si>
  <si>
    <t>SKU-AUT-3906</t>
  </si>
  <si>
    <t>PED-01657</t>
  </si>
  <si>
    <t>SKU-ALI-8460</t>
  </si>
  <si>
    <t>PED-01658</t>
  </si>
  <si>
    <t>SKU-ELE-6901</t>
  </si>
  <si>
    <t>PED-01659</t>
  </si>
  <si>
    <t>SKU-AUT-1587</t>
  </si>
  <si>
    <t>PED-01660</t>
  </si>
  <si>
    <t>SKU-MAQ-2525</t>
  </si>
  <si>
    <t>PED-01661</t>
  </si>
  <si>
    <t>SKU-ELE-5903</t>
  </si>
  <si>
    <t>PED-01662</t>
  </si>
  <si>
    <t>SKU-ELE-6289</t>
  </si>
  <si>
    <t>PED-01663</t>
  </si>
  <si>
    <t>SKU-QUÍ-7038</t>
  </si>
  <si>
    <t>PED-01664</t>
  </si>
  <si>
    <t>SKU-ELE-7208</t>
  </si>
  <si>
    <t>PED-01665</t>
  </si>
  <si>
    <t>SKU-FAR-2108</t>
  </si>
  <si>
    <t>PED-01666</t>
  </si>
  <si>
    <t>SKU-ELE-8001</t>
  </si>
  <si>
    <t>PED-01667</t>
  </si>
  <si>
    <t>SKU-FAR-2063</t>
  </si>
  <si>
    <t>PED-01668</t>
  </si>
  <si>
    <t>SKU-MAQ-5797</t>
  </si>
  <si>
    <t>PED-01669</t>
  </si>
  <si>
    <t>SKU-FAR-8713</t>
  </si>
  <si>
    <t>PED-01670</t>
  </si>
  <si>
    <t>SKU-AUT-3204</t>
  </si>
  <si>
    <t>PED-01671</t>
  </si>
  <si>
    <t>SKU-MAQ-2999</t>
  </si>
  <si>
    <t>PED-01672</t>
  </si>
  <si>
    <t>SKU-MAQ-5496</t>
  </si>
  <si>
    <t>PED-01673</t>
  </si>
  <si>
    <t>SKU-FAR-6393</t>
  </si>
  <si>
    <t>PED-01674</t>
  </si>
  <si>
    <t>SKU-CON-9635</t>
  </si>
  <si>
    <t>PED-01675</t>
  </si>
  <si>
    <t>SKU-ALI-7779</t>
  </si>
  <si>
    <t>PED-01676</t>
  </si>
  <si>
    <t>SKU-TEX-9595</t>
  </si>
  <si>
    <t>PED-01677</t>
  </si>
  <si>
    <t>SKU-CON-4438</t>
  </si>
  <si>
    <t>PED-01678</t>
  </si>
  <si>
    <t>SKU-ELE-4425</t>
  </si>
  <si>
    <t>PED-01679</t>
  </si>
  <si>
    <t>SKU-QUÍ-1953</t>
  </si>
  <si>
    <t>PED-01680</t>
  </si>
  <si>
    <t>SKU-TEX-2790</t>
  </si>
  <si>
    <t>PED-01681</t>
  </si>
  <si>
    <t>SKU-ELE-9666</t>
  </si>
  <si>
    <t>PED-01682</t>
  </si>
  <si>
    <t>SKU-CON-2436</t>
  </si>
  <si>
    <t>PED-01683</t>
  </si>
  <si>
    <t>SKU-CON-8924</t>
  </si>
  <si>
    <t>PED-01684</t>
  </si>
  <si>
    <t>SKU-ELE-5705</t>
  </si>
  <si>
    <t>PED-01685</t>
  </si>
  <si>
    <t>SKU-MAQ-7996</t>
  </si>
  <si>
    <t>PED-01686</t>
  </si>
  <si>
    <t>SKU-ELE-6185</t>
  </si>
  <si>
    <t>PED-01687</t>
  </si>
  <si>
    <t>SKU-QUÍ-5254</t>
  </si>
  <si>
    <t>PED-01688</t>
  </si>
  <si>
    <t>SKU-CON-9608</t>
  </si>
  <si>
    <t>PED-01689</t>
  </si>
  <si>
    <t>SKU-ELE-6797</t>
  </si>
  <si>
    <t>PED-01690</t>
  </si>
  <si>
    <t>SKU-FAR-3125</t>
  </si>
  <si>
    <t>PED-01691</t>
  </si>
  <si>
    <t>SKU-TEX-9132</t>
  </si>
  <si>
    <t>PED-01692</t>
  </si>
  <si>
    <t>SKU-FAR-9514</t>
  </si>
  <si>
    <t>PED-01693</t>
  </si>
  <si>
    <t>SKU-QUÍ-9154</t>
  </si>
  <si>
    <t>PED-01694</t>
  </si>
  <si>
    <t>SKU-ELE-9069</t>
  </si>
  <si>
    <t>PED-01695</t>
  </si>
  <si>
    <t>SKU-AUT-3947</t>
  </si>
  <si>
    <t>PED-01696</t>
  </si>
  <si>
    <t>SKU-QUÍ-4812</t>
  </si>
  <si>
    <t>PED-01697</t>
  </si>
  <si>
    <t>SKU-MAQ-5759</t>
  </si>
  <si>
    <t>PED-01698</t>
  </si>
  <si>
    <t>SKU-FAR-4171</t>
  </si>
  <si>
    <t>PED-01699</t>
  </si>
  <si>
    <t>SKU-FAR-1025</t>
  </si>
  <si>
    <t>PED-01700</t>
  </si>
  <si>
    <t>SKU-ALI-2936</t>
  </si>
  <si>
    <t>PED-01701</t>
  </si>
  <si>
    <t>SKU-ELE-1392</t>
  </si>
  <si>
    <t>PED-01702</t>
  </si>
  <si>
    <t>SKU-MAQ-8616</t>
  </si>
  <si>
    <t>PED-01703</t>
  </si>
  <si>
    <t>SKU-AUT-2932</t>
  </si>
  <si>
    <t>PED-01704</t>
  </si>
  <si>
    <t>SKU-FAR-4396</t>
  </si>
  <si>
    <t>PED-01705</t>
  </si>
  <si>
    <t>SKU-FAR-7793</t>
  </si>
  <si>
    <t>PED-01706</t>
  </si>
  <si>
    <t>SKU-MAQ-7783</t>
  </si>
  <si>
    <t>PED-01707</t>
  </si>
  <si>
    <t>SKU-QUÍ-1745</t>
  </si>
  <si>
    <t>PED-01708</t>
  </si>
  <si>
    <t>SKU-QUÍ-6468</t>
  </si>
  <si>
    <t>PED-01709</t>
  </si>
  <si>
    <t>SKU-ELE-6728</t>
  </si>
  <si>
    <t>PED-01710</t>
  </si>
  <si>
    <t>SKU-CON-4478</t>
  </si>
  <si>
    <t>PED-01711</t>
  </si>
  <si>
    <t>SKU-ALI-1185</t>
  </si>
  <si>
    <t>PED-01712</t>
  </si>
  <si>
    <t>SKU-FAR-4296</t>
  </si>
  <si>
    <t>PED-01713</t>
  </si>
  <si>
    <t>SKU-CON-5614</t>
  </si>
  <si>
    <t>PED-01714</t>
  </si>
  <si>
    <t>SKU-CON-5168</t>
  </si>
  <si>
    <t>PED-01715</t>
  </si>
  <si>
    <t>SKU-ALI-2111</t>
  </si>
  <si>
    <t>PED-01716</t>
  </si>
  <si>
    <t>SKU-CON-6042</t>
  </si>
  <si>
    <t>PED-01717</t>
  </si>
  <si>
    <t>SKU-CON-5919</t>
  </si>
  <si>
    <t>PED-01718</t>
  </si>
  <si>
    <t>SKU-QUÍ-9301</t>
  </si>
  <si>
    <t>PED-01719</t>
  </si>
  <si>
    <t>SKU-QUÍ-6307</t>
  </si>
  <si>
    <t>PED-01720</t>
  </si>
  <si>
    <t>SKU-TEX-1100</t>
  </si>
  <si>
    <t>PED-01721</t>
  </si>
  <si>
    <t>SKU-AUT-2865</t>
  </si>
  <si>
    <t>PED-01722</t>
  </si>
  <si>
    <t>SKU-ELE-6460</t>
  </si>
  <si>
    <t>PED-01723</t>
  </si>
  <si>
    <t>SKU-CON-6592</t>
  </si>
  <si>
    <t>PED-01724</t>
  </si>
  <si>
    <t>SKU-TEX-7488</t>
  </si>
  <si>
    <t>PED-01725</t>
  </si>
  <si>
    <t>SKU-AUT-1477</t>
  </si>
  <si>
    <t>PED-01726</t>
  </si>
  <si>
    <t>SKU-TEX-3877</t>
  </si>
  <si>
    <t>PED-01727</t>
  </si>
  <si>
    <t>SKU-TEX-4178</t>
  </si>
  <si>
    <t>PED-01728</t>
  </si>
  <si>
    <t>SKU-ELE-6415</t>
  </si>
  <si>
    <t>PED-01729</t>
  </si>
  <si>
    <t>SKU-ELE-6536</t>
  </si>
  <si>
    <t>PED-01730</t>
  </si>
  <si>
    <t>SKU-MAQ-8849</t>
  </si>
  <si>
    <t>PED-01731</t>
  </si>
  <si>
    <t>SKU-ALI-8774</t>
  </si>
  <si>
    <t>PED-01732</t>
  </si>
  <si>
    <t>SKU-ALI-1582</t>
  </si>
  <si>
    <t>PED-01733</t>
  </si>
  <si>
    <t>SKU-MAQ-3224</t>
  </si>
  <si>
    <t>PED-01734</t>
  </si>
  <si>
    <t>SKU-MAQ-8888</t>
  </si>
  <si>
    <t>PED-01735</t>
  </si>
  <si>
    <t>SKU-QUÍ-3545</t>
  </si>
  <si>
    <t>PED-01736</t>
  </si>
  <si>
    <t>SKU-AUT-8546</t>
  </si>
  <si>
    <t>PED-01737</t>
  </si>
  <si>
    <t>SKU-TEX-9797</t>
  </si>
  <si>
    <t>PED-01738</t>
  </si>
  <si>
    <t>SKU-CON-6490</t>
  </si>
  <si>
    <t>PED-01739</t>
  </si>
  <si>
    <t>SKU-MAQ-8577</t>
  </si>
  <si>
    <t>PED-01740</t>
  </si>
  <si>
    <t>SKU-FAR-7782</t>
  </si>
  <si>
    <t>PED-01741</t>
  </si>
  <si>
    <t>SKU-ALI-1917</t>
  </si>
  <si>
    <t>PED-01742</t>
  </si>
  <si>
    <t>SKU-MAQ-9537</t>
  </si>
  <si>
    <t>PED-01743</t>
  </si>
  <si>
    <t>SKU-FAR-5904</t>
  </si>
  <si>
    <t>PED-01744</t>
  </si>
  <si>
    <t>SKU-FAR-6169</t>
  </si>
  <si>
    <t>PED-01745</t>
  </si>
  <si>
    <t>SKU-FAR-9779</t>
  </si>
  <si>
    <t>PED-01746</t>
  </si>
  <si>
    <t>SKU-QUÍ-1306</t>
  </si>
  <si>
    <t>PED-01747</t>
  </si>
  <si>
    <t>SKU-QUÍ-4412</t>
  </si>
  <si>
    <t>PED-01748</t>
  </si>
  <si>
    <t>SKU-CON-6434</t>
  </si>
  <si>
    <t>PED-01749</t>
  </si>
  <si>
    <t>SKU-CON-6793</t>
  </si>
  <si>
    <t>PED-01750</t>
  </si>
  <si>
    <t>SKU-FAR-2084</t>
  </si>
  <si>
    <t>PED-01751</t>
  </si>
  <si>
    <t>SKU-AUT-3446</t>
  </si>
  <si>
    <t>PED-01752</t>
  </si>
  <si>
    <t>SKU-QUÍ-5595</t>
  </si>
  <si>
    <t>PED-01753</t>
  </si>
  <si>
    <t>SKU-TEX-1510</t>
  </si>
  <si>
    <t>PED-01754</t>
  </si>
  <si>
    <t>SKU-FAR-6556</t>
  </si>
  <si>
    <t>PED-01755</t>
  </si>
  <si>
    <t>SKU-TEX-7147</t>
  </si>
  <si>
    <t>PED-01756</t>
  </si>
  <si>
    <t>SKU-TEX-9753</t>
  </si>
  <si>
    <t>PED-01757</t>
  </si>
  <si>
    <t>SKU-FAR-3719</t>
  </si>
  <si>
    <t>PED-01758</t>
  </si>
  <si>
    <t>SKU-ALI-7382</t>
  </si>
  <si>
    <t>PED-01759</t>
  </si>
  <si>
    <t>SKU-AUT-4070</t>
  </si>
  <si>
    <t>PED-01760</t>
  </si>
  <si>
    <t>SKU-FAR-2914</t>
  </si>
  <si>
    <t>PED-01761</t>
  </si>
  <si>
    <t>SKU-CON-6050</t>
  </si>
  <si>
    <t>PED-01762</t>
  </si>
  <si>
    <t>SKU-FAR-6152</t>
  </si>
  <si>
    <t>PED-01763</t>
  </si>
  <si>
    <t>SKU-QUÍ-1518</t>
  </si>
  <si>
    <t>PED-01764</t>
  </si>
  <si>
    <t>SKU-FAR-5448</t>
  </si>
  <si>
    <t>PED-01765</t>
  </si>
  <si>
    <t>SKU-ALI-7780</t>
  </si>
  <si>
    <t>PED-01766</t>
  </si>
  <si>
    <t>SKU-QUÍ-2422</t>
  </si>
  <si>
    <t>PED-01767</t>
  </si>
  <si>
    <t>SKU-CON-9143</t>
  </si>
  <si>
    <t>PED-01768</t>
  </si>
  <si>
    <t>SKU-ELE-4893</t>
  </si>
  <si>
    <t>PED-01769</t>
  </si>
  <si>
    <t>SKU-ELE-7088</t>
  </si>
  <si>
    <t>PED-01770</t>
  </si>
  <si>
    <t>SKU-TEX-8404</t>
  </si>
  <si>
    <t>PED-01771</t>
  </si>
  <si>
    <t>SKU-AUT-5958</t>
  </si>
  <si>
    <t>PED-01772</t>
  </si>
  <si>
    <t>SKU-TEX-4541</t>
  </si>
  <si>
    <t>PED-01773</t>
  </si>
  <si>
    <t>SKU-ALI-9603</t>
  </si>
  <si>
    <t>PED-01774</t>
  </si>
  <si>
    <t>SKU-MAQ-5953</t>
  </si>
  <si>
    <t>PED-01775</t>
  </si>
  <si>
    <t>PED-01776</t>
  </si>
  <si>
    <t>SKU-AUT-2838</t>
  </si>
  <si>
    <t>PED-01777</t>
  </si>
  <si>
    <t>SKU-CON-7131</t>
  </si>
  <si>
    <t>PED-01778</t>
  </si>
  <si>
    <t>SKU-ELE-1612</t>
  </si>
  <si>
    <t>PED-01779</t>
  </si>
  <si>
    <t>SKU-TEX-4311</t>
  </si>
  <si>
    <t>PED-01780</t>
  </si>
  <si>
    <t>SKU-CON-2517</t>
  </si>
  <si>
    <t>PED-01781</t>
  </si>
  <si>
    <t>SKU-ELE-8270</t>
  </si>
  <si>
    <t>PED-01782</t>
  </si>
  <si>
    <t>SKU-ALI-9290</t>
  </si>
  <si>
    <t>PED-01783</t>
  </si>
  <si>
    <t>SKU-ALI-1408</t>
  </si>
  <si>
    <t>PED-01784</t>
  </si>
  <si>
    <t>SKU-MAQ-8907</t>
  </si>
  <si>
    <t>PED-01785</t>
  </si>
  <si>
    <t>SKU-CON-9192</t>
  </si>
  <si>
    <t>PED-01786</t>
  </si>
  <si>
    <t>SKU-MAQ-3524</t>
  </si>
  <si>
    <t>PED-01787</t>
  </si>
  <si>
    <t>SKU-QUÍ-4116</t>
  </si>
  <si>
    <t>PED-01788</t>
  </si>
  <si>
    <t>SKU-AUT-6572</t>
  </si>
  <si>
    <t>PED-01789</t>
  </si>
  <si>
    <t>SKU-CON-8921</t>
  </si>
  <si>
    <t>PED-01790</t>
  </si>
  <si>
    <t>SKU-ALI-9579</t>
  </si>
  <si>
    <t>PED-01791</t>
  </si>
  <si>
    <t>SKU-TEX-6084</t>
  </si>
  <si>
    <t>PED-01792</t>
  </si>
  <si>
    <t>SKU-ELE-6363</t>
  </si>
  <si>
    <t>PED-01793</t>
  </si>
  <si>
    <t>SKU-FAR-3347</t>
  </si>
  <si>
    <t>PED-01794</t>
  </si>
  <si>
    <t>SKU-MAQ-2609</t>
  </si>
  <si>
    <t>PED-01795</t>
  </si>
  <si>
    <t>SKU-FAR-9456</t>
  </si>
  <si>
    <t>PED-01796</t>
  </si>
  <si>
    <t>SKU-CON-3174</t>
  </si>
  <si>
    <t>PED-01797</t>
  </si>
  <si>
    <t>SKU-TEX-4361</t>
  </si>
  <si>
    <t>PED-01798</t>
  </si>
  <si>
    <t>SKU-MAQ-1598</t>
  </si>
  <si>
    <t>PED-01799</t>
  </si>
  <si>
    <t>SKU-FAR-8526</t>
  </si>
  <si>
    <t>PED-01800</t>
  </si>
  <si>
    <t>SKU-AUT-7350</t>
  </si>
  <si>
    <t>PED-01801</t>
  </si>
  <si>
    <t>SKU-TEX-9558</t>
  </si>
  <si>
    <t>PED-01802</t>
  </si>
  <si>
    <t>SKU-ELE-2897</t>
  </si>
  <si>
    <t>PED-01803</t>
  </si>
  <si>
    <t>SKU-AUT-1067</t>
  </si>
  <si>
    <t>PED-01804</t>
  </si>
  <si>
    <t>SKU-TEX-6095</t>
  </si>
  <si>
    <t>PED-01805</t>
  </si>
  <si>
    <t>SKU-QUÍ-1721</t>
  </si>
  <si>
    <t>PED-01806</t>
  </si>
  <si>
    <t>SKU-MAQ-2426</t>
  </si>
  <si>
    <t>PED-01807</t>
  </si>
  <si>
    <t>SKU-ALI-6460</t>
  </si>
  <si>
    <t>PED-01808</t>
  </si>
  <si>
    <t>SKU-ELE-8649</t>
  </si>
  <si>
    <t>PED-01809</t>
  </si>
  <si>
    <t>SKU-CON-1755</t>
  </si>
  <si>
    <t>PED-01810</t>
  </si>
  <si>
    <t>SKU-AUT-2689</t>
  </si>
  <si>
    <t>PED-01811</t>
  </si>
  <si>
    <t>PED-01812</t>
  </si>
  <si>
    <t>SKU-FAR-6119</t>
  </si>
  <si>
    <t>PED-01813</t>
  </si>
  <si>
    <t>SKU-MAQ-1368</t>
  </si>
  <si>
    <t>PED-01814</t>
  </si>
  <si>
    <t>SKU-CON-6114</t>
  </si>
  <si>
    <t>PED-01815</t>
  </si>
  <si>
    <t>SKU-ALI-4438</t>
  </si>
  <si>
    <t>PED-01816</t>
  </si>
  <si>
    <t>SKU-TEX-6257</t>
  </si>
  <si>
    <t>PED-01817</t>
  </si>
  <si>
    <t>SKU-ALI-4285</t>
  </si>
  <si>
    <t>PED-01818</t>
  </si>
  <si>
    <t>SKU-MAQ-4154</t>
  </si>
  <si>
    <t>PED-01819</t>
  </si>
  <si>
    <t>SKU-MAQ-5695</t>
  </si>
  <si>
    <t>PED-01820</t>
  </si>
  <si>
    <t>SKU-QUÍ-5532</t>
  </si>
  <si>
    <t>PED-01821</t>
  </si>
  <si>
    <t>SKU-QUÍ-9720</t>
  </si>
  <si>
    <t>PED-01822</t>
  </si>
  <si>
    <t>SKU-ALI-6228</t>
  </si>
  <si>
    <t>PED-01823</t>
  </si>
  <si>
    <t>SKU-TEX-8227</t>
  </si>
  <si>
    <t>PED-01824</t>
  </si>
  <si>
    <t>SKU-ALI-2927</t>
  </si>
  <si>
    <t>PED-01825</t>
  </si>
  <si>
    <t>SKU-MAQ-5467</t>
  </si>
  <si>
    <t>PED-01826</t>
  </si>
  <si>
    <t>SKU-MAQ-3446</t>
  </si>
  <si>
    <t>PED-01827</t>
  </si>
  <si>
    <t>SKU-FAR-3580</t>
  </si>
  <si>
    <t>PED-01828</t>
  </si>
  <si>
    <t>SKU-QUÍ-5483</t>
  </si>
  <si>
    <t>PED-01829</t>
  </si>
  <si>
    <t>SKU-CON-2875</t>
  </si>
  <si>
    <t>PED-01830</t>
  </si>
  <si>
    <t>SKU-CON-1249</t>
  </si>
  <si>
    <t>PED-01831</t>
  </si>
  <si>
    <t>SKU-CON-9422</t>
  </si>
  <si>
    <t>PED-01832</t>
  </si>
  <si>
    <t>SKU-FAR-2677</t>
  </si>
  <si>
    <t>PED-01833</t>
  </si>
  <si>
    <t>SKU-ELE-4384</t>
  </si>
  <si>
    <t>PED-01834</t>
  </si>
  <si>
    <t>SKU-CON-9888</t>
  </si>
  <si>
    <t>PED-01835</t>
  </si>
  <si>
    <t>SKU-MAQ-6739</t>
  </si>
  <si>
    <t>PED-01836</t>
  </si>
  <si>
    <t>SKU-FAR-6218</t>
  </si>
  <si>
    <t>PED-01837</t>
  </si>
  <si>
    <t>SKU-ALI-5440</t>
  </si>
  <si>
    <t>PED-01838</t>
  </si>
  <si>
    <t>SKU-QUÍ-3319</t>
  </si>
  <si>
    <t>PED-01839</t>
  </si>
  <si>
    <t>SKU-QUÍ-5641</t>
  </si>
  <si>
    <t>PED-01840</t>
  </si>
  <si>
    <t>SKU-TEX-5011</t>
  </si>
  <si>
    <t>PED-01841</t>
  </si>
  <si>
    <t>SKU-ALI-3806</t>
  </si>
  <si>
    <t>PED-01842</t>
  </si>
  <si>
    <t>SKU-TEX-2167</t>
  </si>
  <si>
    <t>PED-01843</t>
  </si>
  <si>
    <t>SKU-FAR-6101</t>
  </si>
  <si>
    <t>PED-01844</t>
  </si>
  <si>
    <t>SKU-AUT-6549</t>
  </si>
  <si>
    <t>PED-01845</t>
  </si>
  <si>
    <t>SKU-CON-9856</t>
  </si>
  <si>
    <t>PED-01846</t>
  </si>
  <si>
    <t>SKU-ELE-8268</t>
  </si>
  <si>
    <t>PED-01847</t>
  </si>
  <si>
    <t>SKU-ALI-1831</t>
  </si>
  <si>
    <t>PED-01848</t>
  </si>
  <si>
    <t>SKU-ALI-3131</t>
  </si>
  <si>
    <t>PED-01849</t>
  </si>
  <si>
    <t>SKU-ALI-1475</t>
  </si>
  <si>
    <t>PED-01850</t>
  </si>
  <si>
    <t>SKU-TEX-8712</t>
  </si>
  <si>
    <t>PED-01851</t>
  </si>
  <si>
    <t>SKU-FAR-1826</t>
  </si>
  <si>
    <t>PED-01852</t>
  </si>
  <si>
    <t>SKU-ALI-2735</t>
  </si>
  <si>
    <t>PED-01853</t>
  </si>
  <si>
    <t>SKU-AUT-7284</t>
  </si>
  <si>
    <t>PED-01854</t>
  </si>
  <si>
    <t>SKU-ALI-1881</t>
  </si>
  <si>
    <t>PED-01855</t>
  </si>
  <si>
    <t>SKU-QUÍ-2410</t>
  </si>
  <si>
    <t>PED-01856</t>
  </si>
  <si>
    <t>SKU-CON-7987</t>
  </si>
  <si>
    <t>PED-01857</t>
  </si>
  <si>
    <t>SKU-ELE-7421</t>
  </si>
  <si>
    <t>PED-01858</t>
  </si>
  <si>
    <t>SKU-CON-3932</t>
  </si>
  <si>
    <t>PED-01859</t>
  </si>
  <si>
    <t>SKU-QUÍ-8304</t>
  </si>
  <si>
    <t>PED-01860</t>
  </si>
  <si>
    <t>SKU-QUÍ-6826</t>
  </si>
  <si>
    <t>PED-01861</t>
  </si>
  <si>
    <t>SKU-ELE-6119</t>
  </si>
  <si>
    <t>PED-01862</t>
  </si>
  <si>
    <t>SKU-AUT-6444</t>
  </si>
  <si>
    <t>PED-01863</t>
  </si>
  <si>
    <t>SKU-FAR-4246</t>
  </si>
  <si>
    <t>PED-01864</t>
  </si>
  <si>
    <t>SKU-QUÍ-9740</t>
  </si>
  <si>
    <t>PED-01865</t>
  </si>
  <si>
    <t>SKU-FAR-2286</t>
  </si>
  <si>
    <t>PED-01866</t>
  </si>
  <si>
    <t>SKU-QUÍ-8629</t>
  </si>
  <si>
    <t>PED-01867</t>
  </si>
  <si>
    <t>SKU-MAQ-3159</t>
  </si>
  <si>
    <t>PED-01868</t>
  </si>
  <si>
    <t>SKU-ELE-2522</t>
  </si>
  <si>
    <t>PED-01869</t>
  </si>
  <si>
    <t>SKU-QUÍ-8672</t>
  </si>
  <si>
    <t>PED-01870</t>
  </si>
  <si>
    <t>SKU-MAQ-2593</t>
  </si>
  <si>
    <t>PED-01871</t>
  </si>
  <si>
    <t>SKU-CON-8464</t>
  </si>
  <si>
    <t>PED-01872</t>
  </si>
  <si>
    <t>SKU-TEX-6085</t>
  </si>
  <si>
    <t>PED-01873</t>
  </si>
  <si>
    <t>SKU-MAQ-8625</t>
  </si>
  <si>
    <t>PED-01874</t>
  </si>
  <si>
    <t>SKU-ALI-8709</t>
  </si>
  <si>
    <t>PED-01875</t>
  </si>
  <si>
    <t>SKU-QUÍ-4796</t>
  </si>
  <si>
    <t>PED-01876</t>
  </si>
  <si>
    <t>SKU-MAQ-4666</t>
  </si>
  <si>
    <t>PED-01877</t>
  </si>
  <si>
    <t>SKU-FAR-3354</t>
  </si>
  <si>
    <t>PED-01878</t>
  </si>
  <si>
    <t>SKU-TEX-5227</t>
  </si>
  <si>
    <t>PED-01879</t>
  </si>
  <si>
    <t>SKU-AUT-6954</t>
  </si>
  <si>
    <t>PED-01880</t>
  </si>
  <si>
    <t>SKU-QUÍ-7423</t>
  </si>
  <si>
    <t>PED-01881</t>
  </si>
  <si>
    <t>SKU-ALI-4004</t>
  </si>
  <si>
    <t>PED-01882</t>
  </si>
  <si>
    <t>SKU-AUT-6412</t>
  </si>
  <si>
    <t>PED-01883</t>
  </si>
  <si>
    <t>SKU-MAQ-6320</t>
  </si>
  <si>
    <t>PED-01884</t>
  </si>
  <si>
    <t>SKU-AUT-8426</t>
  </si>
  <si>
    <t>PED-01885</t>
  </si>
  <si>
    <t>PED-01886</t>
  </si>
  <si>
    <t>SKU-TEX-1495</t>
  </si>
  <si>
    <t>PED-01887</t>
  </si>
  <si>
    <t>SKU-CON-2070</t>
  </si>
  <si>
    <t>PED-01888</t>
  </si>
  <si>
    <t>SKU-AUT-8787</t>
  </si>
  <si>
    <t>PED-01889</t>
  </si>
  <si>
    <t>SKU-AUT-2849</t>
  </si>
  <si>
    <t>PED-01890</t>
  </si>
  <si>
    <t>SKU-QUÍ-6758</t>
  </si>
  <si>
    <t>PED-01891</t>
  </si>
  <si>
    <t>SKU-CON-8842</t>
  </si>
  <si>
    <t>PED-01892</t>
  </si>
  <si>
    <t>SKU-TEX-8556</t>
  </si>
  <si>
    <t>PED-01893</t>
  </si>
  <si>
    <t>SKU-ALI-3798</t>
  </si>
  <si>
    <t>PED-01894</t>
  </si>
  <si>
    <t>SKU-MAQ-5624</t>
  </si>
  <si>
    <t>PED-01895</t>
  </si>
  <si>
    <t>SKU-TEX-6711</t>
  </si>
  <si>
    <t>PED-01896</t>
  </si>
  <si>
    <t>SKU-TEX-3087</t>
  </si>
  <si>
    <t>PED-01897</t>
  </si>
  <si>
    <t>SKU-ELE-9322</t>
  </si>
  <si>
    <t>PED-01898</t>
  </si>
  <si>
    <t>SKU-TEX-2686</t>
  </si>
  <si>
    <t>PED-01899</t>
  </si>
  <si>
    <t>SKU-CON-7646</t>
  </si>
  <si>
    <t>PED-01900</t>
  </si>
  <si>
    <t>SKU-ELE-2752</t>
  </si>
  <si>
    <t>PED-01901</t>
  </si>
  <si>
    <t>SKU-MAQ-6339</t>
  </si>
  <si>
    <t>PED-01902</t>
  </si>
  <si>
    <t>SKU-AUT-2162</t>
  </si>
  <si>
    <t>PED-01903</t>
  </si>
  <si>
    <t>SKU-QUÍ-5949</t>
  </si>
  <si>
    <t>PED-01904</t>
  </si>
  <si>
    <t>SKU-QUÍ-9728</t>
  </si>
  <si>
    <t>PED-01905</t>
  </si>
  <si>
    <t>SKU-MAQ-8552</t>
  </si>
  <si>
    <t>PED-01906</t>
  </si>
  <si>
    <t>SKU-MAQ-7566</t>
  </si>
  <si>
    <t>PED-01907</t>
  </si>
  <si>
    <t>SKU-CON-7773</t>
  </si>
  <si>
    <t>PED-01908</t>
  </si>
  <si>
    <t>SKU-FAR-4908</t>
  </si>
  <si>
    <t>PED-01909</t>
  </si>
  <si>
    <t>SKU-AUT-4992</t>
  </si>
  <si>
    <t>PED-01910</t>
  </si>
  <si>
    <t>SKU-MAQ-9977</t>
  </si>
  <si>
    <t>PED-01911</t>
  </si>
  <si>
    <t>SKU-TEX-3605</t>
  </si>
  <si>
    <t>PED-01912</t>
  </si>
  <si>
    <t>SKU-CON-8903</t>
  </si>
  <si>
    <t>PED-01913</t>
  </si>
  <si>
    <t>SKU-QUÍ-7288</t>
  </si>
  <si>
    <t>PED-01914</t>
  </si>
  <si>
    <t>SKU-ALI-2082</t>
  </si>
  <si>
    <t>PED-01915</t>
  </si>
  <si>
    <t>SKU-CON-6582</t>
  </si>
  <si>
    <t>PED-01916</t>
  </si>
  <si>
    <t>SKU-QUÍ-4411</t>
  </si>
  <si>
    <t>PED-01917</t>
  </si>
  <si>
    <t>SKU-ELE-8063</t>
  </si>
  <si>
    <t>PED-01918</t>
  </si>
  <si>
    <t>SKU-CON-8132</t>
  </si>
  <si>
    <t>PED-01919</t>
  </si>
  <si>
    <t>SKU-QUÍ-6606</t>
  </si>
  <si>
    <t>PED-01920</t>
  </si>
  <si>
    <t>SKU-FAR-9921</t>
  </si>
  <si>
    <t>PED-01921</t>
  </si>
  <si>
    <t>SKU-CON-4869</t>
  </si>
  <si>
    <t>PED-01922</t>
  </si>
  <si>
    <t>SKU-CON-3835</t>
  </si>
  <si>
    <t>PED-01923</t>
  </si>
  <si>
    <t>SKU-AUT-2276</t>
  </si>
  <si>
    <t>PED-01924</t>
  </si>
  <si>
    <t>SKU-MAQ-8972</t>
  </si>
  <si>
    <t>PED-01925</t>
  </si>
  <si>
    <t>SKU-AUT-2873</t>
  </si>
  <si>
    <t>PED-01926</t>
  </si>
  <si>
    <t>SKU-CON-8584</t>
  </si>
  <si>
    <t>PED-01927</t>
  </si>
  <si>
    <t>SKU-MAQ-6330</t>
  </si>
  <si>
    <t>PED-01928</t>
  </si>
  <si>
    <t>SKU-QUÍ-2599</t>
  </si>
  <si>
    <t>PED-01929</t>
  </si>
  <si>
    <t>SKU-ALI-8294</t>
  </si>
  <si>
    <t>PED-01930</t>
  </si>
  <si>
    <t>SKU-ALI-3886</t>
  </si>
  <si>
    <t>PED-01931</t>
  </si>
  <si>
    <t>SKU-CON-6046</t>
  </si>
  <si>
    <t>PED-01932</t>
  </si>
  <si>
    <t>SKU-FAR-7648</t>
  </si>
  <si>
    <t>PED-01933</t>
  </si>
  <si>
    <t>SKU-ELE-2140</t>
  </si>
  <si>
    <t>PED-01934</t>
  </si>
  <si>
    <t>SKU-QUÍ-2781</t>
  </si>
  <si>
    <t>PED-01935</t>
  </si>
  <si>
    <t>SKU-MAQ-7208</t>
  </si>
  <si>
    <t>PED-01936</t>
  </si>
  <si>
    <t>SKU-CON-6364</t>
  </si>
  <si>
    <t>PED-01937</t>
  </si>
  <si>
    <t>SKU-QUÍ-9098</t>
  </si>
  <si>
    <t>PED-01938</t>
  </si>
  <si>
    <t>SKU-CON-2007</t>
  </si>
  <si>
    <t>PED-01939</t>
  </si>
  <si>
    <t>SKU-FAR-2483</t>
  </si>
  <si>
    <t>PED-01940</t>
  </si>
  <si>
    <t>SKU-TEX-4565</t>
  </si>
  <si>
    <t>PED-01941</t>
  </si>
  <si>
    <t>SKU-TEX-3276</t>
  </si>
  <si>
    <t>PED-01942</t>
  </si>
  <si>
    <t>SKU-FAR-1003</t>
  </si>
  <si>
    <t>PED-01943</t>
  </si>
  <si>
    <t>SKU-MAQ-3403</t>
  </si>
  <si>
    <t>PED-01944</t>
  </si>
  <si>
    <t>SKU-AUT-3444</t>
  </si>
  <si>
    <t>PED-01945</t>
  </si>
  <si>
    <t>SKU-FAR-8421</t>
  </si>
  <si>
    <t>PED-01946</t>
  </si>
  <si>
    <t>SKU-CON-9704</t>
  </si>
  <si>
    <t>PED-01947</t>
  </si>
  <si>
    <t>SKU-MAQ-5775</t>
  </si>
  <si>
    <t>PED-01948</t>
  </si>
  <si>
    <t>SKU-ALI-7389</t>
  </si>
  <si>
    <t>PED-01949</t>
  </si>
  <si>
    <t>SKU-FAR-8326</t>
  </si>
  <si>
    <t>PED-01950</t>
  </si>
  <si>
    <t>SKU-MAQ-4205</t>
  </si>
  <si>
    <t>PED-01951</t>
  </si>
  <si>
    <t>SKU-FAR-4369</t>
  </si>
  <si>
    <t>PED-01952</t>
  </si>
  <si>
    <t>SKU-FAR-6187</t>
  </si>
  <si>
    <t>PED-01953</t>
  </si>
  <si>
    <t>SKU-AUT-5910</t>
  </si>
  <si>
    <t>PED-01954</t>
  </si>
  <si>
    <t>PED-01955</t>
  </si>
  <si>
    <t>SKU-CON-8122</t>
  </si>
  <si>
    <t>PED-01956</t>
  </si>
  <si>
    <t>SKU-MAQ-6640</t>
  </si>
  <si>
    <t>PED-01957</t>
  </si>
  <si>
    <t>SKU-MAQ-2462</t>
  </si>
  <si>
    <t>PED-01958</t>
  </si>
  <si>
    <t>SKU-ELE-1133</t>
  </si>
  <si>
    <t>PED-01959</t>
  </si>
  <si>
    <t>SKU-FAR-9362</t>
  </si>
  <si>
    <t>PED-01960</t>
  </si>
  <si>
    <t>SKU-TEX-7622</t>
  </si>
  <si>
    <t>PED-01961</t>
  </si>
  <si>
    <t>SKU-FAR-3089</t>
  </si>
  <si>
    <t>PED-01962</t>
  </si>
  <si>
    <t>SKU-FAR-5819</t>
  </si>
  <si>
    <t>PED-01963</t>
  </si>
  <si>
    <t>SKU-MAQ-2022</t>
  </si>
  <si>
    <t>PED-01964</t>
  </si>
  <si>
    <t>SKU-FAR-7049</t>
  </si>
  <si>
    <t>PED-01965</t>
  </si>
  <si>
    <t>SKU-QUÍ-9992</t>
  </si>
  <si>
    <t>PED-01966</t>
  </si>
  <si>
    <t>SKU-FAR-1870</t>
  </si>
  <si>
    <t>PED-01967</t>
  </si>
  <si>
    <t>SKU-QUÍ-1013</t>
  </si>
  <si>
    <t>PED-01968</t>
  </si>
  <si>
    <t>SKU-AUT-6885</t>
  </si>
  <si>
    <t>PED-01969</t>
  </si>
  <si>
    <t>SKU-TEX-2797</t>
  </si>
  <si>
    <t>PED-01970</t>
  </si>
  <si>
    <t>SKU-CON-5623</t>
  </si>
  <si>
    <t>PED-01971</t>
  </si>
  <si>
    <t>SKU-MAQ-1510</t>
  </si>
  <si>
    <t>PED-01972</t>
  </si>
  <si>
    <t>SKU-FAR-4854</t>
  </si>
  <si>
    <t>PED-01973</t>
  </si>
  <si>
    <t>SKU-QUÍ-8073</t>
  </si>
  <si>
    <t>PED-01974</t>
  </si>
  <si>
    <t>SKU-QUÍ-7459</t>
  </si>
  <si>
    <t>PED-01975</t>
  </si>
  <si>
    <t>SKU-AUT-6212</t>
  </si>
  <si>
    <t>PED-01976</t>
  </si>
  <si>
    <t>SKU-QUÍ-7271</t>
  </si>
  <si>
    <t>PED-01977</t>
  </si>
  <si>
    <t>SKU-CON-7652</t>
  </si>
  <si>
    <t>PED-01978</t>
  </si>
  <si>
    <t>SKU-ALI-7251</t>
  </si>
  <si>
    <t>PED-01979</t>
  </si>
  <si>
    <t>SKU-ELE-8130</t>
  </si>
  <si>
    <t>PED-01980</t>
  </si>
  <si>
    <t>SKU-CON-9931</t>
  </si>
  <si>
    <t>PED-01981</t>
  </si>
  <si>
    <t>SKU-TEX-4460</t>
  </si>
  <si>
    <t>PED-01982</t>
  </si>
  <si>
    <t>SKU-CON-3841</t>
  </si>
  <si>
    <t>PED-01983</t>
  </si>
  <si>
    <t>SKU-AUT-8780</t>
  </si>
  <si>
    <t>PED-01984</t>
  </si>
  <si>
    <t>SKU-AUT-3278</t>
  </si>
  <si>
    <t>PED-01985</t>
  </si>
  <si>
    <t>SKU-CON-4083</t>
  </si>
  <si>
    <t>PED-01986</t>
  </si>
  <si>
    <t>SKU-FAR-7301</t>
  </si>
  <si>
    <t>PED-01987</t>
  </si>
  <si>
    <t>SKU-ALI-6902</t>
  </si>
  <si>
    <t>PED-01988</t>
  </si>
  <si>
    <t>SKU-FAR-7835</t>
  </si>
  <si>
    <t>PED-01989</t>
  </si>
  <si>
    <t>SKU-FAR-3527</t>
  </si>
  <si>
    <t>PED-01990</t>
  </si>
  <si>
    <t>SKU-CON-5726</t>
  </si>
  <si>
    <t>PED-01991</t>
  </si>
  <si>
    <t>SKU-MAQ-3056</t>
  </si>
  <si>
    <t>PED-01992</t>
  </si>
  <si>
    <t>SKU-MAQ-3200</t>
  </si>
  <si>
    <t>PED-01993</t>
  </si>
  <si>
    <t>SKU-MAQ-1190</t>
  </si>
  <si>
    <t>PED-01994</t>
  </si>
  <si>
    <t>SKU-ALI-2175</t>
  </si>
  <si>
    <t>PED-01995</t>
  </si>
  <si>
    <t>SKU-FAR-1257</t>
  </si>
  <si>
    <t>PED-01996</t>
  </si>
  <si>
    <t>SKU-ELE-3359</t>
  </si>
  <si>
    <t>PED-01997</t>
  </si>
  <si>
    <t>SKU-TEX-8974</t>
  </si>
  <si>
    <t>PED-01998</t>
  </si>
  <si>
    <t>SKU-MAQ-8155</t>
  </si>
  <si>
    <t>PED-01999</t>
  </si>
  <si>
    <t>PED-02000</t>
  </si>
  <si>
    <t>SKU-AUT-2387</t>
  </si>
  <si>
    <t>Suma de Valor_Total_EUR</t>
  </si>
  <si>
    <t>Etiquetas de fila</t>
  </si>
  <si>
    <t>Total general</t>
  </si>
  <si>
    <t>Suma de Coste_Transporte_EUR</t>
  </si>
  <si>
    <t>Etiquetas de columna</t>
  </si>
  <si>
    <t>Cuenta de Cantidad</t>
  </si>
  <si>
    <t>Promedio de Lead_Time_Días</t>
  </si>
  <si>
    <t>Cuenta de ID_Pedido</t>
  </si>
  <si>
    <t>Promedio de OTIF (%)</t>
  </si>
  <si>
    <t>Cuenta de Incidencias</t>
  </si>
  <si>
    <t>FALSO</t>
  </si>
  <si>
    <t>VERDADERO</t>
  </si>
  <si>
    <t>6 ·  ANÁLISIS POR MODO DE TRANSPORTE</t>
  </si>
  <si>
    <t>7 ·  ANÁLISIS DE INCIDENCIAS</t>
  </si>
  <si>
    <t>8 ·  EVOLUCIÓN TEMPORAL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</si>
</sst>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4" formatCode="_-* #,##0.00\ &quot;€&quot;_-;\-* #,##0.00\ &quot;€&quot;_-;_-* &quot;-&quot;??\ &quot;€&quot;_-;_-@_-"/>
    <numFmt numFmtId="164" formatCode="#,##0&quot; €&quot;"/>
    <numFmt numFmtId="165" formatCode="#,##0.0"/>
    <numFmt numFmtId="166" formatCode="#,##0.00&quot; €&quot;"/>
    <numFmt numFmtId="167" formatCode="\+#,##0;\-#,##0;0"/>
    <numFmt numFmtId="168" formatCode="0.0%"/>
    <numFmt numFmtId="169" formatCode="\+#,##0.0;\-#,##0.0;0.0"/>
    <numFmt numFmtId="170" formatCode="\+#,##0&quot; €&quot;;\-#,##0&quot; €&quot;"/>
    <numFmt numFmtId="171" formatCode="\+0.0%;\-0.0%;0.0%"/>
    <numFmt numFmtId="172" formatCode="m/d/yyyy"/>
  </numFmts>
  <fonts count="19" x14ac:knownFonts="1">
    <font>
      <sz val="11"/>
      <color theme="1"/>
      <name val="Calibri"/>
      <family val="2"/>
      <charset val="1"/>
    </font>
    <font>
      <sz val="10"/>
      <name val="Arial"/>
    </font>
    <font>
      <sz val="12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1"/>
      <color rgb="FFFFFFFF"/>
      <name val="Arial"/>
      <charset val="1"/>
    </font>
    <font>
      <b/>
      <sz val="8"/>
      <color rgb="FF455A64"/>
      <name val="Arial"/>
      <charset val="1"/>
    </font>
    <font>
      <b/>
      <sz val="14"/>
      <color rgb="FF0D47A1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1A237E"/>
      <name val="Arial"/>
      <charset val="1"/>
    </font>
    <font>
      <b/>
      <sz val="9"/>
      <color rgb="FF1A237E"/>
      <name val="Arial"/>
      <charset val="1"/>
    </font>
    <font>
      <sz val="9"/>
      <color rgb="FF000000"/>
      <name val="Arial"/>
      <charset val="1"/>
    </font>
    <font>
      <sz val="9"/>
      <name val="Arial"/>
      <charset val="1"/>
    </font>
    <font>
      <b/>
      <sz val="10"/>
      <color rgb="FFFFFFFF"/>
      <name val="Arial"/>
      <charset val="1"/>
    </font>
    <font>
      <sz val="11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0D47A1"/>
        <bgColor rgb="FF283593"/>
      </patternFill>
    </fill>
    <fill>
      <patternFill patternType="solid">
        <fgColor rgb="FFE3F2FD"/>
        <bgColor rgb="FFE0F2F1"/>
      </patternFill>
    </fill>
    <fill>
      <patternFill patternType="solid">
        <fgColor rgb="FF1565C8"/>
        <bgColor rgb="FF1976D2"/>
      </patternFill>
    </fill>
    <fill>
      <patternFill patternType="solid">
        <fgColor rgb="FFE8F5E9"/>
        <bgColor rgb="FFF1F8E9"/>
      </patternFill>
    </fill>
    <fill>
      <patternFill patternType="solid">
        <fgColor rgb="FFFFF3E0"/>
        <bgColor rgb="FFFFF8E1"/>
      </patternFill>
    </fill>
    <fill>
      <patternFill patternType="solid">
        <fgColor rgb="FFFCE4EC"/>
        <bgColor rgb="FFFFEBEE"/>
      </patternFill>
    </fill>
    <fill>
      <patternFill patternType="solid">
        <fgColor rgb="FFF3E5F5"/>
        <bgColor rgb="FFFCE4EC"/>
      </patternFill>
    </fill>
    <fill>
      <patternFill patternType="solid">
        <fgColor rgb="FFFFEBEE"/>
        <bgColor rgb="FFFCE4EC"/>
      </patternFill>
    </fill>
    <fill>
      <patternFill patternType="solid">
        <fgColor rgb="FFE0F2F1"/>
        <bgColor rgb="FFE3F2FD"/>
      </patternFill>
    </fill>
    <fill>
      <patternFill patternType="solid">
        <fgColor rgb="FF283593"/>
        <bgColor rgb="FF1F3864"/>
      </patternFill>
    </fill>
    <fill>
      <patternFill patternType="solid">
        <fgColor rgb="FFF5F5F5"/>
        <bgColor rgb="FFFAFAFA"/>
      </patternFill>
    </fill>
    <fill>
      <patternFill patternType="solid">
        <fgColor rgb="FFFFFDE7"/>
        <bgColor rgb="FFFFFFF0"/>
      </patternFill>
    </fill>
    <fill>
      <patternFill patternType="solid">
        <fgColor rgb="FFFFFFFF"/>
        <bgColor rgb="FFFFFFF0"/>
      </patternFill>
    </fill>
    <fill>
      <patternFill patternType="solid">
        <fgColor rgb="FFFFFFF0"/>
        <bgColor rgb="FFFFFDE7"/>
      </patternFill>
    </fill>
    <fill>
      <patternFill patternType="solid">
        <fgColor rgb="FF1B5E20"/>
        <bgColor rgb="FF004D40"/>
      </patternFill>
    </fill>
    <fill>
      <patternFill patternType="solid">
        <fgColor rgb="FF2E7D32"/>
        <bgColor rgb="FF1B5E20"/>
      </patternFill>
    </fill>
    <fill>
      <patternFill patternType="solid">
        <fgColor rgb="FFC8E6C9"/>
        <bgColor rgb="FFD9D9D9"/>
      </patternFill>
    </fill>
    <fill>
      <patternFill patternType="solid">
        <fgColor rgb="FF4A148C"/>
        <bgColor rgb="FF6A1B9A"/>
      </patternFill>
    </fill>
    <fill>
      <patternFill patternType="solid">
        <fgColor rgb="FF6A1B9A"/>
        <bgColor rgb="FF4A148C"/>
      </patternFill>
    </fill>
    <fill>
      <patternFill patternType="solid">
        <fgColor rgb="FF004D40"/>
        <bgColor rgb="FF006064"/>
      </patternFill>
    </fill>
    <fill>
      <patternFill patternType="solid">
        <fgColor rgb="FF00695C"/>
        <bgColor rgb="FF006064"/>
      </patternFill>
    </fill>
    <fill>
      <patternFill patternType="solid">
        <fgColor rgb="FFBF360C"/>
        <bgColor rgb="FFC62828"/>
      </patternFill>
    </fill>
    <fill>
      <patternFill patternType="solid">
        <fgColor rgb="FFD84315"/>
        <bgColor rgb="FFE65100"/>
      </patternFill>
    </fill>
    <fill>
      <patternFill patternType="solid">
        <fgColor rgb="FFE65100"/>
        <bgColor rgb="FFD84315"/>
      </patternFill>
    </fill>
    <fill>
      <patternFill patternType="solid">
        <fgColor rgb="FFEF6C00"/>
        <bgColor rgb="FFE65100"/>
      </patternFill>
    </fill>
    <fill>
      <patternFill patternType="solid">
        <fgColor rgb="FFFFE0B2"/>
        <bgColor rgb="FFFCE4EC"/>
      </patternFill>
    </fill>
    <fill>
      <patternFill patternType="solid">
        <fgColor rgb="FF1976D2"/>
        <bgColor rgb="FF1565C8"/>
      </patternFill>
    </fill>
    <fill>
      <patternFill patternType="solid">
        <fgColor rgb="FF42A5F5"/>
        <bgColor rgb="FF4F81BD"/>
      </patternFill>
    </fill>
    <fill>
      <patternFill patternType="solid">
        <fgColor rgb="FFF1F8E9"/>
        <bgColor rgb="FFF5F5F5"/>
      </patternFill>
    </fill>
    <fill>
      <patternFill patternType="solid">
        <fgColor rgb="FF1F3864"/>
        <bgColor rgb="FF283593"/>
      </patternFill>
    </fill>
    <fill>
      <patternFill patternType="solid">
        <fgColor rgb="FFEEF2FF"/>
        <bgColor rgb="FFF5F5F5"/>
      </patternFill>
    </fill>
  </fills>
  <borders count="7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</borders>
  <cellStyleXfs count="10">
    <xf numFmtId="0" fontId="0" fillId="0" borderId="0"/>
    <xf numFmtId="44" fontId="1" fillId="0" borderId="0" applyBorder="0" applyAlignment="0" applyProtection="0"/>
    <xf numFmtId="0" fontId="2" fillId="0" borderId="0"/>
    <xf numFmtId="0" fontId="15" fillId="0" borderId="0">
      <alignment horizontal="left"/>
    </xf>
    <xf numFmtId="0" fontId="15" fillId="0" borderId="0"/>
    <xf numFmtId="0" fontId="15" fillId="0" borderId="0"/>
    <xf numFmtId="0" fontId="3" fillId="0" borderId="0"/>
    <xf numFmtId="0" fontId="3" fillId="0" borderId="0">
      <alignment horizontal="left"/>
    </xf>
    <xf numFmtId="0" fontId="15" fillId="0" borderId="0"/>
    <xf numFmtId="0" fontId="16" fillId="0" borderId="0"/>
  </cellStyleXfs>
  <cellXfs count="114">
    <xf numFmtId="0" fontId="0" fillId="0" borderId="0" xfId="0"/>
    <xf numFmtId="0" fontId="0" fillId="0" borderId="0" xfId="0" applyAlignment="1"/>
    <xf numFmtId="0" fontId="8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 wrapText="1"/>
    </xf>
    <xf numFmtId="166" fontId="10" fillId="13" borderId="1" xfId="0" applyNumberFormat="1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left" vertical="center" wrapText="1"/>
    </xf>
    <xf numFmtId="166" fontId="10" fillId="15" borderId="1" xfId="0" applyNumberFormat="1" applyFont="1" applyFill="1" applyBorder="1" applyAlignment="1">
      <alignment horizontal="center" vertical="center"/>
    </xf>
    <xf numFmtId="3" fontId="10" fillId="13" borderId="1" xfId="0" applyNumberFormat="1" applyFont="1" applyFill="1" applyBorder="1" applyAlignment="1">
      <alignment horizontal="center" vertical="center"/>
    </xf>
    <xf numFmtId="167" fontId="10" fillId="15" borderId="1" xfId="0" applyNumberFormat="1" applyFont="1" applyFill="1" applyBorder="1" applyAlignment="1">
      <alignment horizontal="center" vertical="center"/>
    </xf>
    <xf numFmtId="10" fontId="10" fillId="13" borderId="1" xfId="0" applyNumberFormat="1" applyFont="1" applyFill="1" applyBorder="1" applyAlignment="1">
      <alignment horizontal="center" vertical="center"/>
    </xf>
    <xf numFmtId="3" fontId="10" fillId="15" borderId="1" xfId="0" applyNumberFormat="1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 wrapText="1"/>
    </xf>
    <xf numFmtId="168" fontId="10" fillId="13" borderId="1" xfId="0" applyNumberFormat="1" applyFont="1" applyFill="1" applyBorder="1" applyAlignment="1">
      <alignment horizontal="center" vertical="center"/>
    </xf>
    <xf numFmtId="164" fontId="10" fillId="13" borderId="1" xfId="0" applyNumberFormat="1" applyFont="1" applyFill="1" applyBorder="1" applyAlignment="1">
      <alignment horizontal="center" vertical="center"/>
    </xf>
    <xf numFmtId="165" fontId="10" fillId="13" borderId="1" xfId="0" applyNumberFormat="1" applyFont="1" applyFill="1" applyBorder="1" applyAlignment="1">
      <alignment horizontal="center" vertical="center"/>
    </xf>
    <xf numFmtId="169" fontId="10" fillId="13" borderId="1" xfId="0" applyNumberFormat="1" applyFont="1" applyFill="1" applyBorder="1" applyAlignment="1">
      <alignment horizontal="center" vertical="center"/>
    </xf>
    <xf numFmtId="168" fontId="10" fillId="15" borderId="1" xfId="0" applyNumberFormat="1" applyFont="1" applyFill="1" applyBorder="1" applyAlignment="1">
      <alignment horizontal="center" vertical="center"/>
    </xf>
    <xf numFmtId="164" fontId="10" fillId="15" borderId="1" xfId="0" applyNumberFormat="1" applyFont="1" applyFill="1" applyBorder="1" applyAlignment="1">
      <alignment horizontal="center" vertical="center"/>
    </xf>
    <xf numFmtId="165" fontId="10" fillId="15" borderId="1" xfId="0" applyNumberFormat="1" applyFont="1" applyFill="1" applyBorder="1" applyAlignment="1">
      <alignment horizontal="center" vertical="center"/>
    </xf>
    <xf numFmtId="169" fontId="10" fillId="15" borderId="1" xfId="0" applyNumberFormat="1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 wrapText="1"/>
    </xf>
    <xf numFmtId="3" fontId="11" fillId="18" borderId="1" xfId="0" applyNumberFormat="1" applyFont="1" applyFill="1" applyBorder="1" applyAlignment="1">
      <alignment horizontal="center" vertical="center"/>
    </xf>
    <xf numFmtId="168" fontId="11" fillId="18" borderId="1" xfId="0" applyNumberFormat="1" applyFont="1" applyFill="1" applyBorder="1" applyAlignment="1">
      <alignment horizontal="center" vertical="center"/>
    </xf>
    <xf numFmtId="164" fontId="11" fillId="18" borderId="1" xfId="0" applyNumberFormat="1" applyFont="1" applyFill="1" applyBorder="1" applyAlignment="1">
      <alignment horizontal="center" vertical="center"/>
    </xf>
    <xf numFmtId="165" fontId="11" fillId="18" borderId="1" xfId="0" applyNumberFormat="1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 vertical="center" wrapText="1"/>
    </xf>
    <xf numFmtId="0" fontId="8" fillId="26" borderId="1" xfId="0" applyFont="1" applyFill="1" applyBorder="1" applyAlignment="1">
      <alignment horizontal="center" vertical="center" wrapText="1"/>
    </xf>
    <xf numFmtId="0" fontId="8" fillId="25" borderId="1" xfId="0" applyFont="1" applyFill="1" applyBorder="1" applyAlignment="1">
      <alignment horizontal="center" vertical="center" wrapText="1"/>
    </xf>
    <xf numFmtId="3" fontId="11" fillId="27" borderId="1" xfId="0" applyNumberFormat="1" applyFont="1" applyFill="1" applyBorder="1" applyAlignment="1">
      <alignment horizontal="center" vertical="center"/>
    </xf>
    <xf numFmtId="168" fontId="11" fillId="27" borderId="1" xfId="0" applyNumberFormat="1" applyFont="1" applyFill="1" applyBorder="1" applyAlignment="1">
      <alignment horizontal="center" vertical="center"/>
    </xf>
    <xf numFmtId="164" fontId="11" fillId="27" borderId="1" xfId="0" applyNumberFormat="1" applyFont="1" applyFill="1" applyBorder="1" applyAlignment="1">
      <alignment horizontal="center" vertical="center"/>
    </xf>
    <xf numFmtId="165" fontId="11" fillId="27" borderId="1" xfId="0" applyNumberFormat="1" applyFont="1" applyFill="1" applyBorder="1" applyAlignment="1">
      <alignment horizontal="center" vertical="center"/>
    </xf>
    <xf numFmtId="169" fontId="11" fillId="27" borderId="1" xfId="0" applyNumberFormat="1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3" fontId="11" fillId="3" borderId="1" xfId="0" applyNumberFormat="1" applyFont="1" applyFill="1" applyBorder="1" applyAlignment="1">
      <alignment horizontal="center" vertical="center"/>
    </xf>
    <xf numFmtId="170" fontId="11" fillId="3" borderId="1" xfId="0" applyNumberFormat="1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 vertical="center"/>
    </xf>
    <xf numFmtId="171" fontId="11" fillId="3" borderId="1" xfId="0" applyNumberFormat="1" applyFont="1" applyFill="1" applyBorder="1" applyAlignment="1">
      <alignment horizontal="center" vertical="center"/>
    </xf>
    <xf numFmtId="169" fontId="11" fillId="3" borderId="1" xfId="0" applyNumberFormat="1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172" fontId="0" fillId="0" borderId="0" xfId="0" applyNumberFormat="1" applyAlignment="1"/>
    <xf numFmtId="166" fontId="0" fillId="0" borderId="0" xfId="0" applyNumberFormat="1" applyAlignment="1"/>
    <xf numFmtId="1" fontId="0" fillId="0" borderId="0" xfId="0" applyNumberFormat="1" applyAlignment="1"/>
    <xf numFmtId="0" fontId="13" fillId="30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4" fillId="31" borderId="2" xfId="0" applyFont="1" applyFill="1" applyBorder="1" applyAlignment="1">
      <alignment horizontal="center" vertical="center" wrapText="1"/>
    </xf>
    <xf numFmtId="172" fontId="14" fillId="31" borderId="2" xfId="0" applyNumberFormat="1" applyFont="1" applyFill="1" applyBorder="1" applyAlignment="1">
      <alignment horizontal="center" vertical="center" wrapText="1"/>
    </xf>
    <xf numFmtId="0" fontId="14" fillId="17" borderId="2" xfId="0" applyFont="1" applyFill="1" applyBorder="1" applyAlignment="1">
      <alignment horizontal="center" vertical="center" wrapText="1"/>
    </xf>
    <xf numFmtId="166" fontId="14" fillId="31" borderId="2" xfId="0" applyNumberFormat="1" applyFont="1" applyFill="1" applyBorder="1" applyAlignment="1">
      <alignment horizontal="center" vertical="center" wrapText="1"/>
    </xf>
    <xf numFmtId="1" fontId="14" fillId="31" borderId="2" xfId="0" applyNumberFormat="1" applyFont="1" applyFill="1" applyBorder="1" applyAlignment="1">
      <alignment horizontal="center" vertical="center" wrapText="1"/>
    </xf>
    <xf numFmtId="0" fontId="13" fillId="32" borderId="2" xfId="0" applyFont="1" applyFill="1" applyBorder="1" applyAlignment="1"/>
    <xf numFmtId="172" fontId="13" fillId="32" borderId="2" xfId="0" applyNumberFormat="1" applyFont="1" applyFill="1" applyBorder="1" applyAlignment="1"/>
    <xf numFmtId="1" fontId="13" fillId="30" borderId="2" xfId="0" applyNumberFormat="1" applyFont="1" applyFill="1" applyBorder="1" applyAlignment="1"/>
    <xf numFmtId="1" fontId="13" fillId="32" borderId="2" xfId="0" applyNumberFormat="1" applyFont="1" applyFill="1" applyBorder="1" applyAlignment="1"/>
    <xf numFmtId="166" fontId="13" fillId="32" borderId="2" xfId="0" applyNumberFormat="1" applyFont="1" applyFill="1" applyBorder="1" applyAlignment="1"/>
    <xf numFmtId="10" fontId="13" fillId="30" borderId="2" xfId="0" applyNumberFormat="1" applyFont="1" applyFill="1" applyBorder="1" applyAlignment="1"/>
    <xf numFmtId="1" fontId="13" fillId="30" borderId="2" xfId="0" applyNumberFormat="1" applyFont="1" applyFill="1" applyBorder="1" applyAlignment="1">
      <alignment horizontal="center"/>
    </xf>
    <xf numFmtId="0" fontId="13" fillId="30" borderId="2" xfId="0" applyFont="1" applyFill="1" applyBorder="1" applyAlignment="1">
      <alignment horizontal="center"/>
    </xf>
    <xf numFmtId="0" fontId="13" fillId="14" borderId="2" xfId="0" applyFont="1" applyFill="1" applyBorder="1" applyAlignment="1"/>
    <xf numFmtId="172" fontId="13" fillId="14" borderId="2" xfId="0" applyNumberFormat="1" applyFont="1" applyFill="1" applyBorder="1" applyAlignment="1"/>
    <xf numFmtId="1" fontId="13" fillId="14" borderId="2" xfId="0" applyNumberFormat="1" applyFont="1" applyFill="1" applyBorder="1" applyAlignment="1"/>
    <xf numFmtId="166" fontId="13" fillId="14" borderId="2" xfId="0" applyNumberFormat="1" applyFont="1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9"/>
    <xf numFmtId="44" fontId="1" fillId="0" borderId="0" xfId="1"/>
    <xf numFmtId="0" fontId="0" fillId="0" borderId="0" xfId="0" applyAlignment="1">
      <alignment horizontal="center" vertical="center"/>
    </xf>
    <xf numFmtId="2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left" indent="1"/>
    </xf>
    <xf numFmtId="10" fontId="17" fillId="0" borderId="0" xfId="0" applyNumberFormat="1" applyFont="1" applyFill="1"/>
    <xf numFmtId="44" fontId="1" fillId="0" borderId="0" xfId="0" applyNumberFormat="1" applyFont="1" applyFill="1"/>
    <xf numFmtId="2" fontId="9" fillId="12" borderId="3" xfId="0" applyNumberFormat="1" applyFont="1" applyFill="1" applyBorder="1" applyAlignment="1">
      <alignment vertical="center" wrapText="1"/>
    </xf>
    <xf numFmtId="14" fontId="13" fillId="14" borderId="2" xfId="0" applyNumberFormat="1" applyFont="1" applyFill="1" applyBorder="1" applyAlignment="1"/>
    <xf numFmtId="14" fontId="13" fillId="32" borderId="2" xfId="0" applyNumberFormat="1" applyFont="1" applyFill="1" applyBorder="1" applyAlignment="1"/>
    <xf numFmtId="0" fontId="4" fillId="2" borderId="0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10" fontId="7" fillId="7" borderId="4" xfId="0" applyNumberFormat="1" applyFont="1" applyFill="1" applyBorder="1" applyAlignment="1">
      <alignment horizontal="center" vertical="center"/>
    </xf>
    <xf numFmtId="10" fontId="7" fillId="7" borderId="5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10" fontId="7" fillId="8" borderId="1" xfId="0" applyNumberFormat="1" applyFont="1" applyFill="1" applyBorder="1" applyAlignment="1">
      <alignment horizontal="center" vertical="center"/>
    </xf>
    <xf numFmtId="10" fontId="7" fillId="9" borderId="1" xfId="0" applyNumberFormat="1" applyFont="1" applyFill="1" applyBorder="1" applyAlignment="1">
      <alignment horizontal="center" vertical="center"/>
    </xf>
    <xf numFmtId="165" fontId="7" fillId="10" borderId="4" xfId="0" applyNumberFormat="1" applyFont="1" applyFill="1" applyBorder="1" applyAlignment="1">
      <alignment horizontal="center" vertical="center"/>
    </xf>
    <xf numFmtId="165" fontId="7" fillId="10" borderId="5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28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left" vertical="center"/>
    </xf>
    <xf numFmtId="0" fontId="5" fillId="25" borderId="1" xfId="0" applyFont="1" applyFill="1" applyBorder="1" applyAlignment="1">
      <alignment horizontal="left" vertical="center"/>
    </xf>
  </cellXfs>
  <cellStyles count="10">
    <cellStyle name="Moneda" xfId="1" builtinId="4"/>
    <cellStyle name="Normal" xfId="0" builtinId="0"/>
    <cellStyle name="Normal 2" xfId="2" xr:uid="{00000000-0005-0000-0000-000006000000}"/>
    <cellStyle name="Normal 3" xfId="9" xr:uid="{D06B22A5-E2F3-4609-9BF9-08E596860D4E}"/>
    <cellStyle name="Pivot Table Category" xfId="3" xr:uid="{00000000-0005-0000-0000-000007000000}"/>
    <cellStyle name="Pivot Table Corner" xfId="4" xr:uid="{00000000-0005-0000-0000-000008000000}"/>
    <cellStyle name="Pivot Table Field" xfId="5" xr:uid="{00000000-0005-0000-0000-000009000000}"/>
    <cellStyle name="Pivot Table Result" xfId="6" xr:uid="{00000000-0005-0000-0000-00000A000000}"/>
    <cellStyle name="Pivot Table Title" xfId="7" xr:uid="{00000000-0005-0000-0000-00000B000000}"/>
    <cellStyle name="Pivot Table Value" xfId="8" xr:uid="{00000000-0005-0000-0000-00000C000000}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indexed="65"/>
        </patternFill>
      </fill>
    </dxf>
    <dxf>
      <numFmt numFmtId="2" formatCode="0.00"/>
    </dxf>
    <dxf>
      <alignment vertic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indexed="65"/>
        </patternFill>
      </fill>
    </dxf>
    <dxf>
      <numFmt numFmtId="2" formatCode="0.00"/>
    </dxf>
    <dxf>
      <alignment vertic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indexed="65"/>
        </patternFill>
      </fill>
    </dxf>
    <dxf>
      <alignment horizontal="center"/>
    </dxf>
    <dxf>
      <alignment vertical="center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indexed="65"/>
        </patternFill>
      </fill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b/>
        <i val="0"/>
        <color theme="1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b/>
        <i val="0"/>
        <color theme="1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b/>
        <i val="0"/>
        <color theme="1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b/>
        <i val="0"/>
        <color theme="1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b/>
        <i val="0"/>
        <color theme="1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5" defaultTableStyle="TableStyleMedium2" defaultPivotStyle="PivotStyleLight16">
    <tableStyle name="SegmentadorProveedor" pivot="0" table="0" count="10" xr9:uid="{31E77B0C-E47C-4FFE-BD27-AD2A608F4447}">
      <tableStyleElement type="wholeTable" dxfId="29"/>
      <tableStyleElement type="headerRow" dxfId="28"/>
    </tableStyle>
    <tableStyle name="SegmentadorProveedor 2" pivot="0" table="0" count="10" xr9:uid="{92ECA4B7-A627-42F8-B910-22A9A7D00AB3}">
      <tableStyleElement type="wholeTable" dxfId="27"/>
      <tableStyleElement type="headerRow" dxfId="26"/>
    </tableStyle>
    <tableStyle name="SegmentadorProveedor 3" pivot="0" table="0" count="10" xr9:uid="{30F6C869-5E77-4394-A4EB-1C65685CAAE5}">
      <tableStyleElement type="wholeTable" dxfId="25"/>
      <tableStyleElement type="headerRow" dxfId="24"/>
    </tableStyle>
    <tableStyle name="SegmentadorProveedor 4" pivot="0" table="0" count="10" xr9:uid="{4E000CA6-31C2-444F-90AE-8E60233091B4}">
      <tableStyleElement type="wholeTable" dxfId="23"/>
      <tableStyleElement type="headerRow" dxfId="22"/>
    </tableStyle>
    <tableStyle name="SegmentadorProveedor 5" pivot="0" table="0" count="10" xr9:uid="{CCB7D7DB-92E6-40E4-99D2-C295770EF095}">
      <tableStyleElement type="wholeTable" dxfId="21"/>
      <tableStyleElement type="headerRow" dxfId="20"/>
    </tableStyle>
  </tableStyles>
  <colors>
    <indexedColors>
      <rgbColor rgb="FF000000"/>
      <rgbColor rgb="FFFFFFFF"/>
      <rgbColor rgb="FFD84315"/>
      <rgbColor rgb="FF00FF00"/>
      <rgbColor rgb="FF0000FF"/>
      <rgbColor rgb="FFFFFDE7"/>
      <rgbColor rgb="FFFF00FF"/>
      <rgbColor rgb="FFFAFAFA"/>
      <rgbColor rgb="FF800000"/>
      <rgbColor rgb="FF1B5E20"/>
      <rgbColor rgb="FF1A237E"/>
      <rgbColor rgb="FF808000"/>
      <rgbColor rgb="FF6A1B9A"/>
      <rgbColor rgb="FF00695C"/>
      <rgbColor rgb="FFBDBDBD"/>
      <rgbColor rgb="FF4F81BD"/>
      <rgbColor rgb="FFEEF2FF"/>
      <rgbColor rgb="FFC62828"/>
      <rgbColor rgb="FFFFF8E1"/>
      <rgbColor rgb="FFE0F2F1"/>
      <rgbColor rgb="FF4A148C"/>
      <rgbColor rgb="FFF5F5F5"/>
      <rgbColor rgb="FF1565C8"/>
      <rgbColor rgb="FFCCCCCC"/>
      <rgbColor rgb="FF0D47A1"/>
      <rgbColor rgb="FFFF00FF"/>
      <rgbColor rgb="FFF1F8E9"/>
      <rgbColor rgb="FFFFFFF0"/>
      <rgbColor rgb="FF800080"/>
      <rgbColor rgb="FF800000"/>
      <rgbColor rgb="FF006064"/>
      <rgbColor rgb="FF0000FF"/>
      <rgbColor rgb="FF00CCFF"/>
      <rgbColor rgb="FFE3F2FD"/>
      <rgbColor rgb="FFC8E6C9"/>
      <rgbColor rgb="FFFFF3E0"/>
      <rgbColor rgb="FFD9D9D9"/>
      <rgbColor rgb="FFFCE4EC"/>
      <rgbColor rgb="FFF3E5F5"/>
      <rgbColor rgb="FFFFE0B2"/>
      <rgbColor rgb="FF1976D2"/>
      <rgbColor rgb="FF42A5F5"/>
      <rgbColor rgb="FFE8F5E9"/>
      <rgbColor rgb="FFFFEBEE"/>
      <rgbColor rgb="FFE65100"/>
      <rgbColor rgb="FFEF6C00"/>
      <rgbColor rgb="FF455A64"/>
      <rgbColor rgb="FFB3B3B3"/>
      <rgbColor rgb="FF1F3864"/>
      <rgbColor rgb="FF2E7D32"/>
      <rgbColor rgb="FF004D40"/>
      <rgbColor rgb="FF5D4037"/>
      <rgbColor rgb="FFBF360C"/>
      <rgbColor rgb="FFB71C1C"/>
      <rgbColor rgb="FF283593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46F421CA-312F-682f-3DD2-61675219B42D}">
      <x14:dxfs count="40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egmentadorProveedor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SegmentadorProveedor 2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egmentadorProveedor 3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egmentadorProveedor 4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egmentadorProveedor 5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microsoft.com/office/2007/relationships/slicerCache" Target="slicerCaches/slicerCache6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07/relationships/slicerCache" Target="slicerCaches/slicerCache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4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microsoft.com/office/2007/relationships/slicerCache" Target="slicerCaches/slicerCache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[Dashboard_ThepowerMBA_ChristopherFdez.xlsx]Analisis!TablaDinámica10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Analisis!$E$7:$E$8</c:f>
              <c:strCache>
                <c:ptCount val="1"/>
                <c:pt idx="0">
                  <c:v>LogiTech Supply S.L.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Analisis!$D$9:$D$22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Analisis!$E$9:$E$22</c:f>
              <c:numCache>
                <c:formatCode>General</c:formatCode>
                <c:ptCount val="12"/>
                <c:pt idx="0">
                  <c:v>7</c:v>
                </c:pt>
                <c:pt idx="1">
                  <c:v>10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8</c:v>
                </c:pt>
                <c:pt idx="8">
                  <c:v>4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41-46FC-922D-5BD750D58D6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91077439"/>
        <c:axId val="1791083199"/>
      </c:lineChart>
      <c:catAx>
        <c:axId val="179107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1083199"/>
        <c:crosses val="autoZero"/>
        <c:auto val="1"/>
        <c:lblAlgn val="ctr"/>
        <c:lblOffset val="100"/>
        <c:noMultiLvlLbl val="0"/>
      </c:catAx>
      <c:valAx>
        <c:axId val="179108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1077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[Dashboard_ThepowerMBA_ChristopherFdez.xlsx]Analisis!TablaDinámica16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Analisis!$S$19:$S$20</c:f>
              <c:strCache>
                <c:ptCount val="1"/>
                <c:pt idx="0">
                  <c:v>LogiTech Supply S.L.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Analisis!$R$21:$R$34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Analisis!$S$21:$S$34</c:f>
              <c:numCache>
                <c:formatCode>_("€"* #,##0.00_);_("€"* \(#,##0.00\);_("€"* "-"??_);_(@_)</c:formatCode>
                <c:ptCount val="12"/>
                <c:pt idx="0">
                  <c:v>1137312.1500000001</c:v>
                </c:pt>
                <c:pt idx="1">
                  <c:v>7095420.3674000008</c:v>
                </c:pt>
                <c:pt idx="2">
                  <c:v>1793676.3900000001</c:v>
                </c:pt>
                <c:pt idx="3">
                  <c:v>1788111.85</c:v>
                </c:pt>
                <c:pt idx="4">
                  <c:v>3248778.48</c:v>
                </c:pt>
                <c:pt idx="5">
                  <c:v>1026944.28</c:v>
                </c:pt>
                <c:pt idx="6">
                  <c:v>859726.26</c:v>
                </c:pt>
                <c:pt idx="7">
                  <c:v>2553081.1074000001</c:v>
                </c:pt>
                <c:pt idx="8">
                  <c:v>613544.34</c:v>
                </c:pt>
                <c:pt idx="9">
                  <c:v>2542477.3474000003</c:v>
                </c:pt>
                <c:pt idx="10">
                  <c:v>2197499.9900000002</c:v>
                </c:pt>
                <c:pt idx="11">
                  <c:v>2084289.31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79-4DE9-911F-62485C23188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6431935"/>
        <c:axId val="66436735"/>
      </c:lineChart>
      <c:catAx>
        <c:axId val="6643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6436735"/>
        <c:crosses val="autoZero"/>
        <c:auto val="1"/>
        <c:lblAlgn val="ctr"/>
        <c:lblOffset val="100"/>
        <c:noMultiLvlLbl val="0"/>
      </c:catAx>
      <c:valAx>
        <c:axId val="6643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6431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[Dashboard_ThepowerMBA_ChristopherFdez.xlsx]Analisis!TablaDinámica1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2438053092011124E-2"/>
          <c:y val="0.14204352877960513"/>
          <c:w val="0.81570757132186167"/>
          <c:h val="0.78934665151711292"/>
        </c:manualLayout>
      </c:layout>
      <c:pie3DChart>
        <c:varyColors val="1"/>
        <c:ser>
          <c:idx val="0"/>
          <c:order val="0"/>
          <c:tx>
            <c:strRef>
              <c:f>Analisis!$B$10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39F-4264-8B16-07177E2710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39F-4264-8B16-07177E2710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39F-4264-8B16-07177E2710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Analisis!$A$11:$A$14</c:f>
              <c:strCache>
                <c:ptCount val="3"/>
                <c:pt idx="0">
                  <c:v>En almacén</c:v>
                </c:pt>
                <c:pt idx="1">
                  <c:v>Entregado</c:v>
                </c:pt>
                <c:pt idx="2">
                  <c:v>Retrasado</c:v>
                </c:pt>
              </c:strCache>
            </c:strRef>
          </c:cat>
          <c:val>
            <c:numRef>
              <c:f>Analisis!$B$11:$B$14</c:f>
              <c:numCache>
                <c:formatCode>General</c:formatCode>
                <c:ptCount val="3"/>
                <c:pt idx="0">
                  <c:v>23</c:v>
                </c:pt>
                <c:pt idx="1">
                  <c:v>42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9F-4264-8B16-07177E2710D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84248128972623"/>
          <c:y val="1.2046460005578453E-2"/>
          <c:w val="0.19523878186018565"/>
          <c:h val="0.436860076880330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174172</xdr:colOff>
      <xdr:row>0</xdr:row>
      <xdr:rowOff>73689</xdr:rowOff>
    </xdr:from>
    <xdr:to>
      <xdr:col>25</xdr:col>
      <xdr:colOff>402771</xdr:colOff>
      <xdr:row>57</xdr:row>
      <xdr:rowOff>13855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12BD83F-5132-4D33-B466-BD4CA6524607}"/>
            </a:ext>
          </a:extLst>
        </xdr:cNvPr>
        <xdr:cNvSpPr>
          <a:spLocks/>
        </xdr:cNvSpPr>
      </xdr:nvSpPr>
      <xdr:spPr>
        <a:xfrm>
          <a:off x="174172" y="73689"/>
          <a:ext cx="19777363" cy="10996093"/>
        </a:xfrm>
        <a:prstGeom prst="rect">
          <a:avLst/>
        </a:prstGeom>
        <a:gradFill flip="none" rotWithShape="1">
          <a:gsLst>
            <a:gs pos="0">
              <a:schemeClr val="accent6">
                <a:lumMod val="20000"/>
                <a:lumOff val="80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0</xdr:col>
      <xdr:colOff>290945</xdr:colOff>
      <xdr:row>1</xdr:row>
      <xdr:rowOff>5000</xdr:rowOff>
    </xdr:from>
    <xdr:to>
      <xdr:col>3</xdr:col>
      <xdr:colOff>609600</xdr:colOff>
      <xdr:row>56</xdr:row>
      <xdr:rowOff>152397</xdr:rowOff>
    </xdr:to>
    <xdr:sp macro="" textlink="">
      <xdr:nvSpPr>
        <xdr:cNvPr id="4" name="Redondear rectángulo de esquina del mismo lado 3">
          <a:extLst>
            <a:ext uri="{FF2B5EF4-FFF2-40B4-BE49-F238E27FC236}">
              <a16:creationId xmlns:a16="http://schemas.microsoft.com/office/drawing/2014/main" id="{D5C0808F-BD5B-4015-9AC4-E9222B9A7184}"/>
            </a:ext>
          </a:extLst>
        </xdr:cNvPr>
        <xdr:cNvSpPr/>
      </xdr:nvSpPr>
      <xdr:spPr>
        <a:xfrm rot="16200000">
          <a:off x="-4015317" y="4505226"/>
          <a:ext cx="10815397" cy="2202873"/>
        </a:xfrm>
        <a:prstGeom prst="round2SameRect">
          <a:avLst>
            <a:gd name="adj1" fmla="val 37046"/>
            <a:gd name="adj2" fmla="val 0"/>
          </a:avLst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1</xdr:col>
      <xdr:colOff>19545</xdr:colOff>
      <xdr:row>0</xdr:row>
      <xdr:rowOff>0</xdr:rowOff>
    </xdr:from>
    <xdr:to>
      <xdr:col>3</xdr:col>
      <xdr:colOff>452252</xdr:colOff>
      <xdr:row>9</xdr:row>
      <xdr:rowOff>48078</xdr:rowOff>
    </xdr:to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6DC50D50-969F-4CF7-A3AE-AF3C1FA32ECC}"/>
            </a:ext>
          </a:extLst>
        </xdr:cNvPr>
        <xdr:cNvSpPr txBox="1"/>
      </xdr:nvSpPr>
      <xdr:spPr>
        <a:xfrm>
          <a:off x="324345" y="0"/>
          <a:ext cx="2012125" cy="1793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2000" b="1">
              <a:solidFill>
                <a:schemeClr val="accent5">
                  <a:lumMod val="75000"/>
                </a:schemeClr>
              </a:solidFill>
              <a:latin typeface="+mj-lt"/>
              <a:ea typeface="Segoe UI Symbol" panose="020B0502040204020203" pitchFamily="34" charset="0"/>
              <a:cs typeface="Segoe UI Historic" panose="020B0502040204020203" pitchFamily="34" charset="0"/>
            </a:rPr>
            <a:t>DASHBOARD DE CONTROL</a:t>
          </a:r>
        </a:p>
      </xdr:txBody>
    </xdr:sp>
    <xdr:clientData/>
  </xdr:twoCellAnchor>
  <xdr:twoCellAnchor editAs="oneCell">
    <xdr:from>
      <xdr:col>1</xdr:col>
      <xdr:colOff>115455</xdr:colOff>
      <xdr:row>6</xdr:row>
      <xdr:rowOff>174936</xdr:rowOff>
    </xdr:from>
    <xdr:to>
      <xdr:col>3</xdr:col>
      <xdr:colOff>356087</xdr:colOff>
      <xdr:row>11</xdr:row>
      <xdr:rowOff>118285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1" name="Año_Pedido 1">
              <a:extLst>
                <a:ext uri="{FF2B5EF4-FFF2-40B4-BE49-F238E27FC236}">
                  <a16:creationId xmlns:a16="http://schemas.microsoft.com/office/drawing/2014/main" id="{F96CE6EE-05C5-4486-9A3F-440F84D591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_Pedid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0255" y="1338718"/>
              <a:ext cx="1820050" cy="9131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4</xdr:col>
      <xdr:colOff>242998</xdr:colOff>
      <xdr:row>3</xdr:row>
      <xdr:rowOff>77449</xdr:rowOff>
    </xdr:from>
    <xdr:to>
      <xdr:col>6</xdr:col>
      <xdr:colOff>186851</xdr:colOff>
      <xdr:row>6</xdr:row>
      <xdr:rowOff>124918</xdr:rowOff>
    </xdr:to>
    <xdr:sp macro="" textlink="Analisis!A4">
      <xdr:nvSpPr>
        <xdr:cNvPr id="73" name="CuadroTexto 72">
          <a:extLst>
            <a:ext uri="{FF2B5EF4-FFF2-40B4-BE49-F238E27FC236}">
              <a16:creationId xmlns:a16="http://schemas.microsoft.com/office/drawing/2014/main" id="{7280D4EC-A289-334F-5E3E-17345A53E4CE}"/>
            </a:ext>
          </a:extLst>
        </xdr:cNvPr>
        <xdr:cNvSpPr txBox="1"/>
      </xdr:nvSpPr>
      <xdr:spPr>
        <a:xfrm>
          <a:off x="2903752" y="677056"/>
          <a:ext cx="1517820" cy="647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5A9647F-A57C-4B85-B99B-B8733A33C53F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93</a:t>
          </a:fld>
          <a:endParaRPr lang="es-ES" sz="2400" b="1"/>
        </a:p>
      </xdr:txBody>
    </xdr:sp>
    <xdr:clientData/>
  </xdr:twoCellAnchor>
  <xdr:twoCellAnchor>
    <xdr:from>
      <xdr:col>6</xdr:col>
      <xdr:colOff>499672</xdr:colOff>
      <xdr:row>1</xdr:row>
      <xdr:rowOff>85471</xdr:rowOff>
    </xdr:from>
    <xdr:to>
      <xdr:col>9</xdr:col>
      <xdr:colOff>66537</xdr:colOff>
      <xdr:row>3</xdr:row>
      <xdr:rowOff>37345</xdr:rowOff>
    </xdr:to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id="{7DC24FD7-C37D-41DE-97B5-A49330989816}"/>
            </a:ext>
          </a:extLst>
        </xdr:cNvPr>
        <xdr:cNvSpPr txBox="1"/>
      </xdr:nvSpPr>
      <xdr:spPr>
        <a:xfrm>
          <a:off x="4734393" y="285340"/>
          <a:ext cx="1927816" cy="351612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2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VALOR </a:t>
          </a:r>
          <a:r>
            <a:rPr lang="es-ES" sz="1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PEDIDOS</a:t>
          </a:r>
        </a:p>
      </xdr:txBody>
    </xdr:sp>
    <xdr:clientData/>
  </xdr:twoCellAnchor>
  <xdr:twoCellAnchor>
    <xdr:from>
      <xdr:col>6</xdr:col>
      <xdr:colOff>499672</xdr:colOff>
      <xdr:row>3</xdr:row>
      <xdr:rowOff>93491</xdr:rowOff>
    </xdr:from>
    <xdr:to>
      <xdr:col>9</xdr:col>
      <xdr:colOff>74558</xdr:colOff>
      <xdr:row>6</xdr:row>
      <xdr:rowOff>140960</xdr:rowOff>
    </xdr:to>
    <xdr:sp macro="" textlink="Analisis!B4">
      <xdr:nvSpPr>
        <xdr:cNvPr id="77" name="CuadroTexto 76">
          <a:extLst>
            <a:ext uri="{FF2B5EF4-FFF2-40B4-BE49-F238E27FC236}">
              <a16:creationId xmlns:a16="http://schemas.microsoft.com/office/drawing/2014/main" id="{F203D2F5-8806-4701-9E88-7A98DCF42654}"/>
            </a:ext>
          </a:extLst>
        </xdr:cNvPr>
        <xdr:cNvSpPr txBox="1"/>
      </xdr:nvSpPr>
      <xdr:spPr>
        <a:xfrm>
          <a:off x="4734393" y="693098"/>
          <a:ext cx="1935837" cy="647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92EC53A-F97A-400C-9F2E-0F0134E0C883}" type="TxLink">
            <a:rPr lang="en-US" sz="1600" b="1" i="0" u="none" strike="noStrike">
              <a:solidFill>
                <a:srgbClr val="000000"/>
              </a:solidFill>
              <a:latin typeface="Arial"/>
              <a:ea typeface="Calibri"/>
              <a:cs typeface="Arial"/>
            </a:rPr>
            <a:pPr algn="ctr"/>
            <a:t> 26.940.861,87 € </a:t>
          </a:fld>
          <a:endParaRPr lang="es-ES" sz="5400" b="1"/>
        </a:p>
      </xdr:txBody>
    </xdr:sp>
    <xdr:clientData/>
  </xdr:twoCellAnchor>
  <xdr:twoCellAnchor>
    <xdr:from>
      <xdr:col>9</xdr:col>
      <xdr:colOff>291125</xdr:colOff>
      <xdr:row>1</xdr:row>
      <xdr:rowOff>85471</xdr:rowOff>
    </xdr:from>
    <xdr:to>
      <xdr:col>12</xdr:col>
      <xdr:colOff>403419</xdr:colOff>
      <xdr:row>3</xdr:row>
      <xdr:rowOff>37345</xdr:rowOff>
    </xdr:to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id="{1C1BB592-B9DB-488E-BDD3-EB10BD46C6C4}"/>
            </a:ext>
          </a:extLst>
        </xdr:cNvPr>
        <xdr:cNvSpPr txBox="1"/>
      </xdr:nvSpPr>
      <xdr:spPr>
        <a:xfrm>
          <a:off x="6886797" y="285340"/>
          <a:ext cx="2473245" cy="351612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2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COSTE</a:t>
          </a:r>
          <a:r>
            <a:rPr lang="es-ES" sz="1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2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</a:t>
          </a:r>
          <a:r>
            <a:rPr lang="es-ES" sz="1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TRANSPORTE</a:t>
          </a:r>
          <a:endParaRPr lang="es-ES" sz="18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291125</xdr:colOff>
      <xdr:row>3</xdr:row>
      <xdr:rowOff>85470</xdr:rowOff>
    </xdr:from>
    <xdr:to>
      <xdr:col>12</xdr:col>
      <xdr:colOff>403418</xdr:colOff>
      <xdr:row>6</xdr:row>
      <xdr:rowOff>132939</xdr:rowOff>
    </xdr:to>
    <xdr:sp macro="" textlink="Analisis!D4">
      <xdr:nvSpPr>
        <xdr:cNvPr id="79" name="CuadroTexto 78">
          <a:extLst>
            <a:ext uri="{FF2B5EF4-FFF2-40B4-BE49-F238E27FC236}">
              <a16:creationId xmlns:a16="http://schemas.microsoft.com/office/drawing/2014/main" id="{5180C25C-7E29-47F9-9D31-7D14A4F0B718}"/>
            </a:ext>
          </a:extLst>
        </xdr:cNvPr>
        <xdr:cNvSpPr txBox="1"/>
      </xdr:nvSpPr>
      <xdr:spPr>
        <a:xfrm>
          <a:off x="6886797" y="685077"/>
          <a:ext cx="2473244" cy="647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C8E47F3-C95E-4BF0-9C51-F4F0FEBCC164}" type="TxLink">
            <a:rPr lang="en-US" sz="2000" b="1" i="0" u="none" strike="noStrike">
              <a:solidFill>
                <a:srgbClr val="000000"/>
              </a:solidFill>
              <a:latin typeface="Arial"/>
              <a:ea typeface="Calibri"/>
              <a:cs typeface="Arial"/>
            </a:rPr>
            <a:pPr algn="ctr"/>
            <a:t> 1.395.976,22 € </a:t>
          </a:fld>
          <a:endParaRPr lang="es-ES" sz="11500" b="1"/>
        </a:p>
      </xdr:txBody>
    </xdr:sp>
    <xdr:clientData/>
  </xdr:twoCellAnchor>
  <xdr:twoCellAnchor>
    <xdr:from>
      <xdr:col>12</xdr:col>
      <xdr:colOff>620907</xdr:colOff>
      <xdr:row>1</xdr:row>
      <xdr:rowOff>85471</xdr:rowOff>
    </xdr:from>
    <xdr:to>
      <xdr:col>16</xdr:col>
      <xdr:colOff>350032</xdr:colOff>
      <xdr:row>3</xdr:row>
      <xdr:rowOff>37345</xdr:rowOff>
    </xdr:to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id="{19DC52CD-4ABF-4FB0-A835-825734334F92}"/>
            </a:ext>
          </a:extLst>
        </xdr:cNvPr>
        <xdr:cNvSpPr txBox="1"/>
      </xdr:nvSpPr>
      <xdr:spPr>
        <a:xfrm>
          <a:off x="9577530" y="285340"/>
          <a:ext cx="3114404" cy="351612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2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LEAD TIME (PROMEDIO - DIAS)</a:t>
          </a:r>
        </a:p>
      </xdr:txBody>
    </xdr:sp>
    <xdr:clientData/>
  </xdr:twoCellAnchor>
  <xdr:twoCellAnchor>
    <xdr:from>
      <xdr:col>12</xdr:col>
      <xdr:colOff>612887</xdr:colOff>
      <xdr:row>3</xdr:row>
      <xdr:rowOff>101512</xdr:rowOff>
    </xdr:from>
    <xdr:to>
      <xdr:col>16</xdr:col>
      <xdr:colOff>342012</xdr:colOff>
      <xdr:row>6</xdr:row>
      <xdr:rowOff>148981</xdr:rowOff>
    </xdr:to>
    <xdr:sp macro="" textlink="Analisis!F4">
      <xdr:nvSpPr>
        <xdr:cNvPr id="81" name="CuadroTexto 80">
          <a:extLst>
            <a:ext uri="{FF2B5EF4-FFF2-40B4-BE49-F238E27FC236}">
              <a16:creationId xmlns:a16="http://schemas.microsoft.com/office/drawing/2014/main" id="{06553F17-D07E-4336-8395-6F1D92234511}"/>
            </a:ext>
          </a:extLst>
        </xdr:cNvPr>
        <xdr:cNvSpPr txBox="1"/>
      </xdr:nvSpPr>
      <xdr:spPr>
        <a:xfrm>
          <a:off x="9569510" y="701119"/>
          <a:ext cx="3114404" cy="647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E12EE9E-B6E4-4521-9E2F-C67D247CF334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15,67</a:t>
          </a:fld>
          <a:endParaRPr lang="es-ES" sz="23900" b="1"/>
        </a:p>
      </xdr:txBody>
    </xdr:sp>
    <xdr:clientData/>
  </xdr:twoCellAnchor>
  <xdr:twoCellAnchor editAs="oneCell">
    <xdr:from>
      <xdr:col>1</xdr:col>
      <xdr:colOff>119951</xdr:colOff>
      <xdr:row>12</xdr:row>
      <xdr:rowOff>11615</xdr:rowOff>
    </xdr:from>
    <xdr:to>
      <xdr:col>3</xdr:col>
      <xdr:colOff>360583</xdr:colOff>
      <xdr:row>21</xdr:row>
      <xdr:rowOff>181516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2" name="Almacén_Destino 1">
              <a:extLst>
                <a:ext uri="{FF2B5EF4-FFF2-40B4-BE49-F238E27FC236}">
                  <a16:creationId xmlns:a16="http://schemas.microsoft.com/office/drawing/2014/main" id="{DACE03D3-5DCD-438E-B12C-E02865F273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lmacén_Desti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4751" y="2339179"/>
              <a:ext cx="1820050" cy="19155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345666</xdr:colOff>
      <xdr:row>6</xdr:row>
      <xdr:rowOff>36761</xdr:rowOff>
    </xdr:from>
    <xdr:to>
      <xdr:col>24</xdr:col>
      <xdr:colOff>577478</xdr:colOff>
      <xdr:row>21</xdr:row>
      <xdr:rowOff>193087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3" name="Proveedor 1">
              <a:extLst>
                <a:ext uri="{FF2B5EF4-FFF2-40B4-BE49-F238E27FC236}">
                  <a16:creationId xmlns:a16="http://schemas.microsoft.com/office/drawing/2014/main" id="{B554C8AD-F60E-4550-A99B-42EED8FC5C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eed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84420" y="1235974"/>
              <a:ext cx="1805779" cy="31543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22</xdr:col>
      <xdr:colOff>317828</xdr:colOff>
      <xdr:row>1</xdr:row>
      <xdr:rowOff>45139</xdr:rowOff>
    </xdr:from>
    <xdr:to>
      <xdr:col>24</xdr:col>
      <xdr:colOff>671676</xdr:colOff>
      <xdr:row>4</xdr:row>
      <xdr:rowOff>149902</xdr:rowOff>
    </xdr:to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2D4A6BE7-D7DA-4553-B297-6C6B38014D08}"/>
            </a:ext>
          </a:extLst>
        </xdr:cNvPr>
        <xdr:cNvSpPr txBox="1"/>
      </xdr:nvSpPr>
      <xdr:spPr>
        <a:xfrm>
          <a:off x="17456582" y="245008"/>
          <a:ext cx="1927815" cy="70436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ANÁLISIS</a:t>
          </a:r>
          <a:r>
            <a:rPr lang="es-ES" sz="1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POR PROVEEDOR</a:t>
          </a:r>
          <a:endParaRPr lang="es-ES" sz="18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718457</xdr:colOff>
      <xdr:row>11</xdr:row>
      <xdr:rowOff>97972</xdr:rowOff>
    </xdr:from>
    <xdr:to>
      <xdr:col>16</xdr:col>
      <xdr:colOff>272143</xdr:colOff>
      <xdr:row>31</xdr:row>
      <xdr:rowOff>119743</xdr:rowOff>
    </xdr:to>
    <xdr:graphicFrame macro="">
      <xdr:nvGraphicFramePr>
        <xdr:cNvPr id="85" name="Gráfico 84">
          <a:extLst>
            <a:ext uri="{FF2B5EF4-FFF2-40B4-BE49-F238E27FC236}">
              <a16:creationId xmlns:a16="http://schemas.microsoft.com/office/drawing/2014/main" id="{17C6C06C-87CC-485C-8E8C-0AA50D643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249873</xdr:colOff>
      <xdr:row>1</xdr:row>
      <xdr:rowOff>82032</xdr:rowOff>
    </xdr:from>
    <xdr:to>
      <xdr:col>6</xdr:col>
      <xdr:colOff>177684</xdr:colOff>
      <xdr:row>3</xdr:row>
      <xdr:rowOff>33906</xdr:rowOff>
    </xdr:to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id="{697ADF12-5F89-40A7-AB7C-EFCF71956539}"/>
            </a:ext>
          </a:extLst>
        </xdr:cNvPr>
        <xdr:cNvSpPr txBox="1"/>
      </xdr:nvSpPr>
      <xdr:spPr>
        <a:xfrm>
          <a:off x="2910627" y="281901"/>
          <a:ext cx="1501778" cy="351612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2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N</a:t>
          </a:r>
          <a:r>
            <a:rPr lang="es-ES" sz="1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2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º </a:t>
          </a:r>
          <a:r>
            <a:rPr lang="es-ES" sz="1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PEDIDOS</a:t>
          </a:r>
          <a:endParaRPr lang="es-ES" sz="18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729915</xdr:colOff>
      <xdr:row>8</xdr:row>
      <xdr:rowOff>80782</xdr:rowOff>
    </xdr:from>
    <xdr:to>
      <xdr:col>9</xdr:col>
      <xdr:colOff>620485</xdr:colOff>
      <xdr:row>10</xdr:row>
      <xdr:rowOff>185057</xdr:rowOff>
    </xdr:to>
    <xdr:sp macro="" textlink="">
      <xdr:nvSpPr>
        <xdr:cNvPr id="87" name="CuadroTexto 86">
          <a:extLst>
            <a:ext uri="{FF2B5EF4-FFF2-40B4-BE49-F238E27FC236}">
              <a16:creationId xmlns:a16="http://schemas.microsoft.com/office/drawing/2014/main" id="{4E4CF4FD-35F5-4584-B519-256C66645DC2}"/>
            </a:ext>
          </a:extLst>
        </xdr:cNvPr>
        <xdr:cNvSpPr txBox="1"/>
      </xdr:nvSpPr>
      <xdr:spPr>
        <a:xfrm>
          <a:off x="2624029" y="1648325"/>
          <a:ext cx="4658513" cy="49616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2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EVOLUCIÓN NºPEDIDOS POR </a:t>
          </a:r>
          <a:r>
            <a:rPr lang="es-ES" sz="1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PROVEEDOR</a:t>
          </a:r>
        </a:p>
      </xdr:txBody>
    </xdr:sp>
    <xdr:clientData/>
  </xdr:twoCellAnchor>
  <xdr:twoCellAnchor>
    <xdr:from>
      <xdr:col>3</xdr:col>
      <xdr:colOff>740801</xdr:colOff>
      <xdr:row>32</xdr:row>
      <xdr:rowOff>59012</xdr:rowOff>
    </xdr:from>
    <xdr:to>
      <xdr:col>10</xdr:col>
      <xdr:colOff>130629</xdr:colOff>
      <xdr:row>34</xdr:row>
      <xdr:rowOff>130629</xdr:rowOff>
    </xdr:to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id="{8BF7C465-CC88-40A6-9CEB-36371C5BF557}"/>
            </a:ext>
          </a:extLst>
        </xdr:cNvPr>
        <xdr:cNvSpPr txBox="1"/>
      </xdr:nvSpPr>
      <xdr:spPr>
        <a:xfrm>
          <a:off x="2634915" y="6329183"/>
          <a:ext cx="4952428" cy="463503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EVOLUCIÓN VALOR</a:t>
          </a:r>
          <a:r>
            <a:rPr lang="es-ES" sz="1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</a:t>
          </a:r>
          <a:r>
            <a:rPr lang="es-ES" sz="1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PEDIDOS POR PROVEEDOR</a:t>
          </a:r>
        </a:p>
      </xdr:txBody>
    </xdr:sp>
    <xdr:clientData/>
  </xdr:twoCellAnchor>
  <xdr:twoCellAnchor editAs="oneCell">
    <xdr:from>
      <xdr:col>1</xdr:col>
      <xdr:colOff>131619</xdr:colOff>
      <xdr:row>22</xdr:row>
      <xdr:rowOff>96981</xdr:rowOff>
    </xdr:from>
    <xdr:to>
      <xdr:col>3</xdr:col>
      <xdr:colOff>371105</xdr:colOff>
      <xdr:row>35</xdr:row>
      <xdr:rowOff>96982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9" name="Categoría 1">
              <a:extLst>
                <a:ext uri="{FF2B5EF4-FFF2-40B4-BE49-F238E27FC236}">
                  <a16:creationId xmlns:a16="http://schemas.microsoft.com/office/drawing/2014/main" id="{21729A6B-52C5-43B5-8169-9A7B87118E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6419" y="4364181"/>
              <a:ext cx="1818904" cy="25215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17</xdr:col>
      <xdr:colOff>270010</xdr:colOff>
      <xdr:row>1</xdr:row>
      <xdr:rowOff>91660</xdr:rowOff>
    </xdr:from>
    <xdr:to>
      <xdr:col>21</xdr:col>
      <xdr:colOff>230947</xdr:colOff>
      <xdr:row>3</xdr:row>
      <xdr:rowOff>43534</xdr:rowOff>
    </xdr:to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CAD00B94-4695-4890-BBBD-27066778E8BC}"/>
            </a:ext>
          </a:extLst>
        </xdr:cNvPr>
        <xdr:cNvSpPr txBox="1"/>
      </xdr:nvSpPr>
      <xdr:spPr>
        <a:xfrm>
          <a:off x="13473846" y="291529"/>
          <a:ext cx="3108871" cy="351612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OTIF</a:t>
          </a:r>
        </a:p>
      </xdr:txBody>
    </xdr:sp>
    <xdr:clientData/>
  </xdr:twoCellAnchor>
  <xdr:twoCellAnchor>
    <xdr:from>
      <xdr:col>17</xdr:col>
      <xdr:colOff>266686</xdr:colOff>
      <xdr:row>3</xdr:row>
      <xdr:rowOff>159869</xdr:rowOff>
    </xdr:from>
    <xdr:to>
      <xdr:col>21</xdr:col>
      <xdr:colOff>227623</xdr:colOff>
      <xdr:row>7</xdr:row>
      <xdr:rowOff>3543</xdr:rowOff>
    </xdr:to>
    <xdr:sp macro="" textlink="Analisis!R8">
      <xdr:nvSpPr>
        <xdr:cNvPr id="91" name="CuadroTexto 90">
          <a:extLst>
            <a:ext uri="{FF2B5EF4-FFF2-40B4-BE49-F238E27FC236}">
              <a16:creationId xmlns:a16="http://schemas.microsoft.com/office/drawing/2014/main" id="{3FC2CC2B-F3BB-4098-89A6-E6854BD5732C}"/>
            </a:ext>
          </a:extLst>
        </xdr:cNvPr>
        <xdr:cNvSpPr txBox="1"/>
      </xdr:nvSpPr>
      <xdr:spPr>
        <a:xfrm>
          <a:off x="13470522" y="759476"/>
          <a:ext cx="3108871" cy="643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582036F-AF95-4CCB-BBDF-AF0994B89B91}" type="TxLink">
            <a:rPr lang="en-US" sz="1800" b="1" i="0" u="none" strike="noStrike">
              <a:solidFill>
                <a:srgbClr val="000000"/>
              </a:solidFill>
              <a:latin typeface="Arial"/>
              <a:ea typeface="Calibri"/>
              <a:cs typeface="Arial"/>
            </a:rPr>
            <a:pPr algn="ctr"/>
            <a:t>48,57%</a:t>
          </a:fld>
          <a:endParaRPr lang="es-ES" sz="333300" b="1"/>
        </a:p>
      </xdr:txBody>
    </xdr:sp>
    <xdr:clientData/>
  </xdr:twoCellAnchor>
  <xdr:twoCellAnchor>
    <xdr:from>
      <xdr:col>17</xdr:col>
      <xdr:colOff>246633</xdr:colOff>
      <xdr:row>8</xdr:row>
      <xdr:rowOff>84343</xdr:rowOff>
    </xdr:from>
    <xdr:to>
      <xdr:col>21</xdr:col>
      <xdr:colOff>207570</xdr:colOff>
      <xdr:row>10</xdr:row>
      <xdr:rowOff>32291</xdr:rowOff>
    </xdr:to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id="{66D68A66-9B84-4E12-86B3-D7D5959DEF15}"/>
            </a:ext>
          </a:extLst>
        </xdr:cNvPr>
        <xdr:cNvSpPr txBox="1"/>
      </xdr:nvSpPr>
      <xdr:spPr>
        <a:xfrm>
          <a:off x="13450469" y="1683294"/>
          <a:ext cx="3108871" cy="34768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N</a:t>
          </a:r>
          <a:r>
            <a:rPr lang="es-ES" sz="1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º INCIDENDIAS</a:t>
          </a:r>
          <a:endParaRPr lang="es-ES" sz="18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twoCellAnchor>
  <xdr:twoCellAnchor>
    <xdr:from>
      <xdr:col>17</xdr:col>
      <xdr:colOff>280784</xdr:colOff>
      <xdr:row>11</xdr:row>
      <xdr:rowOff>78137</xdr:rowOff>
    </xdr:from>
    <xdr:to>
      <xdr:col>21</xdr:col>
      <xdr:colOff>241721</xdr:colOff>
      <xdr:row>14</xdr:row>
      <xdr:rowOff>125605</xdr:rowOff>
    </xdr:to>
    <xdr:sp macro="" textlink="Analisis!S14">
      <xdr:nvSpPr>
        <xdr:cNvPr id="93" name="CuadroTexto 92">
          <a:extLst>
            <a:ext uri="{FF2B5EF4-FFF2-40B4-BE49-F238E27FC236}">
              <a16:creationId xmlns:a16="http://schemas.microsoft.com/office/drawing/2014/main" id="{E6D42643-FA2B-44E7-BE4F-FAD76A2DDC24}"/>
            </a:ext>
          </a:extLst>
        </xdr:cNvPr>
        <xdr:cNvSpPr txBox="1"/>
      </xdr:nvSpPr>
      <xdr:spPr>
        <a:xfrm>
          <a:off x="13484620" y="2276694"/>
          <a:ext cx="3108871" cy="647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8992222-B321-4AE1-906E-FFB125A2019A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54</a:t>
          </a:fld>
          <a:endParaRPr lang="es-ES" sz="333300" b="1"/>
        </a:p>
      </xdr:txBody>
    </xdr:sp>
    <xdr:clientData/>
  </xdr:twoCellAnchor>
  <xdr:twoCellAnchor editAs="oneCell">
    <xdr:from>
      <xdr:col>18</xdr:col>
      <xdr:colOff>242877</xdr:colOff>
      <xdr:row>15</xdr:row>
      <xdr:rowOff>124905</xdr:rowOff>
    </xdr:from>
    <xdr:to>
      <xdr:col>20</xdr:col>
      <xdr:colOff>474690</xdr:colOff>
      <xdr:row>24</xdr:row>
      <xdr:rowOff>127416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4" name="Incidencias 1">
              <a:extLst>
                <a:ext uri="{FF2B5EF4-FFF2-40B4-BE49-F238E27FC236}">
                  <a16:creationId xmlns:a16="http://schemas.microsoft.com/office/drawing/2014/main" id="{5BA18502-5A8C-4F90-9BCD-7B8F8176BE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cidencia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33697" y="3122938"/>
              <a:ext cx="1805780" cy="18013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740228</xdr:colOff>
      <xdr:row>35</xdr:row>
      <xdr:rowOff>117229</xdr:rowOff>
    </xdr:from>
    <xdr:to>
      <xdr:col>16</xdr:col>
      <xdr:colOff>370114</xdr:colOff>
      <xdr:row>56</xdr:row>
      <xdr:rowOff>-1</xdr:rowOff>
    </xdr:to>
    <xdr:graphicFrame macro="">
      <xdr:nvGraphicFramePr>
        <xdr:cNvPr id="95" name="Gráfico 94">
          <a:extLst>
            <a:ext uri="{FF2B5EF4-FFF2-40B4-BE49-F238E27FC236}">
              <a16:creationId xmlns:a16="http://schemas.microsoft.com/office/drawing/2014/main" id="{FE0C40ED-9F35-48C1-8F1A-2DCF196EDB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156360</xdr:colOff>
      <xdr:row>35</xdr:row>
      <xdr:rowOff>178589</xdr:rowOff>
    </xdr:from>
    <xdr:to>
      <xdr:col>3</xdr:col>
      <xdr:colOff>395846</xdr:colOff>
      <xdr:row>45</xdr:row>
      <xdr:rowOff>13853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do_Transporte 1">
              <a:extLst>
                <a:ext uri="{FF2B5EF4-FFF2-40B4-BE49-F238E27FC236}">
                  <a16:creationId xmlns:a16="http://schemas.microsoft.com/office/drawing/2014/main" id="{BEABB0CD-1826-40D0-94AF-40865E3C45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o_Transpor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1160" y="6967316"/>
              <a:ext cx="1818904" cy="17749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16</xdr:col>
      <xdr:colOff>845127</xdr:colOff>
      <xdr:row>30</xdr:row>
      <xdr:rowOff>106344</xdr:rowOff>
    </xdr:from>
    <xdr:to>
      <xdr:col>25</xdr:col>
      <xdr:colOff>304800</xdr:colOff>
      <xdr:row>53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319AA5D-CD82-46E4-A608-D86B0D337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27</xdr:row>
      <xdr:rowOff>102555</xdr:rowOff>
    </xdr:from>
    <xdr:to>
      <xdr:col>25</xdr:col>
      <xdr:colOff>332508</xdr:colOff>
      <xdr:row>29</xdr:row>
      <xdr:rowOff>174172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9F10A7ED-47A7-4587-BF4F-9740663A8042}"/>
            </a:ext>
          </a:extLst>
        </xdr:cNvPr>
        <xdr:cNvSpPr txBox="1"/>
      </xdr:nvSpPr>
      <xdr:spPr>
        <a:xfrm>
          <a:off x="13231091" y="5339573"/>
          <a:ext cx="6650181" cy="459544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ESTADO PEDIDOS (Nºs PEDIDOS)</a:t>
          </a:r>
        </a:p>
      </xdr:txBody>
    </xdr:sp>
    <xdr:clientData/>
  </xdr:twoCellAnchor>
  <xdr:twoCellAnchor editAs="oneCell">
    <xdr:from>
      <xdr:col>1</xdr:col>
      <xdr:colOff>166255</xdr:colOff>
      <xdr:row>45</xdr:row>
      <xdr:rowOff>83126</xdr:rowOff>
    </xdr:from>
    <xdr:to>
      <xdr:col>3</xdr:col>
      <xdr:colOff>415637</xdr:colOff>
      <xdr:row>55</xdr:row>
      <xdr:rowOff>180109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Transportista 1">
              <a:extLst>
                <a:ext uri="{FF2B5EF4-FFF2-40B4-BE49-F238E27FC236}">
                  <a16:creationId xmlns:a16="http://schemas.microsoft.com/office/drawing/2014/main" id="{3F271DBF-9BA2-4D1B-89E7-FAE0A204B5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portist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1055" y="8811490"/>
              <a:ext cx="1828800" cy="20366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fde\AppData\Local\Temp\a8d451d3-a852-4844-98de-bc2ca6fa6e2f_Dashboard+guiado+Excel.rar.e2f\Dashboard-Pedidos.xlsx" TargetMode="External"/><Relationship Id="rId1" Type="http://schemas.openxmlformats.org/officeDocument/2006/relationships/externalLinkPath" Target="/Users/chfde/AppData/Local/Temp/a8d451d3-a852-4844-98de-bc2ca6fa6e2f_Dashboard+guiado+Excel.rar.e2f/Dashboard-Pedi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"/>
      <sheetName val="Análisis"/>
      <sheetName val="Dashboard"/>
      <sheetName val="Dashboard-Pedidos"/>
    </sheetNames>
    <sheetDataSet>
      <sheetData sheetId="0"/>
      <sheetData sheetId="1">
        <row r="11">
          <cell r="BG11">
            <v>0.86631578947368426</v>
          </cell>
        </row>
      </sheetData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Fernandez" refreshedDate="46159.719188888892" createdVersion="8" refreshedVersion="8" minRefreshableVersion="3" recordCount="2000" xr:uid="{08E2E114-57E1-43EB-BC4B-A5751DDC1CDF}">
  <cacheSource type="worksheet">
    <worksheetSource ref="A1:AB2001" sheet="Dataset Limpio"/>
  </cacheSource>
  <cacheFields count="28">
    <cacheField name="ID_Pedido" numFmtId="0">
      <sharedItems/>
    </cacheField>
    <cacheField name="Fecha_Pedido" numFmtId="172">
      <sharedItems containsSemiMixedTypes="0" containsNonDate="0" containsDate="1" containsString="0" minDate="2023-01-01T00:00:00" maxDate="2025-01-01T00:00:00"/>
    </cacheField>
    <cacheField name="Año_Pedido" numFmtId="1">
      <sharedItems containsSemiMixedTypes="0" containsString="0" containsNumber="1" containsInteger="1" minValue="2023" maxValue="2024" count="2">
        <n v="2024"/>
        <n v="2023"/>
      </sharedItems>
    </cacheField>
    <cacheField name="Mes_Pedido" numFmtId="1">
      <sharedItems containsSemiMixedTypes="0" containsString="0" containsNumber="1" containsInteger="1" minValue="1" maxValue="12" count="12">
        <n v="10"/>
        <n v="4"/>
        <n v="1"/>
        <n v="9"/>
        <n v="8"/>
        <n v="5"/>
        <n v="11"/>
        <n v="7"/>
        <n v="3"/>
        <n v="2"/>
        <n v="6"/>
        <n v="12"/>
      </sharedItems>
    </cacheField>
    <cacheField name="Semana_Pedido" numFmtId="1">
      <sharedItems containsSemiMixedTypes="0" containsString="0" containsNumber="1" containsInteger="1" minValue="1" maxValue="53"/>
    </cacheField>
    <cacheField name="Proveedor" numFmtId="0">
      <sharedItems count="10">
        <s v="EuroDistrib S.A."/>
        <s v="FastShip Iberia"/>
        <s v="TransEuro Logistics"/>
        <s v="Global Parts S.L."/>
        <s v="LogiTech Supply S.L."/>
        <s v="Iberian Freight Co."/>
        <s v="MadridPack S.A."/>
        <s v="PenínsulaLogis"/>
        <s v="Valencia Port Traders"/>
        <s v="Almería Fresh Supply"/>
      </sharedItems>
    </cacheField>
    <cacheField name="Categoría" numFmtId="0">
      <sharedItems count="8">
        <s v="Maquinaria"/>
        <s v="Farmacia"/>
        <s v="Automoción"/>
        <s v="Químicos"/>
        <s v="Textil"/>
        <s v="Electrónica"/>
        <s v="Construcción"/>
        <s v="Alimentación"/>
      </sharedItems>
    </cacheField>
    <cacheField name="Producto_SKU" numFmtId="0">
      <sharedItems/>
    </cacheField>
    <cacheField name="Almacén_Destino" numFmtId="0">
      <sharedItems count="6">
        <s v="ALM-ZGZ-01"/>
        <s v="ALM-MAD-01"/>
        <s v="ALM-MAD-02"/>
        <s v="ALM-VAL-01"/>
        <s v="ALM-BCN-01"/>
        <s v="ALM-SEV-01"/>
      </sharedItems>
    </cacheField>
    <cacheField name="Transportista" numFmtId="0">
      <sharedItems count="6">
        <s v="FedEx ES"/>
        <s v="Correos Express"/>
        <s v="DHL Express"/>
        <s v="MRW"/>
        <s v="XPO Logistics"/>
        <s v="SEUR"/>
      </sharedItems>
    </cacheField>
    <cacheField name="Modo_Transporte" numFmtId="0">
      <sharedItems count="5">
        <s v="Marítimo"/>
        <s v="Ferroviario"/>
        <s v="Camión LTL"/>
        <s v="Camión FTL"/>
        <s v="Aéreo"/>
      </sharedItems>
    </cacheField>
    <cacheField name="Incoterm" numFmtId="0">
      <sharedItems/>
    </cacheField>
    <cacheField name="Cantidad" numFmtId="1">
      <sharedItems containsSemiMixedTypes="0" containsString="0" containsNumber="1" containsInteger="1" minValue="10" maxValue="998"/>
    </cacheField>
    <cacheField name="Unidad_Medida" numFmtId="0">
      <sharedItems/>
    </cacheField>
    <cacheField name="Precio_Unitario_EUR" numFmtId="166">
      <sharedItems containsSemiMixedTypes="0" containsString="0" containsNumber="1" minValue="42.03" maxValue="2235.75"/>
    </cacheField>
    <cacheField name="Valor_Total_EUR" numFmtId="166">
      <sharedItems containsSemiMixedTypes="0" containsString="0" containsNumber="1" minValue="3302.8089" maxValue="1639255.3774000001"/>
    </cacheField>
    <cacheField name="Coste_Transporte_EUR" numFmtId="166">
      <sharedItems containsSemiMixedTypes="0" containsString="0" containsNumber="1" minValue="142.36009999999999" maxValue="96548.6302"/>
    </cacheField>
    <cacheField name="Pct_Coste_Transporte" numFmtId="10">
      <sharedItems containsSemiMixedTypes="0" containsString="0" containsNumber="1" minValue="2.0014463915663992E-2" maxValue="7.9952419100824304E-2"/>
    </cacheField>
    <cacheField name="Lead_Time_Días" numFmtId="1">
      <sharedItems containsSemiMixedTypes="0" containsString="0" containsNumber="1" containsInteger="1" minValue="1" maxValue="29"/>
    </cacheField>
    <cacheField name="Fecha_Entrega_Estimada" numFmtId="172">
      <sharedItems containsSemiMixedTypes="0" containsNonDate="0" containsDate="1" containsString="0" minDate="2023-01-02T00:00:00" maxDate="2025-01-29T00:00:00"/>
    </cacheField>
    <cacheField name="Fecha_Entrega_Real" numFmtId="172">
      <sharedItems containsSemiMixedTypes="0" containsNonDate="0" containsDate="1" containsString="0" minDate="2023-01-02T00:00:00" maxDate="2025-02-10T00:00:00"/>
    </cacheField>
    <cacheField name="Desviación_Días" numFmtId="1">
      <sharedItems containsSemiMixedTypes="0" containsString="0" containsNumber="1" containsInteger="1" minValue="-5" maxValue="12"/>
    </cacheField>
    <cacheField name="Estado" numFmtId="0">
      <sharedItems count="3">
        <s v="Entregado"/>
        <s v="Retrasado"/>
        <s v="En almacén"/>
      </sharedItems>
    </cacheField>
    <cacheField name="OTIF" numFmtId="0">
      <sharedItems/>
    </cacheField>
    <cacheField name="Nivel_Stock_Inicial" numFmtId="1">
      <sharedItems containsSemiMixedTypes="0" containsString="0" containsNumber="1" containsInteger="1" minValue="0" maxValue="499"/>
    </cacheField>
    <cacheField name="Nivel_Stock_Final" numFmtId="1">
      <sharedItems containsSemiMixedTypes="0" containsString="0" containsNumber="1" containsInteger="1" minValue="0" maxValue="499"/>
    </cacheField>
    <cacheField name="Incidencias" numFmtId="0">
      <sharedItems count="5">
        <s v="Ninguna"/>
        <s v="Error de cantidad"/>
        <s v="Pérdida parcial"/>
        <s v="Daño en mercancía"/>
        <s v="Documentación incompleta"/>
      </sharedItems>
    </cacheField>
    <cacheField name="Flag_Incidencia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 pivotCacheId="116865147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Fernandez" refreshedDate="46159.763435416666" createdVersion="8" refreshedVersion="8" minRefreshableVersion="3" recordCount="24" xr:uid="{C186F904-91EE-4C55-808F-387366DC154A}">
  <cacheSource type="worksheet">
    <worksheetSource ref="B80:J104" sheet="Análisis Descriptivo"/>
  </cacheSource>
  <cacheFields count="9">
    <cacheField name="Año" numFmtId="0">
      <sharedItems count="2">
        <s v="2023"/>
        <s v="2024"/>
      </sharedItems>
    </cacheField>
    <cacheField name="Mes" numFmtId="0">
      <sharedItems containsSemiMixedTypes="0" containsString="0" containsNumber="1" containsInteger="1" minValue="1" maxValue="12"/>
    </cacheField>
    <cacheField name="Nº Pedidos" numFmtId="3">
      <sharedItems containsSemiMixedTypes="0" containsString="0" containsNumber="1" containsInteger="1" minValue="59" maxValue="102"/>
    </cacheField>
    <cacheField name="Valor Total (€)" numFmtId="164">
      <sharedItems containsSemiMixedTypes="0" containsString="0" containsNumber="1" minValue="12833993.454100002" maxValue="29974121.397400007"/>
    </cacheField>
    <cacheField name="Coste Transp. (€)" numFmtId="164">
      <sharedItems containsSemiMixedTypes="0" containsString="0" containsNumber="1" minValue="600922.84050000005" maxValue="1524030.6504000002"/>
    </cacheField>
    <cacheField name="OTIF (%)" numFmtId="168">
      <sharedItems containsSemiMixedTypes="0" containsString="0" containsNumber="1" minValue="0.38297872340425532" maxValue="0.59375"/>
    </cacheField>
    <cacheField name="% Retrasos" numFmtId="168">
      <sharedItems containsSemiMixedTypes="0" containsString="0" containsNumber="1" minValue="0.20238095238095238" maxValue="0.37234042553191488"/>
    </cacheField>
    <cacheField name="% Incidencias" numFmtId="168">
      <sharedItems containsSemiMixedTypes="0" containsString="0" containsNumber="1" minValue="0.5053763440860215" maxValue="0.69444444444444442"/>
    </cacheField>
    <cacheField name="Desv. Media" numFmtId="169">
      <sharedItems containsSemiMixedTypes="0" containsString="0" containsNumber="1" minValue="1.0833333333333333" maxValue="2.7741935483870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PED-00001"/>
    <d v="2024-10-16T00:00:00"/>
    <x v="0"/>
    <x v="0"/>
    <n v="42"/>
    <x v="0"/>
    <x v="0"/>
    <s v="SKU-MAQ-5395"/>
    <x v="0"/>
    <x v="0"/>
    <x v="0"/>
    <s v="EXW"/>
    <n v="28"/>
    <s v="Metros"/>
    <n v="1212.26"/>
    <n v="33943.279999999999"/>
    <n v="1224.77"/>
    <n v="3.6082841728907758E-2"/>
    <n v="7"/>
    <d v="2024-10-23T00:00:00"/>
    <d v="2024-10-22T00:00:00"/>
    <n v="-1"/>
    <x v="0"/>
    <b v="1"/>
    <n v="323"/>
    <n v="261"/>
    <x v="0"/>
    <x v="0"/>
  </r>
  <r>
    <s v="PED-00002"/>
    <d v="2023-04-25T00:00:00"/>
    <x v="1"/>
    <x v="1"/>
    <n v="17"/>
    <x v="1"/>
    <x v="0"/>
    <s v="SKU-MAQ-2522"/>
    <x v="0"/>
    <x v="0"/>
    <x v="1"/>
    <s v="DAP"/>
    <n v="692"/>
    <s v="Cajas"/>
    <n v="1860.55"/>
    <n v="1287500.6000000001"/>
    <n v="88435.79"/>
    <n v="6.8687960223086486E-2"/>
    <n v="20"/>
    <d v="2023-05-15T00:00:00"/>
    <d v="2023-05-15T00:00:00"/>
    <n v="0"/>
    <x v="0"/>
    <b v="1"/>
    <n v="301"/>
    <n v="486"/>
    <x v="1"/>
    <x v="1"/>
  </r>
  <r>
    <s v="PED-00003"/>
    <d v="2023-01-26T00:00:00"/>
    <x v="1"/>
    <x v="2"/>
    <n v="4"/>
    <x v="1"/>
    <x v="1"/>
    <s v="SKU-FAR-7105"/>
    <x v="0"/>
    <x v="1"/>
    <x v="0"/>
    <s v="FCA"/>
    <n v="459"/>
    <s v="Cajas"/>
    <n v="203.36"/>
    <n v="93342.24"/>
    <n v="2176.89"/>
    <n v="2.3321595881992972E-2"/>
    <n v="29"/>
    <d v="2023-02-24T00:00:00"/>
    <d v="2023-02-26T00:00:00"/>
    <n v="2"/>
    <x v="1"/>
    <b v="0"/>
    <n v="368"/>
    <n v="453"/>
    <x v="2"/>
    <x v="1"/>
  </r>
  <r>
    <s v="PED-00004"/>
    <d v="2023-10-09T00:00:00"/>
    <x v="1"/>
    <x v="0"/>
    <n v="41"/>
    <x v="0"/>
    <x v="2"/>
    <s v="SKU-AUT-6615"/>
    <x v="0"/>
    <x v="1"/>
    <x v="2"/>
    <s v="FCA"/>
    <n v="83"/>
    <s v="Cajas"/>
    <n v="645.13"/>
    <n v="53545.79"/>
    <n v="2799.76"/>
    <n v="5.2287210628510668E-2"/>
    <n v="15"/>
    <d v="2023-10-24T00:00:00"/>
    <d v="2023-10-27T00:00:00"/>
    <n v="3"/>
    <x v="2"/>
    <b v="0"/>
    <n v="27"/>
    <n v="442"/>
    <x v="3"/>
    <x v="1"/>
  </r>
  <r>
    <s v="PED-00005"/>
    <d v="2023-09-08T00:00:00"/>
    <x v="1"/>
    <x v="3"/>
    <n v="36"/>
    <x v="2"/>
    <x v="3"/>
    <s v="SKU-QUÍ-3996"/>
    <x v="0"/>
    <x v="2"/>
    <x v="3"/>
    <s v="FCA"/>
    <n v="582"/>
    <s v="KG"/>
    <n v="99.24"/>
    <n v="57757.68"/>
    <n v="1399.64"/>
    <n v="2.4232967806186122E-2"/>
    <n v="11"/>
    <d v="2023-09-19T00:00:00"/>
    <d v="2023-09-22T00:00:00"/>
    <n v="3"/>
    <x v="2"/>
    <b v="0"/>
    <n v="484"/>
    <n v="261"/>
    <x v="2"/>
    <x v="1"/>
  </r>
  <r>
    <s v="PED-00006"/>
    <d v="2023-08-17T00:00:00"/>
    <x v="1"/>
    <x v="4"/>
    <n v="33"/>
    <x v="3"/>
    <x v="4"/>
    <s v="SKU-TEX-2865"/>
    <x v="1"/>
    <x v="2"/>
    <x v="1"/>
    <s v="CIF"/>
    <n v="948"/>
    <s v="Litros"/>
    <n v="87.57"/>
    <n v="83016.36"/>
    <n v="6312.73"/>
    <n v="7.6041999432401031E-2"/>
    <n v="8"/>
    <d v="2023-08-25T00:00:00"/>
    <d v="2023-08-25T00:00:00"/>
    <n v="0"/>
    <x v="0"/>
    <b v="1"/>
    <n v="76"/>
    <n v="30"/>
    <x v="3"/>
    <x v="1"/>
  </r>
  <r>
    <s v="PED-00007"/>
    <d v="2023-05-23T00:00:00"/>
    <x v="1"/>
    <x v="5"/>
    <n v="21"/>
    <x v="0"/>
    <x v="5"/>
    <s v="SKU-ELE-7566"/>
    <x v="2"/>
    <x v="3"/>
    <x v="1"/>
    <s v="DAP"/>
    <n v="674"/>
    <s v="Unidades"/>
    <n v="701.84"/>
    <n v="473040.16"/>
    <n v="31211.7"/>
    <n v="6.5981078646684038E-2"/>
    <n v="29"/>
    <d v="2023-06-21T00:00:00"/>
    <d v="2023-06-21T00:00:00"/>
    <n v="0"/>
    <x v="0"/>
    <b v="1"/>
    <n v="120"/>
    <n v="104"/>
    <x v="2"/>
    <x v="1"/>
  </r>
  <r>
    <s v="PED-00008"/>
    <d v="2023-04-15T00:00:00"/>
    <x v="1"/>
    <x v="1"/>
    <n v="15"/>
    <x v="4"/>
    <x v="0"/>
    <s v="SKU-MAQ-7557"/>
    <x v="3"/>
    <x v="4"/>
    <x v="0"/>
    <s v="FCA"/>
    <n v="285"/>
    <s v="KG"/>
    <n v="2138.4499999999998"/>
    <n v="609458.25"/>
    <n v="36248.75"/>
    <n v="5.9477002731524266E-2"/>
    <n v="21"/>
    <d v="2023-05-06T00:00:00"/>
    <d v="2023-05-03T00:00:00"/>
    <n v="-3"/>
    <x v="0"/>
    <b v="1"/>
    <n v="2"/>
    <n v="487"/>
    <x v="1"/>
    <x v="1"/>
  </r>
  <r>
    <s v="PED-00009"/>
    <d v="2024-11-23T00:00:00"/>
    <x v="0"/>
    <x v="6"/>
    <n v="47"/>
    <x v="5"/>
    <x v="6"/>
    <s v="SKU-CON-8479"/>
    <x v="4"/>
    <x v="3"/>
    <x v="4"/>
    <s v="DDP"/>
    <n v="57"/>
    <s v="KG"/>
    <n v="298.64999999999998"/>
    <n v="17023.05"/>
    <n v="1181.97"/>
    <n v="6.943350339686484E-2"/>
    <n v="7"/>
    <d v="2024-11-30T00:00:00"/>
    <d v="2024-12-08T00:00:00"/>
    <n v="8"/>
    <x v="1"/>
    <b v="0"/>
    <n v="36"/>
    <n v="349"/>
    <x v="4"/>
    <x v="1"/>
  </r>
  <r>
    <s v="PED-00010"/>
    <d v="2024-07-12T00:00:00"/>
    <x v="0"/>
    <x v="7"/>
    <n v="28"/>
    <x v="6"/>
    <x v="6"/>
    <s v="SKU-CON-5453"/>
    <x v="0"/>
    <x v="3"/>
    <x v="4"/>
    <s v="DDP"/>
    <n v="220"/>
    <s v="KG"/>
    <n v="173.33"/>
    <n v="38132.6"/>
    <n v="2244.15"/>
    <n v="5.8851219166802166E-2"/>
    <n v="26"/>
    <d v="2024-08-07T00:00:00"/>
    <d v="2024-08-10T00:00:00"/>
    <n v="3"/>
    <x v="2"/>
    <b v="0"/>
    <n v="431"/>
    <n v="311"/>
    <x v="3"/>
    <x v="1"/>
  </r>
  <r>
    <s v="PED-00011"/>
    <d v="2023-03-31T00:00:00"/>
    <x v="1"/>
    <x v="8"/>
    <n v="13"/>
    <x v="7"/>
    <x v="3"/>
    <s v="SKU-QUÍ-7319"/>
    <x v="1"/>
    <x v="5"/>
    <x v="2"/>
    <s v="DAP"/>
    <n v="864"/>
    <s v="Metros"/>
    <n v="118.12"/>
    <n v="102055.67999999999"/>
    <n v="7974.29"/>
    <n v="7.8136660301513838E-2"/>
    <n v="19"/>
    <d v="2023-04-19T00:00:00"/>
    <d v="2023-04-21T00:00:00"/>
    <n v="2"/>
    <x v="1"/>
    <b v="0"/>
    <n v="146"/>
    <n v="437"/>
    <x v="4"/>
    <x v="1"/>
  </r>
  <r>
    <s v="PED-00012"/>
    <d v="2024-08-27T00:00:00"/>
    <x v="0"/>
    <x v="4"/>
    <n v="35"/>
    <x v="8"/>
    <x v="4"/>
    <s v="SKU-TEX-8835"/>
    <x v="3"/>
    <x v="0"/>
    <x v="3"/>
    <s v="FCA"/>
    <n v="929"/>
    <s v="Unidades"/>
    <n v="74.12"/>
    <n v="68857.48"/>
    <n v="4326.83"/>
    <n v="6.2837472414035492E-2"/>
    <n v="23"/>
    <d v="2024-09-19T00:00:00"/>
    <d v="2024-09-18T00:00:00"/>
    <n v="-1"/>
    <x v="0"/>
    <b v="1"/>
    <n v="91"/>
    <n v="468"/>
    <x v="0"/>
    <x v="0"/>
  </r>
  <r>
    <s v="PED-00013"/>
    <d v="2024-03-08T00:00:00"/>
    <x v="0"/>
    <x v="8"/>
    <n v="10"/>
    <x v="3"/>
    <x v="0"/>
    <s v="SKU-MAQ-7909"/>
    <x v="3"/>
    <x v="5"/>
    <x v="3"/>
    <s v="FOB"/>
    <n v="660"/>
    <s v="Cajas"/>
    <n v="1630.56"/>
    <n v="1076169.6000000001"/>
    <n v="81228.759999999995"/>
    <n v="7.547951549644219E-2"/>
    <n v="11"/>
    <d v="2024-03-19T00:00:00"/>
    <d v="2024-03-27T00:00:00"/>
    <n v="8"/>
    <x v="1"/>
    <b v="0"/>
    <n v="338"/>
    <n v="168"/>
    <x v="3"/>
    <x v="1"/>
  </r>
  <r>
    <s v="PED-00014"/>
    <d v="2023-02-02T00:00:00"/>
    <x v="1"/>
    <x v="9"/>
    <n v="5"/>
    <x v="4"/>
    <x v="0"/>
    <s v="SKU-MAQ-3732"/>
    <x v="3"/>
    <x v="4"/>
    <x v="0"/>
    <s v="FOB"/>
    <n v="631"/>
    <s v="Metros"/>
    <n v="1552.07"/>
    <n v="979356.17"/>
    <n v="49974.5"/>
    <n v="5.1027911530898917E-2"/>
    <n v="11"/>
    <d v="2023-02-13T00:00:00"/>
    <d v="2023-02-25T00:00:00"/>
    <n v="12"/>
    <x v="2"/>
    <b v="0"/>
    <n v="272"/>
    <n v="235"/>
    <x v="4"/>
    <x v="1"/>
  </r>
  <r>
    <s v="PED-00015"/>
    <d v="2023-01-31T00:00:00"/>
    <x v="1"/>
    <x v="2"/>
    <n v="5"/>
    <x v="8"/>
    <x v="5"/>
    <s v="SKU-ELE-2852"/>
    <x v="1"/>
    <x v="1"/>
    <x v="0"/>
    <s v="EXW"/>
    <n v="704"/>
    <s v="Litros"/>
    <n v="493.12"/>
    <n v="347156.47999999998"/>
    <n v="9381.51"/>
    <n v="2.7023865433823964E-2"/>
    <n v="24"/>
    <d v="2023-02-24T00:00:00"/>
    <d v="2023-02-27T00:00:00"/>
    <n v="3"/>
    <x v="2"/>
    <b v="0"/>
    <n v="465"/>
    <n v="273"/>
    <x v="3"/>
    <x v="1"/>
  </r>
  <r>
    <s v="PED-00016"/>
    <d v="2023-04-06T00:00:00"/>
    <x v="1"/>
    <x v="1"/>
    <n v="14"/>
    <x v="1"/>
    <x v="5"/>
    <s v="SKU-ELE-3171"/>
    <x v="4"/>
    <x v="2"/>
    <x v="4"/>
    <s v="EXW"/>
    <n v="549"/>
    <s v="Palés"/>
    <n v="587.51"/>
    <n v="322542.99"/>
    <n v="16672.46"/>
    <n v="5.1690659902421068E-2"/>
    <n v="21"/>
    <d v="2023-04-27T00:00:00"/>
    <d v="2023-04-26T00:00:00"/>
    <n v="-1"/>
    <x v="0"/>
    <b v="1"/>
    <n v="465"/>
    <n v="342"/>
    <x v="4"/>
    <x v="1"/>
  </r>
  <r>
    <s v="PED-00017"/>
    <d v="2023-08-12T00:00:00"/>
    <x v="1"/>
    <x v="4"/>
    <n v="32"/>
    <x v="0"/>
    <x v="0"/>
    <s v="SKU-MAQ-1960"/>
    <x v="0"/>
    <x v="4"/>
    <x v="3"/>
    <s v="FCA"/>
    <n v="718"/>
    <s v="Metros"/>
    <n v="1740.71"/>
    <n v="1249829.78"/>
    <n v="34510.76"/>
    <n v="2.7612368141844083E-2"/>
    <n v="4"/>
    <d v="2023-08-16T00:00:00"/>
    <d v="2023-08-19T00:00:00"/>
    <n v="3"/>
    <x v="1"/>
    <b v="0"/>
    <n v="376"/>
    <n v="229"/>
    <x v="2"/>
    <x v="1"/>
  </r>
  <r>
    <s v="PED-00018"/>
    <d v="2023-08-27T00:00:00"/>
    <x v="1"/>
    <x v="4"/>
    <n v="35"/>
    <x v="3"/>
    <x v="7"/>
    <s v="SKU-ALI-3611"/>
    <x v="3"/>
    <x v="1"/>
    <x v="3"/>
    <s v="EXW"/>
    <n v="200"/>
    <s v="Palés"/>
    <n v="66.33"/>
    <n v="13266"/>
    <n v="736.92"/>
    <n v="5.5549525101763905E-2"/>
    <n v="8"/>
    <d v="2023-09-04T00:00:00"/>
    <d v="2023-09-01T00:00:00"/>
    <n v="-3"/>
    <x v="0"/>
    <b v="1"/>
    <n v="86"/>
    <n v="22"/>
    <x v="3"/>
    <x v="1"/>
  </r>
  <r>
    <s v="PED-00019"/>
    <d v="2024-06-01T00:00:00"/>
    <x v="0"/>
    <x v="10"/>
    <n v="22"/>
    <x v="9"/>
    <x v="0"/>
    <s v="SKU-MAQ-2699"/>
    <x v="1"/>
    <x v="4"/>
    <x v="3"/>
    <s v="CIF"/>
    <n v="324"/>
    <s v="Litros"/>
    <n v="1616.09"/>
    <n v="523613.16"/>
    <n v="25630.65"/>
    <n v="4.8949590953749143E-2"/>
    <n v="24"/>
    <d v="2024-06-25T00:00:00"/>
    <d v="2024-07-07T00:00:00"/>
    <n v="12"/>
    <x v="1"/>
    <b v="0"/>
    <n v="39"/>
    <n v="475"/>
    <x v="3"/>
    <x v="1"/>
  </r>
  <r>
    <s v="PED-00020"/>
    <d v="2024-09-08T00:00:00"/>
    <x v="0"/>
    <x v="3"/>
    <n v="37"/>
    <x v="7"/>
    <x v="3"/>
    <s v="SKU-QUÍ-7816"/>
    <x v="2"/>
    <x v="1"/>
    <x v="2"/>
    <s v="FOB"/>
    <n v="910"/>
    <s v="Unidades"/>
    <n v="137.13"/>
    <n v="124788.3"/>
    <n v="7157.17"/>
    <n v="5.7354495573703625E-2"/>
    <n v="3"/>
    <d v="2024-09-11T00:00:00"/>
    <d v="2024-09-16T00:00:00"/>
    <n v="5"/>
    <x v="2"/>
    <b v="0"/>
    <n v="177"/>
    <n v="163"/>
    <x v="0"/>
    <x v="0"/>
  </r>
  <r>
    <s v="PED-00021"/>
    <d v="2023-01-28T00:00:00"/>
    <x v="1"/>
    <x v="2"/>
    <n v="4"/>
    <x v="6"/>
    <x v="0"/>
    <s v="SKU-MAQ-8908"/>
    <x v="1"/>
    <x v="2"/>
    <x v="2"/>
    <s v="DAP"/>
    <n v="572"/>
    <s v="Palés"/>
    <n v="1734.34"/>
    <n v="992042.48"/>
    <n v="20438.87"/>
    <n v="2.060281733096752E-2"/>
    <n v="22"/>
    <d v="2023-02-19T00:00:00"/>
    <d v="2023-02-22T00:00:00"/>
    <n v="3"/>
    <x v="2"/>
    <b v="0"/>
    <n v="328"/>
    <n v="280"/>
    <x v="0"/>
    <x v="0"/>
  </r>
  <r>
    <s v="PED-00022"/>
    <d v="2024-07-28T00:00:00"/>
    <x v="0"/>
    <x v="7"/>
    <n v="31"/>
    <x v="1"/>
    <x v="1"/>
    <s v="SKU-FAR-8178"/>
    <x v="1"/>
    <x v="1"/>
    <x v="0"/>
    <s v="FCA"/>
    <n v="670"/>
    <s v="KG"/>
    <n v="173.62"/>
    <n v="116325.4"/>
    <n v="3686.4"/>
    <n v="3.1690413271736009E-2"/>
    <n v="21"/>
    <d v="2024-08-18T00:00:00"/>
    <d v="2024-08-20T00:00:00"/>
    <n v="2"/>
    <x v="1"/>
    <b v="0"/>
    <n v="284"/>
    <n v="6"/>
    <x v="0"/>
    <x v="0"/>
  </r>
  <r>
    <s v="PED-00023"/>
    <d v="2023-07-23T00:00:00"/>
    <x v="1"/>
    <x v="7"/>
    <n v="30"/>
    <x v="0"/>
    <x v="2"/>
    <s v="SKU-AUT-3969"/>
    <x v="1"/>
    <x v="3"/>
    <x v="4"/>
    <s v="FCA"/>
    <n v="789"/>
    <s v="Metros"/>
    <n v="1035.05"/>
    <n v="816654.45"/>
    <n v="40407.919999999998"/>
    <n v="4.9479825892089366E-2"/>
    <n v="2"/>
    <d v="2023-07-25T00:00:00"/>
    <d v="2023-07-28T00:00:00"/>
    <n v="3"/>
    <x v="2"/>
    <b v="0"/>
    <n v="434"/>
    <n v="209"/>
    <x v="3"/>
    <x v="1"/>
  </r>
  <r>
    <s v="PED-00024"/>
    <d v="2024-10-27T00:00:00"/>
    <x v="0"/>
    <x v="0"/>
    <n v="44"/>
    <x v="7"/>
    <x v="1"/>
    <s v="SKU-FAR-7221"/>
    <x v="3"/>
    <x v="4"/>
    <x v="1"/>
    <s v="DDP"/>
    <n v="571"/>
    <s v="Palés"/>
    <n v="144.03"/>
    <n v="82241.13"/>
    <n v="6335.05"/>
    <n v="7.7030191584186641E-2"/>
    <n v="24"/>
    <d v="2024-11-20T00:00:00"/>
    <d v="2024-11-20T00:00:00"/>
    <n v="0"/>
    <x v="0"/>
    <b v="1"/>
    <n v="41"/>
    <n v="252"/>
    <x v="4"/>
    <x v="1"/>
  </r>
  <r>
    <s v="PED-00025"/>
    <d v="2024-12-19T00:00:00"/>
    <x v="0"/>
    <x v="11"/>
    <n v="51"/>
    <x v="1"/>
    <x v="1"/>
    <s v="SKU-FAR-6875"/>
    <x v="1"/>
    <x v="2"/>
    <x v="4"/>
    <s v="FOB"/>
    <n v="909"/>
    <s v="Litros"/>
    <n v="196.77"/>
    <n v="178863.93"/>
    <n v="7694.11"/>
    <n v="4.3016554539531814E-2"/>
    <n v="12"/>
    <d v="2024-12-31T00:00:00"/>
    <d v="2025-01-08T00:00:00"/>
    <n v="8"/>
    <x v="1"/>
    <b v="0"/>
    <n v="284"/>
    <n v="403"/>
    <x v="0"/>
    <x v="0"/>
  </r>
  <r>
    <s v="PED-00026"/>
    <d v="2024-07-12T00:00:00"/>
    <x v="0"/>
    <x v="7"/>
    <n v="28"/>
    <x v="9"/>
    <x v="7"/>
    <s v="SKU-ALI-1472"/>
    <x v="2"/>
    <x v="1"/>
    <x v="2"/>
    <s v="FOB"/>
    <n v="767"/>
    <s v="KG"/>
    <n v="105.93"/>
    <n v="81248.31"/>
    <n v="3693.74"/>
    <n v="4.5462361001724218E-2"/>
    <n v="6"/>
    <d v="2024-07-18T00:00:00"/>
    <d v="2024-07-26T00:00:00"/>
    <n v="8"/>
    <x v="2"/>
    <b v="0"/>
    <n v="65"/>
    <n v="132"/>
    <x v="4"/>
    <x v="1"/>
  </r>
  <r>
    <s v="PED-00027"/>
    <d v="2024-03-05T00:00:00"/>
    <x v="0"/>
    <x v="8"/>
    <n v="10"/>
    <x v="8"/>
    <x v="7"/>
    <s v="SKU-ALI-3140"/>
    <x v="3"/>
    <x v="3"/>
    <x v="2"/>
    <s v="FOB"/>
    <n v="122"/>
    <s v="Palés"/>
    <n v="92.09"/>
    <n v="11234.98"/>
    <n v="706.48"/>
    <n v="6.2882176915312712E-2"/>
    <n v="2"/>
    <d v="2024-03-07T00:00:00"/>
    <d v="2024-03-07T00:00:00"/>
    <n v="0"/>
    <x v="0"/>
    <b v="1"/>
    <n v="123"/>
    <n v="273"/>
    <x v="3"/>
    <x v="1"/>
  </r>
  <r>
    <s v="PED-00028"/>
    <d v="2023-08-14T00:00:00"/>
    <x v="1"/>
    <x v="4"/>
    <n v="33"/>
    <x v="6"/>
    <x v="6"/>
    <s v="SKU-CON-8914"/>
    <x v="2"/>
    <x v="3"/>
    <x v="0"/>
    <s v="EXW"/>
    <n v="179"/>
    <s v="Litros"/>
    <n v="181.79"/>
    <n v="32540.41"/>
    <n v="1829.67"/>
    <n v="5.6227625896539103E-2"/>
    <n v="28"/>
    <d v="2023-09-11T00:00:00"/>
    <d v="2023-09-13T00:00:00"/>
    <n v="2"/>
    <x v="1"/>
    <b v="0"/>
    <n v="144"/>
    <n v="105"/>
    <x v="2"/>
    <x v="1"/>
  </r>
  <r>
    <s v="PED-00029"/>
    <d v="2024-04-04T00:00:00"/>
    <x v="0"/>
    <x v="1"/>
    <n v="14"/>
    <x v="6"/>
    <x v="0"/>
    <s v="SKU-MAQ-8997"/>
    <x v="5"/>
    <x v="0"/>
    <x v="1"/>
    <s v="CIF"/>
    <n v="477"/>
    <s v="Unidades"/>
    <n v="1883.94"/>
    <n v="898639.38"/>
    <n v="34090.400000000001"/>
    <n v="3.7935573221818966E-2"/>
    <n v="21"/>
    <d v="2024-04-25T00:00:00"/>
    <d v="2024-05-07T00:00:00"/>
    <n v="12"/>
    <x v="1"/>
    <b v="0"/>
    <n v="119"/>
    <n v="231"/>
    <x v="1"/>
    <x v="1"/>
  </r>
  <r>
    <s v="PED-00030"/>
    <d v="2024-08-26T00:00:00"/>
    <x v="0"/>
    <x v="4"/>
    <n v="35"/>
    <x v="7"/>
    <x v="1"/>
    <s v="SKU-FAR-2850"/>
    <x v="1"/>
    <x v="3"/>
    <x v="3"/>
    <s v="DAP"/>
    <n v="687"/>
    <s v="Litros"/>
    <n v="230.78"/>
    <n v="158545.85999999999"/>
    <n v="7078.91"/>
    <n v="4.4648974120169396E-2"/>
    <n v="1"/>
    <d v="2024-08-27T00:00:00"/>
    <d v="2024-08-27T00:00:00"/>
    <n v="0"/>
    <x v="0"/>
    <b v="1"/>
    <n v="108"/>
    <n v="32"/>
    <x v="0"/>
    <x v="0"/>
  </r>
  <r>
    <s v="PED-00031"/>
    <d v="2023-10-12T00:00:00"/>
    <x v="1"/>
    <x v="0"/>
    <n v="41"/>
    <x v="4"/>
    <x v="7"/>
    <s v="SKU-ALI-7738"/>
    <x v="0"/>
    <x v="5"/>
    <x v="1"/>
    <s v="EXW"/>
    <n v="930"/>
    <s v="Unidades"/>
    <n v="106.96"/>
    <n v="99472.8"/>
    <n v="3288.77"/>
    <n v="3.3062002879179028E-2"/>
    <n v="12"/>
    <d v="2023-10-24T00:00:00"/>
    <d v="2023-10-26T00:00:00"/>
    <n v="2"/>
    <x v="2"/>
    <b v="0"/>
    <n v="414"/>
    <n v="78"/>
    <x v="1"/>
    <x v="1"/>
  </r>
  <r>
    <s v="PED-00032"/>
    <d v="2023-01-07T00:00:00"/>
    <x v="1"/>
    <x v="2"/>
    <n v="1"/>
    <x v="7"/>
    <x v="5"/>
    <s v="SKU-ELE-8220"/>
    <x v="0"/>
    <x v="2"/>
    <x v="1"/>
    <s v="CIF"/>
    <n v="23"/>
    <s v="KG"/>
    <n v="644.01"/>
    <n v="14812.23"/>
    <n v="1154.78"/>
    <n v="7.7961252289493216E-2"/>
    <n v="26"/>
    <d v="2023-02-02T00:00:00"/>
    <d v="2023-02-10T00:00:00"/>
    <n v="8"/>
    <x v="2"/>
    <b v="0"/>
    <n v="91"/>
    <n v="34"/>
    <x v="4"/>
    <x v="1"/>
  </r>
  <r>
    <s v="PED-00033"/>
    <d v="2023-06-13T00:00:00"/>
    <x v="1"/>
    <x v="10"/>
    <n v="24"/>
    <x v="1"/>
    <x v="0"/>
    <s v="SKU-MAQ-1753"/>
    <x v="3"/>
    <x v="2"/>
    <x v="1"/>
    <s v="FOB"/>
    <n v="724"/>
    <s v="Litros"/>
    <n v="1782.13"/>
    <n v="1290262.1200000001"/>
    <n v="35918.400000000001"/>
    <n v="2.7838064408183972E-2"/>
    <n v="22"/>
    <d v="2023-07-05T00:00:00"/>
    <d v="2023-07-05T00:00:00"/>
    <n v="0"/>
    <x v="0"/>
    <b v="1"/>
    <n v="490"/>
    <n v="494"/>
    <x v="0"/>
    <x v="0"/>
  </r>
  <r>
    <s v="PED-00034"/>
    <d v="2024-12-15T00:00:00"/>
    <x v="0"/>
    <x v="11"/>
    <n v="51"/>
    <x v="4"/>
    <x v="3"/>
    <s v="SKU-QUÍ-2037"/>
    <x v="0"/>
    <x v="2"/>
    <x v="0"/>
    <s v="CIF"/>
    <n v="297"/>
    <s v="Cajas"/>
    <n v="130.87"/>
    <n v="38868.39"/>
    <n v="1644.53"/>
    <n v="4.2310216605318612E-2"/>
    <n v="29"/>
    <d v="2025-01-13T00:00:00"/>
    <d v="2025-01-18T00:00:00"/>
    <n v="5"/>
    <x v="2"/>
    <b v="0"/>
    <n v="367"/>
    <n v="109"/>
    <x v="3"/>
    <x v="1"/>
  </r>
  <r>
    <s v="PED-00035"/>
    <d v="2024-03-08T00:00:00"/>
    <x v="0"/>
    <x v="8"/>
    <n v="10"/>
    <x v="6"/>
    <x v="2"/>
    <s v="SKU-AUT-5286"/>
    <x v="3"/>
    <x v="1"/>
    <x v="2"/>
    <s v="EXW"/>
    <n v="916"/>
    <s v="Metros"/>
    <n v="645.24"/>
    <n v="591039.84"/>
    <n v="12737.11"/>
    <n v="2.1550340836583876E-2"/>
    <n v="12"/>
    <d v="2024-03-20T00:00:00"/>
    <d v="2024-03-17T00:00:00"/>
    <n v="-3"/>
    <x v="0"/>
    <b v="1"/>
    <n v="307"/>
    <n v="320"/>
    <x v="4"/>
    <x v="1"/>
  </r>
  <r>
    <s v="PED-00036"/>
    <d v="2023-12-15T00:00:00"/>
    <x v="1"/>
    <x v="11"/>
    <n v="50"/>
    <x v="5"/>
    <x v="4"/>
    <s v="SKU-TEX-6148"/>
    <x v="1"/>
    <x v="4"/>
    <x v="3"/>
    <s v="FOB"/>
    <n v="198"/>
    <s v="Cajas"/>
    <n v="54.54"/>
    <n v="10798.92"/>
    <n v="359.68"/>
    <n v="3.3307034407144422E-2"/>
    <n v="25"/>
    <d v="2024-01-09T00:00:00"/>
    <d v="2024-01-09T00:00:00"/>
    <n v="0"/>
    <x v="0"/>
    <b v="1"/>
    <n v="422"/>
    <n v="62"/>
    <x v="4"/>
    <x v="1"/>
  </r>
  <r>
    <s v="PED-00037"/>
    <d v="2023-10-12T00:00:00"/>
    <x v="1"/>
    <x v="0"/>
    <n v="41"/>
    <x v="6"/>
    <x v="0"/>
    <s v="SKU-MAQ-1202"/>
    <x v="4"/>
    <x v="1"/>
    <x v="1"/>
    <s v="EXW"/>
    <n v="923"/>
    <s v="Cajas"/>
    <n v="1552.92"/>
    <n v="1433345.16"/>
    <n v="95787.97"/>
    <n v="6.682826486817732E-2"/>
    <n v="17"/>
    <d v="2023-10-29T00:00:00"/>
    <d v="2023-10-29T00:00:00"/>
    <n v="0"/>
    <x v="0"/>
    <b v="1"/>
    <n v="59"/>
    <n v="468"/>
    <x v="0"/>
    <x v="0"/>
  </r>
  <r>
    <s v="PED-00038"/>
    <d v="2023-06-09T00:00:00"/>
    <x v="1"/>
    <x v="10"/>
    <n v="23"/>
    <x v="7"/>
    <x v="4"/>
    <s v="SKU-TEX-9598"/>
    <x v="4"/>
    <x v="5"/>
    <x v="3"/>
    <s v="DAP"/>
    <n v="164"/>
    <s v="Cajas"/>
    <n v="70.77"/>
    <n v="11606.28"/>
    <n v="372.22"/>
    <n v="3.2070568692121854E-2"/>
    <n v="27"/>
    <d v="2023-07-06T00:00:00"/>
    <d v="2023-07-18T00:00:00"/>
    <n v="12"/>
    <x v="2"/>
    <b v="0"/>
    <n v="349"/>
    <n v="327"/>
    <x v="0"/>
    <x v="0"/>
  </r>
  <r>
    <s v="PED-00039"/>
    <d v="2023-08-09T00:00:00"/>
    <x v="1"/>
    <x v="4"/>
    <n v="32"/>
    <x v="1"/>
    <x v="1"/>
    <s v="SKU-FAR-4669"/>
    <x v="2"/>
    <x v="4"/>
    <x v="1"/>
    <s v="FOB"/>
    <n v="576"/>
    <s v="Metros"/>
    <n v="222.19"/>
    <n v="127981.44"/>
    <n v="3174.43"/>
    <n v="2.4803830930484917E-2"/>
    <n v="27"/>
    <d v="2023-09-05T00:00:00"/>
    <d v="2023-09-17T00:00:00"/>
    <n v="12"/>
    <x v="2"/>
    <b v="0"/>
    <n v="226"/>
    <n v="454"/>
    <x v="0"/>
    <x v="0"/>
  </r>
  <r>
    <s v="PED-00040"/>
    <d v="2023-12-11T00:00:00"/>
    <x v="1"/>
    <x v="11"/>
    <n v="50"/>
    <x v="4"/>
    <x v="2"/>
    <s v="SKU-AUT-6542"/>
    <x v="1"/>
    <x v="3"/>
    <x v="2"/>
    <s v="CIF"/>
    <n v="703"/>
    <s v="Cajas"/>
    <n v="744.44"/>
    <n v="523341.32"/>
    <n v="25364.880000000001"/>
    <n v="4.8467183902085167E-2"/>
    <n v="10"/>
    <d v="2023-12-21T00:00:00"/>
    <d v="2023-12-21T00:00:00"/>
    <n v="0"/>
    <x v="2"/>
    <b v="0"/>
    <n v="239"/>
    <n v="296"/>
    <x v="4"/>
    <x v="1"/>
  </r>
  <r>
    <s v="PED-00041"/>
    <d v="2023-04-15T00:00:00"/>
    <x v="1"/>
    <x v="1"/>
    <n v="15"/>
    <x v="0"/>
    <x v="4"/>
    <s v="SKU-TEX-9504"/>
    <x v="0"/>
    <x v="1"/>
    <x v="3"/>
    <s v="EXW"/>
    <n v="731"/>
    <s v="Unidades"/>
    <n v="42.31"/>
    <n v="30928.61"/>
    <n v="637.07000000000005"/>
    <n v="2.0598080547428416E-2"/>
    <n v="28"/>
    <d v="2023-05-13T00:00:00"/>
    <d v="2023-05-08T00:00:00"/>
    <n v="-5"/>
    <x v="0"/>
    <b v="1"/>
    <n v="434"/>
    <n v="177"/>
    <x v="3"/>
    <x v="1"/>
  </r>
  <r>
    <s v="PED-00042"/>
    <d v="2023-04-05T00:00:00"/>
    <x v="1"/>
    <x v="1"/>
    <n v="14"/>
    <x v="4"/>
    <x v="1"/>
    <s v="SKU-FAR-9570"/>
    <x v="1"/>
    <x v="4"/>
    <x v="4"/>
    <s v="DDP"/>
    <n v="897"/>
    <s v="Litros"/>
    <n v="219.4"/>
    <n v="196801.8"/>
    <n v="4936.96"/>
    <n v="2.5085949417129317E-2"/>
    <n v="28"/>
    <d v="2023-05-03T00:00:00"/>
    <d v="2023-04-30T00:00:00"/>
    <n v="-3"/>
    <x v="0"/>
    <b v="1"/>
    <n v="211"/>
    <n v="383"/>
    <x v="1"/>
    <x v="1"/>
  </r>
  <r>
    <s v="PED-00043"/>
    <d v="2024-01-25T00:00:00"/>
    <x v="0"/>
    <x v="2"/>
    <n v="4"/>
    <x v="9"/>
    <x v="5"/>
    <s v="SKU-ELE-2560"/>
    <x v="5"/>
    <x v="3"/>
    <x v="2"/>
    <s v="CIF"/>
    <n v="480"/>
    <s v="KG"/>
    <n v="464.25"/>
    <n v="222840"/>
    <n v="15255.08"/>
    <n v="6.8457548016514089E-2"/>
    <n v="16"/>
    <d v="2024-02-10T00:00:00"/>
    <d v="2024-02-12T00:00:00"/>
    <n v="2"/>
    <x v="2"/>
    <b v="0"/>
    <n v="399"/>
    <n v="363"/>
    <x v="0"/>
    <x v="0"/>
  </r>
  <r>
    <s v="PED-00044"/>
    <d v="2023-04-10T00:00:00"/>
    <x v="1"/>
    <x v="1"/>
    <n v="15"/>
    <x v="2"/>
    <x v="4"/>
    <s v="SKU-TEX-8091"/>
    <x v="4"/>
    <x v="4"/>
    <x v="3"/>
    <s v="CIF"/>
    <n v="84"/>
    <s v="Cajas"/>
    <n v="77.260000000000005"/>
    <n v="6489.84"/>
    <n v="430.2"/>
    <n v="6.6288228985614428E-2"/>
    <n v="15"/>
    <d v="2023-04-25T00:00:00"/>
    <d v="2023-04-24T00:00:00"/>
    <n v="-1"/>
    <x v="0"/>
    <b v="1"/>
    <n v="97"/>
    <n v="231"/>
    <x v="0"/>
    <x v="0"/>
  </r>
  <r>
    <s v="PED-00045"/>
    <d v="2024-01-03T00:00:00"/>
    <x v="0"/>
    <x v="2"/>
    <n v="1"/>
    <x v="2"/>
    <x v="2"/>
    <s v="SKU-AUT-5072"/>
    <x v="0"/>
    <x v="3"/>
    <x v="1"/>
    <s v="FOB"/>
    <n v="286"/>
    <s v="Cajas"/>
    <n v="575.33000000000004"/>
    <n v="164544.38"/>
    <n v="12325.74"/>
    <n v="7.4908301334873903E-2"/>
    <n v="15"/>
    <d v="2024-01-18T00:00:00"/>
    <d v="2024-01-23T00:00:00"/>
    <n v="5"/>
    <x v="1"/>
    <b v="0"/>
    <n v="13"/>
    <n v="103"/>
    <x v="4"/>
    <x v="1"/>
  </r>
  <r>
    <s v="PED-00046"/>
    <d v="2023-12-19T00:00:00"/>
    <x v="1"/>
    <x v="11"/>
    <n v="51"/>
    <x v="3"/>
    <x v="6"/>
    <s v="SKU-CON-8895"/>
    <x v="4"/>
    <x v="4"/>
    <x v="1"/>
    <s v="FCA"/>
    <n v="949"/>
    <s v="KG"/>
    <n v="233.57"/>
    <n v="221657.93"/>
    <n v="15797.77"/>
    <n v="7.1270944378123535E-2"/>
    <n v="19"/>
    <d v="2024-01-07T00:00:00"/>
    <d v="2024-01-06T00:00:00"/>
    <n v="-1"/>
    <x v="0"/>
    <b v="1"/>
    <n v="217"/>
    <n v="413"/>
    <x v="3"/>
    <x v="1"/>
  </r>
  <r>
    <s v="PED-00047"/>
    <d v="2024-09-10T00:00:00"/>
    <x v="0"/>
    <x v="3"/>
    <n v="37"/>
    <x v="8"/>
    <x v="0"/>
    <s v="SKU-MAQ-6664"/>
    <x v="1"/>
    <x v="1"/>
    <x v="2"/>
    <s v="CIF"/>
    <n v="654"/>
    <s v="KG"/>
    <n v="2179.77"/>
    <n v="1425569.58"/>
    <n v="86946.25"/>
    <n v="6.0990534043241854E-2"/>
    <n v="12"/>
    <d v="2024-09-22T00:00:00"/>
    <d v="2024-09-24T00:00:00"/>
    <n v="2"/>
    <x v="1"/>
    <b v="0"/>
    <n v="467"/>
    <n v="293"/>
    <x v="1"/>
    <x v="1"/>
  </r>
  <r>
    <s v="PED-00048"/>
    <d v="2023-09-28T00:00:00"/>
    <x v="1"/>
    <x v="3"/>
    <n v="39"/>
    <x v="3"/>
    <x v="1"/>
    <s v="SKU-FAR-7305"/>
    <x v="0"/>
    <x v="1"/>
    <x v="2"/>
    <s v="EXW"/>
    <n v="352"/>
    <s v="Cajas"/>
    <n v="167.91"/>
    <n v="59104.32"/>
    <n v="1367.67"/>
    <n v="2.3139932918608996E-2"/>
    <n v="23"/>
    <d v="2023-10-21T00:00:00"/>
    <d v="2023-10-23T00:00:00"/>
    <n v="2"/>
    <x v="1"/>
    <b v="0"/>
    <n v="169"/>
    <n v="34"/>
    <x v="0"/>
    <x v="0"/>
  </r>
  <r>
    <s v="PED-00049"/>
    <d v="2023-02-14T00:00:00"/>
    <x v="1"/>
    <x v="9"/>
    <n v="7"/>
    <x v="3"/>
    <x v="0"/>
    <s v="SKU-MAQ-3435"/>
    <x v="2"/>
    <x v="5"/>
    <x v="1"/>
    <s v="DDP"/>
    <n v="434"/>
    <s v="Unidades"/>
    <n v="1615.98"/>
    <n v="701335.32"/>
    <n v="46969.07"/>
    <n v="6.6970917705955549E-2"/>
    <n v="20"/>
    <d v="2023-03-06T00:00:00"/>
    <d v="2023-03-03T00:00:00"/>
    <n v="-3"/>
    <x v="0"/>
    <b v="1"/>
    <n v="306"/>
    <n v="193"/>
    <x v="0"/>
    <x v="0"/>
  </r>
  <r>
    <s v="PED-00050"/>
    <d v="2024-04-15T00:00:00"/>
    <x v="0"/>
    <x v="1"/>
    <n v="16"/>
    <x v="4"/>
    <x v="2"/>
    <s v="SKU-AUT-1894"/>
    <x v="1"/>
    <x v="0"/>
    <x v="3"/>
    <s v="DAP"/>
    <n v="580"/>
    <s v="KG"/>
    <n v="618.51"/>
    <n v="358735.8"/>
    <n v="25373.62"/>
    <n v="7.0730660279793647E-2"/>
    <n v="25"/>
    <d v="2024-05-10T00:00:00"/>
    <d v="2024-05-12T00:00:00"/>
    <n v="2"/>
    <x v="1"/>
    <b v="0"/>
    <n v="279"/>
    <n v="173"/>
    <x v="1"/>
    <x v="1"/>
  </r>
  <r>
    <s v="PED-00051"/>
    <d v="2024-07-03T00:00:00"/>
    <x v="0"/>
    <x v="7"/>
    <n v="27"/>
    <x v="1"/>
    <x v="7"/>
    <s v="SKU-ALI-1190"/>
    <x v="2"/>
    <x v="2"/>
    <x v="4"/>
    <s v="DDP"/>
    <n v="520"/>
    <s v="Litros"/>
    <n v="96.04"/>
    <n v="49940.800000000003"/>
    <n v="3393.22"/>
    <n v="6.7944846698491004E-2"/>
    <n v="3"/>
    <d v="2024-07-06T00:00:00"/>
    <d v="2024-07-14T00:00:00"/>
    <n v="8"/>
    <x v="2"/>
    <b v="0"/>
    <n v="362"/>
    <n v="391"/>
    <x v="1"/>
    <x v="1"/>
  </r>
  <r>
    <s v="PED-00052"/>
    <d v="2023-05-08T00:00:00"/>
    <x v="1"/>
    <x v="5"/>
    <n v="19"/>
    <x v="3"/>
    <x v="1"/>
    <s v="SKU-FAR-3571"/>
    <x v="0"/>
    <x v="1"/>
    <x v="0"/>
    <s v="EXW"/>
    <n v="866"/>
    <s v="Litros"/>
    <n v="228.09"/>
    <n v="197525.94"/>
    <n v="9976.7900000000009"/>
    <n v="5.0508758495213343E-2"/>
    <n v="5"/>
    <d v="2023-05-13T00:00:00"/>
    <d v="2023-05-08T00:00:00"/>
    <n v="-5"/>
    <x v="0"/>
    <b v="1"/>
    <n v="209"/>
    <n v="101"/>
    <x v="4"/>
    <x v="1"/>
  </r>
  <r>
    <s v="PED-00053"/>
    <d v="2024-01-23T00:00:00"/>
    <x v="0"/>
    <x v="2"/>
    <n v="4"/>
    <x v="7"/>
    <x v="4"/>
    <s v="SKU-TEX-9283"/>
    <x v="4"/>
    <x v="1"/>
    <x v="2"/>
    <s v="FOB"/>
    <n v="191"/>
    <s v="Unidades"/>
    <n v="61.55"/>
    <n v="11756.05"/>
    <n v="399.4"/>
    <n v="3.3973996367827629E-2"/>
    <n v="19"/>
    <d v="2024-02-11T00:00:00"/>
    <d v="2024-02-11T00:00:00"/>
    <n v="0"/>
    <x v="0"/>
    <b v="1"/>
    <n v="255"/>
    <n v="323"/>
    <x v="2"/>
    <x v="1"/>
  </r>
  <r>
    <s v="PED-00054"/>
    <d v="2023-03-22T00:00:00"/>
    <x v="1"/>
    <x v="8"/>
    <n v="12"/>
    <x v="4"/>
    <x v="1"/>
    <s v="SKU-FAR-8688"/>
    <x v="5"/>
    <x v="3"/>
    <x v="1"/>
    <s v="EXW"/>
    <n v="467"/>
    <s v="Metros"/>
    <n v="223.42"/>
    <n v="104337.14"/>
    <n v="7378.7"/>
    <n v="7.0719783961875893E-2"/>
    <n v="7"/>
    <d v="2023-03-29T00:00:00"/>
    <d v="2023-03-31T00:00:00"/>
    <n v="2"/>
    <x v="1"/>
    <b v="0"/>
    <n v="170"/>
    <n v="292"/>
    <x v="2"/>
    <x v="1"/>
  </r>
  <r>
    <s v="PED-00055"/>
    <d v="2024-07-19T00:00:00"/>
    <x v="0"/>
    <x v="7"/>
    <n v="29"/>
    <x v="1"/>
    <x v="0"/>
    <s v="SKU-MAQ-9123"/>
    <x v="3"/>
    <x v="0"/>
    <x v="3"/>
    <s v="FCA"/>
    <n v="927"/>
    <s v="Palés"/>
    <n v="2125.89"/>
    <n v="1639255.3774000001"/>
    <n v="96548.6302"/>
    <n v="5.8897857851248549E-2"/>
    <n v="21"/>
    <d v="2024-08-09T00:00:00"/>
    <d v="2024-08-08T00:00:00"/>
    <n v="-1"/>
    <x v="0"/>
    <b v="1"/>
    <n v="72"/>
    <n v="84"/>
    <x v="2"/>
    <x v="1"/>
  </r>
  <r>
    <s v="PED-00056"/>
    <d v="2023-10-28T00:00:00"/>
    <x v="1"/>
    <x v="0"/>
    <n v="43"/>
    <x v="2"/>
    <x v="5"/>
    <s v="SKU-ELE-3709"/>
    <x v="4"/>
    <x v="1"/>
    <x v="2"/>
    <s v="FCA"/>
    <n v="860"/>
    <s v="Unidades"/>
    <n v="428.52"/>
    <n v="368527.2"/>
    <n v="29056.77"/>
    <n v="7.8845659153517031E-2"/>
    <n v="9"/>
    <d v="2023-11-06T00:00:00"/>
    <d v="2023-11-08T00:00:00"/>
    <n v="2"/>
    <x v="2"/>
    <b v="0"/>
    <n v="146"/>
    <n v="396"/>
    <x v="0"/>
    <x v="0"/>
  </r>
  <r>
    <s v="PED-00057"/>
    <d v="2024-10-05T00:00:00"/>
    <x v="0"/>
    <x v="0"/>
    <n v="40"/>
    <x v="5"/>
    <x v="1"/>
    <s v="SKU-FAR-2226"/>
    <x v="2"/>
    <x v="4"/>
    <x v="3"/>
    <s v="FCA"/>
    <n v="842"/>
    <s v="Cajas"/>
    <n v="143.61000000000001"/>
    <n v="120919.62"/>
    <n v="3547.97"/>
    <n v="2.9341557639694864E-2"/>
    <n v="7"/>
    <d v="2024-10-12T00:00:00"/>
    <d v="2024-10-24T00:00:00"/>
    <n v="12"/>
    <x v="1"/>
    <b v="0"/>
    <n v="339"/>
    <n v="200"/>
    <x v="3"/>
    <x v="1"/>
  </r>
  <r>
    <s v="PED-00058"/>
    <d v="2024-09-25T00:00:00"/>
    <x v="0"/>
    <x v="3"/>
    <n v="39"/>
    <x v="7"/>
    <x v="4"/>
    <s v="SKU-TEX-9055"/>
    <x v="1"/>
    <x v="0"/>
    <x v="2"/>
    <s v="CIF"/>
    <n v="73"/>
    <s v="Palés"/>
    <n v="83.36"/>
    <n v="6085.28"/>
    <n v="204.1"/>
    <n v="3.3539952146819867E-2"/>
    <n v="18"/>
    <d v="2024-10-13T00:00:00"/>
    <d v="2024-10-08T00:00:00"/>
    <n v="-5"/>
    <x v="0"/>
    <b v="1"/>
    <n v="316"/>
    <n v="172"/>
    <x v="4"/>
    <x v="1"/>
  </r>
  <r>
    <s v="PED-00059"/>
    <d v="2024-01-06T00:00:00"/>
    <x v="0"/>
    <x v="2"/>
    <n v="1"/>
    <x v="0"/>
    <x v="7"/>
    <s v="SKU-ALI-6253"/>
    <x v="0"/>
    <x v="2"/>
    <x v="1"/>
    <s v="FOB"/>
    <n v="848"/>
    <s v="Cajas"/>
    <n v="92.94"/>
    <n v="78813.119999999995"/>
    <n v="2577.81"/>
    <n v="3.2707879094242179E-2"/>
    <n v="4"/>
    <d v="2024-01-10T00:00:00"/>
    <d v="2024-01-18T00:00:00"/>
    <n v="8"/>
    <x v="2"/>
    <b v="0"/>
    <n v="105"/>
    <n v="28"/>
    <x v="0"/>
    <x v="0"/>
  </r>
  <r>
    <s v="PED-00060"/>
    <d v="2024-08-14T00:00:00"/>
    <x v="0"/>
    <x v="4"/>
    <n v="33"/>
    <x v="8"/>
    <x v="6"/>
    <s v="SKU-CON-4946"/>
    <x v="4"/>
    <x v="4"/>
    <x v="3"/>
    <s v="FCA"/>
    <n v="269"/>
    <s v="Litros"/>
    <n v="282.51"/>
    <n v="75995.19"/>
    <n v="5133.66"/>
    <n v="6.7552433252683494E-2"/>
    <n v="25"/>
    <d v="2024-09-08T00:00:00"/>
    <d v="2024-09-16T00:00:00"/>
    <n v="8"/>
    <x v="1"/>
    <b v="0"/>
    <n v="93"/>
    <n v="296"/>
    <x v="4"/>
    <x v="1"/>
  </r>
  <r>
    <s v="PED-00061"/>
    <d v="2023-07-16T00:00:00"/>
    <x v="1"/>
    <x v="7"/>
    <n v="29"/>
    <x v="0"/>
    <x v="3"/>
    <s v="SKU-QUÍ-6421"/>
    <x v="5"/>
    <x v="3"/>
    <x v="1"/>
    <s v="DAP"/>
    <n v="202"/>
    <s v="KG"/>
    <n v="141.31"/>
    <n v="28544.62"/>
    <n v="891"/>
    <n v="3.1214288366774545E-2"/>
    <n v="28"/>
    <d v="2023-08-13T00:00:00"/>
    <d v="2023-08-16T00:00:00"/>
    <n v="3"/>
    <x v="2"/>
    <b v="0"/>
    <n v="62"/>
    <n v="55"/>
    <x v="4"/>
    <x v="1"/>
  </r>
  <r>
    <s v="PED-00062"/>
    <d v="2024-12-22T00:00:00"/>
    <x v="0"/>
    <x v="11"/>
    <n v="52"/>
    <x v="1"/>
    <x v="5"/>
    <s v="SKU-ELE-5557"/>
    <x v="0"/>
    <x v="5"/>
    <x v="3"/>
    <s v="DAP"/>
    <n v="664"/>
    <s v="Cajas"/>
    <n v="674.06"/>
    <n v="447575.84"/>
    <n v="10741.64"/>
    <n v="2.3999597476038918E-2"/>
    <n v="14"/>
    <d v="2025-01-05T00:00:00"/>
    <d v="2025-01-13T00:00:00"/>
    <n v="8"/>
    <x v="2"/>
    <b v="0"/>
    <n v="153"/>
    <n v="471"/>
    <x v="0"/>
    <x v="0"/>
  </r>
  <r>
    <s v="PED-00063"/>
    <d v="2023-03-13T00:00:00"/>
    <x v="1"/>
    <x v="8"/>
    <n v="11"/>
    <x v="9"/>
    <x v="6"/>
    <s v="SKU-CON-1824"/>
    <x v="2"/>
    <x v="4"/>
    <x v="2"/>
    <s v="EXW"/>
    <n v="625"/>
    <s v="Litros"/>
    <n v="208.75"/>
    <n v="130468.75"/>
    <n v="10426.23"/>
    <n v="7.9913619161676649E-2"/>
    <n v="18"/>
    <d v="2023-03-31T00:00:00"/>
    <d v="2023-04-03T00:00:00"/>
    <n v="3"/>
    <x v="1"/>
    <b v="0"/>
    <n v="254"/>
    <n v="15"/>
    <x v="0"/>
    <x v="0"/>
  </r>
  <r>
    <s v="PED-00064"/>
    <d v="2023-02-16T00:00:00"/>
    <x v="1"/>
    <x v="9"/>
    <n v="7"/>
    <x v="1"/>
    <x v="7"/>
    <s v="SKU-ALI-9305"/>
    <x v="0"/>
    <x v="2"/>
    <x v="0"/>
    <s v="FCA"/>
    <n v="981"/>
    <s v="Unidades"/>
    <n v="103.99"/>
    <n v="102014.19"/>
    <n v="2192.19"/>
    <n v="2.1489069314768856E-2"/>
    <n v="26"/>
    <d v="2023-03-14T00:00:00"/>
    <d v="2023-03-14T00:00:00"/>
    <n v="0"/>
    <x v="0"/>
    <b v="1"/>
    <n v="350"/>
    <n v="139"/>
    <x v="3"/>
    <x v="1"/>
  </r>
  <r>
    <s v="PED-00065"/>
    <d v="2024-11-08T00:00:00"/>
    <x v="0"/>
    <x v="6"/>
    <n v="45"/>
    <x v="5"/>
    <x v="1"/>
    <s v="SKU-FAR-4648"/>
    <x v="0"/>
    <x v="4"/>
    <x v="0"/>
    <s v="CIF"/>
    <n v="415"/>
    <s v="Cajas"/>
    <n v="286.08999999999997"/>
    <n v="118727.35"/>
    <n v="8324.5300000000007"/>
    <n v="7.0114678715561332E-2"/>
    <n v="9"/>
    <d v="2024-11-17T00:00:00"/>
    <d v="2024-11-22T00:00:00"/>
    <n v="5"/>
    <x v="1"/>
    <b v="0"/>
    <n v="34"/>
    <n v="65"/>
    <x v="1"/>
    <x v="1"/>
  </r>
  <r>
    <s v="PED-00066"/>
    <d v="2023-08-22T00:00:00"/>
    <x v="1"/>
    <x v="4"/>
    <n v="34"/>
    <x v="2"/>
    <x v="0"/>
    <s v="SKU-MAQ-7203"/>
    <x v="1"/>
    <x v="0"/>
    <x v="4"/>
    <s v="DAP"/>
    <n v="735"/>
    <s v="Litros"/>
    <n v="1736.55"/>
    <n v="1276364.25"/>
    <n v="53507.76"/>
    <n v="4.1922014033219754E-2"/>
    <n v="26"/>
    <d v="2023-09-17T00:00:00"/>
    <d v="2023-09-17T00:00:00"/>
    <n v="0"/>
    <x v="2"/>
    <b v="0"/>
    <n v="322"/>
    <n v="445"/>
    <x v="1"/>
    <x v="1"/>
  </r>
  <r>
    <s v="PED-00067"/>
    <d v="2023-10-24T00:00:00"/>
    <x v="1"/>
    <x v="0"/>
    <n v="43"/>
    <x v="6"/>
    <x v="2"/>
    <s v="SKU-AUT-7607"/>
    <x v="3"/>
    <x v="0"/>
    <x v="4"/>
    <s v="DDP"/>
    <n v="763"/>
    <s v="KG"/>
    <n v="675.7"/>
    <n v="515559.1"/>
    <n v="36345.33"/>
    <n v="7.0496922661242911E-2"/>
    <n v="21"/>
    <d v="2023-11-14T00:00:00"/>
    <d v="2023-11-22T00:00:00"/>
    <n v="8"/>
    <x v="2"/>
    <b v="0"/>
    <n v="311"/>
    <n v="146"/>
    <x v="1"/>
    <x v="1"/>
  </r>
  <r>
    <s v="PED-00068"/>
    <d v="2023-03-23T00:00:00"/>
    <x v="1"/>
    <x v="8"/>
    <n v="12"/>
    <x v="1"/>
    <x v="0"/>
    <s v="SKU-MAQ-4850"/>
    <x v="2"/>
    <x v="2"/>
    <x v="1"/>
    <s v="FOB"/>
    <n v="952"/>
    <s v="Cajas"/>
    <n v="1372.56"/>
    <n v="1306677.1200000001"/>
    <n v="69616.14"/>
    <n v="5.3277231945409738E-2"/>
    <n v="2"/>
    <d v="2023-03-25T00:00:00"/>
    <d v="2023-03-25T00:00:00"/>
    <n v="0"/>
    <x v="0"/>
    <b v="1"/>
    <n v="295"/>
    <n v="157"/>
    <x v="1"/>
    <x v="1"/>
  </r>
  <r>
    <s v="PED-00069"/>
    <d v="2023-08-27T00:00:00"/>
    <x v="1"/>
    <x v="4"/>
    <n v="35"/>
    <x v="2"/>
    <x v="6"/>
    <s v="SKU-CON-2291"/>
    <x v="1"/>
    <x v="0"/>
    <x v="3"/>
    <s v="DDP"/>
    <n v="730"/>
    <s v="Metros"/>
    <n v="171.78"/>
    <n v="125399.4"/>
    <n v="9291.83"/>
    <n v="7.4097882446008512E-2"/>
    <n v="20"/>
    <d v="2023-09-16T00:00:00"/>
    <d v="2023-09-28T00:00:00"/>
    <n v="12"/>
    <x v="1"/>
    <b v="0"/>
    <n v="252"/>
    <n v="399"/>
    <x v="0"/>
    <x v="0"/>
  </r>
  <r>
    <s v="PED-00070"/>
    <d v="2023-04-14T00:00:00"/>
    <x v="1"/>
    <x v="1"/>
    <n v="15"/>
    <x v="0"/>
    <x v="4"/>
    <s v="SKU-TEX-8521"/>
    <x v="3"/>
    <x v="4"/>
    <x v="4"/>
    <s v="DAP"/>
    <n v="102"/>
    <s v="Litros"/>
    <n v="53.85"/>
    <n v="5492.7"/>
    <n v="415.09"/>
    <n v="7.5571212700493384E-2"/>
    <n v="28"/>
    <d v="2023-05-12T00:00:00"/>
    <d v="2023-05-13T00:00:00"/>
    <n v="1"/>
    <x v="2"/>
    <b v="0"/>
    <n v="156"/>
    <n v="471"/>
    <x v="1"/>
    <x v="1"/>
  </r>
  <r>
    <s v="PED-00071"/>
    <d v="2024-01-25T00:00:00"/>
    <x v="0"/>
    <x v="2"/>
    <n v="4"/>
    <x v="1"/>
    <x v="0"/>
    <s v="SKU-MAQ-8277"/>
    <x v="1"/>
    <x v="5"/>
    <x v="2"/>
    <s v="DAP"/>
    <n v="439"/>
    <s v="Cajas"/>
    <n v="1417.7"/>
    <n v="622370.30000000005"/>
    <n v="12787.15"/>
    <n v="2.0545887231444043E-2"/>
    <n v="15"/>
    <d v="2024-02-09T00:00:00"/>
    <d v="2024-02-09T00:00:00"/>
    <n v="0"/>
    <x v="1"/>
    <b v="0"/>
    <n v="133"/>
    <n v="396"/>
    <x v="1"/>
    <x v="1"/>
  </r>
  <r>
    <s v="PED-00072"/>
    <d v="2023-10-12T00:00:00"/>
    <x v="1"/>
    <x v="0"/>
    <n v="41"/>
    <x v="1"/>
    <x v="5"/>
    <s v="SKU-ELE-8341"/>
    <x v="3"/>
    <x v="4"/>
    <x v="0"/>
    <s v="EXW"/>
    <n v="663"/>
    <s v="KG"/>
    <n v="572.04999999999995"/>
    <n v="379269.15"/>
    <n v="9301.4699999999993"/>
    <n v="2.4524720768878773E-2"/>
    <n v="28"/>
    <d v="2023-11-09T00:00:00"/>
    <d v="2023-11-17T00:00:00"/>
    <n v="8"/>
    <x v="2"/>
    <b v="0"/>
    <n v="435"/>
    <n v="68"/>
    <x v="4"/>
    <x v="1"/>
  </r>
  <r>
    <s v="PED-00073"/>
    <d v="2024-04-09T00:00:00"/>
    <x v="0"/>
    <x v="1"/>
    <n v="15"/>
    <x v="3"/>
    <x v="0"/>
    <s v="SKU-MAQ-2442"/>
    <x v="3"/>
    <x v="5"/>
    <x v="3"/>
    <s v="EXW"/>
    <n v="443"/>
    <s v="Cajas"/>
    <n v="1755.59"/>
    <n v="777726.37"/>
    <n v="27237.16"/>
    <n v="3.5021520486697655E-2"/>
    <n v="7"/>
    <d v="2024-04-16T00:00:00"/>
    <d v="2024-04-21T00:00:00"/>
    <n v="5"/>
    <x v="1"/>
    <b v="0"/>
    <n v="128"/>
    <n v="22"/>
    <x v="2"/>
    <x v="1"/>
  </r>
  <r>
    <s v="PED-00074"/>
    <d v="2024-10-12T00:00:00"/>
    <x v="0"/>
    <x v="0"/>
    <n v="41"/>
    <x v="0"/>
    <x v="4"/>
    <s v="SKU-TEX-9166"/>
    <x v="3"/>
    <x v="0"/>
    <x v="0"/>
    <s v="FCA"/>
    <n v="413"/>
    <s v="Cajas"/>
    <n v="62.47"/>
    <n v="25800.11"/>
    <n v="1552.11"/>
    <n v="6.0159045833525514E-2"/>
    <n v="12"/>
    <d v="2024-10-24T00:00:00"/>
    <d v="2024-10-27T00:00:00"/>
    <n v="3"/>
    <x v="1"/>
    <b v="0"/>
    <n v="435"/>
    <n v="189"/>
    <x v="4"/>
    <x v="1"/>
  </r>
  <r>
    <s v="PED-00075"/>
    <d v="2024-01-09T00:00:00"/>
    <x v="0"/>
    <x v="2"/>
    <n v="2"/>
    <x v="8"/>
    <x v="3"/>
    <s v="SKU-QUÍ-8324"/>
    <x v="1"/>
    <x v="4"/>
    <x v="3"/>
    <s v="FOB"/>
    <n v="443"/>
    <s v="Metros"/>
    <n v="143.08000000000001"/>
    <n v="63384.44"/>
    <n v="4645.8500000000004"/>
    <n v="7.329637999483786E-2"/>
    <n v="29"/>
    <d v="2024-02-07T00:00:00"/>
    <d v="2024-02-06T00:00:00"/>
    <n v="-1"/>
    <x v="0"/>
    <b v="1"/>
    <n v="279"/>
    <n v="247"/>
    <x v="0"/>
    <x v="0"/>
  </r>
  <r>
    <s v="PED-00076"/>
    <d v="2023-06-16T00:00:00"/>
    <x v="1"/>
    <x v="10"/>
    <n v="24"/>
    <x v="8"/>
    <x v="1"/>
    <s v="SKU-FAR-6178"/>
    <x v="0"/>
    <x v="0"/>
    <x v="4"/>
    <s v="FCA"/>
    <n v="121"/>
    <s v="Litros"/>
    <n v="153.05000000000001"/>
    <n v="18519.05"/>
    <n v="881.44"/>
    <n v="4.7596393983492677E-2"/>
    <n v="8"/>
    <d v="2023-06-24T00:00:00"/>
    <d v="2023-06-25T00:00:00"/>
    <n v="1"/>
    <x v="2"/>
    <b v="0"/>
    <n v="357"/>
    <n v="485"/>
    <x v="4"/>
    <x v="1"/>
  </r>
  <r>
    <s v="PED-00077"/>
    <d v="2024-01-15T00:00:00"/>
    <x v="0"/>
    <x v="2"/>
    <n v="3"/>
    <x v="7"/>
    <x v="2"/>
    <s v="SKU-AUT-2944"/>
    <x v="3"/>
    <x v="5"/>
    <x v="4"/>
    <s v="EXW"/>
    <n v="938"/>
    <s v="Palés"/>
    <n v="616.17999999999995"/>
    <n v="577976.84"/>
    <n v="32608.52"/>
    <n v="5.6418385207268863E-2"/>
    <n v="15"/>
    <d v="2024-01-30T00:00:00"/>
    <d v="2024-02-04T00:00:00"/>
    <n v="5"/>
    <x v="1"/>
    <b v="0"/>
    <n v="417"/>
    <n v="414"/>
    <x v="0"/>
    <x v="0"/>
  </r>
  <r>
    <s v="PED-00078"/>
    <d v="2023-12-30T00:00:00"/>
    <x v="1"/>
    <x v="11"/>
    <n v="52"/>
    <x v="9"/>
    <x v="6"/>
    <s v="SKU-CON-9148"/>
    <x v="0"/>
    <x v="0"/>
    <x v="1"/>
    <s v="CIF"/>
    <n v="384"/>
    <s v="Cajas"/>
    <n v="167.49"/>
    <n v="64316.160000000003"/>
    <n v="2013.74"/>
    <n v="3.1310016020856965E-2"/>
    <n v="3"/>
    <d v="2024-01-02T00:00:00"/>
    <d v="2024-01-07T00:00:00"/>
    <n v="5"/>
    <x v="2"/>
    <b v="0"/>
    <n v="370"/>
    <n v="308"/>
    <x v="0"/>
    <x v="0"/>
  </r>
  <r>
    <s v="PED-00079"/>
    <d v="2023-08-03T00:00:00"/>
    <x v="1"/>
    <x v="4"/>
    <n v="31"/>
    <x v="6"/>
    <x v="1"/>
    <s v="SKU-FAR-1291"/>
    <x v="2"/>
    <x v="1"/>
    <x v="3"/>
    <s v="FOB"/>
    <n v="68"/>
    <s v="Palés"/>
    <n v="222.89"/>
    <n v="15156.52"/>
    <n v="1035.1600000000001"/>
    <n v="6.8297999804704509E-2"/>
    <n v="14"/>
    <d v="2023-08-17T00:00:00"/>
    <d v="2023-08-25T00:00:00"/>
    <n v="8"/>
    <x v="2"/>
    <b v="0"/>
    <n v="251"/>
    <n v="375"/>
    <x v="4"/>
    <x v="1"/>
  </r>
  <r>
    <s v="PED-00080"/>
    <d v="2024-11-17T00:00:00"/>
    <x v="0"/>
    <x v="6"/>
    <n v="47"/>
    <x v="1"/>
    <x v="0"/>
    <s v="SKU-MAQ-2681"/>
    <x v="5"/>
    <x v="3"/>
    <x v="2"/>
    <s v="CIF"/>
    <n v="52"/>
    <s v="Unidades"/>
    <n v="1306.79"/>
    <n v="67953.08"/>
    <n v="5303.04"/>
    <n v="7.8039729766480048E-2"/>
    <n v="17"/>
    <d v="2024-12-04T00:00:00"/>
    <d v="2024-12-04T00:00:00"/>
    <n v="0"/>
    <x v="0"/>
    <b v="1"/>
    <n v="134"/>
    <n v="144"/>
    <x v="2"/>
    <x v="1"/>
  </r>
  <r>
    <s v="PED-00081"/>
    <d v="2023-10-01T00:00:00"/>
    <x v="1"/>
    <x v="0"/>
    <n v="40"/>
    <x v="1"/>
    <x v="7"/>
    <s v="SKU-ALI-7609"/>
    <x v="0"/>
    <x v="4"/>
    <x v="4"/>
    <s v="FCA"/>
    <n v="216"/>
    <s v="Cajas"/>
    <n v="74.13"/>
    <n v="16012.08"/>
    <n v="578.29"/>
    <n v="3.6115857527566686E-2"/>
    <n v="4"/>
    <d v="2023-10-05T00:00:00"/>
    <d v="2023-10-06T00:00:00"/>
    <n v="1"/>
    <x v="2"/>
    <b v="0"/>
    <n v="330"/>
    <n v="383"/>
    <x v="0"/>
    <x v="0"/>
  </r>
  <r>
    <s v="PED-00082"/>
    <d v="2024-12-19T00:00:00"/>
    <x v="0"/>
    <x v="11"/>
    <n v="51"/>
    <x v="7"/>
    <x v="1"/>
    <s v="SKU-FAR-7755"/>
    <x v="5"/>
    <x v="1"/>
    <x v="1"/>
    <s v="EXW"/>
    <n v="789"/>
    <s v="Palés"/>
    <n v="204.05"/>
    <n v="160995.45000000001"/>
    <n v="7999.79"/>
    <n v="4.9689540915597304E-2"/>
    <n v="18"/>
    <d v="2025-01-06T00:00:00"/>
    <d v="2025-01-03T00:00:00"/>
    <n v="-3"/>
    <x v="0"/>
    <b v="1"/>
    <n v="10"/>
    <n v="304"/>
    <x v="3"/>
    <x v="1"/>
  </r>
  <r>
    <s v="PED-00083"/>
    <d v="2024-11-30T00:00:00"/>
    <x v="0"/>
    <x v="6"/>
    <n v="48"/>
    <x v="9"/>
    <x v="3"/>
    <s v="SKU-QUÍ-1587"/>
    <x v="3"/>
    <x v="0"/>
    <x v="4"/>
    <s v="FOB"/>
    <n v="305"/>
    <s v="Unidades"/>
    <n v="161.94"/>
    <n v="49391.7"/>
    <n v="1243.04"/>
    <n v="2.5166981496891179E-2"/>
    <n v="8"/>
    <d v="2024-12-08T00:00:00"/>
    <d v="2024-12-08T00:00:00"/>
    <n v="0"/>
    <x v="0"/>
    <b v="1"/>
    <n v="291"/>
    <n v="176"/>
    <x v="3"/>
    <x v="1"/>
  </r>
  <r>
    <s v="PED-00084"/>
    <d v="2024-10-25T00:00:00"/>
    <x v="0"/>
    <x v="0"/>
    <n v="43"/>
    <x v="0"/>
    <x v="0"/>
    <s v="SKU-MAQ-9996"/>
    <x v="5"/>
    <x v="0"/>
    <x v="0"/>
    <s v="FCA"/>
    <n v="127"/>
    <s v="Metros"/>
    <n v="1066.6300000000001"/>
    <n v="135462.01"/>
    <n v="7253.75"/>
    <n v="5.3548223594201798E-2"/>
    <n v="4"/>
    <d v="2024-10-29T00:00:00"/>
    <d v="2024-10-26T00:00:00"/>
    <n v="-3"/>
    <x v="0"/>
    <b v="1"/>
    <n v="147"/>
    <n v="194"/>
    <x v="4"/>
    <x v="1"/>
  </r>
  <r>
    <s v="PED-00085"/>
    <d v="2023-03-15T00:00:00"/>
    <x v="1"/>
    <x v="8"/>
    <n v="11"/>
    <x v="1"/>
    <x v="2"/>
    <s v="SKU-AUT-1002"/>
    <x v="5"/>
    <x v="3"/>
    <x v="4"/>
    <s v="DAP"/>
    <n v="541"/>
    <s v="Litros"/>
    <n v="975.6"/>
    <n v="527799.6"/>
    <n v="26478.13"/>
    <n v="5.0167014147036115E-2"/>
    <n v="2"/>
    <d v="2023-03-17T00:00:00"/>
    <d v="2023-03-29T00:00:00"/>
    <n v="12"/>
    <x v="1"/>
    <b v="0"/>
    <n v="318"/>
    <n v="409"/>
    <x v="3"/>
    <x v="1"/>
  </r>
  <r>
    <s v="PED-00086"/>
    <d v="2024-09-15T00:00:00"/>
    <x v="0"/>
    <x v="3"/>
    <n v="38"/>
    <x v="2"/>
    <x v="4"/>
    <s v="SKU-TEX-2489"/>
    <x v="3"/>
    <x v="0"/>
    <x v="3"/>
    <s v="FCA"/>
    <n v="231"/>
    <s v="Cajas"/>
    <n v="74.11"/>
    <n v="17119.41"/>
    <n v="490.75"/>
    <n v="2.866629165374274E-2"/>
    <n v="6"/>
    <d v="2024-09-21T00:00:00"/>
    <d v="2024-09-22T00:00:00"/>
    <n v="1"/>
    <x v="2"/>
    <b v="0"/>
    <n v="79"/>
    <n v="12"/>
    <x v="4"/>
    <x v="1"/>
  </r>
  <r>
    <s v="PED-00087"/>
    <d v="2024-10-12T00:00:00"/>
    <x v="0"/>
    <x v="0"/>
    <n v="41"/>
    <x v="4"/>
    <x v="3"/>
    <s v="SKU-QUÍ-5990"/>
    <x v="0"/>
    <x v="3"/>
    <x v="1"/>
    <s v="DDP"/>
    <n v="175"/>
    <s v="Litros"/>
    <n v="160.66999999999999"/>
    <n v="28117.25"/>
    <n v="1308.1300000000001"/>
    <n v="4.6524108865554067E-2"/>
    <n v="22"/>
    <d v="2024-11-03T00:00:00"/>
    <d v="2024-10-31T00:00:00"/>
    <n v="-3"/>
    <x v="0"/>
    <b v="1"/>
    <n v="190"/>
    <n v="363"/>
    <x v="1"/>
    <x v="1"/>
  </r>
  <r>
    <s v="PED-00088"/>
    <d v="2023-06-25T00:00:00"/>
    <x v="1"/>
    <x v="10"/>
    <n v="26"/>
    <x v="9"/>
    <x v="0"/>
    <s v="SKU-MAQ-9328"/>
    <x v="3"/>
    <x v="4"/>
    <x v="3"/>
    <s v="DAP"/>
    <n v="652"/>
    <s v="Unidades"/>
    <n v="2169.3000000000002"/>
    <n v="1414383.6"/>
    <n v="56640.800000000003"/>
    <n v="4.0046278817146917E-2"/>
    <n v="10"/>
    <d v="2023-07-05T00:00:00"/>
    <d v="2023-07-13T00:00:00"/>
    <n v="8"/>
    <x v="1"/>
    <b v="0"/>
    <n v="452"/>
    <n v="165"/>
    <x v="0"/>
    <x v="0"/>
  </r>
  <r>
    <s v="PED-00089"/>
    <d v="2024-06-30T00:00:00"/>
    <x v="0"/>
    <x v="10"/>
    <n v="27"/>
    <x v="1"/>
    <x v="3"/>
    <s v="SKU-QUÍ-4389"/>
    <x v="2"/>
    <x v="5"/>
    <x v="2"/>
    <s v="CIF"/>
    <n v="165"/>
    <s v="Litros"/>
    <n v="85.93"/>
    <n v="14178.45"/>
    <n v="727.49"/>
    <n v="5.1309557814852823E-2"/>
    <n v="4"/>
    <d v="2024-07-04T00:00:00"/>
    <d v="2024-07-04T00:00:00"/>
    <n v="0"/>
    <x v="0"/>
    <b v="1"/>
    <n v="343"/>
    <n v="149"/>
    <x v="3"/>
    <x v="1"/>
  </r>
  <r>
    <s v="PED-00090"/>
    <d v="2023-09-08T00:00:00"/>
    <x v="1"/>
    <x v="3"/>
    <n v="36"/>
    <x v="9"/>
    <x v="1"/>
    <s v="SKU-FAR-8474"/>
    <x v="4"/>
    <x v="3"/>
    <x v="2"/>
    <s v="DAP"/>
    <n v="193"/>
    <s v="Litros"/>
    <n v="164.61"/>
    <n v="31769.73"/>
    <n v="1751.76"/>
    <n v="5.5139278804069158E-2"/>
    <n v="22"/>
    <d v="2023-09-30T00:00:00"/>
    <d v="2023-10-03T00:00:00"/>
    <n v="3"/>
    <x v="1"/>
    <b v="0"/>
    <n v="29"/>
    <n v="340"/>
    <x v="0"/>
    <x v="0"/>
  </r>
  <r>
    <s v="PED-00091"/>
    <d v="2023-06-17T00:00:00"/>
    <x v="1"/>
    <x v="10"/>
    <n v="24"/>
    <x v="8"/>
    <x v="2"/>
    <s v="SKU-AUT-6584"/>
    <x v="1"/>
    <x v="3"/>
    <x v="4"/>
    <s v="FCA"/>
    <n v="99"/>
    <s v="KG"/>
    <n v="1127.1500000000001"/>
    <n v="111587.85"/>
    <n v="2288.64"/>
    <n v="2.0509759799117913E-2"/>
    <n v="29"/>
    <d v="2023-07-16T00:00:00"/>
    <d v="2023-07-11T00:00:00"/>
    <n v="-5"/>
    <x v="0"/>
    <b v="1"/>
    <n v="413"/>
    <n v="412"/>
    <x v="2"/>
    <x v="1"/>
  </r>
  <r>
    <s v="PED-00092"/>
    <d v="2024-04-18T00:00:00"/>
    <x v="0"/>
    <x v="1"/>
    <n v="16"/>
    <x v="6"/>
    <x v="4"/>
    <s v="SKU-TEX-6953"/>
    <x v="3"/>
    <x v="1"/>
    <x v="1"/>
    <s v="DAP"/>
    <n v="103"/>
    <s v="Unidades"/>
    <n v="64.010000000000005"/>
    <n v="6593.03"/>
    <n v="432.9"/>
    <n v="6.5660250294629324E-2"/>
    <n v="18"/>
    <d v="2024-05-06T00:00:00"/>
    <d v="2024-05-08T00:00:00"/>
    <n v="2"/>
    <x v="1"/>
    <b v="0"/>
    <n v="358"/>
    <n v="44"/>
    <x v="0"/>
    <x v="0"/>
  </r>
  <r>
    <s v="PED-00093"/>
    <d v="2024-01-24T00:00:00"/>
    <x v="0"/>
    <x v="2"/>
    <n v="4"/>
    <x v="1"/>
    <x v="0"/>
    <s v="SKU-MAQ-1889"/>
    <x v="3"/>
    <x v="0"/>
    <x v="1"/>
    <s v="DDP"/>
    <n v="22"/>
    <s v="Litros"/>
    <n v="1727.51"/>
    <n v="38005.22"/>
    <n v="2386"/>
    <n v="6.278084957803165E-2"/>
    <n v="26"/>
    <d v="2024-02-19T00:00:00"/>
    <d v="2024-02-16T00:00:00"/>
    <n v="-3"/>
    <x v="0"/>
    <b v="1"/>
    <n v="367"/>
    <n v="173"/>
    <x v="0"/>
    <x v="0"/>
  </r>
  <r>
    <s v="PED-00094"/>
    <d v="2023-10-04T00:00:00"/>
    <x v="1"/>
    <x v="0"/>
    <n v="40"/>
    <x v="6"/>
    <x v="5"/>
    <s v="SKU-ELE-4652"/>
    <x v="5"/>
    <x v="4"/>
    <x v="1"/>
    <s v="FCA"/>
    <n v="982"/>
    <s v="Palés"/>
    <n v="615.21"/>
    <n v="604136.22"/>
    <n v="25359.94"/>
    <n v="4.1977188522151508E-2"/>
    <n v="12"/>
    <d v="2023-10-16T00:00:00"/>
    <d v="2023-10-28T00:00:00"/>
    <n v="12"/>
    <x v="2"/>
    <b v="0"/>
    <n v="494"/>
    <n v="166"/>
    <x v="0"/>
    <x v="0"/>
  </r>
  <r>
    <s v="PED-00095"/>
    <d v="2024-10-17T00:00:00"/>
    <x v="0"/>
    <x v="0"/>
    <n v="42"/>
    <x v="5"/>
    <x v="6"/>
    <s v="SKU-CON-8445"/>
    <x v="2"/>
    <x v="5"/>
    <x v="1"/>
    <s v="DDP"/>
    <n v="843"/>
    <s v="Unidades"/>
    <n v="248.65"/>
    <n v="209611.95"/>
    <n v="4858"/>
    <n v="2.3176159565330125E-2"/>
    <n v="2"/>
    <d v="2024-10-19T00:00:00"/>
    <d v="2024-10-21T00:00:00"/>
    <n v="2"/>
    <x v="2"/>
    <b v="0"/>
    <n v="228"/>
    <n v="196"/>
    <x v="0"/>
    <x v="0"/>
  </r>
  <r>
    <s v="PED-00096"/>
    <d v="2024-12-05T00:00:00"/>
    <x v="0"/>
    <x v="11"/>
    <n v="49"/>
    <x v="4"/>
    <x v="4"/>
    <s v="SKU-TEX-6439"/>
    <x v="5"/>
    <x v="2"/>
    <x v="4"/>
    <s v="DAP"/>
    <n v="814"/>
    <s v="KG"/>
    <n v="86.72"/>
    <n v="70590.080000000002"/>
    <n v="4609.25"/>
    <n v="6.5296001931149525E-2"/>
    <n v="10"/>
    <d v="2024-12-15T00:00:00"/>
    <d v="2024-12-14T00:00:00"/>
    <n v="-1"/>
    <x v="0"/>
    <b v="1"/>
    <n v="480"/>
    <n v="205"/>
    <x v="1"/>
    <x v="1"/>
  </r>
  <r>
    <s v="PED-00097"/>
    <d v="2024-07-24T00:00:00"/>
    <x v="0"/>
    <x v="7"/>
    <n v="30"/>
    <x v="7"/>
    <x v="5"/>
    <s v="SKU-ELE-8751"/>
    <x v="0"/>
    <x v="3"/>
    <x v="3"/>
    <s v="DDP"/>
    <n v="954"/>
    <s v="Cajas"/>
    <n v="748.78"/>
    <n v="714336.12"/>
    <n v="55225.69"/>
    <n v="7.731051035190549E-2"/>
    <n v="4"/>
    <d v="2024-07-28T00:00:00"/>
    <d v="2024-07-28T00:00:00"/>
    <n v="0"/>
    <x v="0"/>
    <b v="1"/>
    <n v="83"/>
    <n v="81"/>
    <x v="4"/>
    <x v="1"/>
  </r>
  <r>
    <s v="PED-00098"/>
    <d v="2023-08-13T00:00:00"/>
    <x v="1"/>
    <x v="4"/>
    <n v="33"/>
    <x v="6"/>
    <x v="3"/>
    <s v="SKU-QUÍ-6952"/>
    <x v="3"/>
    <x v="2"/>
    <x v="4"/>
    <s v="DAP"/>
    <n v="751"/>
    <s v="Metros"/>
    <n v="153.13999999999999"/>
    <n v="115008.14"/>
    <n v="3957.33"/>
    <n v="3.4409129649431769E-2"/>
    <n v="14"/>
    <d v="2023-08-27T00:00:00"/>
    <d v="2023-08-26T00:00:00"/>
    <n v="-1"/>
    <x v="0"/>
    <b v="1"/>
    <n v="149"/>
    <n v="67"/>
    <x v="1"/>
    <x v="1"/>
  </r>
  <r>
    <s v="PED-00099"/>
    <d v="2024-12-02T00:00:00"/>
    <x v="0"/>
    <x v="11"/>
    <n v="49"/>
    <x v="1"/>
    <x v="7"/>
    <s v="SKU-ALI-8414"/>
    <x v="3"/>
    <x v="0"/>
    <x v="3"/>
    <s v="FOB"/>
    <n v="843"/>
    <s v="Litros"/>
    <n v="74.38"/>
    <n v="62702.34"/>
    <n v="2471.19"/>
    <n v="3.9411447802426516E-2"/>
    <n v="16"/>
    <d v="2024-12-18T00:00:00"/>
    <d v="2024-12-19T00:00:00"/>
    <n v="1"/>
    <x v="1"/>
    <b v="0"/>
    <n v="360"/>
    <n v="96"/>
    <x v="0"/>
    <x v="0"/>
  </r>
  <r>
    <s v="PED-00100"/>
    <d v="2023-11-29T00:00:00"/>
    <x v="1"/>
    <x v="6"/>
    <n v="48"/>
    <x v="3"/>
    <x v="4"/>
    <s v="SKU-TEX-2868"/>
    <x v="5"/>
    <x v="3"/>
    <x v="0"/>
    <s v="DAP"/>
    <n v="813"/>
    <s v="Palés"/>
    <n v="84.23"/>
    <n v="68478.990000000005"/>
    <n v="2124.8200000000002"/>
    <n v="3.1028787077613147E-2"/>
    <n v="15"/>
    <d v="2023-12-14T00:00:00"/>
    <d v="2023-12-19T00:00:00"/>
    <n v="5"/>
    <x v="1"/>
    <b v="0"/>
    <n v="188"/>
    <n v="166"/>
    <x v="1"/>
    <x v="1"/>
  </r>
  <r>
    <s v="PED-00101"/>
    <d v="2023-02-27T00:00:00"/>
    <x v="1"/>
    <x v="9"/>
    <n v="9"/>
    <x v="7"/>
    <x v="3"/>
    <s v="SKU-QUÍ-2596"/>
    <x v="3"/>
    <x v="2"/>
    <x v="0"/>
    <s v="EXW"/>
    <n v="447"/>
    <s v="KG"/>
    <n v="88.73"/>
    <n v="39662.31"/>
    <n v="2166.1999999999998"/>
    <n v="5.4616082623528482E-2"/>
    <n v="8"/>
    <d v="2023-03-07T00:00:00"/>
    <d v="2023-03-10T00:00:00"/>
    <n v="3"/>
    <x v="1"/>
    <b v="0"/>
    <n v="20"/>
    <n v="403"/>
    <x v="2"/>
    <x v="1"/>
  </r>
  <r>
    <s v="PED-00102"/>
    <d v="2023-08-23T00:00:00"/>
    <x v="1"/>
    <x v="4"/>
    <n v="34"/>
    <x v="7"/>
    <x v="5"/>
    <s v="SKU-ELE-4633"/>
    <x v="0"/>
    <x v="1"/>
    <x v="3"/>
    <s v="DDP"/>
    <n v="547"/>
    <s v="Unidades"/>
    <n v="442.43"/>
    <n v="242009.21"/>
    <n v="7088.57"/>
    <n v="2.9290496836876581E-2"/>
    <n v="14"/>
    <d v="2023-09-06T00:00:00"/>
    <d v="2023-09-03T00:00:00"/>
    <n v="-3"/>
    <x v="0"/>
    <b v="1"/>
    <n v="36"/>
    <n v="76"/>
    <x v="4"/>
    <x v="1"/>
  </r>
  <r>
    <s v="PED-00103"/>
    <d v="2023-02-02T00:00:00"/>
    <x v="1"/>
    <x v="9"/>
    <n v="5"/>
    <x v="0"/>
    <x v="1"/>
    <s v="SKU-FAR-1035"/>
    <x v="4"/>
    <x v="2"/>
    <x v="4"/>
    <s v="DDP"/>
    <n v="596"/>
    <s v="Metros"/>
    <n v="283.58"/>
    <n v="169013.68"/>
    <n v="6992.37"/>
    <n v="4.1371621516080828E-2"/>
    <n v="23"/>
    <d v="2023-02-25T00:00:00"/>
    <d v="2023-03-09T00:00:00"/>
    <n v="12"/>
    <x v="1"/>
    <b v="0"/>
    <n v="245"/>
    <n v="483"/>
    <x v="0"/>
    <x v="0"/>
  </r>
  <r>
    <s v="PED-00104"/>
    <d v="2023-11-20T00:00:00"/>
    <x v="1"/>
    <x v="6"/>
    <n v="47"/>
    <x v="6"/>
    <x v="1"/>
    <s v="SKU-FAR-6592"/>
    <x v="1"/>
    <x v="1"/>
    <x v="2"/>
    <s v="CIF"/>
    <n v="977"/>
    <s v="Metros"/>
    <n v="180.99"/>
    <n v="176827.23"/>
    <n v="10931.6"/>
    <n v="6.1820795360533552E-2"/>
    <n v="28"/>
    <d v="2023-12-18T00:00:00"/>
    <d v="2023-12-30T00:00:00"/>
    <n v="12"/>
    <x v="1"/>
    <b v="0"/>
    <n v="282"/>
    <n v="236"/>
    <x v="0"/>
    <x v="0"/>
  </r>
  <r>
    <s v="PED-00105"/>
    <d v="2024-02-15T00:00:00"/>
    <x v="0"/>
    <x v="9"/>
    <n v="7"/>
    <x v="3"/>
    <x v="7"/>
    <s v="SKU-ALI-6818"/>
    <x v="1"/>
    <x v="5"/>
    <x v="4"/>
    <s v="CIF"/>
    <n v="885"/>
    <s v="Litros"/>
    <n v="70.12"/>
    <n v="62056.2"/>
    <n v="3326.64"/>
    <n v="5.3606891817417117E-2"/>
    <n v="25"/>
    <d v="2024-03-11T00:00:00"/>
    <d v="2024-03-11T00:00:00"/>
    <n v="0"/>
    <x v="0"/>
    <b v="1"/>
    <n v="101"/>
    <n v="195"/>
    <x v="1"/>
    <x v="1"/>
  </r>
  <r>
    <s v="PED-00106"/>
    <d v="2023-10-02T00:00:00"/>
    <x v="1"/>
    <x v="0"/>
    <n v="40"/>
    <x v="6"/>
    <x v="6"/>
    <s v="SKU-CON-5783"/>
    <x v="1"/>
    <x v="0"/>
    <x v="2"/>
    <s v="EXW"/>
    <n v="945"/>
    <s v="KG"/>
    <n v="162.1"/>
    <n v="153184.5"/>
    <n v="6615.69"/>
    <n v="4.3187724606601842E-2"/>
    <n v="8"/>
    <d v="2023-10-10T00:00:00"/>
    <d v="2023-10-10T00:00:00"/>
    <n v="0"/>
    <x v="0"/>
    <b v="1"/>
    <n v="418"/>
    <n v="290"/>
    <x v="3"/>
    <x v="1"/>
  </r>
  <r>
    <s v="PED-00107"/>
    <d v="2023-03-09T00:00:00"/>
    <x v="1"/>
    <x v="8"/>
    <n v="10"/>
    <x v="0"/>
    <x v="4"/>
    <s v="SKU-TEX-9973"/>
    <x v="4"/>
    <x v="4"/>
    <x v="4"/>
    <s v="DDP"/>
    <n v="820"/>
    <s v="KG"/>
    <n v="83.24"/>
    <n v="68256.800000000003"/>
    <n v="3086.23"/>
    <n v="4.5214982243527387E-2"/>
    <n v="21"/>
    <d v="2023-03-30T00:00:00"/>
    <d v="2023-03-30T00:00:00"/>
    <n v="0"/>
    <x v="0"/>
    <b v="1"/>
    <n v="293"/>
    <n v="135"/>
    <x v="4"/>
    <x v="1"/>
  </r>
  <r>
    <s v="PED-00108"/>
    <d v="2023-08-05T00:00:00"/>
    <x v="1"/>
    <x v="4"/>
    <n v="31"/>
    <x v="4"/>
    <x v="4"/>
    <s v="SKU-TEX-9552"/>
    <x v="3"/>
    <x v="2"/>
    <x v="1"/>
    <s v="DDP"/>
    <n v="159"/>
    <s v="Palés"/>
    <n v="66"/>
    <n v="10494"/>
    <n v="563.80999999999995"/>
    <n v="5.3726891557080228E-2"/>
    <n v="16"/>
    <d v="2023-08-21T00:00:00"/>
    <d v="2023-08-21T00:00:00"/>
    <n v="0"/>
    <x v="0"/>
    <b v="1"/>
    <n v="231"/>
    <n v="307"/>
    <x v="0"/>
    <x v="0"/>
  </r>
  <r>
    <s v="PED-00109"/>
    <d v="2024-08-03T00:00:00"/>
    <x v="0"/>
    <x v="4"/>
    <n v="31"/>
    <x v="1"/>
    <x v="4"/>
    <s v="SKU-TEX-7125"/>
    <x v="5"/>
    <x v="3"/>
    <x v="1"/>
    <s v="CIF"/>
    <n v="669"/>
    <s v="Cajas"/>
    <n v="74.39"/>
    <n v="49766.91"/>
    <n v="1012.85"/>
    <n v="2.0351876377295675E-2"/>
    <n v="13"/>
    <d v="2024-08-16T00:00:00"/>
    <d v="2024-08-16T00:00:00"/>
    <n v="0"/>
    <x v="0"/>
    <b v="1"/>
    <n v="315"/>
    <n v="295"/>
    <x v="4"/>
    <x v="1"/>
  </r>
  <r>
    <s v="PED-00110"/>
    <d v="2023-11-19T00:00:00"/>
    <x v="1"/>
    <x v="6"/>
    <n v="47"/>
    <x v="8"/>
    <x v="6"/>
    <s v="SKU-CON-2741"/>
    <x v="2"/>
    <x v="0"/>
    <x v="0"/>
    <s v="CIF"/>
    <n v="17"/>
    <s v="Cajas"/>
    <n v="178.25"/>
    <n v="3302.8089"/>
    <n v="142.36009999999999"/>
    <n v="4.3102735977246516E-2"/>
    <n v="18"/>
    <d v="2023-12-07T00:00:00"/>
    <d v="2023-12-04T00:00:00"/>
    <n v="-3"/>
    <x v="0"/>
    <b v="1"/>
    <n v="325"/>
    <n v="376"/>
    <x v="0"/>
    <x v="0"/>
  </r>
  <r>
    <s v="PED-00111"/>
    <d v="2023-08-06T00:00:00"/>
    <x v="1"/>
    <x v="4"/>
    <n v="32"/>
    <x v="8"/>
    <x v="3"/>
    <s v="SKU-QUÍ-1750"/>
    <x v="3"/>
    <x v="2"/>
    <x v="0"/>
    <s v="DAP"/>
    <n v="38"/>
    <s v="Cajas"/>
    <n v="156.77000000000001"/>
    <n v="5957.26"/>
    <n v="434.14"/>
    <n v="7.2875785176406596E-2"/>
    <n v="15"/>
    <d v="2023-08-21T00:00:00"/>
    <d v="2023-08-21T00:00:00"/>
    <n v="0"/>
    <x v="0"/>
    <b v="1"/>
    <n v="287"/>
    <n v="368"/>
    <x v="1"/>
    <x v="1"/>
  </r>
  <r>
    <s v="PED-00112"/>
    <d v="2024-11-02T00:00:00"/>
    <x v="0"/>
    <x v="6"/>
    <n v="44"/>
    <x v="6"/>
    <x v="2"/>
    <s v="SKU-AUT-3689"/>
    <x v="4"/>
    <x v="3"/>
    <x v="3"/>
    <s v="FCA"/>
    <n v="305"/>
    <s v="Metros"/>
    <n v="1046.4000000000001"/>
    <n v="319152"/>
    <n v="7874.35"/>
    <n v="2.4672726475159171E-2"/>
    <n v="21"/>
    <d v="2024-11-23T00:00:00"/>
    <d v="2024-12-01T00:00:00"/>
    <n v="8"/>
    <x v="2"/>
    <b v="0"/>
    <n v="335"/>
    <n v="366"/>
    <x v="0"/>
    <x v="0"/>
  </r>
  <r>
    <s v="PED-00113"/>
    <d v="2024-05-26T00:00:00"/>
    <x v="0"/>
    <x v="5"/>
    <n v="22"/>
    <x v="0"/>
    <x v="2"/>
    <s v="SKU-AUT-9067"/>
    <x v="0"/>
    <x v="3"/>
    <x v="2"/>
    <s v="DDP"/>
    <n v="995"/>
    <s v="Metros"/>
    <n v="760.06"/>
    <n v="756259.7"/>
    <n v="47196.82"/>
    <n v="6.2408217706166287E-2"/>
    <n v="24"/>
    <d v="2024-06-19T00:00:00"/>
    <d v="2024-06-14T00:00:00"/>
    <n v="-5"/>
    <x v="0"/>
    <b v="1"/>
    <n v="475"/>
    <n v="35"/>
    <x v="2"/>
    <x v="1"/>
  </r>
  <r>
    <s v="PED-00114"/>
    <d v="2024-02-10T00:00:00"/>
    <x v="0"/>
    <x v="9"/>
    <n v="6"/>
    <x v="9"/>
    <x v="7"/>
    <s v="SKU-ALI-3301"/>
    <x v="4"/>
    <x v="4"/>
    <x v="1"/>
    <s v="DDP"/>
    <n v="935"/>
    <s v="Unidades"/>
    <n v="82.28"/>
    <n v="76931.8"/>
    <n v="5785.45"/>
    <n v="7.5202322056678761E-2"/>
    <n v="26"/>
    <d v="2024-03-07T00:00:00"/>
    <d v="2024-03-19T00:00:00"/>
    <n v="12"/>
    <x v="2"/>
    <b v="0"/>
    <n v="463"/>
    <n v="389"/>
    <x v="1"/>
    <x v="1"/>
  </r>
  <r>
    <s v="PED-00115"/>
    <d v="2024-10-20T00:00:00"/>
    <x v="0"/>
    <x v="0"/>
    <n v="43"/>
    <x v="1"/>
    <x v="4"/>
    <s v="SKU-TEX-7704"/>
    <x v="1"/>
    <x v="4"/>
    <x v="4"/>
    <s v="DAP"/>
    <n v="730"/>
    <s v="Metros"/>
    <n v="52.07"/>
    <n v="38011.1"/>
    <n v="1377.56"/>
    <n v="3.6240992762640388E-2"/>
    <n v="25"/>
    <d v="2024-11-14T00:00:00"/>
    <d v="2024-11-14T00:00:00"/>
    <n v="0"/>
    <x v="0"/>
    <b v="1"/>
    <n v="410"/>
    <n v="247"/>
    <x v="4"/>
    <x v="1"/>
  </r>
  <r>
    <s v="PED-00116"/>
    <d v="2024-04-14T00:00:00"/>
    <x v="0"/>
    <x v="1"/>
    <n v="16"/>
    <x v="6"/>
    <x v="3"/>
    <s v="SKU-QUÍ-2752"/>
    <x v="3"/>
    <x v="3"/>
    <x v="3"/>
    <s v="DDP"/>
    <n v="649"/>
    <s v="Metros"/>
    <n v="177.75"/>
    <n v="115359.75"/>
    <n v="4871.58"/>
    <n v="4.2229460448726698E-2"/>
    <n v="28"/>
    <d v="2024-05-12T00:00:00"/>
    <d v="2024-05-07T00:00:00"/>
    <n v="-5"/>
    <x v="1"/>
    <b v="0"/>
    <n v="244"/>
    <n v="253"/>
    <x v="0"/>
    <x v="0"/>
  </r>
  <r>
    <s v="PED-00117"/>
    <d v="2023-05-27T00:00:00"/>
    <x v="1"/>
    <x v="5"/>
    <n v="21"/>
    <x v="9"/>
    <x v="1"/>
    <s v="SKU-FAR-5166"/>
    <x v="1"/>
    <x v="4"/>
    <x v="4"/>
    <s v="EXW"/>
    <n v="349"/>
    <s v="KG"/>
    <n v="243.3"/>
    <n v="84911.7"/>
    <n v="4596.72"/>
    <n v="5.4135295842622402E-2"/>
    <n v="28"/>
    <d v="2023-06-24T00:00:00"/>
    <d v="2023-06-29T00:00:00"/>
    <n v="5"/>
    <x v="2"/>
    <b v="0"/>
    <n v="386"/>
    <n v="213"/>
    <x v="0"/>
    <x v="0"/>
  </r>
  <r>
    <s v="PED-00118"/>
    <d v="2023-09-29T00:00:00"/>
    <x v="1"/>
    <x v="3"/>
    <n v="39"/>
    <x v="1"/>
    <x v="5"/>
    <s v="SKU-ELE-4209"/>
    <x v="2"/>
    <x v="3"/>
    <x v="1"/>
    <s v="CIF"/>
    <n v="637"/>
    <s v="Unidades"/>
    <n v="723.82"/>
    <n v="461073.34"/>
    <n v="33613.42"/>
    <n v="7.2902545178604339E-2"/>
    <n v="28"/>
    <d v="2023-10-27T00:00:00"/>
    <d v="2023-10-27T00:00:00"/>
    <n v="0"/>
    <x v="0"/>
    <b v="1"/>
    <n v="176"/>
    <n v="251"/>
    <x v="3"/>
    <x v="1"/>
  </r>
  <r>
    <s v="PED-00119"/>
    <d v="2023-05-23T00:00:00"/>
    <x v="1"/>
    <x v="5"/>
    <n v="21"/>
    <x v="9"/>
    <x v="3"/>
    <s v="SKU-QUÍ-4072"/>
    <x v="0"/>
    <x v="2"/>
    <x v="1"/>
    <s v="CIF"/>
    <n v="448"/>
    <s v="KG"/>
    <n v="113.13"/>
    <n v="50682.239999999998"/>
    <n v="3877.92"/>
    <n v="7.6514376633708386E-2"/>
    <n v="13"/>
    <d v="2023-06-05T00:00:00"/>
    <d v="2023-05-31T00:00:00"/>
    <n v="-5"/>
    <x v="0"/>
    <b v="1"/>
    <n v="212"/>
    <n v="69"/>
    <x v="0"/>
    <x v="0"/>
  </r>
  <r>
    <s v="PED-00120"/>
    <d v="2023-09-10T00:00:00"/>
    <x v="1"/>
    <x v="3"/>
    <n v="37"/>
    <x v="7"/>
    <x v="6"/>
    <s v="SKU-CON-2978"/>
    <x v="1"/>
    <x v="5"/>
    <x v="1"/>
    <s v="FCA"/>
    <n v="153"/>
    <s v="Palés"/>
    <n v="265.10000000000002"/>
    <n v="40560.300000000003"/>
    <n v="2611.02"/>
    <n v="6.4373784217572352E-2"/>
    <n v="9"/>
    <d v="2023-09-19T00:00:00"/>
    <d v="2023-09-19T00:00:00"/>
    <n v="0"/>
    <x v="0"/>
    <b v="1"/>
    <n v="357"/>
    <n v="233"/>
    <x v="0"/>
    <x v="0"/>
  </r>
  <r>
    <s v="PED-00121"/>
    <d v="2024-07-28T00:00:00"/>
    <x v="0"/>
    <x v="7"/>
    <n v="31"/>
    <x v="6"/>
    <x v="2"/>
    <s v="SKU-AUT-7437"/>
    <x v="2"/>
    <x v="4"/>
    <x v="1"/>
    <s v="CIF"/>
    <n v="951"/>
    <s v="Palés"/>
    <n v="1050.1500000000001"/>
    <n v="998692.65"/>
    <n v="25164.240000000002"/>
    <n v="2.5197181535280149E-2"/>
    <n v="29"/>
    <d v="2024-08-26T00:00:00"/>
    <d v="2024-08-31T00:00:00"/>
    <n v="5"/>
    <x v="2"/>
    <b v="0"/>
    <n v="101"/>
    <n v="483"/>
    <x v="4"/>
    <x v="1"/>
  </r>
  <r>
    <s v="PED-00122"/>
    <d v="2024-07-05T00:00:00"/>
    <x v="0"/>
    <x v="7"/>
    <n v="27"/>
    <x v="0"/>
    <x v="2"/>
    <s v="SKU-AUT-4532"/>
    <x v="4"/>
    <x v="1"/>
    <x v="4"/>
    <s v="FOB"/>
    <n v="839"/>
    <s v="Unidades"/>
    <n v="1002.66"/>
    <n v="841231.74"/>
    <n v="50599.46"/>
    <n v="6.0149252095504625E-2"/>
    <n v="15"/>
    <d v="2024-07-20T00:00:00"/>
    <d v="2024-07-22T00:00:00"/>
    <n v="2"/>
    <x v="2"/>
    <b v="0"/>
    <n v="285"/>
    <n v="328"/>
    <x v="0"/>
    <x v="0"/>
  </r>
  <r>
    <s v="PED-00123"/>
    <d v="2023-09-27T00:00:00"/>
    <x v="1"/>
    <x v="3"/>
    <n v="39"/>
    <x v="1"/>
    <x v="1"/>
    <s v="SKU-FAR-8488"/>
    <x v="1"/>
    <x v="1"/>
    <x v="3"/>
    <s v="EXW"/>
    <n v="756"/>
    <s v="Unidades"/>
    <n v="294.5"/>
    <n v="222642"/>
    <n v="9933.89"/>
    <n v="4.4618221180190619E-2"/>
    <n v="13"/>
    <d v="2023-10-10T00:00:00"/>
    <d v="2023-10-18T00:00:00"/>
    <n v="8"/>
    <x v="2"/>
    <b v="0"/>
    <n v="21"/>
    <n v="15"/>
    <x v="2"/>
    <x v="1"/>
  </r>
  <r>
    <s v="PED-00124"/>
    <d v="2024-08-21T00:00:00"/>
    <x v="0"/>
    <x v="4"/>
    <n v="34"/>
    <x v="8"/>
    <x v="1"/>
    <s v="SKU-FAR-4122"/>
    <x v="1"/>
    <x v="1"/>
    <x v="1"/>
    <s v="EXW"/>
    <n v="528"/>
    <s v="Metros"/>
    <n v="202.97"/>
    <n v="107168.16"/>
    <n v="5170.01"/>
    <n v="4.8242033827957859E-2"/>
    <n v="1"/>
    <d v="2024-08-22T00:00:00"/>
    <d v="2024-08-22T00:00:00"/>
    <n v="0"/>
    <x v="0"/>
    <b v="1"/>
    <n v="18"/>
    <n v="486"/>
    <x v="2"/>
    <x v="1"/>
  </r>
  <r>
    <s v="PED-00125"/>
    <d v="2024-03-14T00:00:00"/>
    <x v="0"/>
    <x v="8"/>
    <n v="11"/>
    <x v="6"/>
    <x v="6"/>
    <s v="SKU-CON-6536"/>
    <x v="5"/>
    <x v="5"/>
    <x v="0"/>
    <s v="DAP"/>
    <n v="985"/>
    <s v="Palés"/>
    <n v="160.91"/>
    <n v="158496.35"/>
    <n v="3637.32"/>
    <n v="2.2948919643890852E-2"/>
    <n v="25"/>
    <d v="2024-04-08T00:00:00"/>
    <d v="2024-04-05T00:00:00"/>
    <n v="-3"/>
    <x v="0"/>
    <b v="1"/>
    <n v="286"/>
    <n v="173"/>
    <x v="0"/>
    <x v="0"/>
  </r>
  <r>
    <s v="PED-00126"/>
    <d v="2024-08-20T00:00:00"/>
    <x v="0"/>
    <x v="4"/>
    <n v="34"/>
    <x v="1"/>
    <x v="5"/>
    <s v="SKU-ELE-2765"/>
    <x v="0"/>
    <x v="3"/>
    <x v="3"/>
    <s v="FOB"/>
    <n v="54"/>
    <s v="Litros"/>
    <n v="618.67999999999995"/>
    <n v="33408.720000000001"/>
    <n v="1051.1600000000001"/>
    <n v="3.1463641827642608E-2"/>
    <n v="7"/>
    <d v="2024-08-27T00:00:00"/>
    <d v="2024-09-08T00:00:00"/>
    <n v="12"/>
    <x v="1"/>
    <b v="0"/>
    <n v="275"/>
    <n v="186"/>
    <x v="0"/>
    <x v="0"/>
  </r>
  <r>
    <s v="PED-00127"/>
    <d v="2024-02-13T00:00:00"/>
    <x v="0"/>
    <x v="9"/>
    <n v="7"/>
    <x v="1"/>
    <x v="1"/>
    <s v="SKU-FAR-7790"/>
    <x v="0"/>
    <x v="3"/>
    <x v="0"/>
    <s v="DDP"/>
    <n v="964"/>
    <s v="Cajas"/>
    <n v="256.69"/>
    <n v="247449.16"/>
    <n v="16685.7"/>
    <n v="6.7430820941158182E-2"/>
    <n v="9"/>
    <d v="2024-02-22T00:00:00"/>
    <d v="2024-02-22T00:00:00"/>
    <n v="0"/>
    <x v="0"/>
    <b v="1"/>
    <n v="494"/>
    <n v="293"/>
    <x v="0"/>
    <x v="0"/>
  </r>
  <r>
    <s v="PED-00128"/>
    <d v="2024-01-06T00:00:00"/>
    <x v="0"/>
    <x v="2"/>
    <n v="1"/>
    <x v="9"/>
    <x v="7"/>
    <s v="SKU-ALI-1761"/>
    <x v="4"/>
    <x v="0"/>
    <x v="4"/>
    <s v="FCA"/>
    <n v="248"/>
    <s v="Metros"/>
    <n v="92.8"/>
    <n v="23014.400000000001"/>
    <n v="1087.1400000000001"/>
    <n v="4.7237381813125694E-2"/>
    <n v="24"/>
    <d v="2024-01-30T00:00:00"/>
    <d v="2024-02-07T00:00:00"/>
    <n v="8"/>
    <x v="1"/>
    <b v="0"/>
    <n v="146"/>
    <n v="224"/>
    <x v="4"/>
    <x v="1"/>
  </r>
  <r>
    <s v="PED-00129"/>
    <d v="2023-08-13T00:00:00"/>
    <x v="1"/>
    <x v="4"/>
    <n v="33"/>
    <x v="9"/>
    <x v="5"/>
    <s v="SKU-ELE-3018"/>
    <x v="5"/>
    <x v="1"/>
    <x v="1"/>
    <s v="EXW"/>
    <n v="961"/>
    <s v="Cajas"/>
    <n v="432.73"/>
    <n v="415853.53"/>
    <n v="15843.91"/>
    <n v="3.809973670296847E-2"/>
    <n v="1"/>
    <d v="2023-08-14T00:00:00"/>
    <d v="2023-08-13T00:00:00"/>
    <n v="-1"/>
    <x v="0"/>
    <b v="1"/>
    <n v="385"/>
    <n v="273"/>
    <x v="0"/>
    <x v="0"/>
  </r>
  <r>
    <s v="PED-00130"/>
    <d v="2023-05-22T00:00:00"/>
    <x v="1"/>
    <x v="5"/>
    <n v="21"/>
    <x v="3"/>
    <x v="1"/>
    <s v="SKU-FAR-8381"/>
    <x v="2"/>
    <x v="1"/>
    <x v="3"/>
    <s v="FOB"/>
    <n v="953"/>
    <s v="Palés"/>
    <n v="220.71"/>
    <n v="210336.63"/>
    <n v="9053.1299999999992"/>
    <n v="4.3041147897063856E-2"/>
    <n v="12"/>
    <d v="2023-06-03T00:00:00"/>
    <d v="2023-06-03T00:00:00"/>
    <n v="0"/>
    <x v="0"/>
    <b v="1"/>
    <n v="39"/>
    <n v="11"/>
    <x v="0"/>
    <x v="0"/>
  </r>
  <r>
    <s v="PED-00131"/>
    <d v="2024-06-05T00:00:00"/>
    <x v="0"/>
    <x v="10"/>
    <n v="23"/>
    <x v="6"/>
    <x v="0"/>
    <s v="SKU-MAQ-8493"/>
    <x v="2"/>
    <x v="3"/>
    <x v="1"/>
    <s v="FOB"/>
    <n v="164"/>
    <s v="Cajas"/>
    <n v="1424.63"/>
    <n v="233639.32"/>
    <n v="16650.07"/>
    <n v="7.1263989297691843E-2"/>
    <n v="8"/>
    <d v="2024-06-13T00:00:00"/>
    <d v="2024-06-25T00:00:00"/>
    <n v="12"/>
    <x v="2"/>
    <b v="0"/>
    <n v="166"/>
    <n v="309"/>
    <x v="2"/>
    <x v="1"/>
  </r>
  <r>
    <s v="PED-00132"/>
    <d v="2024-05-20T00:00:00"/>
    <x v="0"/>
    <x v="5"/>
    <n v="21"/>
    <x v="5"/>
    <x v="3"/>
    <s v="SKU-QUÍ-9260"/>
    <x v="4"/>
    <x v="1"/>
    <x v="1"/>
    <s v="EXW"/>
    <n v="190"/>
    <s v="Litros"/>
    <n v="125.04"/>
    <n v="23757.599999999999"/>
    <n v="1542.82"/>
    <n v="6.4940061285651746E-2"/>
    <n v="24"/>
    <d v="2024-06-13T00:00:00"/>
    <d v="2024-06-14T00:00:00"/>
    <n v="1"/>
    <x v="1"/>
    <b v="0"/>
    <n v="90"/>
    <n v="218"/>
    <x v="0"/>
    <x v="0"/>
  </r>
  <r>
    <s v="PED-00133"/>
    <d v="2023-04-04T00:00:00"/>
    <x v="1"/>
    <x v="1"/>
    <n v="14"/>
    <x v="2"/>
    <x v="1"/>
    <s v="SKU-FAR-3205"/>
    <x v="0"/>
    <x v="3"/>
    <x v="3"/>
    <s v="DAP"/>
    <n v="224"/>
    <s v="Litros"/>
    <n v="243.23"/>
    <n v="54483.519999999997"/>
    <n v="1979.87"/>
    <n v="3.6338878251625448E-2"/>
    <n v="11"/>
    <d v="2023-04-15T00:00:00"/>
    <d v="2023-04-23T00:00:00"/>
    <n v="8"/>
    <x v="2"/>
    <b v="0"/>
    <n v="71"/>
    <n v="430"/>
    <x v="0"/>
    <x v="0"/>
  </r>
  <r>
    <s v="PED-00134"/>
    <d v="2023-02-18T00:00:00"/>
    <x v="1"/>
    <x v="9"/>
    <n v="7"/>
    <x v="5"/>
    <x v="7"/>
    <s v="SKU-ALI-9172"/>
    <x v="2"/>
    <x v="3"/>
    <x v="1"/>
    <s v="FOB"/>
    <n v="97"/>
    <s v="KG"/>
    <n v="103.69"/>
    <n v="10057.93"/>
    <n v="272.07"/>
    <n v="2.7050297625853429E-2"/>
    <n v="19"/>
    <d v="2023-03-09T00:00:00"/>
    <d v="2023-03-04T00:00:00"/>
    <n v="-5"/>
    <x v="1"/>
    <b v="0"/>
    <n v="364"/>
    <n v="0"/>
    <x v="1"/>
    <x v="1"/>
  </r>
  <r>
    <s v="PED-00135"/>
    <d v="2023-04-23T00:00:00"/>
    <x v="1"/>
    <x v="1"/>
    <n v="17"/>
    <x v="1"/>
    <x v="4"/>
    <s v="SKU-TEX-1071"/>
    <x v="4"/>
    <x v="4"/>
    <x v="1"/>
    <s v="CIF"/>
    <n v="265"/>
    <s v="Unidades"/>
    <n v="53.15"/>
    <n v="14084.75"/>
    <n v="494.65"/>
    <n v="3.5119544187862756E-2"/>
    <n v="17"/>
    <d v="2023-05-10T00:00:00"/>
    <d v="2023-05-10T00:00:00"/>
    <n v="0"/>
    <x v="0"/>
    <b v="1"/>
    <n v="437"/>
    <n v="398"/>
    <x v="0"/>
    <x v="0"/>
  </r>
  <r>
    <s v="PED-00136"/>
    <d v="2023-06-06T00:00:00"/>
    <x v="1"/>
    <x v="10"/>
    <n v="23"/>
    <x v="3"/>
    <x v="1"/>
    <s v="SKU-FAR-9689"/>
    <x v="2"/>
    <x v="3"/>
    <x v="2"/>
    <s v="FOB"/>
    <n v="520"/>
    <s v="Cajas"/>
    <n v="204.85"/>
    <n v="106522"/>
    <n v="8015.29"/>
    <n v="7.5245395317399225E-2"/>
    <n v="8"/>
    <d v="2023-06-14T00:00:00"/>
    <d v="2023-06-13T00:00:00"/>
    <n v="-1"/>
    <x v="0"/>
    <b v="1"/>
    <n v="282"/>
    <n v="110"/>
    <x v="4"/>
    <x v="1"/>
  </r>
  <r>
    <s v="PED-00137"/>
    <d v="2024-10-04T00:00:00"/>
    <x v="0"/>
    <x v="0"/>
    <n v="40"/>
    <x v="1"/>
    <x v="2"/>
    <s v="SKU-AUT-1795"/>
    <x v="3"/>
    <x v="2"/>
    <x v="2"/>
    <s v="DDP"/>
    <n v="82"/>
    <s v="Litros"/>
    <n v="732.26"/>
    <n v="60045.32"/>
    <n v="3296.21"/>
    <n v="5.4895369031258391E-2"/>
    <n v="3"/>
    <d v="2024-10-07T00:00:00"/>
    <d v="2024-10-15T00:00:00"/>
    <n v="8"/>
    <x v="1"/>
    <b v="0"/>
    <n v="334"/>
    <n v="474"/>
    <x v="0"/>
    <x v="0"/>
  </r>
  <r>
    <s v="PED-00138"/>
    <d v="2023-06-13T00:00:00"/>
    <x v="1"/>
    <x v="10"/>
    <n v="24"/>
    <x v="5"/>
    <x v="2"/>
    <s v="SKU-AUT-8091"/>
    <x v="1"/>
    <x v="2"/>
    <x v="3"/>
    <s v="EXW"/>
    <n v="940"/>
    <s v="Unidades"/>
    <n v="687.12"/>
    <n v="645892.80000000005"/>
    <n v="33592.120000000003"/>
    <n v="5.2008816323699539E-2"/>
    <n v="3"/>
    <d v="2023-06-16T00:00:00"/>
    <d v="2023-06-21T00:00:00"/>
    <n v="5"/>
    <x v="1"/>
    <b v="0"/>
    <n v="139"/>
    <n v="463"/>
    <x v="4"/>
    <x v="1"/>
  </r>
  <r>
    <s v="PED-00139"/>
    <d v="2024-11-27T00:00:00"/>
    <x v="0"/>
    <x v="6"/>
    <n v="48"/>
    <x v="1"/>
    <x v="2"/>
    <s v="SKU-AUT-8912"/>
    <x v="0"/>
    <x v="2"/>
    <x v="3"/>
    <s v="DDP"/>
    <n v="188"/>
    <s v="Unidades"/>
    <n v="1061.3699999999999"/>
    <n v="199537.56"/>
    <n v="11130.93"/>
    <n v="5.578363291602844E-2"/>
    <n v="1"/>
    <d v="2024-11-28T00:00:00"/>
    <d v="2024-11-29T00:00:00"/>
    <n v="1"/>
    <x v="1"/>
    <b v="0"/>
    <n v="238"/>
    <n v="276"/>
    <x v="1"/>
    <x v="1"/>
  </r>
  <r>
    <s v="PED-00140"/>
    <d v="2024-03-08T00:00:00"/>
    <x v="0"/>
    <x v="8"/>
    <n v="10"/>
    <x v="9"/>
    <x v="4"/>
    <s v="SKU-TEX-9328"/>
    <x v="3"/>
    <x v="2"/>
    <x v="1"/>
    <s v="DAP"/>
    <n v="221"/>
    <s v="KG"/>
    <n v="85.64"/>
    <n v="18926.439999999999"/>
    <n v="794.19"/>
    <n v="4.1961932619129644E-2"/>
    <n v="27"/>
    <d v="2024-04-04T00:00:00"/>
    <d v="2024-04-09T00:00:00"/>
    <n v="5"/>
    <x v="2"/>
    <b v="0"/>
    <n v="77"/>
    <n v="128"/>
    <x v="0"/>
    <x v="0"/>
  </r>
  <r>
    <s v="PED-00141"/>
    <d v="2024-09-02T00:00:00"/>
    <x v="0"/>
    <x v="3"/>
    <n v="36"/>
    <x v="6"/>
    <x v="2"/>
    <s v="SKU-AUT-3903"/>
    <x v="4"/>
    <x v="5"/>
    <x v="0"/>
    <s v="FCA"/>
    <n v="814"/>
    <s v="Unidades"/>
    <n v="796.95"/>
    <n v="648717.30000000005"/>
    <n v="44389.4"/>
    <n v="6.8426416252503203E-2"/>
    <n v="5"/>
    <d v="2024-09-07T00:00:00"/>
    <d v="2024-09-04T00:00:00"/>
    <n v="-3"/>
    <x v="0"/>
    <b v="1"/>
    <n v="198"/>
    <n v="92"/>
    <x v="1"/>
    <x v="1"/>
  </r>
  <r>
    <s v="PED-00142"/>
    <d v="2023-03-07T00:00:00"/>
    <x v="1"/>
    <x v="8"/>
    <n v="10"/>
    <x v="8"/>
    <x v="0"/>
    <s v="SKU-MAQ-3845"/>
    <x v="4"/>
    <x v="0"/>
    <x v="3"/>
    <s v="CIF"/>
    <n v="243"/>
    <s v="Unidades"/>
    <n v="1951.53"/>
    <n v="474221.79"/>
    <n v="24373.66"/>
    <n v="5.1397174305297111E-2"/>
    <n v="10"/>
    <d v="2023-03-17T00:00:00"/>
    <d v="2023-03-14T00:00:00"/>
    <n v="-3"/>
    <x v="1"/>
    <b v="0"/>
    <n v="16"/>
    <n v="450"/>
    <x v="3"/>
    <x v="1"/>
  </r>
  <r>
    <s v="PED-00143"/>
    <d v="2024-01-30T00:00:00"/>
    <x v="0"/>
    <x v="2"/>
    <n v="5"/>
    <x v="5"/>
    <x v="1"/>
    <s v="SKU-FAR-3103"/>
    <x v="3"/>
    <x v="0"/>
    <x v="1"/>
    <s v="EXW"/>
    <n v="474"/>
    <s v="Metros"/>
    <n v="283.52"/>
    <n v="134388.48000000001"/>
    <n v="3629.14"/>
    <n v="2.7004844462858717E-2"/>
    <n v="7"/>
    <d v="2024-02-06T00:00:00"/>
    <d v="2024-02-06T00:00:00"/>
    <n v="0"/>
    <x v="0"/>
    <b v="1"/>
    <n v="217"/>
    <n v="395"/>
    <x v="0"/>
    <x v="0"/>
  </r>
  <r>
    <s v="PED-00144"/>
    <d v="2024-01-26T00:00:00"/>
    <x v="0"/>
    <x v="2"/>
    <n v="4"/>
    <x v="2"/>
    <x v="6"/>
    <s v="SKU-CON-2696"/>
    <x v="1"/>
    <x v="3"/>
    <x v="0"/>
    <s v="FOB"/>
    <n v="760"/>
    <s v="Palés"/>
    <n v="275.38"/>
    <n v="209288.8"/>
    <n v="5806.49"/>
    <n v="2.7743911762120096E-2"/>
    <n v="26"/>
    <d v="2024-02-21T00:00:00"/>
    <d v="2024-02-16T00:00:00"/>
    <n v="-5"/>
    <x v="0"/>
    <b v="1"/>
    <n v="228"/>
    <n v="379"/>
    <x v="2"/>
    <x v="1"/>
  </r>
  <r>
    <s v="PED-00145"/>
    <d v="2024-09-02T00:00:00"/>
    <x v="0"/>
    <x v="3"/>
    <n v="36"/>
    <x v="2"/>
    <x v="2"/>
    <s v="SKU-AUT-7347"/>
    <x v="1"/>
    <x v="1"/>
    <x v="2"/>
    <s v="CIF"/>
    <n v="232"/>
    <s v="KG"/>
    <n v="677"/>
    <n v="157064"/>
    <n v="8200.5499999999993"/>
    <n v="5.221151887128813E-2"/>
    <n v="9"/>
    <d v="2024-09-11T00:00:00"/>
    <d v="2024-09-10T00:00:00"/>
    <n v="-1"/>
    <x v="0"/>
    <b v="1"/>
    <n v="339"/>
    <n v="411"/>
    <x v="0"/>
    <x v="0"/>
  </r>
  <r>
    <s v="PED-00146"/>
    <d v="2024-04-24T00:00:00"/>
    <x v="0"/>
    <x v="1"/>
    <n v="17"/>
    <x v="9"/>
    <x v="5"/>
    <s v="SKU-ELE-6273"/>
    <x v="5"/>
    <x v="2"/>
    <x v="3"/>
    <s v="FOB"/>
    <n v="640"/>
    <s v="KG"/>
    <n v="732.52"/>
    <n v="468812.79999999999"/>
    <n v="35720.82"/>
    <n v="7.6194208007972483E-2"/>
    <n v="28"/>
    <d v="2024-05-22T00:00:00"/>
    <d v="2024-05-25T00:00:00"/>
    <n v="3"/>
    <x v="2"/>
    <b v="0"/>
    <n v="137"/>
    <n v="38"/>
    <x v="0"/>
    <x v="0"/>
  </r>
  <r>
    <s v="PED-00147"/>
    <d v="2024-06-25T00:00:00"/>
    <x v="0"/>
    <x v="10"/>
    <n v="26"/>
    <x v="6"/>
    <x v="6"/>
    <s v="SKU-CON-9259"/>
    <x v="2"/>
    <x v="0"/>
    <x v="1"/>
    <s v="DAP"/>
    <n v="834"/>
    <s v="Cajas"/>
    <n v="200.27"/>
    <n v="167025.18"/>
    <n v="6430.66"/>
    <n v="3.8501140965691523E-2"/>
    <n v="7"/>
    <d v="2024-07-02T00:00:00"/>
    <d v="2024-07-03T00:00:00"/>
    <n v="1"/>
    <x v="2"/>
    <b v="0"/>
    <n v="146"/>
    <n v="420"/>
    <x v="2"/>
    <x v="1"/>
  </r>
  <r>
    <s v="PED-00148"/>
    <d v="2023-09-15T00:00:00"/>
    <x v="1"/>
    <x v="3"/>
    <n v="37"/>
    <x v="4"/>
    <x v="4"/>
    <s v="SKU-TEX-7302"/>
    <x v="5"/>
    <x v="0"/>
    <x v="2"/>
    <s v="FCA"/>
    <n v="273"/>
    <s v="Unidades"/>
    <n v="58.28"/>
    <n v="15910.44"/>
    <n v="1148.3"/>
    <n v="7.2172736894768455E-2"/>
    <n v="9"/>
    <d v="2023-09-24T00:00:00"/>
    <d v="2023-09-25T00:00:00"/>
    <n v="1"/>
    <x v="1"/>
    <b v="0"/>
    <n v="209"/>
    <n v="478"/>
    <x v="1"/>
    <x v="1"/>
  </r>
  <r>
    <s v="PED-00149"/>
    <d v="2024-07-20T00:00:00"/>
    <x v="0"/>
    <x v="7"/>
    <n v="29"/>
    <x v="4"/>
    <x v="0"/>
    <s v="SKU-MAQ-7859"/>
    <x v="1"/>
    <x v="2"/>
    <x v="4"/>
    <s v="EXW"/>
    <n v="216"/>
    <s v="Cajas"/>
    <n v="1124.92"/>
    <n v="242982.72"/>
    <n v="15999.38"/>
    <n v="6.5845752323457407E-2"/>
    <n v="8"/>
    <d v="2024-07-28T00:00:00"/>
    <d v="2024-08-05T00:00:00"/>
    <n v="8"/>
    <x v="2"/>
    <b v="0"/>
    <n v="157"/>
    <n v="315"/>
    <x v="0"/>
    <x v="0"/>
  </r>
  <r>
    <s v="PED-00150"/>
    <d v="2023-01-12T00:00:00"/>
    <x v="1"/>
    <x v="2"/>
    <n v="2"/>
    <x v="0"/>
    <x v="5"/>
    <s v="SKU-ELE-5067"/>
    <x v="3"/>
    <x v="5"/>
    <x v="2"/>
    <s v="DAP"/>
    <n v="616"/>
    <s v="Metros"/>
    <n v="544.47"/>
    <n v="335393.52"/>
    <n v="11694.75"/>
    <n v="3.4868741650107012E-2"/>
    <n v="12"/>
    <d v="2023-01-24T00:00:00"/>
    <d v="2023-01-24T00:00:00"/>
    <n v="0"/>
    <x v="0"/>
    <b v="1"/>
    <n v="413"/>
    <n v="158"/>
    <x v="3"/>
    <x v="1"/>
  </r>
  <r>
    <s v="PED-00151"/>
    <d v="2024-11-27T00:00:00"/>
    <x v="0"/>
    <x v="6"/>
    <n v="48"/>
    <x v="0"/>
    <x v="5"/>
    <s v="SKU-ELE-5482"/>
    <x v="2"/>
    <x v="5"/>
    <x v="1"/>
    <s v="DAP"/>
    <n v="894"/>
    <s v="Litros"/>
    <n v="393.61"/>
    <n v="351887.34"/>
    <n v="7805.02"/>
    <n v="2.2180451277388949E-2"/>
    <n v="2"/>
    <d v="2024-11-29T00:00:00"/>
    <d v="2024-11-29T00:00:00"/>
    <n v="0"/>
    <x v="0"/>
    <b v="1"/>
    <n v="152"/>
    <n v="185"/>
    <x v="0"/>
    <x v="0"/>
  </r>
  <r>
    <s v="PED-00152"/>
    <d v="2023-04-28T00:00:00"/>
    <x v="1"/>
    <x v="1"/>
    <n v="17"/>
    <x v="5"/>
    <x v="5"/>
    <s v="SKU-ELE-7518"/>
    <x v="3"/>
    <x v="0"/>
    <x v="0"/>
    <s v="FCA"/>
    <n v="743"/>
    <s v="Unidades"/>
    <n v="449.42"/>
    <n v="333919.06"/>
    <n v="8718.91"/>
    <n v="2.6110848539163952E-2"/>
    <n v="1"/>
    <d v="2023-04-29T00:00:00"/>
    <d v="2023-04-29T00:00:00"/>
    <n v="0"/>
    <x v="0"/>
    <b v="1"/>
    <n v="343"/>
    <n v="480"/>
    <x v="2"/>
    <x v="1"/>
  </r>
  <r>
    <s v="PED-00153"/>
    <d v="2024-11-29T00:00:00"/>
    <x v="0"/>
    <x v="6"/>
    <n v="48"/>
    <x v="9"/>
    <x v="5"/>
    <s v="SKU-ELE-6617"/>
    <x v="5"/>
    <x v="5"/>
    <x v="4"/>
    <s v="DAP"/>
    <n v="375"/>
    <s v="Litros"/>
    <n v="476.78"/>
    <n v="178792.5"/>
    <n v="11390.81"/>
    <n v="6.3709663436665412E-2"/>
    <n v="16"/>
    <d v="2024-12-15T00:00:00"/>
    <d v="2024-12-15T00:00:00"/>
    <n v="0"/>
    <x v="0"/>
    <b v="1"/>
    <n v="329"/>
    <n v="352"/>
    <x v="4"/>
    <x v="1"/>
  </r>
  <r>
    <s v="PED-00154"/>
    <d v="2024-07-03T00:00:00"/>
    <x v="0"/>
    <x v="7"/>
    <n v="27"/>
    <x v="9"/>
    <x v="6"/>
    <s v="SKU-CON-5819"/>
    <x v="4"/>
    <x v="4"/>
    <x v="4"/>
    <s v="DAP"/>
    <n v="285"/>
    <s v="Palés"/>
    <n v="269.41000000000003"/>
    <n v="76781.850000000006"/>
    <n v="2455.5"/>
    <n v="3.1980214074029213E-2"/>
    <n v="23"/>
    <d v="2024-07-26T00:00:00"/>
    <d v="2024-08-03T00:00:00"/>
    <n v="8"/>
    <x v="2"/>
    <b v="0"/>
    <n v="382"/>
    <n v="255"/>
    <x v="2"/>
    <x v="1"/>
  </r>
  <r>
    <s v="PED-00155"/>
    <d v="2023-10-01T00:00:00"/>
    <x v="1"/>
    <x v="0"/>
    <n v="40"/>
    <x v="1"/>
    <x v="6"/>
    <s v="SKU-CON-8419"/>
    <x v="3"/>
    <x v="2"/>
    <x v="4"/>
    <s v="FOB"/>
    <n v="389"/>
    <s v="Metros"/>
    <n v="280.08"/>
    <n v="108951.12"/>
    <n v="4606.05"/>
    <n v="4.2276297848062513E-2"/>
    <n v="23"/>
    <d v="2023-10-24T00:00:00"/>
    <d v="2023-11-01T00:00:00"/>
    <n v="8"/>
    <x v="2"/>
    <b v="0"/>
    <n v="449"/>
    <n v="238"/>
    <x v="0"/>
    <x v="0"/>
  </r>
  <r>
    <s v="PED-00156"/>
    <d v="2024-10-18T00:00:00"/>
    <x v="0"/>
    <x v="0"/>
    <n v="42"/>
    <x v="2"/>
    <x v="1"/>
    <s v="SKU-FAR-3185"/>
    <x v="5"/>
    <x v="0"/>
    <x v="3"/>
    <s v="DDP"/>
    <n v="752"/>
    <s v="Unidades"/>
    <n v="188.39"/>
    <n v="141669.28"/>
    <n v="7097.91"/>
    <n v="5.0101969883661439E-2"/>
    <n v="24"/>
    <d v="2024-11-11T00:00:00"/>
    <d v="2024-11-10T00:00:00"/>
    <n v="-1"/>
    <x v="0"/>
    <b v="1"/>
    <n v="357"/>
    <n v="103"/>
    <x v="0"/>
    <x v="0"/>
  </r>
  <r>
    <s v="PED-00157"/>
    <d v="2023-12-15T00:00:00"/>
    <x v="1"/>
    <x v="11"/>
    <n v="50"/>
    <x v="2"/>
    <x v="2"/>
    <s v="SKU-AUT-3263"/>
    <x v="5"/>
    <x v="2"/>
    <x v="1"/>
    <s v="FOB"/>
    <n v="318"/>
    <s v="Cajas"/>
    <n v="1109.57"/>
    <n v="352843.26"/>
    <n v="22415.46"/>
    <n v="6.3528094599284671E-2"/>
    <n v="5"/>
    <d v="2023-12-20T00:00:00"/>
    <d v="2023-12-15T00:00:00"/>
    <n v="-5"/>
    <x v="0"/>
    <b v="1"/>
    <n v="351"/>
    <n v="394"/>
    <x v="0"/>
    <x v="0"/>
  </r>
  <r>
    <s v="PED-00158"/>
    <d v="2023-04-25T00:00:00"/>
    <x v="1"/>
    <x v="1"/>
    <n v="17"/>
    <x v="2"/>
    <x v="3"/>
    <s v="SKU-QUÍ-7762"/>
    <x v="5"/>
    <x v="5"/>
    <x v="4"/>
    <s v="FCA"/>
    <n v="640"/>
    <s v="Cajas"/>
    <n v="166.29"/>
    <n v="106425.60000000001"/>
    <n v="2851.55"/>
    <n v="2.679383531781827E-2"/>
    <n v="3"/>
    <d v="2023-04-28T00:00:00"/>
    <d v="2023-05-10T00:00:00"/>
    <n v="12"/>
    <x v="2"/>
    <b v="0"/>
    <n v="162"/>
    <n v="365"/>
    <x v="0"/>
    <x v="0"/>
  </r>
  <r>
    <s v="PED-00159"/>
    <d v="2023-10-28T00:00:00"/>
    <x v="1"/>
    <x v="0"/>
    <n v="43"/>
    <x v="3"/>
    <x v="1"/>
    <s v="SKU-FAR-9393"/>
    <x v="4"/>
    <x v="2"/>
    <x v="2"/>
    <s v="CIF"/>
    <n v="277"/>
    <s v="Unidades"/>
    <n v="262.33999999999997"/>
    <n v="72668.179999999993"/>
    <n v="3225.16"/>
    <n v="4.4382011493889074E-2"/>
    <n v="12"/>
    <d v="2023-11-09T00:00:00"/>
    <d v="2023-11-11T00:00:00"/>
    <n v="2"/>
    <x v="1"/>
    <b v="0"/>
    <n v="306"/>
    <n v="28"/>
    <x v="4"/>
    <x v="1"/>
  </r>
  <r>
    <s v="PED-00160"/>
    <d v="2024-03-21T00:00:00"/>
    <x v="0"/>
    <x v="8"/>
    <n v="12"/>
    <x v="6"/>
    <x v="1"/>
    <s v="SKU-FAR-5897"/>
    <x v="4"/>
    <x v="5"/>
    <x v="0"/>
    <s v="FCA"/>
    <n v="954"/>
    <s v="Cajas"/>
    <n v="163.47"/>
    <n v="155950.38"/>
    <n v="7657.85"/>
    <n v="4.9104401028070593E-2"/>
    <n v="8"/>
    <d v="2024-03-29T00:00:00"/>
    <d v="2024-04-10T00:00:00"/>
    <n v="12"/>
    <x v="1"/>
    <b v="0"/>
    <n v="100"/>
    <n v="88"/>
    <x v="2"/>
    <x v="1"/>
  </r>
  <r>
    <s v="PED-00161"/>
    <d v="2023-06-11T00:00:00"/>
    <x v="1"/>
    <x v="10"/>
    <n v="24"/>
    <x v="7"/>
    <x v="0"/>
    <s v="SKU-MAQ-9975"/>
    <x v="4"/>
    <x v="5"/>
    <x v="1"/>
    <s v="FCA"/>
    <n v="794"/>
    <s v="Unidades"/>
    <n v="1878.39"/>
    <n v="1491441.66"/>
    <n v="78225.55"/>
    <n v="5.2449621126983946E-2"/>
    <n v="22"/>
    <d v="2023-07-03T00:00:00"/>
    <d v="2023-07-03T00:00:00"/>
    <n v="0"/>
    <x v="0"/>
    <b v="1"/>
    <n v="326"/>
    <n v="374"/>
    <x v="0"/>
    <x v="0"/>
  </r>
  <r>
    <s v="PED-00162"/>
    <d v="2024-04-09T00:00:00"/>
    <x v="0"/>
    <x v="1"/>
    <n v="15"/>
    <x v="1"/>
    <x v="0"/>
    <s v="SKU-MAQ-6143"/>
    <x v="2"/>
    <x v="2"/>
    <x v="2"/>
    <s v="FCA"/>
    <n v="73"/>
    <s v="KG"/>
    <n v="2184.0300000000002"/>
    <n v="159434.19"/>
    <n v="11017.16"/>
    <n v="6.9101614904557171E-2"/>
    <n v="27"/>
    <d v="2024-05-06T00:00:00"/>
    <d v="2024-05-06T00:00:00"/>
    <n v="0"/>
    <x v="0"/>
    <b v="1"/>
    <n v="326"/>
    <n v="396"/>
    <x v="2"/>
    <x v="1"/>
  </r>
  <r>
    <s v="PED-00163"/>
    <d v="2023-01-04T00:00:00"/>
    <x v="1"/>
    <x v="2"/>
    <n v="1"/>
    <x v="4"/>
    <x v="2"/>
    <s v="SKU-AUT-4560"/>
    <x v="4"/>
    <x v="5"/>
    <x v="3"/>
    <s v="FCA"/>
    <n v="819"/>
    <s v="Cajas"/>
    <n v="996.83"/>
    <n v="816403.77"/>
    <n v="24737.599999999999"/>
    <n v="3.0300693001454413E-2"/>
    <n v="3"/>
    <d v="2023-01-07T00:00:00"/>
    <d v="2023-01-15T00:00:00"/>
    <n v="8"/>
    <x v="2"/>
    <b v="0"/>
    <n v="154"/>
    <n v="50"/>
    <x v="3"/>
    <x v="1"/>
  </r>
  <r>
    <s v="PED-00164"/>
    <d v="2023-09-27T00:00:00"/>
    <x v="1"/>
    <x v="3"/>
    <n v="39"/>
    <x v="9"/>
    <x v="3"/>
    <s v="SKU-QUÍ-4291"/>
    <x v="4"/>
    <x v="4"/>
    <x v="4"/>
    <s v="DAP"/>
    <n v="359"/>
    <s v="Unidades"/>
    <n v="115.84"/>
    <n v="41586.559999999998"/>
    <n v="2847.43"/>
    <n v="6.8469957601686698E-2"/>
    <n v="1"/>
    <d v="2023-09-28T00:00:00"/>
    <d v="2023-09-28T00:00:00"/>
    <n v="0"/>
    <x v="0"/>
    <b v="1"/>
    <n v="9"/>
    <n v="363"/>
    <x v="2"/>
    <x v="1"/>
  </r>
  <r>
    <s v="PED-00165"/>
    <d v="2024-05-27T00:00:00"/>
    <x v="0"/>
    <x v="5"/>
    <n v="22"/>
    <x v="4"/>
    <x v="0"/>
    <s v="SKU-MAQ-4435"/>
    <x v="4"/>
    <x v="3"/>
    <x v="2"/>
    <s v="FCA"/>
    <n v="934"/>
    <s v="Unidades"/>
    <n v="1650.7"/>
    <n v="1541753.8"/>
    <n v="94929.95"/>
    <n v="6.1572703761132289E-2"/>
    <n v="3"/>
    <d v="2024-05-30T00:00:00"/>
    <d v="2024-05-30T00:00:00"/>
    <n v="0"/>
    <x v="0"/>
    <b v="1"/>
    <n v="352"/>
    <n v="437"/>
    <x v="3"/>
    <x v="1"/>
  </r>
  <r>
    <s v="PED-00166"/>
    <d v="2023-07-02T00:00:00"/>
    <x v="1"/>
    <x v="7"/>
    <n v="27"/>
    <x v="3"/>
    <x v="2"/>
    <s v="SKU-AUT-5760"/>
    <x v="3"/>
    <x v="2"/>
    <x v="1"/>
    <s v="CIF"/>
    <n v="924"/>
    <s v="Cajas"/>
    <n v="973.26"/>
    <n v="899292.24"/>
    <n v="47979.26"/>
    <n v="5.335224509443115E-2"/>
    <n v="5"/>
    <d v="2023-07-07T00:00:00"/>
    <d v="2023-07-06T00:00:00"/>
    <n v="-1"/>
    <x v="0"/>
    <b v="1"/>
    <n v="426"/>
    <n v="146"/>
    <x v="2"/>
    <x v="1"/>
  </r>
  <r>
    <s v="PED-00167"/>
    <d v="2024-06-03T00:00:00"/>
    <x v="0"/>
    <x v="10"/>
    <n v="23"/>
    <x v="4"/>
    <x v="2"/>
    <s v="SKU-AUT-6657"/>
    <x v="4"/>
    <x v="3"/>
    <x v="2"/>
    <s v="FCA"/>
    <n v="503"/>
    <s v="KG"/>
    <n v="886.77"/>
    <n v="446045.31"/>
    <n v="27642.17"/>
    <n v="6.1971663820431157E-2"/>
    <n v="15"/>
    <d v="2024-06-18T00:00:00"/>
    <d v="2024-06-21T00:00:00"/>
    <n v="3"/>
    <x v="2"/>
    <b v="0"/>
    <n v="182"/>
    <n v="313"/>
    <x v="3"/>
    <x v="1"/>
  </r>
  <r>
    <s v="PED-00168"/>
    <d v="2023-04-19T00:00:00"/>
    <x v="1"/>
    <x v="1"/>
    <n v="16"/>
    <x v="2"/>
    <x v="6"/>
    <s v="SKU-CON-3173"/>
    <x v="2"/>
    <x v="2"/>
    <x v="3"/>
    <s v="FOB"/>
    <n v="532"/>
    <s v="Cajas"/>
    <n v="159.19"/>
    <n v="84689.08"/>
    <n v="3787.39"/>
    <n v="4.4721113985415825E-2"/>
    <n v="14"/>
    <d v="2023-05-03T00:00:00"/>
    <d v="2023-05-03T00:00:00"/>
    <n v="0"/>
    <x v="0"/>
    <b v="1"/>
    <n v="454"/>
    <n v="35"/>
    <x v="0"/>
    <x v="0"/>
  </r>
  <r>
    <s v="PED-00169"/>
    <d v="2024-10-02T00:00:00"/>
    <x v="0"/>
    <x v="0"/>
    <n v="40"/>
    <x v="8"/>
    <x v="7"/>
    <s v="SKU-ALI-3913"/>
    <x v="5"/>
    <x v="5"/>
    <x v="0"/>
    <s v="DAP"/>
    <n v="107"/>
    <s v="Unidades"/>
    <n v="75.97"/>
    <n v="8128.79"/>
    <n v="230.08"/>
    <n v="2.8304335577619796E-2"/>
    <n v="3"/>
    <d v="2024-10-05T00:00:00"/>
    <d v="2024-10-04T00:00:00"/>
    <n v="-1"/>
    <x v="0"/>
    <b v="1"/>
    <n v="133"/>
    <n v="283"/>
    <x v="1"/>
    <x v="1"/>
  </r>
  <r>
    <s v="PED-00170"/>
    <d v="2023-11-02T00:00:00"/>
    <x v="1"/>
    <x v="6"/>
    <n v="44"/>
    <x v="1"/>
    <x v="6"/>
    <s v="SKU-CON-9255"/>
    <x v="3"/>
    <x v="5"/>
    <x v="4"/>
    <s v="FOB"/>
    <n v="955"/>
    <s v="KG"/>
    <n v="268.38"/>
    <n v="256302.9"/>
    <n v="15364.31"/>
    <n v="5.994590775211673E-2"/>
    <n v="1"/>
    <d v="2023-11-03T00:00:00"/>
    <d v="2023-11-11T00:00:00"/>
    <n v="8"/>
    <x v="2"/>
    <b v="0"/>
    <n v="5"/>
    <n v="451"/>
    <x v="3"/>
    <x v="1"/>
  </r>
  <r>
    <s v="PED-00171"/>
    <d v="2024-10-16T00:00:00"/>
    <x v="0"/>
    <x v="0"/>
    <n v="42"/>
    <x v="8"/>
    <x v="3"/>
    <s v="SKU-QUÍ-9888"/>
    <x v="1"/>
    <x v="0"/>
    <x v="1"/>
    <s v="DAP"/>
    <n v="80"/>
    <s v="Litros"/>
    <n v="166.7"/>
    <n v="13336"/>
    <n v="686.54"/>
    <n v="5.1480203959208153E-2"/>
    <n v="5"/>
    <d v="2024-10-21T00:00:00"/>
    <d v="2024-10-16T00:00:00"/>
    <n v="-5"/>
    <x v="0"/>
    <b v="1"/>
    <n v="332"/>
    <n v="386"/>
    <x v="1"/>
    <x v="1"/>
  </r>
  <r>
    <s v="PED-00172"/>
    <d v="2024-06-03T00:00:00"/>
    <x v="0"/>
    <x v="10"/>
    <n v="23"/>
    <x v="0"/>
    <x v="0"/>
    <s v="SKU-MAQ-6281"/>
    <x v="4"/>
    <x v="4"/>
    <x v="4"/>
    <s v="FOB"/>
    <n v="373"/>
    <s v="Palés"/>
    <n v="1214.76"/>
    <n v="453105.48"/>
    <n v="26444.36"/>
    <n v="5.8362481071736326E-2"/>
    <n v="26"/>
    <d v="2024-06-29T00:00:00"/>
    <d v="2024-07-04T00:00:00"/>
    <n v="5"/>
    <x v="2"/>
    <b v="0"/>
    <n v="431"/>
    <n v="485"/>
    <x v="1"/>
    <x v="1"/>
  </r>
  <r>
    <s v="PED-00173"/>
    <d v="2024-09-15T00:00:00"/>
    <x v="0"/>
    <x v="3"/>
    <n v="38"/>
    <x v="8"/>
    <x v="3"/>
    <s v="SKU-QUÍ-2890"/>
    <x v="5"/>
    <x v="0"/>
    <x v="4"/>
    <s v="EXW"/>
    <n v="579"/>
    <s v="Cajas"/>
    <n v="175.43"/>
    <n v="101573.97"/>
    <n v="4091.39"/>
    <n v="4.0279906357898583E-2"/>
    <n v="23"/>
    <d v="2024-10-08T00:00:00"/>
    <d v="2024-10-20T00:00:00"/>
    <n v="12"/>
    <x v="2"/>
    <b v="0"/>
    <n v="332"/>
    <n v="100"/>
    <x v="0"/>
    <x v="0"/>
  </r>
  <r>
    <s v="PED-00174"/>
    <d v="2023-07-23T00:00:00"/>
    <x v="1"/>
    <x v="7"/>
    <n v="30"/>
    <x v="7"/>
    <x v="1"/>
    <s v="SKU-FAR-6771"/>
    <x v="5"/>
    <x v="3"/>
    <x v="4"/>
    <s v="DDP"/>
    <n v="811"/>
    <s v="Metros"/>
    <n v="192.61"/>
    <n v="156206.71"/>
    <n v="11623.65"/>
    <n v="7.4411976284501483E-2"/>
    <n v="14"/>
    <d v="2023-08-06T00:00:00"/>
    <d v="2023-08-06T00:00:00"/>
    <n v="0"/>
    <x v="0"/>
    <b v="1"/>
    <n v="257"/>
    <n v="106"/>
    <x v="0"/>
    <x v="0"/>
  </r>
  <r>
    <s v="PED-00175"/>
    <d v="2023-06-06T00:00:00"/>
    <x v="1"/>
    <x v="10"/>
    <n v="23"/>
    <x v="9"/>
    <x v="1"/>
    <s v="SKU-FAR-8870"/>
    <x v="3"/>
    <x v="5"/>
    <x v="2"/>
    <s v="DDP"/>
    <n v="772"/>
    <s v="Unidades"/>
    <n v="245.97"/>
    <n v="189888.84"/>
    <n v="10489.88"/>
    <n v="5.5242214339715802E-2"/>
    <n v="7"/>
    <d v="2023-06-13T00:00:00"/>
    <d v="2023-06-10T00:00:00"/>
    <n v="-3"/>
    <x v="0"/>
    <b v="1"/>
    <n v="210"/>
    <n v="344"/>
    <x v="4"/>
    <x v="1"/>
  </r>
  <r>
    <s v="PED-00176"/>
    <d v="2024-01-18T00:00:00"/>
    <x v="0"/>
    <x v="2"/>
    <n v="3"/>
    <x v="3"/>
    <x v="3"/>
    <s v="SKU-QUÍ-7839"/>
    <x v="1"/>
    <x v="0"/>
    <x v="2"/>
    <s v="DAP"/>
    <n v="285"/>
    <s v="KG"/>
    <n v="156.18"/>
    <n v="44511.3"/>
    <n v="1118.31"/>
    <n v="2.5124181949302757E-2"/>
    <n v="27"/>
    <d v="2024-02-14T00:00:00"/>
    <d v="2024-02-13T00:00:00"/>
    <n v="-1"/>
    <x v="0"/>
    <b v="1"/>
    <n v="50"/>
    <n v="424"/>
    <x v="1"/>
    <x v="1"/>
  </r>
  <r>
    <s v="PED-00177"/>
    <d v="2023-06-15T00:00:00"/>
    <x v="1"/>
    <x v="10"/>
    <n v="24"/>
    <x v="9"/>
    <x v="7"/>
    <s v="SKU-ALI-9747"/>
    <x v="0"/>
    <x v="5"/>
    <x v="0"/>
    <s v="EXW"/>
    <n v="59"/>
    <s v="KG"/>
    <n v="107.96"/>
    <n v="6369.64"/>
    <n v="299.3"/>
    <n v="4.6988526824121926E-2"/>
    <n v="9"/>
    <d v="2023-06-24T00:00:00"/>
    <d v="2023-06-19T00:00:00"/>
    <n v="-5"/>
    <x v="0"/>
    <b v="1"/>
    <n v="444"/>
    <n v="290"/>
    <x v="2"/>
    <x v="1"/>
  </r>
  <r>
    <s v="PED-00178"/>
    <d v="2024-07-06T00:00:00"/>
    <x v="0"/>
    <x v="7"/>
    <n v="27"/>
    <x v="7"/>
    <x v="7"/>
    <s v="SKU-ALI-5684"/>
    <x v="2"/>
    <x v="2"/>
    <x v="3"/>
    <s v="CIF"/>
    <n v="367"/>
    <s v="Litros"/>
    <n v="116.53"/>
    <n v="42766.51"/>
    <n v="2796.13"/>
    <n v="6.5381299526194675E-2"/>
    <n v="15"/>
    <d v="2024-07-21T00:00:00"/>
    <d v="2024-07-24T00:00:00"/>
    <n v="3"/>
    <x v="2"/>
    <b v="0"/>
    <n v="146"/>
    <n v="348"/>
    <x v="0"/>
    <x v="0"/>
  </r>
  <r>
    <s v="PED-00179"/>
    <d v="2024-06-27T00:00:00"/>
    <x v="0"/>
    <x v="10"/>
    <n v="26"/>
    <x v="9"/>
    <x v="6"/>
    <s v="SKU-CON-7920"/>
    <x v="0"/>
    <x v="0"/>
    <x v="1"/>
    <s v="EXW"/>
    <n v="737"/>
    <s v="Cajas"/>
    <n v="190.07"/>
    <n v="140081.59"/>
    <n v="9476.25"/>
    <n v="6.7648075667901833E-2"/>
    <n v="15"/>
    <d v="2024-07-12T00:00:00"/>
    <d v="2024-07-14T00:00:00"/>
    <n v="2"/>
    <x v="1"/>
    <b v="0"/>
    <n v="497"/>
    <n v="104"/>
    <x v="0"/>
    <x v="0"/>
  </r>
  <r>
    <s v="PED-00180"/>
    <d v="2023-01-01T00:00:00"/>
    <x v="1"/>
    <x v="2"/>
    <n v="1"/>
    <x v="8"/>
    <x v="3"/>
    <s v="SKU-QUÍ-1209"/>
    <x v="5"/>
    <x v="3"/>
    <x v="2"/>
    <s v="DAP"/>
    <n v="915"/>
    <s v="Metros"/>
    <n v="166.42"/>
    <n v="152274.29999999999"/>
    <n v="7564.35"/>
    <n v="4.9675815288594341E-2"/>
    <n v="26"/>
    <d v="2023-01-27T00:00:00"/>
    <d v="2023-02-08T00:00:00"/>
    <n v="12"/>
    <x v="1"/>
    <b v="0"/>
    <n v="376"/>
    <n v="220"/>
    <x v="1"/>
    <x v="1"/>
  </r>
  <r>
    <s v="PED-00181"/>
    <d v="2024-09-05T00:00:00"/>
    <x v="0"/>
    <x v="3"/>
    <n v="36"/>
    <x v="6"/>
    <x v="0"/>
    <s v="SKU-MAQ-9564"/>
    <x v="0"/>
    <x v="0"/>
    <x v="4"/>
    <s v="EXW"/>
    <n v="937"/>
    <s v="KG"/>
    <n v="1208.02"/>
    <n v="1131914.74"/>
    <n v="83404.97"/>
    <n v="7.3684851917380279E-2"/>
    <n v="10"/>
    <d v="2024-09-15T00:00:00"/>
    <d v="2024-09-12T00:00:00"/>
    <n v="-3"/>
    <x v="0"/>
    <b v="1"/>
    <n v="127"/>
    <n v="75"/>
    <x v="0"/>
    <x v="0"/>
  </r>
  <r>
    <s v="PED-00182"/>
    <d v="2023-11-28T00:00:00"/>
    <x v="1"/>
    <x v="6"/>
    <n v="48"/>
    <x v="9"/>
    <x v="6"/>
    <s v="SKU-CON-2744"/>
    <x v="5"/>
    <x v="5"/>
    <x v="3"/>
    <s v="CIF"/>
    <n v="573"/>
    <s v="Litros"/>
    <n v="252.81"/>
    <n v="144860.13"/>
    <n v="5223.67"/>
    <n v="3.6060094658205817E-2"/>
    <n v="28"/>
    <d v="2023-12-26T00:00:00"/>
    <d v="2024-01-07T00:00:00"/>
    <n v="12"/>
    <x v="2"/>
    <b v="0"/>
    <n v="485"/>
    <n v="226"/>
    <x v="2"/>
    <x v="1"/>
  </r>
  <r>
    <s v="PED-00183"/>
    <d v="2024-05-15T00:00:00"/>
    <x v="0"/>
    <x v="5"/>
    <n v="20"/>
    <x v="0"/>
    <x v="4"/>
    <s v="SKU-TEX-1414"/>
    <x v="0"/>
    <x v="1"/>
    <x v="1"/>
    <s v="DAP"/>
    <n v="792"/>
    <s v="Unidades"/>
    <n v="77.61"/>
    <n v="61467.12"/>
    <n v="2743.64"/>
    <n v="4.4635896394690358E-2"/>
    <n v="13"/>
    <d v="2024-05-28T00:00:00"/>
    <d v="2024-06-05T00:00:00"/>
    <n v="8"/>
    <x v="2"/>
    <b v="0"/>
    <n v="257"/>
    <n v="83"/>
    <x v="2"/>
    <x v="1"/>
  </r>
  <r>
    <s v="PED-00184"/>
    <d v="2023-01-20T00:00:00"/>
    <x v="1"/>
    <x v="2"/>
    <n v="3"/>
    <x v="1"/>
    <x v="7"/>
    <s v="SKU-ALI-7240"/>
    <x v="5"/>
    <x v="1"/>
    <x v="1"/>
    <s v="DDP"/>
    <n v="494"/>
    <s v="Litros"/>
    <n v="99.37"/>
    <n v="49088.78"/>
    <n v="3628.44"/>
    <n v="7.3915872425430004E-2"/>
    <n v="19"/>
    <d v="2023-02-08T00:00:00"/>
    <d v="2023-02-10T00:00:00"/>
    <n v="2"/>
    <x v="1"/>
    <b v="0"/>
    <n v="50"/>
    <n v="464"/>
    <x v="0"/>
    <x v="0"/>
  </r>
  <r>
    <s v="PED-00185"/>
    <d v="2023-04-25T00:00:00"/>
    <x v="1"/>
    <x v="1"/>
    <n v="17"/>
    <x v="1"/>
    <x v="5"/>
    <s v="SKU-ELE-3381"/>
    <x v="5"/>
    <x v="4"/>
    <x v="1"/>
    <s v="FCA"/>
    <n v="93"/>
    <s v="Cajas"/>
    <n v="450.93"/>
    <n v="41936.49"/>
    <n v="3093.88"/>
    <n v="7.3775368420199217E-2"/>
    <n v="7"/>
    <d v="2023-05-02T00:00:00"/>
    <d v="2023-05-14T00:00:00"/>
    <n v="12"/>
    <x v="2"/>
    <b v="0"/>
    <n v="153"/>
    <n v="75"/>
    <x v="0"/>
    <x v="0"/>
  </r>
  <r>
    <s v="PED-00186"/>
    <d v="2024-01-07T00:00:00"/>
    <x v="0"/>
    <x v="2"/>
    <n v="2"/>
    <x v="4"/>
    <x v="6"/>
    <s v="SKU-CON-1869"/>
    <x v="3"/>
    <x v="5"/>
    <x v="1"/>
    <s v="EXW"/>
    <n v="908"/>
    <s v="Litros"/>
    <n v="279.69"/>
    <n v="253958.52"/>
    <n v="15527.73"/>
    <n v="6.1142780324912903E-2"/>
    <n v="17"/>
    <d v="2024-01-24T00:00:00"/>
    <d v="2024-01-27T00:00:00"/>
    <n v="3"/>
    <x v="1"/>
    <b v="0"/>
    <n v="69"/>
    <n v="248"/>
    <x v="0"/>
    <x v="0"/>
  </r>
  <r>
    <s v="PED-00187"/>
    <d v="2023-11-11T00:00:00"/>
    <x v="1"/>
    <x v="6"/>
    <n v="45"/>
    <x v="5"/>
    <x v="1"/>
    <s v="SKU-FAR-1927"/>
    <x v="1"/>
    <x v="2"/>
    <x v="0"/>
    <s v="DDP"/>
    <n v="814"/>
    <s v="KG"/>
    <n v="167.02"/>
    <n v="135954.28"/>
    <n v="9726.01"/>
    <n v="7.1538829082835792E-2"/>
    <n v="20"/>
    <d v="2023-12-01T00:00:00"/>
    <d v="2023-11-26T00:00:00"/>
    <n v="-5"/>
    <x v="0"/>
    <b v="1"/>
    <n v="275"/>
    <n v="254"/>
    <x v="3"/>
    <x v="1"/>
  </r>
  <r>
    <s v="PED-00188"/>
    <d v="2023-09-03T00:00:00"/>
    <x v="1"/>
    <x v="3"/>
    <n v="36"/>
    <x v="8"/>
    <x v="6"/>
    <s v="SKU-CON-4275"/>
    <x v="5"/>
    <x v="0"/>
    <x v="1"/>
    <s v="DDP"/>
    <n v="647"/>
    <s v="KG"/>
    <n v="148.58000000000001"/>
    <n v="96131.26"/>
    <n v="2434.66"/>
    <n v="2.5326413073125224E-2"/>
    <n v="29"/>
    <d v="2023-10-02T00:00:00"/>
    <d v="2023-10-02T00:00:00"/>
    <n v="0"/>
    <x v="0"/>
    <b v="1"/>
    <n v="278"/>
    <n v="49"/>
    <x v="3"/>
    <x v="1"/>
  </r>
  <r>
    <s v="PED-00189"/>
    <d v="2023-03-01T00:00:00"/>
    <x v="1"/>
    <x v="8"/>
    <n v="9"/>
    <x v="2"/>
    <x v="3"/>
    <s v="SKU-QUÍ-5374"/>
    <x v="2"/>
    <x v="1"/>
    <x v="3"/>
    <s v="FOB"/>
    <n v="817"/>
    <s v="Palés"/>
    <n v="152.88"/>
    <n v="124902.96"/>
    <n v="8980.49"/>
    <n v="7.1899737203986194E-2"/>
    <n v="4"/>
    <d v="2023-03-05T00:00:00"/>
    <d v="2023-03-07T00:00:00"/>
    <n v="2"/>
    <x v="2"/>
    <b v="0"/>
    <n v="309"/>
    <n v="355"/>
    <x v="3"/>
    <x v="1"/>
  </r>
  <r>
    <s v="PED-00190"/>
    <d v="2023-09-04T00:00:00"/>
    <x v="1"/>
    <x v="3"/>
    <n v="36"/>
    <x v="7"/>
    <x v="5"/>
    <s v="SKU-ELE-3636"/>
    <x v="2"/>
    <x v="2"/>
    <x v="2"/>
    <s v="CIF"/>
    <n v="593"/>
    <s v="Litros"/>
    <n v="540.19000000000005"/>
    <n v="320332.67"/>
    <n v="12568.96"/>
    <n v="3.9237209242504047E-2"/>
    <n v="5"/>
    <d v="2023-09-09T00:00:00"/>
    <d v="2023-09-17T00:00:00"/>
    <n v="8"/>
    <x v="1"/>
    <b v="0"/>
    <n v="398"/>
    <n v="457"/>
    <x v="0"/>
    <x v="0"/>
  </r>
  <r>
    <s v="PED-00191"/>
    <d v="2024-08-03T00:00:00"/>
    <x v="0"/>
    <x v="4"/>
    <n v="31"/>
    <x v="3"/>
    <x v="3"/>
    <s v="SKU-QUÍ-5695"/>
    <x v="4"/>
    <x v="5"/>
    <x v="3"/>
    <s v="FCA"/>
    <n v="305"/>
    <s v="Unidades"/>
    <n v="165.51"/>
    <n v="50480.55"/>
    <n v="1549.75"/>
    <n v="3.0699942849275609E-2"/>
    <n v="23"/>
    <d v="2024-08-26T00:00:00"/>
    <d v="2024-08-23T00:00:00"/>
    <n v="-3"/>
    <x v="0"/>
    <b v="1"/>
    <n v="133"/>
    <n v="209"/>
    <x v="3"/>
    <x v="1"/>
  </r>
  <r>
    <s v="PED-00192"/>
    <d v="2023-03-22T00:00:00"/>
    <x v="1"/>
    <x v="8"/>
    <n v="12"/>
    <x v="8"/>
    <x v="2"/>
    <s v="SKU-AUT-5105"/>
    <x v="5"/>
    <x v="2"/>
    <x v="4"/>
    <s v="EXW"/>
    <n v="245"/>
    <s v="Metros"/>
    <n v="805.37"/>
    <n v="197315.65"/>
    <n v="6780.2"/>
    <n v="3.4362200869520486E-2"/>
    <n v="7"/>
    <d v="2023-03-29T00:00:00"/>
    <d v="2023-03-29T00:00:00"/>
    <n v="0"/>
    <x v="0"/>
    <b v="1"/>
    <n v="219"/>
    <n v="157"/>
    <x v="1"/>
    <x v="1"/>
  </r>
  <r>
    <s v="PED-00193"/>
    <d v="2023-03-29T00:00:00"/>
    <x v="1"/>
    <x v="8"/>
    <n v="13"/>
    <x v="1"/>
    <x v="1"/>
    <s v="SKU-FAR-3399"/>
    <x v="5"/>
    <x v="5"/>
    <x v="0"/>
    <s v="DDP"/>
    <n v="65"/>
    <s v="Metros"/>
    <n v="166.92"/>
    <n v="10849.8"/>
    <n v="489.09"/>
    <n v="4.5078250290327936E-2"/>
    <n v="13"/>
    <d v="2023-04-11T00:00:00"/>
    <d v="2023-04-12T00:00:00"/>
    <n v="1"/>
    <x v="2"/>
    <b v="0"/>
    <n v="162"/>
    <n v="327"/>
    <x v="2"/>
    <x v="1"/>
  </r>
  <r>
    <s v="PED-00194"/>
    <d v="2024-05-12T00:00:00"/>
    <x v="0"/>
    <x v="5"/>
    <n v="20"/>
    <x v="4"/>
    <x v="1"/>
    <s v="SKU-FAR-2016"/>
    <x v="5"/>
    <x v="4"/>
    <x v="0"/>
    <s v="DDP"/>
    <n v="928"/>
    <s v="Cajas"/>
    <n v="273.83"/>
    <n v="254114.24"/>
    <n v="8912.17"/>
    <n v="3.5071509569869048E-2"/>
    <n v="15"/>
    <d v="2024-05-27T00:00:00"/>
    <d v="2024-05-26T00:00:00"/>
    <n v="-1"/>
    <x v="0"/>
    <b v="1"/>
    <n v="458"/>
    <n v="232"/>
    <x v="4"/>
    <x v="1"/>
  </r>
  <r>
    <s v="PED-00195"/>
    <d v="2023-03-12T00:00:00"/>
    <x v="1"/>
    <x v="8"/>
    <n v="11"/>
    <x v="9"/>
    <x v="7"/>
    <s v="SKU-ALI-5835"/>
    <x v="0"/>
    <x v="0"/>
    <x v="4"/>
    <s v="CIF"/>
    <n v="369"/>
    <s v="Palés"/>
    <n v="91.13"/>
    <n v="33626.97"/>
    <n v="1319.32"/>
    <n v="3.9233983912317999E-2"/>
    <n v="11"/>
    <d v="2023-03-23T00:00:00"/>
    <d v="2023-04-04T00:00:00"/>
    <n v="12"/>
    <x v="2"/>
    <b v="0"/>
    <n v="135"/>
    <n v="370"/>
    <x v="0"/>
    <x v="0"/>
  </r>
  <r>
    <s v="PED-00196"/>
    <d v="2024-06-29T00:00:00"/>
    <x v="0"/>
    <x v="10"/>
    <n v="26"/>
    <x v="2"/>
    <x v="6"/>
    <s v="SKU-CON-4342"/>
    <x v="5"/>
    <x v="2"/>
    <x v="3"/>
    <s v="FCA"/>
    <n v="916"/>
    <s v="Litros"/>
    <n v="170.27"/>
    <n v="155967.32"/>
    <n v="4382.4799999999996"/>
    <n v="2.8098706831661911E-2"/>
    <n v="29"/>
    <d v="2024-07-28T00:00:00"/>
    <d v="2024-07-28T00:00:00"/>
    <n v="0"/>
    <x v="0"/>
    <b v="1"/>
    <n v="56"/>
    <n v="76"/>
    <x v="3"/>
    <x v="1"/>
  </r>
  <r>
    <s v="PED-00197"/>
    <d v="2023-05-09T00:00:00"/>
    <x v="1"/>
    <x v="5"/>
    <n v="19"/>
    <x v="2"/>
    <x v="7"/>
    <s v="SKU-ALI-9866"/>
    <x v="5"/>
    <x v="0"/>
    <x v="3"/>
    <s v="FCA"/>
    <n v="119"/>
    <s v="Unidades"/>
    <n v="102.1"/>
    <n v="12149.9"/>
    <n v="458.91"/>
    <n v="3.7770681240174818E-2"/>
    <n v="4"/>
    <d v="2023-05-13T00:00:00"/>
    <d v="2023-05-15T00:00:00"/>
    <n v="2"/>
    <x v="2"/>
    <b v="0"/>
    <n v="433"/>
    <n v="222"/>
    <x v="1"/>
    <x v="1"/>
  </r>
  <r>
    <s v="PED-00198"/>
    <d v="2023-05-12T00:00:00"/>
    <x v="1"/>
    <x v="5"/>
    <n v="19"/>
    <x v="5"/>
    <x v="5"/>
    <s v="SKU-ELE-1529"/>
    <x v="2"/>
    <x v="2"/>
    <x v="4"/>
    <s v="DDP"/>
    <n v="201"/>
    <s v="Palés"/>
    <n v="554.45000000000005"/>
    <n v="111444.45"/>
    <n v="6055.56"/>
    <n v="5.4337026204535087E-2"/>
    <n v="13"/>
    <d v="2023-05-25T00:00:00"/>
    <d v="2023-06-06T00:00:00"/>
    <n v="12"/>
    <x v="2"/>
    <b v="0"/>
    <n v="176"/>
    <n v="120"/>
    <x v="1"/>
    <x v="1"/>
  </r>
  <r>
    <s v="PED-00199"/>
    <d v="2024-11-06T00:00:00"/>
    <x v="0"/>
    <x v="6"/>
    <n v="45"/>
    <x v="6"/>
    <x v="6"/>
    <s v="SKU-CON-6876"/>
    <x v="1"/>
    <x v="5"/>
    <x v="1"/>
    <s v="DDP"/>
    <n v="913"/>
    <s v="KG"/>
    <n v="236.69"/>
    <n v="216097.97"/>
    <n v="10050.98"/>
    <n v="4.651121896239932E-2"/>
    <n v="7"/>
    <d v="2024-11-13T00:00:00"/>
    <d v="2024-11-18T00:00:00"/>
    <n v="5"/>
    <x v="2"/>
    <b v="0"/>
    <n v="114"/>
    <n v="453"/>
    <x v="3"/>
    <x v="1"/>
  </r>
  <r>
    <s v="PED-00200"/>
    <d v="2024-05-01T00:00:00"/>
    <x v="0"/>
    <x v="5"/>
    <n v="18"/>
    <x v="5"/>
    <x v="2"/>
    <s v="SKU-AUT-8415"/>
    <x v="1"/>
    <x v="5"/>
    <x v="1"/>
    <s v="DDP"/>
    <n v="102"/>
    <s v="Cajas"/>
    <n v="854.97"/>
    <n v="87206.94"/>
    <n v="3558.32"/>
    <n v="4.0803174609727162E-2"/>
    <n v="27"/>
    <d v="2024-05-28T00:00:00"/>
    <d v="2024-05-27T00:00:00"/>
    <n v="-1"/>
    <x v="0"/>
    <b v="1"/>
    <n v="498"/>
    <n v="309"/>
    <x v="3"/>
    <x v="1"/>
  </r>
  <r>
    <s v="PED-00201"/>
    <d v="2024-07-16T00:00:00"/>
    <x v="0"/>
    <x v="7"/>
    <n v="29"/>
    <x v="9"/>
    <x v="3"/>
    <s v="SKU-QUÍ-2679"/>
    <x v="4"/>
    <x v="2"/>
    <x v="2"/>
    <s v="DDP"/>
    <n v="871"/>
    <s v="Litros"/>
    <n v="163.56"/>
    <n v="142460.76"/>
    <n v="9229.6200000000008"/>
    <n v="6.4787103480284672E-2"/>
    <n v="19"/>
    <d v="2024-08-04T00:00:00"/>
    <d v="2024-08-04T00:00:00"/>
    <n v="0"/>
    <x v="0"/>
    <b v="1"/>
    <n v="471"/>
    <n v="326"/>
    <x v="0"/>
    <x v="0"/>
  </r>
  <r>
    <s v="PED-00202"/>
    <d v="2023-06-19T00:00:00"/>
    <x v="1"/>
    <x v="10"/>
    <n v="25"/>
    <x v="8"/>
    <x v="2"/>
    <s v="SKU-AUT-4675"/>
    <x v="2"/>
    <x v="4"/>
    <x v="3"/>
    <s v="FOB"/>
    <n v="577"/>
    <s v="Metros"/>
    <n v="1090.92"/>
    <n v="629460.84"/>
    <n v="46334.99"/>
    <n v="7.3610599826988449E-2"/>
    <n v="22"/>
    <d v="2023-07-11T00:00:00"/>
    <d v="2023-07-14T00:00:00"/>
    <n v="3"/>
    <x v="1"/>
    <b v="0"/>
    <n v="148"/>
    <n v="340"/>
    <x v="0"/>
    <x v="0"/>
  </r>
  <r>
    <s v="PED-00203"/>
    <d v="2023-09-29T00:00:00"/>
    <x v="1"/>
    <x v="3"/>
    <n v="39"/>
    <x v="0"/>
    <x v="1"/>
    <s v="SKU-FAR-7371"/>
    <x v="5"/>
    <x v="5"/>
    <x v="3"/>
    <s v="FOB"/>
    <n v="69"/>
    <s v="Unidades"/>
    <n v="253.5"/>
    <n v="17491.5"/>
    <n v="1144.07"/>
    <n v="6.5407197781779725E-2"/>
    <n v="28"/>
    <d v="2023-10-27T00:00:00"/>
    <d v="2023-10-28T00:00:00"/>
    <n v="1"/>
    <x v="2"/>
    <b v="0"/>
    <n v="240"/>
    <n v="357"/>
    <x v="4"/>
    <x v="1"/>
  </r>
  <r>
    <s v="PED-00204"/>
    <d v="2024-06-24T00:00:00"/>
    <x v="0"/>
    <x v="10"/>
    <n v="26"/>
    <x v="7"/>
    <x v="5"/>
    <s v="SKU-ELE-4892"/>
    <x v="1"/>
    <x v="3"/>
    <x v="4"/>
    <s v="FCA"/>
    <n v="659"/>
    <s v="KG"/>
    <n v="392.16"/>
    <n v="258433.44"/>
    <n v="10316.67"/>
    <n v="3.9920027377262017E-2"/>
    <n v="2"/>
    <d v="2024-06-26T00:00:00"/>
    <d v="2024-06-26T00:00:00"/>
    <n v="0"/>
    <x v="0"/>
    <b v="1"/>
    <n v="122"/>
    <n v="106"/>
    <x v="2"/>
    <x v="1"/>
  </r>
  <r>
    <s v="PED-00205"/>
    <d v="2024-09-13T00:00:00"/>
    <x v="0"/>
    <x v="3"/>
    <n v="37"/>
    <x v="2"/>
    <x v="4"/>
    <s v="SKU-TEX-9370"/>
    <x v="3"/>
    <x v="3"/>
    <x v="4"/>
    <s v="DAP"/>
    <n v="48"/>
    <s v="Palés"/>
    <n v="82.26"/>
    <n v="3948.48"/>
    <n v="255.33"/>
    <n v="6.4665390226112326E-2"/>
    <n v="10"/>
    <d v="2024-09-23T00:00:00"/>
    <d v="2024-10-05T00:00:00"/>
    <n v="12"/>
    <x v="2"/>
    <b v="0"/>
    <n v="291"/>
    <n v="240"/>
    <x v="3"/>
    <x v="1"/>
  </r>
  <r>
    <s v="PED-00206"/>
    <d v="2024-03-09T00:00:00"/>
    <x v="0"/>
    <x v="8"/>
    <n v="10"/>
    <x v="3"/>
    <x v="5"/>
    <s v="SKU-ELE-5712"/>
    <x v="3"/>
    <x v="0"/>
    <x v="1"/>
    <s v="EXW"/>
    <n v="549"/>
    <s v="Cajas"/>
    <n v="618.41"/>
    <n v="339507.09"/>
    <n v="9886.0400000000009"/>
    <n v="2.9118802791423294E-2"/>
    <n v="13"/>
    <d v="2024-03-22T00:00:00"/>
    <d v="2024-03-22T00:00:00"/>
    <n v="0"/>
    <x v="0"/>
    <b v="1"/>
    <n v="326"/>
    <n v="434"/>
    <x v="0"/>
    <x v="0"/>
  </r>
  <r>
    <s v="PED-00207"/>
    <d v="2023-08-05T00:00:00"/>
    <x v="1"/>
    <x v="4"/>
    <n v="31"/>
    <x v="8"/>
    <x v="0"/>
    <s v="SKU-MAQ-1769"/>
    <x v="3"/>
    <x v="3"/>
    <x v="3"/>
    <s v="CIF"/>
    <n v="58"/>
    <s v="Palés"/>
    <n v="1886.43"/>
    <n v="109412.94"/>
    <n v="3043.77"/>
    <n v="2.7819104394781823E-2"/>
    <n v="25"/>
    <d v="2023-08-30T00:00:00"/>
    <d v="2023-08-30T00:00:00"/>
    <n v="0"/>
    <x v="0"/>
    <b v="1"/>
    <n v="68"/>
    <n v="27"/>
    <x v="0"/>
    <x v="0"/>
  </r>
  <r>
    <s v="PED-00208"/>
    <d v="2024-07-06T00:00:00"/>
    <x v="0"/>
    <x v="7"/>
    <n v="27"/>
    <x v="3"/>
    <x v="5"/>
    <s v="SKU-ELE-7251"/>
    <x v="5"/>
    <x v="3"/>
    <x v="3"/>
    <s v="DAP"/>
    <n v="429"/>
    <s v="Metros"/>
    <n v="495.19"/>
    <n v="212436.51"/>
    <n v="8654.16"/>
    <n v="4.0737630268921285E-2"/>
    <n v="21"/>
    <d v="2024-07-27T00:00:00"/>
    <d v="2024-07-30T00:00:00"/>
    <n v="3"/>
    <x v="1"/>
    <b v="0"/>
    <n v="313"/>
    <n v="191"/>
    <x v="2"/>
    <x v="1"/>
  </r>
  <r>
    <s v="PED-00209"/>
    <d v="2024-12-07T00:00:00"/>
    <x v="0"/>
    <x v="11"/>
    <n v="49"/>
    <x v="4"/>
    <x v="2"/>
    <s v="SKU-AUT-7349"/>
    <x v="5"/>
    <x v="4"/>
    <x v="0"/>
    <s v="FOB"/>
    <n v="646"/>
    <s v="Palés"/>
    <n v="1122.74"/>
    <n v="725290.04"/>
    <n v="49654.91"/>
    <n v="6.846214240030099E-2"/>
    <n v="6"/>
    <d v="2024-12-13T00:00:00"/>
    <d v="2024-12-13T00:00:00"/>
    <n v="0"/>
    <x v="0"/>
    <b v="1"/>
    <n v="62"/>
    <n v="248"/>
    <x v="3"/>
    <x v="1"/>
  </r>
  <r>
    <s v="PED-00210"/>
    <d v="2023-07-25T00:00:00"/>
    <x v="1"/>
    <x v="7"/>
    <n v="30"/>
    <x v="3"/>
    <x v="0"/>
    <s v="SKU-MAQ-7825"/>
    <x v="4"/>
    <x v="4"/>
    <x v="2"/>
    <s v="FOB"/>
    <n v="22"/>
    <s v="Unidades"/>
    <n v="1920.45"/>
    <n v="42249.9"/>
    <n v="1469.49"/>
    <n v="3.4780910724049048E-2"/>
    <n v="28"/>
    <d v="2023-08-22T00:00:00"/>
    <d v="2023-08-25T00:00:00"/>
    <n v="3"/>
    <x v="1"/>
    <b v="0"/>
    <n v="220"/>
    <n v="363"/>
    <x v="3"/>
    <x v="1"/>
  </r>
  <r>
    <s v="PED-00211"/>
    <d v="2024-12-31T00:00:00"/>
    <x v="0"/>
    <x v="11"/>
    <n v="53"/>
    <x v="2"/>
    <x v="0"/>
    <s v="SKU-MAQ-6122"/>
    <x v="4"/>
    <x v="1"/>
    <x v="2"/>
    <s v="FOB"/>
    <n v="45"/>
    <s v="KG"/>
    <n v="1185.1099999999999"/>
    <n v="53329.95"/>
    <n v="1269"/>
    <n v="2.3795259511775281E-2"/>
    <n v="28"/>
    <d v="2025-01-28T00:00:00"/>
    <d v="2025-02-09T00:00:00"/>
    <n v="12"/>
    <x v="1"/>
    <b v="0"/>
    <n v="15"/>
    <n v="212"/>
    <x v="1"/>
    <x v="1"/>
  </r>
  <r>
    <s v="PED-00212"/>
    <d v="2023-11-16T00:00:00"/>
    <x v="1"/>
    <x v="6"/>
    <n v="46"/>
    <x v="2"/>
    <x v="6"/>
    <s v="SKU-CON-1881"/>
    <x v="4"/>
    <x v="1"/>
    <x v="1"/>
    <s v="DAP"/>
    <n v="110"/>
    <s v="Litros"/>
    <n v="205.24"/>
    <n v="22576.400000000001"/>
    <n v="629.94000000000005"/>
    <n v="2.7902588543789089E-2"/>
    <n v="12"/>
    <d v="2023-11-28T00:00:00"/>
    <d v="2023-11-28T00:00:00"/>
    <n v="0"/>
    <x v="0"/>
    <b v="1"/>
    <n v="389"/>
    <n v="20"/>
    <x v="0"/>
    <x v="0"/>
  </r>
  <r>
    <s v="PED-00213"/>
    <d v="2024-02-13T00:00:00"/>
    <x v="0"/>
    <x v="9"/>
    <n v="7"/>
    <x v="2"/>
    <x v="6"/>
    <s v="SKU-CON-1212"/>
    <x v="0"/>
    <x v="4"/>
    <x v="3"/>
    <s v="FOB"/>
    <n v="803"/>
    <s v="Unidades"/>
    <n v="281.82"/>
    <n v="226301.46"/>
    <n v="16186.14"/>
    <n v="7.1524682165108433E-2"/>
    <n v="12"/>
    <d v="2024-02-25T00:00:00"/>
    <d v="2024-02-25T00:00:00"/>
    <n v="0"/>
    <x v="0"/>
    <b v="1"/>
    <n v="77"/>
    <n v="471"/>
    <x v="4"/>
    <x v="1"/>
  </r>
  <r>
    <s v="PED-00214"/>
    <d v="2024-11-18T00:00:00"/>
    <x v="0"/>
    <x v="6"/>
    <n v="47"/>
    <x v="8"/>
    <x v="0"/>
    <s v="SKU-MAQ-5117"/>
    <x v="3"/>
    <x v="1"/>
    <x v="0"/>
    <s v="DAP"/>
    <n v="95"/>
    <s v="Metros"/>
    <n v="1106.6400000000001"/>
    <n v="105130.8"/>
    <n v="6100.42"/>
    <n v="5.8026953090816388E-2"/>
    <n v="20"/>
    <d v="2024-12-08T00:00:00"/>
    <d v="2024-12-08T00:00:00"/>
    <n v="0"/>
    <x v="0"/>
    <b v="1"/>
    <n v="121"/>
    <n v="154"/>
    <x v="1"/>
    <x v="1"/>
  </r>
  <r>
    <s v="PED-00215"/>
    <d v="2024-10-27T00:00:00"/>
    <x v="0"/>
    <x v="0"/>
    <n v="44"/>
    <x v="8"/>
    <x v="4"/>
    <s v="SKU-TEX-4327"/>
    <x v="5"/>
    <x v="4"/>
    <x v="3"/>
    <s v="FOB"/>
    <n v="525"/>
    <s v="Cajas"/>
    <n v="88.15"/>
    <n v="46278.75"/>
    <n v="1628.65"/>
    <n v="3.5192177835399616E-2"/>
    <n v="11"/>
    <d v="2024-11-07T00:00:00"/>
    <d v="2024-11-07T00:00:00"/>
    <n v="0"/>
    <x v="0"/>
    <b v="1"/>
    <n v="435"/>
    <n v="26"/>
    <x v="0"/>
    <x v="0"/>
  </r>
  <r>
    <s v="PED-00216"/>
    <d v="2024-01-18T00:00:00"/>
    <x v="0"/>
    <x v="2"/>
    <n v="3"/>
    <x v="7"/>
    <x v="6"/>
    <s v="SKU-CON-8259"/>
    <x v="3"/>
    <x v="1"/>
    <x v="4"/>
    <s v="DDP"/>
    <n v="232"/>
    <s v="Metros"/>
    <n v="248.67"/>
    <n v="57691.44"/>
    <n v="3075.98"/>
    <n v="5.3317788566206697E-2"/>
    <n v="26"/>
    <d v="2024-02-13T00:00:00"/>
    <d v="2024-02-10T00:00:00"/>
    <n v="-3"/>
    <x v="0"/>
    <b v="1"/>
    <n v="257"/>
    <n v="76"/>
    <x v="0"/>
    <x v="0"/>
  </r>
  <r>
    <s v="PED-00217"/>
    <d v="2024-03-24T00:00:00"/>
    <x v="0"/>
    <x v="8"/>
    <n v="13"/>
    <x v="1"/>
    <x v="5"/>
    <s v="SKU-ELE-4695"/>
    <x v="4"/>
    <x v="5"/>
    <x v="1"/>
    <s v="DDP"/>
    <n v="347"/>
    <s v="Metros"/>
    <n v="602.54999999999995"/>
    <n v="209084.85"/>
    <n v="10800.23"/>
    <n v="5.1654770778466252E-2"/>
    <n v="23"/>
    <d v="2024-04-16T00:00:00"/>
    <d v="2024-04-18T00:00:00"/>
    <n v="2"/>
    <x v="2"/>
    <b v="0"/>
    <n v="216"/>
    <n v="305"/>
    <x v="4"/>
    <x v="1"/>
  </r>
  <r>
    <s v="PED-00218"/>
    <d v="2024-06-13T00:00:00"/>
    <x v="0"/>
    <x v="10"/>
    <n v="24"/>
    <x v="6"/>
    <x v="2"/>
    <s v="SKU-AUT-7025"/>
    <x v="5"/>
    <x v="4"/>
    <x v="2"/>
    <s v="EXW"/>
    <n v="969"/>
    <s v="Palés"/>
    <n v="733.16"/>
    <n v="710432.04"/>
    <n v="42147.199999999997"/>
    <n v="5.9326153139151766E-2"/>
    <n v="28"/>
    <d v="2024-07-11T00:00:00"/>
    <d v="2024-07-13T00:00:00"/>
    <n v="2"/>
    <x v="1"/>
    <b v="0"/>
    <n v="478"/>
    <n v="412"/>
    <x v="1"/>
    <x v="1"/>
  </r>
  <r>
    <s v="PED-00219"/>
    <d v="2024-04-07T00:00:00"/>
    <x v="0"/>
    <x v="1"/>
    <n v="15"/>
    <x v="9"/>
    <x v="5"/>
    <s v="SKU-ELE-9955"/>
    <x v="2"/>
    <x v="0"/>
    <x v="3"/>
    <s v="FOB"/>
    <n v="175"/>
    <s v="Cajas"/>
    <n v="449.52"/>
    <n v="78666"/>
    <n v="2673.96"/>
    <n v="3.3991305011059417E-2"/>
    <n v="25"/>
    <d v="2024-05-02T00:00:00"/>
    <d v="2024-05-10T00:00:00"/>
    <n v="8"/>
    <x v="1"/>
    <b v="0"/>
    <n v="113"/>
    <n v="422"/>
    <x v="0"/>
    <x v="0"/>
  </r>
  <r>
    <s v="PED-00220"/>
    <d v="2023-05-04T00:00:00"/>
    <x v="1"/>
    <x v="5"/>
    <n v="18"/>
    <x v="9"/>
    <x v="4"/>
    <s v="SKU-TEX-4218"/>
    <x v="1"/>
    <x v="0"/>
    <x v="1"/>
    <s v="EXW"/>
    <n v="392"/>
    <s v="Unidades"/>
    <n v="87.22"/>
    <n v="34190.239999999998"/>
    <n v="2457.0500000000002"/>
    <n v="7.186407582982747E-2"/>
    <n v="7"/>
    <d v="2023-05-11T00:00:00"/>
    <d v="2023-05-06T00:00:00"/>
    <n v="-5"/>
    <x v="1"/>
    <b v="0"/>
    <n v="369"/>
    <n v="56"/>
    <x v="2"/>
    <x v="1"/>
  </r>
  <r>
    <s v="PED-00221"/>
    <d v="2023-09-11T00:00:00"/>
    <x v="1"/>
    <x v="3"/>
    <n v="37"/>
    <x v="4"/>
    <x v="1"/>
    <s v="SKU-FAR-4170"/>
    <x v="1"/>
    <x v="4"/>
    <x v="2"/>
    <s v="DAP"/>
    <n v="865"/>
    <s v="Metros"/>
    <n v="187.72"/>
    <n v="162377.79999999999"/>
    <n v="6261.63"/>
    <n v="3.8562106396317727E-2"/>
    <n v="1"/>
    <d v="2023-09-12T00:00:00"/>
    <d v="2023-09-14T00:00:00"/>
    <n v="2"/>
    <x v="2"/>
    <b v="0"/>
    <n v="460"/>
    <n v="118"/>
    <x v="3"/>
    <x v="1"/>
  </r>
  <r>
    <s v="PED-00222"/>
    <d v="2023-08-19T00:00:00"/>
    <x v="1"/>
    <x v="4"/>
    <n v="33"/>
    <x v="5"/>
    <x v="7"/>
    <s v="SKU-ALI-5819"/>
    <x v="4"/>
    <x v="3"/>
    <x v="3"/>
    <s v="EXW"/>
    <n v="904"/>
    <s v="Unidades"/>
    <n v="105.63"/>
    <n v="95489.52"/>
    <n v="5886.73"/>
    <n v="6.1647916965128731E-2"/>
    <n v="1"/>
    <d v="2023-08-20T00:00:00"/>
    <d v="2023-08-20T00:00:00"/>
    <n v="0"/>
    <x v="0"/>
    <b v="1"/>
    <n v="379"/>
    <n v="475"/>
    <x v="4"/>
    <x v="1"/>
  </r>
  <r>
    <s v="PED-00223"/>
    <d v="2023-03-07T00:00:00"/>
    <x v="1"/>
    <x v="8"/>
    <n v="10"/>
    <x v="7"/>
    <x v="2"/>
    <s v="SKU-AUT-8353"/>
    <x v="3"/>
    <x v="0"/>
    <x v="0"/>
    <s v="FOB"/>
    <n v="385"/>
    <s v="Litros"/>
    <n v="811.6"/>
    <n v="312466"/>
    <n v="6551.62"/>
    <n v="2.0967465260220312E-2"/>
    <n v="25"/>
    <d v="2023-04-01T00:00:00"/>
    <d v="2023-03-29T00:00:00"/>
    <n v="-3"/>
    <x v="0"/>
    <b v="1"/>
    <n v="145"/>
    <n v="164"/>
    <x v="1"/>
    <x v="1"/>
  </r>
  <r>
    <s v="PED-00224"/>
    <d v="2023-12-13T00:00:00"/>
    <x v="1"/>
    <x v="11"/>
    <n v="50"/>
    <x v="1"/>
    <x v="6"/>
    <s v="SKU-CON-3906"/>
    <x v="2"/>
    <x v="3"/>
    <x v="1"/>
    <s v="DAP"/>
    <n v="480"/>
    <s v="Palés"/>
    <n v="162.28"/>
    <n v="77894.399999999994"/>
    <n v="3299.56"/>
    <n v="4.2359399391997371E-2"/>
    <n v="27"/>
    <d v="2024-01-09T00:00:00"/>
    <d v="2024-01-06T00:00:00"/>
    <n v="-3"/>
    <x v="0"/>
    <b v="1"/>
    <n v="464"/>
    <n v="476"/>
    <x v="2"/>
    <x v="1"/>
  </r>
  <r>
    <s v="PED-00225"/>
    <d v="2023-01-22T00:00:00"/>
    <x v="1"/>
    <x v="2"/>
    <n v="4"/>
    <x v="0"/>
    <x v="2"/>
    <s v="SKU-AUT-2220"/>
    <x v="5"/>
    <x v="0"/>
    <x v="3"/>
    <s v="DAP"/>
    <n v="799"/>
    <s v="Unidades"/>
    <n v="566.86"/>
    <n v="452921.14"/>
    <n v="18616.23"/>
    <n v="4.1102585761397664E-2"/>
    <n v="25"/>
    <d v="2023-02-16T00:00:00"/>
    <d v="2023-02-16T00:00:00"/>
    <n v="0"/>
    <x v="0"/>
    <b v="1"/>
    <n v="236"/>
    <n v="63"/>
    <x v="0"/>
    <x v="0"/>
  </r>
  <r>
    <s v="PED-00226"/>
    <d v="2024-08-25T00:00:00"/>
    <x v="0"/>
    <x v="4"/>
    <n v="35"/>
    <x v="4"/>
    <x v="5"/>
    <s v="SKU-ELE-4063"/>
    <x v="3"/>
    <x v="2"/>
    <x v="2"/>
    <s v="DDP"/>
    <n v="651"/>
    <s v="Cajas"/>
    <n v="567.70000000000005"/>
    <n v="369572.7"/>
    <n v="19442.87"/>
    <n v="5.2609053644925609E-2"/>
    <n v="20"/>
    <d v="2024-09-14T00:00:00"/>
    <d v="2024-09-22T00:00:00"/>
    <n v="8"/>
    <x v="2"/>
    <b v="0"/>
    <n v="475"/>
    <n v="47"/>
    <x v="0"/>
    <x v="0"/>
  </r>
  <r>
    <s v="PED-00227"/>
    <d v="2024-07-21T00:00:00"/>
    <x v="0"/>
    <x v="7"/>
    <n v="30"/>
    <x v="8"/>
    <x v="7"/>
    <s v="SKU-ALI-3847"/>
    <x v="4"/>
    <x v="2"/>
    <x v="2"/>
    <s v="DAP"/>
    <n v="40"/>
    <s v="Metros"/>
    <n v="118.45"/>
    <n v="4738"/>
    <n v="142.36009999999999"/>
    <n v="3.0046454200084421E-2"/>
    <n v="13"/>
    <d v="2024-08-03T00:00:00"/>
    <d v="2024-08-06T00:00:00"/>
    <n v="3"/>
    <x v="1"/>
    <b v="0"/>
    <n v="459"/>
    <n v="149"/>
    <x v="0"/>
    <x v="0"/>
  </r>
  <r>
    <s v="PED-00228"/>
    <d v="2023-08-24T00:00:00"/>
    <x v="1"/>
    <x v="4"/>
    <n v="34"/>
    <x v="1"/>
    <x v="3"/>
    <s v="SKU-QUÍ-9418"/>
    <x v="3"/>
    <x v="4"/>
    <x v="0"/>
    <s v="DAP"/>
    <n v="384"/>
    <s v="Litros"/>
    <n v="119.44"/>
    <n v="45864.959999999999"/>
    <n v="3091.66"/>
    <n v="6.7407886107390041E-2"/>
    <n v="9"/>
    <d v="2023-09-02T00:00:00"/>
    <d v="2023-08-28T00:00:00"/>
    <n v="-5"/>
    <x v="0"/>
    <b v="1"/>
    <n v="418"/>
    <n v="483"/>
    <x v="0"/>
    <x v="0"/>
  </r>
  <r>
    <s v="PED-00229"/>
    <d v="2024-08-25T00:00:00"/>
    <x v="0"/>
    <x v="4"/>
    <n v="35"/>
    <x v="2"/>
    <x v="3"/>
    <s v="SKU-QUÍ-2955"/>
    <x v="4"/>
    <x v="0"/>
    <x v="1"/>
    <s v="EXW"/>
    <n v="20"/>
    <s v="Cajas"/>
    <n v="118.29"/>
    <n v="3302.8089"/>
    <n v="142.36009999999999"/>
    <n v="4.3102735977246516E-2"/>
    <n v="3"/>
    <d v="2024-08-28T00:00:00"/>
    <d v="2024-09-09T00:00:00"/>
    <n v="12"/>
    <x v="2"/>
    <b v="0"/>
    <n v="85"/>
    <n v="157"/>
    <x v="2"/>
    <x v="1"/>
  </r>
  <r>
    <s v="PED-00230"/>
    <d v="2023-08-14T00:00:00"/>
    <x v="1"/>
    <x v="4"/>
    <n v="33"/>
    <x v="8"/>
    <x v="6"/>
    <s v="SKU-CON-7180"/>
    <x v="0"/>
    <x v="5"/>
    <x v="1"/>
    <s v="FCA"/>
    <n v="997"/>
    <s v="Palés"/>
    <n v="195.05"/>
    <n v="194464.85"/>
    <n v="11788.9"/>
    <n v="6.0622266697554848E-2"/>
    <n v="7"/>
    <d v="2023-08-21T00:00:00"/>
    <d v="2023-08-21T00:00:00"/>
    <n v="0"/>
    <x v="0"/>
    <b v="1"/>
    <n v="166"/>
    <n v="155"/>
    <x v="0"/>
    <x v="0"/>
  </r>
  <r>
    <s v="PED-00231"/>
    <d v="2023-01-08T00:00:00"/>
    <x v="1"/>
    <x v="2"/>
    <n v="2"/>
    <x v="5"/>
    <x v="4"/>
    <s v="SKU-TEX-1665"/>
    <x v="1"/>
    <x v="3"/>
    <x v="3"/>
    <s v="DAP"/>
    <n v="311"/>
    <s v="Litros"/>
    <n v="66.989999999999995"/>
    <n v="20833.89"/>
    <n v="1420.72"/>
    <n v="6.8192737890043584E-2"/>
    <n v="6"/>
    <d v="2023-01-14T00:00:00"/>
    <d v="2023-01-17T00:00:00"/>
    <n v="3"/>
    <x v="1"/>
    <b v="0"/>
    <n v="128"/>
    <n v="150"/>
    <x v="0"/>
    <x v="0"/>
  </r>
  <r>
    <s v="PED-00232"/>
    <d v="2023-03-14T00:00:00"/>
    <x v="1"/>
    <x v="8"/>
    <n v="11"/>
    <x v="5"/>
    <x v="3"/>
    <s v="SKU-QUÍ-8020"/>
    <x v="1"/>
    <x v="0"/>
    <x v="2"/>
    <s v="CIF"/>
    <n v="105"/>
    <s v="Litros"/>
    <n v="126.3"/>
    <n v="13261.5"/>
    <n v="712.31"/>
    <n v="5.3712626776759788E-2"/>
    <n v="8"/>
    <d v="2023-03-22T00:00:00"/>
    <d v="2023-03-24T00:00:00"/>
    <n v="2"/>
    <x v="1"/>
    <b v="0"/>
    <n v="164"/>
    <n v="224"/>
    <x v="1"/>
    <x v="1"/>
  </r>
  <r>
    <s v="PED-00233"/>
    <d v="2024-12-25T00:00:00"/>
    <x v="0"/>
    <x v="11"/>
    <n v="52"/>
    <x v="9"/>
    <x v="2"/>
    <s v="SKU-AUT-5572"/>
    <x v="3"/>
    <x v="4"/>
    <x v="2"/>
    <s v="FCA"/>
    <n v="199"/>
    <s v="Litros"/>
    <n v="1123.1500000000001"/>
    <n v="223506.85"/>
    <n v="14405.69"/>
    <n v="6.4453013408761292E-2"/>
    <n v="27"/>
    <d v="2025-01-21T00:00:00"/>
    <d v="2025-01-29T00:00:00"/>
    <n v="8"/>
    <x v="2"/>
    <b v="0"/>
    <n v="276"/>
    <n v="259"/>
    <x v="4"/>
    <x v="1"/>
  </r>
  <r>
    <s v="PED-00234"/>
    <d v="2024-10-08T00:00:00"/>
    <x v="0"/>
    <x v="0"/>
    <n v="41"/>
    <x v="6"/>
    <x v="3"/>
    <s v="SKU-QUÍ-5329"/>
    <x v="2"/>
    <x v="3"/>
    <x v="0"/>
    <s v="DDP"/>
    <n v="462"/>
    <s v="Metros"/>
    <n v="132.53"/>
    <n v="61228.86"/>
    <n v="3656.07"/>
    <n v="5.9711547789718773E-2"/>
    <n v="9"/>
    <d v="2024-10-17T00:00:00"/>
    <d v="2024-10-17T00:00:00"/>
    <n v="0"/>
    <x v="0"/>
    <b v="1"/>
    <n v="256"/>
    <n v="386"/>
    <x v="3"/>
    <x v="1"/>
  </r>
  <r>
    <s v="PED-00235"/>
    <d v="2023-03-02T00:00:00"/>
    <x v="1"/>
    <x v="8"/>
    <n v="9"/>
    <x v="6"/>
    <x v="1"/>
    <s v="SKU-FAR-3131"/>
    <x v="5"/>
    <x v="1"/>
    <x v="0"/>
    <s v="DDP"/>
    <n v="201"/>
    <s v="KG"/>
    <n v="221.24"/>
    <n v="44469.24"/>
    <n v="1837.99"/>
    <n v="4.1331716035623731E-2"/>
    <n v="5"/>
    <d v="2023-03-07T00:00:00"/>
    <d v="2023-03-06T00:00:00"/>
    <n v="-1"/>
    <x v="0"/>
    <b v="1"/>
    <n v="131"/>
    <n v="255"/>
    <x v="3"/>
    <x v="1"/>
  </r>
  <r>
    <s v="PED-00236"/>
    <d v="2023-08-23T00:00:00"/>
    <x v="1"/>
    <x v="4"/>
    <n v="34"/>
    <x v="0"/>
    <x v="1"/>
    <s v="SKU-FAR-3636"/>
    <x v="4"/>
    <x v="4"/>
    <x v="1"/>
    <s v="DAP"/>
    <n v="495"/>
    <s v="Litros"/>
    <n v="162.13999999999999"/>
    <n v="80259.3"/>
    <n v="5500.29"/>
    <n v="6.8531497284426854E-2"/>
    <n v="1"/>
    <d v="2023-08-24T00:00:00"/>
    <d v="2023-08-26T00:00:00"/>
    <n v="2"/>
    <x v="1"/>
    <b v="0"/>
    <n v="479"/>
    <n v="60"/>
    <x v="2"/>
    <x v="1"/>
  </r>
  <r>
    <s v="PED-00237"/>
    <d v="2023-03-11T00:00:00"/>
    <x v="1"/>
    <x v="8"/>
    <n v="10"/>
    <x v="8"/>
    <x v="6"/>
    <s v="SKU-CON-5178"/>
    <x v="5"/>
    <x v="0"/>
    <x v="2"/>
    <s v="EXW"/>
    <n v="275"/>
    <s v="Cajas"/>
    <n v="297.24"/>
    <n v="81741"/>
    <n v="3080.17"/>
    <n v="3.7682068973954319E-2"/>
    <n v="19"/>
    <d v="2023-03-30T00:00:00"/>
    <d v="2023-04-02T00:00:00"/>
    <n v="3"/>
    <x v="2"/>
    <b v="0"/>
    <n v="57"/>
    <n v="351"/>
    <x v="1"/>
    <x v="1"/>
  </r>
  <r>
    <s v="PED-00238"/>
    <d v="2023-02-02T00:00:00"/>
    <x v="1"/>
    <x v="9"/>
    <n v="5"/>
    <x v="8"/>
    <x v="1"/>
    <s v="SKU-FAR-1092"/>
    <x v="1"/>
    <x v="5"/>
    <x v="3"/>
    <s v="FCA"/>
    <n v="433"/>
    <s v="Cajas"/>
    <n v="180"/>
    <n v="77940"/>
    <n v="4230.0200000000004"/>
    <n v="5.427277392866308E-2"/>
    <n v="10"/>
    <d v="2023-02-12T00:00:00"/>
    <d v="2023-02-07T00:00:00"/>
    <n v="-5"/>
    <x v="1"/>
    <b v="0"/>
    <n v="256"/>
    <n v="259"/>
    <x v="1"/>
    <x v="1"/>
  </r>
  <r>
    <s v="PED-00239"/>
    <d v="2023-12-05T00:00:00"/>
    <x v="1"/>
    <x v="11"/>
    <n v="49"/>
    <x v="5"/>
    <x v="3"/>
    <s v="SKU-QUÍ-6415"/>
    <x v="2"/>
    <x v="1"/>
    <x v="4"/>
    <s v="DDP"/>
    <n v="137"/>
    <s v="Palés"/>
    <n v="91.04"/>
    <n v="12472.48"/>
    <n v="807.27"/>
    <n v="6.4724096571010734E-2"/>
    <n v="12"/>
    <d v="2023-12-17T00:00:00"/>
    <d v="2023-12-29T00:00:00"/>
    <n v="12"/>
    <x v="2"/>
    <b v="0"/>
    <n v="140"/>
    <n v="320"/>
    <x v="0"/>
    <x v="0"/>
  </r>
  <r>
    <s v="PED-00240"/>
    <d v="2023-03-14T00:00:00"/>
    <x v="1"/>
    <x v="8"/>
    <n v="11"/>
    <x v="2"/>
    <x v="4"/>
    <s v="SKU-TEX-8640"/>
    <x v="2"/>
    <x v="4"/>
    <x v="3"/>
    <s v="DDP"/>
    <n v="247"/>
    <s v="Unidades"/>
    <n v="73.83"/>
    <n v="18236.009999999998"/>
    <n v="779.36"/>
    <n v="4.2737418985841755E-2"/>
    <n v="24"/>
    <d v="2023-04-07T00:00:00"/>
    <d v="2023-04-10T00:00:00"/>
    <n v="3"/>
    <x v="2"/>
    <b v="0"/>
    <n v="173"/>
    <n v="395"/>
    <x v="1"/>
    <x v="1"/>
  </r>
  <r>
    <s v="PED-00241"/>
    <d v="2024-06-10T00:00:00"/>
    <x v="0"/>
    <x v="10"/>
    <n v="24"/>
    <x v="2"/>
    <x v="0"/>
    <s v="SKU-MAQ-3536"/>
    <x v="5"/>
    <x v="0"/>
    <x v="0"/>
    <s v="CIF"/>
    <n v="929"/>
    <s v="Unidades"/>
    <n v="1764.44"/>
    <n v="1639164.76"/>
    <n v="62560.45"/>
    <n v="3.8166053545465435E-2"/>
    <n v="15"/>
    <d v="2024-06-25T00:00:00"/>
    <d v="2024-06-25T00:00:00"/>
    <n v="0"/>
    <x v="0"/>
    <b v="1"/>
    <n v="174"/>
    <n v="396"/>
    <x v="1"/>
    <x v="1"/>
  </r>
  <r>
    <s v="PED-00242"/>
    <d v="2023-09-01T00:00:00"/>
    <x v="1"/>
    <x v="3"/>
    <n v="35"/>
    <x v="3"/>
    <x v="0"/>
    <s v="SKU-MAQ-1654"/>
    <x v="1"/>
    <x v="2"/>
    <x v="3"/>
    <s v="DAP"/>
    <n v="364"/>
    <s v="KG"/>
    <n v="1548.17"/>
    <n v="563533.88"/>
    <n v="26802.1"/>
    <n v="4.7560760676891328E-2"/>
    <n v="27"/>
    <d v="2023-09-28T00:00:00"/>
    <d v="2023-09-28T00:00:00"/>
    <n v="0"/>
    <x v="0"/>
    <b v="1"/>
    <n v="208"/>
    <n v="161"/>
    <x v="4"/>
    <x v="1"/>
  </r>
  <r>
    <s v="PED-00243"/>
    <d v="2023-10-13T00:00:00"/>
    <x v="1"/>
    <x v="0"/>
    <n v="41"/>
    <x v="2"/>
    <x v="6"/>
    <s v="SKU-CON-3518"/>
    <x v="5"/>
    <x v="0"/>
    <x v="2"/>
    <s v="FCA"/>
    <n v="949"/>
    <s v="Metros"/>
    <n v="207.55"/>
    <n v="196964.95"/>
    <n v="13605.91"/>
    <n v="6.9077823237078465E-2"/>
    <n v="22"/>
    <d v="2023-11-04T00:00:00"/>
    <d v="2023-11-16T00:00:00"/>
    <n v="12"/>
    <x v="1"/>
    <b v="0"/>
    <n v="203"/>
    <n v="379"/>
    <x v="2"/>
    <x v="1"/>
  </r>
  <r>
    <s v="PED-00244"/>
    <d v="2024-11-16T00:00:00"/>
    <x v="0"/>
    <x v="6"/>
    <n v="46"/>
    <x v="1"/>
    <x v="7"/>
    <s v="SKU-ALI-6285"/>
    <x v="3"/>
    <x v="2"/>
    <x v="1"/>
    <s v="DDP"/>
    <n v="121"/>
    <s v="Metros"/>
    <n v="106.24"/>
    <n v="12855.04"/>
    <n v="974.35"/>
    <n v="7.5795174499651494E-2"/>
    <n v="24"/>
    <d v="2024-12-10T00:00:00"/>
    <d v="2024-12-10T00:00:00"/>
    <n v="0"/>
    <x v="0"/>
    <b v="1"/>
    <n v="6"/>
    <n v="442"/>
    <x v="0"/>
    <x v="0"/>
  </r>
  <r>
    <s v="PED-00245"/>
    <d v="2024-05-12T00:00:00"/>
    <x v="0"/>
    <x v="5"/>
    <n v="20"/>
    <x v="6"/>
    <x v="0"/>
    <s v="SKU-MAQ-1833"/>
    <x v="2"/>
    <x v="2"/>
    <x v="4"/>
    <s v="DDP"/>
    <n v="837"/>
    <s v="Litros"/>
    <n v="1284.8599999999999"/>
    <n v="1075427.82"/>
    <n v="56680.43"/>
    <n v="5.2705006273689292E-2"/>
    <n v="9"/>
    <d v="2024-05-21T00:00:00"/>
    <d v="2024-05-16T00:00:00"/>
    <n v="-5"/>
    <x v="0"/>
    <b v="1"/>
    <n v="50"/>
    <n v="348"/>
    <x v="4"/>
    <x v="1"/>
  </r>
  <r>
    <s v="PED-00246"/>
    <d v="2023-08-08T00:00:00"/>
    <x v="1"/>
    <x v="4"/>
    <n v="32"/>
    <x v="2"/>
    <x v="0"/>
    <s v="SKU-MAQ-5934"/>
    <x v="2"/>
    <x v="4"/>
    <x v="1"/>
    <s v="DDP"/>
    <n v="455"/>
    <s v="KG"/>
    <n v="2034.3"/>
    <n v="925606.5"/>
    <n v="55247.58"/>
    <n v="5.9687977558498133E-2"/>
    <n v="20"/>
    <d v="2023-08-28T00:00:00"/>
    <d v="2023-09-02T00:00:00"/>
    <n v="5"/>
    <x v="2"/>
    <b v="0"/>
    <n v="258"/>
    <n v="456"/>
    <x v="0"/>
    <x v="0"/>
  </r>
  <r>
    <s v="PED-00247"/>
    <d v="2024-07-06T00:00:00"/>
    <x v="0"/>
    <x v="7"/>
    <n v="27"/>
    <x v="7"/>
    <x v="1"/>
    <s v="SKU-FAR-9037"/>
    <x v="3"/>
    <x v="0"/>
    <x v="4"/>
    <s v="DDP"/>
    <n v="352"/>
    <s v="Palés"/>
    <n v="243.8"/>
    <n v="85817.600000000006"/>
    <n v="6367.36"/>
    <n v="7.4196435230069344E-2"/>
    <n v="17"/>
    <d v="2024-07-23T00:00:00"/>
    <d v="2024-07-25T00:00:00"/>
    <n v="2"/>
    <x v="1"/>
    <b v="0"/>
    <n v="177"/>
    <n v="30"/>
    <x v="1"/>
    <x v="1"/>
  </r>
  <r>
    <s v="PED-00248"/>
    <d v="2023-05-16T00:00:00"/>
    <x v="1"/>
    <x v="5"/>
    <n v="20"/>
    <x v="8"/>
    <x v="1"/>
    <s v="SKU-FAR-6866"/>
    <x v="1"/>
    <x v="0"/>
    <x v="4"/>
    <s v="EXW"/>
    <n v="154"/>
    <s v="Palés"/>
    <n v="207.04"/>
    <n v="31884.16"/>
    <n v="826.21"/>
    <n v="2.5912867078825348E-2"/>
    <n v="17"/>
    <d v="2023-06-02T00:00:00"/>
    <d v="2023-05-30T00:00:00"/>
    <n v="-3"/>
    <x v="0"/>
    <b v="1"/>
    <n v="409"/>
    <n v="70"/>
    <x v="1"/>
    <x v="1"/>
  </r>
  <r>
    <s v="PED-00249"/>
    <d v="2024-08-07T00:00:00"/>
    <x v="0"/>
    <x v="4"/>
    <n v="32"/>
    <x v="2"/>
    <x v="3"/>
    <s v="SKU-QUÍ-2194"/>
    <x v="2"/>
    <x v="2"/>
    <x v="2"/>
    <s v="FOB"/>
    <n v="74"/>
    <s v="Unidades"/>
    <n v="127.97"/>
    <n v="9469.7800000000007"/>
    <n v="321.26"/>
    <n v="3.3924758547717052E-2"/>
    <n v="26"/>
    <d v="2024-09-02T00:00:00"/>
    <d v="2024-09-14T00:00:00"/>
    <n v="12"/>
    <x v="1"/>
    <b v="0"/>
    <n v="30"/>
    <n v="396"/>
    <x v="0"/>
    <x v="0"/>
  </r>
  <r>
    <s v="PED-00250"/>
    <d v="2024-08-13T00:00:00"/>
    <x v="0"/>
    <x v="4"/>
    <n v="33"/>
    <x v="3"/>
    <x v="6"/>
    <s v="SKU-CON-6207"/>
    <x v="0"/>
    <x v="3"/>
    <x v="2"/>
    <s v="CIF"/>
    <n v="256"/>
    <s v="Palés"/>
    <n v="181.06"/>
    <n v="46351.360000000001"/>
    <n v="2898.54"/>
    <n v="6.2534087457196505E-2"/>
    <n v="20"/>
    <d v="2024-09-02T00:00:00"/>
    <d v="2024-08-28T00:00:00"/>
    <n v="-5"/>
    <x v="0"/>
    <b v="1"/>
    <n v="355"/>
    <n v="437"/>
    <x v="0"/>
    <x v="0"/>
  </r>
  <r>
    <s v="PED-00251"/>
    <d v="2024-04-29T00:00:00"/>
    <x v="0"/>
    <x v="1"/>
    <n v="18"/>
    <x v="0"/>
    <x v="7"/>
    <s v="SKU-ALI-9608"/>
    <x v="0"/>
    <x v="1"/>
    <x v="0"/>
    <s v="EXW"/>
    <n v="744"/>
    <s v="Litros"/>
    <n v="104.14"/>
    <n v="77480.160000000003"/>
    <n v="5379.03"/>
    <n v="6.9424611410198428E-2"/>
    <n v="12"/>
    <d v="2024-05-11T00:00:00"/>
    <d v="2024-05-08T00:00:00"/>
    <n v="-3"/>
    <x v="0"/>
    <b v="1"/>
    <n v="317"/>
    <n v="1"/>
    <x v="4"/>
    <x v="1"/>
  </r>
  <r>
    <s v="PED-00252"/>
    <d v="2023-09-06T00:00:00"/>
    <x v="1"/>
    <x v="3"/>
    <n v="36"/>
    <x v="0"/>
    <x v="6"/>
    <s v="SKU-CON-4603"/>
    <x v="0"/>
    <x v="5"/>
    <x v="0"/>
    <s v="CIF"/>
    <n v="499"/>
    <s v="Cajas"/>
    <n v="222.06"/>
    <n v="110807.94"/>
    <n v="7914.1"/>
    <n v="7.1421777175895526E-2"/>
    <n v="7"/>
    <d v="2023-09-13T00:00:00"/>
    <d v="2023-09-08T00:00:00"/>
    <n v="-5"/>
    <x v="0"/>
    <b v="1"/>
    <n v="153"/>
    <n v="416"/>
    <x v="0"/>
    <x v="0"/>
  </r>
  <r>
    <s v="PED-00253"/>
    <d v="2024-04-29T00:00:00"/>
    <x v="0"/>
    <x v="1"/>
    <n v="18"/>
    <x v="5"/>
    <x v="5"/>
    <s v="SKU-ELE-4012"/>
    <x v="4"/>
    <x v="0"/>
    <x v="4"/>
    <s v="DDP"/>
    <n v="834"/>
    <s v="Palés"/>
    <n v="478.34"/>
    <n v="398935.56"/>
    <n v="17914.77"/>
    <n v="4.4906425488868432E-2"/>
    <n v="2"/>
    <d v="2024-05-01T00:00:00"/>
    <d v="2024-05-01T00:00:00"/>
    <n v="0"/>
    <x v="0"/>
    <b v="1"/>
    <n v="450"/>
    <n v="49"/>
    <x v="1"/>
    <x v="1"/>
  </r>
  <r>
    <s v="PED-00254"/>
    <d v="2024-02-21T00:00:00"/>
    <x v="0"/>
    <x v="9"/>
    <n v="8"/>
    <x v="2"/>
    <x v="2"/>
    <s v="SKU-AUT-9529"/>
    <x v="4"/>
    <x v="1"/>
    <x v="0"/>
    <s v="CIF"/>
    <n v="448"/>
    <s v="KG"/>
    <n v="941.47"/>
    <n v="421778.56"/>
    <n v="10696.47"/>
    <n v="2.536039290380241E-2"/>
    <n v="3"/>
    <d v="2024-02-24T00:00:00"/>
    <d v="2024-02-27T00:00:00"/>
    <n v="3"/>
    <x v="2"/>
    <b v="0"/>
    <n v="363"/>
    <n v="134"/>
    <x v="0"/>
    <x v="0"/>
  </r>
  <r>
    <s v="PED-00255"/>
    <d v="2023-07-14T00:00:00"/>
    <x v="1"/>
    <x v="7"/>
    <n v="28"/>
    <x v="8"/>
    <x v="7"/>
    <s v="SKU-ALI-2117"/>
    <x v="1"/>
    <x v="1"/>
    <x v="2"/>
    <s v="DAP"/>
    <n v="115"/>
    <s v="Litros"/>
    <n v="119.73"/>
    <n v="13768.95"/>
    <n v="637.04999999999995"/>
    <n v="4.6267144553506251E-2"/>
    <n v="17"/>
    <d v="2023-07-31T00:00:00"/>
    <d v="2023-07-26T00:00:00"/>
    <n v="-5"/>
    <x v="0"/>
    <b v="1"/>
    <n v="54"/>
    <n v="145"/>
    <x v="2"/>
    <x v="1"/>
  </r>
  <r>
    <s v="PED-00256"/>
    <d v="2023-04-07T00:00:00"/>
    <x v="1"/>
    <x v="1"/>
    <n v="14"/>
    <x v="8"/>
    <x v="7"/>
    <s v="SKU-ALI-9276"/>
    <x v="3"/>
    <x v="3"/>
    <x v="0"/>
    <s v="DAP"/>
    <n v="190"/>
    <s v="Palés"/>
    <n v="83.86"/>
    <n v="15933.4"/>
    <n v="539.25"/>
    <n v="3.3844000652716935E-2"/>
    <n v="5"/>
    <d v="2023-04-12T00:00:00"/>
    <d v="2023-04-12T00:00:00"/>
    <n v="0"/>
    <x v="2"/>
    <b v="0"/>
    <n v="155"/>
    <n v="178"/>
    <x v="0"/>
    <x v="0"/>
  </r>
  <r>
    <s v="PED-00257"/>
    <d v="2023-04-10T00:00:00"/>
    <x v="1"/>
    <x v="1"/>
    <n v="15"/>
    <x v="6"/>
    <x v="4"/>
    <s v="SKU-TEX-3611"/>
    <x v="5"/>
    <x v="1"/>
    <x v="4"/>
    <s v="FOB"/>
    <n v="193"/>
    <s v="Metros"/>
    <n v="86.19"/>
    <n v="16634.669999999998"/>
    <n v="623.33000000000004"/>
    <n v="3.7471738243079068E-2"/>
    <n v="17"/>
    <d v="2023-04-27T00:00:00"/>
    <d v="2023-05-02T00:00:00"/>
    <n v="5"/>
    <x v="1"/>
    <b v="0"/>
    <n v="43"/>
    <n v="263"/>
    <x v="0"/>
    <x v="0"/>
  </r>
  <r>
    <s v="PED-00258"/>
    <d v="2024-11-05T00:00:00"/>
    <x v="0"/>
    <x v="6"/>
    <n v="45"/>
    <x v="0"/>
    <x v="6"/>
    <s v="SKU-CON-7814"/>
    <x v="1"/>
    <x v="0"/>
    <x v="1"/>
    <s v="FOB"/>
    <n v="235"/>
    <s v="Palés"/>
    <n v="195.2"/>
    <n v="45872"/>
    <n v="3042.97"/>
    <n v="6.6336109173351934E-2"/>
    <n v="24"/>
    <d v="2024-11-29T00:00:00"/>
    <d v="2024-11-29T00:00:00"/>
    <n v="0"/>
    <x v="0"/>
    <b v="1"/>
    <n v="80"/>
    <n v="310"/>
    <x v="3"/>
    <x v="1"/>
  </r>
  <r>
    <s v="PED-00259"/>
    <d v="2024-03-17T00:00:00"/>
    <x v="0"/>
    <x v="8"/>
    <n v="12"/>
    <x v="5"/>
    <x v="3"/>
    <s v="SKU-QUÍ-9897"/>
    <x v="5"/>
    <x v="4"/>
    <x v="3"/>
    <s v="CIF"/>
    <n v="786"/>
    <s v="Metros"/>
    <n v="89.25"/>
    <n v="70150.5"/>
    <n v="1720.91"/>
    <n v="2.4531685447715983E-2"/>
    <n v="17"/>
    <d v="2024-04-03T00:00:00"/>
    <d v="2024-04-04T00:00:00"/>
    <n v="1"/>
    <x v="2"/>
    <b v="0"/>
    <n v="165"/>
    <n v="203"/>
    <x v="0"/>
    <x v="0"/>
  </r>
  <r>
    <s v="PED-00260"/>
    <d v="2023-12-29T00:00:00"/>
    <x v="1"/>
    <x v="11"/>
    <n v="52"/>
    <x v="2"/>
    <x v="4"/>
    <s v="SKU-TEX-9798"/>
    <x v="1"/>
    <x v="4"/>
    <x v="0"/>
    <s v="EXW"/>
    <n v="799"/>
    <s v="Litros"/>
    <n v="51.8"/>
    <n v="41388.199999999997"/>
    <n v="2882.89"/>
    <n v="6.9654877477155333E-2"/>
    <n v="27"/>
    <d v="2024-01-25T00:00:00"/>
    <d v="2024-01-22T00:00:00"/>
    <n v="-3"/>
    <x v="0"/>
    <b v="1"/>
    <n v="494"/>
    <n v="298"/>
    <x v="4"/>
    <x v="1"/>
  </r>
  <r>
    <s v="PED-00261"/>
    <d v="2024-03-09T00:00:00"/>
    <x v="0"/>
    <x v="8"/>
    <n v="10"/>
    <x v="0"/>
    <x v="7"/>
    <s v="SKU-ALI-7609"/>
    <x v="4"/>
    <x v="1"/>
    <x v="2"/>
    <s v="EXW"/>
    <n v="918"/>
    <s v="Palés"/>
    <n v="82.8"/>
    <n v="76010.399999999994"/>
    <n v="3470.65"/>
    <n v="4.5660199130645285E-2"/>
    <n v="17"/>
    <d v="2024-03-26T00:00:00"/>
    <d v="2024-03-26T00:00:00"/>
    <n v="0"/>
    <x v="0"/>
    <b v="1"/>
    <n v="29"/>
    <n v="186"/>
    <x v="0"/>
    <x v="0"/>
  </r>
  <r>
    <s v="PED-00262"/>
    <d v="2024-02-25T00:00:00"/>
    <x v="0"/>
    <x v="9"/>
    <n v="9"/>
    <x v="0"/>
    <x v="7"/>
    <s v="SKU-ALI-2506"/>
    <x v="0"/>
    <x v="0"/>
    <x v="1"/>
    <s v="DDP"/>
    <n v="98"/>
    <s v="Metros"/>
    <n v="70.06"/>
    <n v="6865.88"/>
    <n v="382.87"/>
    <n v="5.5764155505193799E-2"/>
    <n v="2"/>
    <d v="2024-02-27T00:00:00"/>
    <d v="2024-02-28T00:00:00"/>
    <n v="1"/>
    <x v="1"/>
    <b v="0"/>
    <n v="321"/>
    <n v="29"/>
    <x v="1"/>
    <x v="1"/>
  </r>
  <r>
    <s v="PED-00263"/>
    <d v="2024-04-23T00:00:00"/>
    <x v="0"/>
    <x v="1"/>
    <n v="17"/>
    <x v="8"/>
    <x v="7"/>
    <s v="SKU-ALI-6724"/>
    <x v="3"/>
    <x v="0"/>
    <x v="2"/>
    <s v="EXW"/>
    <n v="697"/>
    <s v="Cajas"/>
    <n v="56.01"/>
    <n v="39038.97"/>
    <n v="990.78"/>
    <n v="2.5379255651468261E-2"/>
    <n v="2"/>
    <d v="2024-04-25T00:00:00"/>
    <d v="2024-04-30T00:00:00"/>
    <n v="5"/>
    <x v="1"/>
    <b v="0"/>
    <n v="135"/>
    <n v="58"/>
    <x v="3"/>
    <x v="1"/>
  </r>
  <r>
    <s v="PED-00264"/>
    <d v="2023-02-25T00:00:00"/>
    <x v="1"/>
    <x v="9"/>
    <n v="8"/>
    <x v="2"/>
    <x v="0"/>
    <s v="SKU-MAQ-4624"/>
    <x v="4"/>
    <x v="2"/>
    <x v="0"/>
    <s v="FOB"/>
    <n v="539"/>
    <s v="Unidades"/>
    <n v="2148"/>
    <n v="1157772"/>
    <n v="46590.53"/>
    <n v="4.0241541512491229E-2"/>
    <n v="28"/>
    <d v="2023-03-25T00:00:00"/>
    <d v="2023-03-30T00:00:00"/>
    <n v="5"/>
    <x v="1"/>
    <b v="0"/>
    <n v="13"/>
    <n v="8"/>
    <x v="0"/>
    <x v="0"/>
  </r>
  <r>
    <s v="PED-00265"/>
    <d v="2024-11-20T00:00:00"/>
    <x v="0"/>
    <x v="6"/>
    <n v="47"/>
    <x v="4"/>
    <x v="6"/>
    <s v="SKU-CON-4495"/>
    <x v="3"/>
    <x v="3"/>
    <x v="4"/>
    <s v="EXW"/>
    <n v="380"/>
    <s v="Litros"/>
    <n v="275.02"/>
    <n v="104507.6"/>
    <n v="2652.62"/>
    <n v="2.5382077475705114E-2"/>
    <n v="22"/>
    <d v="2024-12-12T00:00:00"/>
    <d v="2024-12-09T00:00:00"/>
    <n v="-3"/>
    <x v="0"/>
    <b v="1"/>
    <n v="356"/>
    <n v="475"/>
    <x v="0"/>
    <x v="0"/>
  </r>
  <r>
    <s v="PED-00266"/>
    <d v="2024-10-31T00:00:00"/>
    <x v="0"/>
    <x v="0"/>
    <n v="44"/>
    <x v="2"/>
    <x v="2"/>
    <s v="SKU-AUT-6437"/>
    <x v="5"/>
    <x v="5"/>
    <x v="3"/>
    <s v="DDP"/>
    <n v="981"/>
    <s v="Metros"/>
    <n v="1035.07"/>
    <n v="1015403.67"/>
    <n v="78889.37"/>
    <n v="7.7692618542534897E-2"/>
    <n v="23"/>
    <d v="2024-11-23T00:00:00"/>
    <d v="2024-11-20T00:00:00"/>
    <n v="-3"/>
    <x v="0"/>
    <b v="1"/>
    <n v="482"/>
    <n v="323"/>
    <x v="1"/>
    <x v="1"/>
  </r>
  <r>
    <s v="PED-00267"/>
    <d v="2024-10-23T00:00:00"/>
    <x v="0"/>
    <x v="0"/>
    <n v="43"/>
    <x v="1"/>
    <x v="2"/>
    <s v="SKU-AUT-6424"/>
    <x v="1"/>
    <x v="2"/>
    <x v="3"/>
    <s v="DAP"/>
    <n v="945"/>
    <s v="KG"/>
    <n v="667.4"/>
    <n v="630693"/>
    <n v="43161.919999999998"/>
    <n v="6.8435704851647308E-2"/>
    <n v="5"/>
    <d v="2024-10-28T00:00:00"/>
    <d v="2024-11-02T00:00:00"/>
    <n v="5"/>
    <x v="1"/>
    <b v="0"/>
    <n v="105"/>
    <n v="166"/>
    <x v="0"/>
    <x v="0"/>
  </r>
  <r>
    <s v="PED-00268"/>
    <d v="2023-04-11T00:00:00"/>
    <x v="1"/>
    <x v="1"/>
    <n v="15"/>
    <x v="0"/>
    <x v="4"/>
    <s v="SKU-TEX-6911"/>
    <x v="2"/>
    <x v="5"/>
    <x v="1"/>
    <s v="EXW"/>
    <n v="922"/>
    <s v="Palés"/>
    <n v="47.78"/>
    <n v="44053.16"/>
    <n v="2095.96"/>
    <n v="4.7577971705094479E-2"/>
    <n v="1"/>
    <d v="2023-04-12T00:00:00"/>
    <d v="2023-04-13T00:00:00"/>
    <n v="1"/>
    <x v="2"/>
    <b v="0"/>
    <n v="358"/>
    <n v="336"/>
    <x v="0"/>
    <x v="0"/>
  </r>
  <r>
    <s v="PED-00269"/>
    <d v="2023-03-04T00:00:00"/>
    <x v="1"/>
    <x v="8"/>
    <n v="9"/>
    <x v="6"/>
    <x v="7"/>
    <s v="SKU-ALI-5809"/>
    <x v="2"/>
    <x v="0"/>
    <x v="3"/>
    <s v="EXW"/>
    <n v="408"/>
    <s v="Metros"/>
    <n v="60.33"/>
    <n v="24614.639999999999"/>
    <n v="822.53"/>
    <n v="3.3416292092835809E-2"/>
    <n v="1"/>
    <d v="2023-03-05T00:00:00"/>
    <d v="2023-03-17T00:00:00"/>
    <n v="12"/>
    <x v="1"/>
    <b v="0"/>
    <n v="317"/>
    <n v="394"/>
    <x v="0"/>
    <x v="0"/>
  </r>
  <r>
    <s v="PED-00270"/>
    <d v="2024-02-17T00:00:00"/>
    <x v="0"/>
    <x v="9"/>
    <n v="7"/>
    <x v="4"/>
    <x v="2"/>
    <s v="SKU-AUT-4579"/>
    <x v="3"/>
    <x v="4"/>
    <x v="4"/>
    <s v="FOB"/>
    <n v="115"/>
    <s v="Metros"/>
    <n v="1023.38"/>
    <n v="117688.7"/>
    <n v="8945.2000000000007"/>
    <n v="7.6007297217149994E-2"/>
    <n v="19"/>
    <d v="2024-03-07T00:00:00"/>
    <d v="2024-03-02T00:00:00"/>
    <n v="-5"/>
    <x v="0"/>
    <b v="1"/>
    <n v="74"/>
    <n v="378"/>
    <x v="0"/>
    <x v="0"/>
  </r>
  <r>
    <s v="PED-00271"/>
    <d v="2023-12-14T00:00:00"/>
    <x v="1"/>
    <x v="11"/>
    <n v="50"/>
    <x v="3"/>
    <x v="1"/>
    <s v="SKU-FAR-9691"/>
    <x v="0"/>
    <x v="2"/>
    <x v="2"/>
    <s v="CIF"/>
    <n v="280"/>
    <s v="Metros"/>
    <n v="288.61"/>
    <n v="80810.8"/>
    <n v="3287.04"/>
    <n v="4.0675751260970068E-2"/>
    <n v="2"/>
    <d v="2023-12-16T00:00:00"/>
    <d v="2023-12-18T00:00:00"/>
    <n v="2"/>
    <x v="1"/>
    <b v="0"/>
    <n v="446"/>
    <n v="385"/>
    <x v="0"/>
    <x v="0"/>
  </r>
  <r>
    <s v="PED-00272"/>
    <d v="2023-04-22T00:00:00"/>
    <x v="1"/>
    <x v="1"/>
    <n v="16"/>
    <x v="5"/>
    <x v="6"/>
    <s v="SKU-CON-8780"/>
    <x v="0"/>
    <x v="1"/>
    <x v="4"/>
    <s v="DAP"/>
    <n v="984"/>
    <s v="Unidades"/>
    <n v="208.89"/>
    <n v="205547.76"/>
    <n v="6096.35"/>
    <n v="2.9659043718112035E-2"/>
    <n v="21"/>
    <d v="2023-05-13T00:00:00"/>
    <d v="2023-05-21T00:00:00"/>
    <n v="8"/>
    <x v="1"/>
    <b v="0"/>
    <n v="78"/>
    <n v="278"/>
    <x v="4"/>
    <x v="1"/>
  </r>
  <r>
    <s v="PED-00273"/>
    <d v="2023-09-12T00:00:00"/>
    <x v="1"/>
    <x v="3"/>
    <n v="37"/>
    <x v="2"/>
    <x v="2"/>
    <s v="SKU-AUT-1144"/>
    <x v="3"/>
    <x v="1"/>
    <x v="1"/>
    <s v="CIF"/>
    <n v="840"/>
    <s v="KG"/>
    <n v="636.25"/>
    <n v="534450"/>
    <n v="28747.99"/>
    <n v="5.3789858733277206E-2"/>
    <n v="12"/>
    <d v="2023-09-24T00:00:00"/>
    <d v="2023-09-23T00:00:00"/>
    <n v="-1"/>
    <x v="0"/>
    <b v="1"/>
    <n v="193"/>
    <n v="190"/>
    <x v="0"/>
    <x v="0"/>
  </r>
  <r>
    <s v="PED-00274"/>
    <d v="2023-07-16T00:00:00"/>
    <x v="1"/>
    <x v="7"/>
    <n v="29"/>
    <x v="6"/>
    <x v="3"/>
    <s v="SKU-QUÍ-2879"/>
    <x v="4"/>
    <x v="5"/>
    <x v="1"/>
    <s v="DDP"/>
    <n v="512"/>
    <s v="KG"/>
    <n v="133.19"/>
    <n v="68193.279999999999"/>
    <n v="5225.41"/>
    <n v="7.6626465247015538E-2"/>
    <n v="26"/>
    <d v="2023-08-11T00:00:00"/>
    <d v="2023-08-19T00:00:00"/>
    <n v="8"/>
    <x v="2"/>
    <b v="0"/>
    <n v="484"/>
    <n v="241"/>
    <x v="0"/>
    <x v="0"/>
  </r>
  <r>
    <s v="PED-00275"/>
    <d v="2023-07-14T00:00:00"/>
    <x v="1"/>
    <x v="7"/>
    <n v="28"/>
    <x v="3"/>
    <x v="6"/>
    <s v="SKU-CON-6668"/>
    <x v="2"/>
    <x v="0"/>
    <x v="3"/>
    <s v="DDP"/>
    <n v="688"/>
    <s v="Cajas"/>
    <n v="195.81"/>
    <n v="134717.28"/>
    <n v="2725.31"/>
    <n v="2.0229847277201559E-2"/>
    <n v="6"/>
    <d v="2023-07-20T00:00:00"/>
    <d v="2023-07-20T00:00:00"/>
    <n v="0"/>
    <x v="0"/>
    <b v="1"/>
    <n v="362"/>
    <n v="277"/>
    <x v="4"/>
    <x v="1"/>
  </r>
  <r>
    <s v="PED-00276"/>
    <d v="2024-07-03T00:00:00"/>
    <x v="0"/>
    <x v="7"/>
    <n v="27"/>
    <x v="3"/>
    <x v="3"/>
    <s v="SKU-QUÍ-8301"/>
    <x v="4"/>
    <x v="4"/>
    <x v="4"/>
    <s v="CIF"/>
    <n v="534"/>
    <s v="Unidades"/>
    <n v="119.98"/>
    <n v="64069.32"/>
    <n v="2196.7800000000002"/>
    <n v="3.4287549797625452E-2"/>
    <n v="23"/>
    <d v="2024-07-26T00:00:00"/>
    <d v="2024-07-29T00:00:00"/>
    <n v="3"/>
    <x v="1"/>
    <b v="0"/>
    <n v="95"/>
    <n v="444"/>
    <x v="1"/>
    <x v="1"/>
  </r>
  <r>
    <s v="PED-00277"/>
    <d v="2024-04-04T00:00:00"/>
    <x v="0"/>
    <x v="1"/>
    <n v="14"/>
    <x v="0"/>
    <x v="2"/>
    <s v="SKU-AUT-4937"/>
    <x v="5"/>
    <x v="5"/>
    <x v="2"/>
    <s v="FOB"/>
    <n v="858"/>
    <s v="Metros"/>
    <n v="957.65"/>
    <n v="821663.7"/>
    <n v="62698.58"/>
    <n v="7.6306863744863021E-2"/>
    <n v="4"/>
    <d v="2024-04-08T00:00:00"/>
    <d v="2024-04-08T00:00:00"/>
    <n v="0"/>
    <x v="0"/>
    <b v="1"/>
    <n v="39"/>
    <n v="153"/>
    <x v="2"/>
    <x v="1"/>
  </r>
  <r>
    <s v="PED-00278"/>
    <d v="2023-05-24T00:00:00"/>
    <x v="1"/>
    <x v="5"/>
    <n v="21"/>
    <x v="1"/>
    <x v="1"/>
    <s v="SKU-FAR-4994"/>
    <x v="2"/>
    <x v="4"/>
    <x v="4"/>
    <s v="FCA"/>
    <n v="41"/>
    <s v="Litros"/>
    <n v="254.99"/>
    <n v="10454.59"/>
    <n v="316.41000000000003"/>
    <n v="3.0265175391861375E-2"/>
    <n v="23"/>
    <d v="2023-06-16T00:00:00"/>
    <d v="2023-06-19T00:00:00"/>
    <n v="3"/>
    <x v="1"/>
    <b v="0"/>
    <n v="255"/>
    <n v="395"/>
    <x v="0"/>
    <x v="0"/>
  </r>
  <r>
    <s v="PED-00279"/>
    <d v="2024-03-08T00:00:00"/>
    <x v="0"/>
    <x v="8"/>
    <n v="10"/>
    <x v="0"/>
    <x v="3"/>
    <s v="SKU-QUÍ-1653"/>
    <x v="5"/>
    <x v="3"/>
    <x v="2"/>
    <s v="FOB"/>
    <n v="402"/>
    <s v="Unidades"/>
    <n v="94.62"/>
    <n v="38037.24"/>
    <n v="1019.19"/>
    <n v="2.6794530833467417E-2"/>
    <n v="11"/>
    <d v="2024-03-19T00:00:00"/>
    <d v="2024-03-20T00:00:00"/>
    <n v="1"/>
    <x v="2"/>
    <b v="0"/>
    <n v="396"/>
    <n v="159"/>
    <x v="4"/>
    <x v="1"/>
  </r>
  <r>
    <s v="PED-00280"/>
    <d v="2023-07-07T00:00:00"/>
    <x v="1"/>
    <x v="7"/>
    <n v="27"/>
    <x v="5"/>
    <x v="0"/>
    <s v="SKU-MAQ-6258"/>
    <x v="1"/>
    <x v="4"/>
    <x v="2"/>
    <s v="FCA"/>
    <n v="49"/>
    <s v="Unidades"/>
    <n v="1092.71"/>
    <n v="53542.79"/>
    <n v="2902.62"/>
    <n v="5.4211220595714191E-2"/>
    <n v="24"/>
    <d v="2023-07-31T00:00:00"/>
    <d v="2023-08-03T00:00:00"/>
    <n v="3"/>
    <x v="1"/>
    <b v="0"/>
    <n v="106"/>
    <n v="264"/>
    <x v="1"/>
    <x v="1"/>
  </r>
  <r>
    <s v="PED-00281"/>
    <d v="2023-10-13T00:00:00"/>
    <x v="1"/>
    <x v="0"/>
    <n v="41"/>
    <x v="4"/>
    <x v="2"/>
    <s v="SKU-AUT-7248"/>
    <x v="4"/>
    <x v="1"/>
    <x v="4"/>
    <s v="FCA"/>
    <n v="669"/>
    <s v="KG"/>
    <n v="1196.3699999999999"/>
    <n v="800371.53"/>
    <n v="57395.15"/>
    <n v="7.1710634185101513E-2"/>
    <n v="27"/>
    <d v="2023-11-09T00:00:00"/>
    <d v="2023-11-06T00:00:00"/>
    <n v="-3"/>
    <x v="0"/>
    <b v="1"/>
    <n v="16"/>
    <n v="234"/>
    <x v="0"/>
    <x v="0"/>
  </r>
  <r>
    <s v="PED-00282"/>
    <d v="2024-04-18T00:00:00"/>
    <x v="0"/>
    <x v="1"/>
    <n v="16"/>
    <x v="8"/>
    <x v="0"/>
    <s v="SKU-MAQ-2857"/>
    <x v="3"/>
    <x v="2"/>
    <x v="0"/>
    <s v="FOB"/>
    <n v="227"/>
    <s v="Cajas"/>
    <n v="1329.27"/>
    <n v="301744.28999999998"/>
    <n v="14672.8"/>
    <n v="4.8626603671605519E-2"/>
    <n v="17"/>
    <d v="2024-05-05T00:00:00"/>
    <d v="2024-05-17T00:00:00"/>
    <n v="12"/>
    <x v="2"/>
    <b v="0"/>
    <n v="14"/>
    <n v="452"/>
    <x v="1"/>
    <x v="1"/>
  </r>
  <r>
    <s v="PED-00283"/>
    <d v="2023-09-13T00:00:00"/>
    <x v="1"/>
    <x v="3"/>
    <n v="37"/>
    <x v="7"/>
    <x v="2"/>
    <s v="SKU-AUT-7322"/>
    <x v="2"/>
    <x v="2"/>
    <x v="4"/>
    <s v="FCA"/>
    <n v="740"/>
    <s v="Cajas"/>
    <n v="594.45000000000005"/>
    <n v="439893"/>
    <n v="35047.97"/>
    <n v="7.9673852505040998E-2"/>
    <n v="6"/>
    <d v="2023-09-19T00:00:00"/>
    <d v="2023-09-21T00:00:00"/>
    <n v="2"/>
    <x v="1"/>
    <b v="0"/>
    <n v="416"/>
    <n v="345"/>
    <x v="0"/>
    <x v="0"/>
  </r>
  <r>
    <s v="PED-00284"/>
    <d v="2023-03-19T00:00:00"/>
    <x v="1"/>
    <x v="8"/>
    <n v="12"/>
    <x v="4"/>
    <x v="5"/>
    <s v="SKU-ELE-5203"/>
    <x v="4"/>
    <x v="2"/>
    <x v="2"/>
    <s v="FCA"/>
    <n v="990"/>
    <s v="Unidades"/>
    <n v="425.95"/>
    <n v="421690.5"/>
    <n v="25617.83"/>
    <n v="6.0750313322211438E-2"/>
    <n v="24"/>
    <d v="2023-04-12T00:00:00"/>
    <d v="2023-04-14T00:00:00"/>
    <n v="2"/>
    <x v="2"/>
    <b v="0"/>
    <n v="498"/>
    <n v="198"/>
    <x v="0"/>
    <x v="0"/>
  </r>
  <r>
    <s v="PED-00285"/>
    <d v="2024-03-29T00:00:00"/>
    <x v="0"/>
    <x v="8"/>
    <n v="13"/>
    <x v="5"/>
    <x v="5"/>
    <s v="SKU-ELE-9851"/>
    <x v="3"/>
    <x v="4"/>
    <x v="1"/>
    <s v="FCA"/>
    <n v="91"/>
    <s v="Unidades"/>
    <n v="365.58"/>
    <n v="33267.78"/>
    <n v="813.21"/>
    <n v="2.4444372302570235E-2"/>
    <n v="5"/>
    <d v="2024-04-03T00:00:00"/>
    <d v="2024-03-31T00:00:00"/>
    <n v="-3"/>
    <x v="0"/>
    <b v="1"/>
    <n v="271"/>
    <n v="476"/>
    <x v="2"/>
    <x v="1"/>
  </r>
  <r>
    <s v="PED-00286"/>
    <d v="2024-07-17T00:00:00"/>
    <x v="0"/>
    <x v="7"/>
    <n v="29"/>
    <x v="8"/>
    <x v="5"/>
    <s v="SKU-ELE-5633"/>
    <x v="1"/>
    <x v="1"/>
    <x v="1"/>
    <s v="DAP"/>
    <n v="854"/>
    <s v="Palés"/>
    <n v="506.72"/>
    <n v="432738.88"/>
    <n v="34433"/>
    <n v="7.9569924477319906E-2"/>
    <n v="20"/>
    <d v="2024-08-06T00:00:00"/>
    <d v="2024-08-18T00:00:00"/>
    <n v="12"/>
    <x v="1"/>
    <b v="0"/>
    <n v="498"/>
    <n v="32"/>
    <x v="4"/>
    <x v="1"/>
  </r>
  <r>
    <s v="PED-00287"/>
    <d v="2023-04-11T00:00:00"/>
    <x v="1"/>
    <x v="1"/>
    <n v="15"/>
    <x v="3"/>
    <x v="3"/>
    <s v="SKU-QUÍ-1404"/>
    <x v="2"/>
    <x v="4"/>
    <x v="3"/>
    <s v="DDP"/>
    <n v="729"/>
    <s v="Metros"/>
    <n v="161.03"/>
    <n v="117390.87"/>
    <n v="5220.8"/>
    <n v="4.447364603397181E-2"/>
    <n v="2"/>
    <d v="2023-04-13T00:00:00"/>
    <d v="2023-04-13T00:00:00"/>
    <n v="0"/>
    <x v="0"/>
    <b v="1"/>
    <n v="12"/>
    <n v="407"/>
    <x v="0"/>
    <x v="0"/>
  </r>
  <r>
    <s v="PED-00288"/>
    <d v="2023-02-21T00:00:00"/>
    <x v="1"/>
    <x v="9"/>
    <n v="8"/>
    <x v="4"/>
    <x v="0"/>
    <s v="SKU-MAQ-9468"/>
    <x v="5"/>
    <x v="0"/>
    <x v="1"/>
    <s v="FCA"/>
    <n v="210"/>
    <s v="KG"/>
    <n v="1459.49"/>
    <n v="306492.90000000002"/>
    <n v="11415.07"/>
    <n v="3.7244158021278791E-2"/>
    <n v="6"/>
    <d v="2023-02-27T00:00:00"/>
    <d v="2023-03-07T00:00:00"/>
    <n v="8"/>
    <x v="1"/>
    <b v="0"/>
    <n v="246"/>
    <n v="88"/>
    <x v="3"/>
    <x v="1"/>
  </r>
  <r>
    <s v="PED-00289"/>
    <d v="2024-10-29T00:00:00"/>
    <x v="0"/>
    <x v="0"/>
    <n v="44"/>
    <x v="8"/>
    <x v="0"/>
    <s v="SKU-MAQ-7143"/>
    <x v="1"/>
    <x v="1"/>
    <x v="0"/>
    <s v="DDP"/>
    <n v="456"/>
    <s v="Metros"/>
    <n v="1583.02"/>
    <n v="721857.12"/>
    <n v="38599.69"/>
    <n v="5.3472756492309731E-2"/>
    <n v="22"/>
    <d v="2024-11-20T00:00:00"/>
    <d v="2024-11-21T00:00:00"/>
    <n v="1"/>
    <x v="2"/>
    <b v="0"/>
    <n v="213"/>
    <n v="94"/>
    <x v="1"/>
    <x v="1"/>
  </r>
  <r>
    <s v="PED-00290"/>
    <d v="2024-07-07T00:00:00"/>
    <x v="0"/>
    <x v="7"/>
    <n v="28"/>
    <x v="2"/>
    <x v="0"/>
    <s v="SKU-MAQ-9426"/>
    <x v="0"/>
    <x v="1"/>
    <x v="2"/>
    <s v="DDP"/>
    <n v="853"/>
    <s v="Litros"/>
    <n v="1860.7"/>
    <n v="1587177.1"/>
    <n v="60722.94"/>
    <n v="3.8258452695669562E-2"/>
    <n v="11"/>
    <d v="2024-07-18T00:00:00"/>
    <d v="2024-07-26T00:00:00"/>
    <n v="8"/>
    <x v="1"/>
    <b v="0"/>
    <n v="150"/>
    <n v="220"/>
    <x v="2"/>
    <x v="1"/>
  </r>
  <r>
    <s v="PED-00291"/>
    <d v="2023-01-16T00:00:00"/>
    <x v="1"/>
    <x v="2"/>
    <n v="3"/>
    <x v="0"/>
    <x v="1"/>
    <s v="SKU-FAR-9335"/>
    <x v="3"/>
    <x v="4"/>
    <x v="4"/>
    <s v="DAP"/>
    <n v="437"/>
    <s v="Litros"/>
    <n v="221.42"/>
    <n v="96760.54"/>
    <n v="2437.15"/>
    <n v="2.5187436944853762E-2"/>
    <n v="16"/>
    <d v="2023-02-01T00:00:00"/>
    <d v="2023-02-01T00:00:00"/>
    <n v="0"/>
    <x v="0"/>
    <b v="1"/>
    <n v="291"/>
    <n v="68"/>
    <x v="1"/>
    <x v="1"/>
  </r>
  <r>
    <s v="PED-00292"/>
    <d v="2023-04-06T00:00:00"/>
    <x v="1"/>
    <x v="1"/>
    <n v="14"/>
    <x v="7"/>
    <x v="0"/>
    <s v="SKU-MAQ-8300"/>
    <x v="2"/>
    <x v="4"/>
    <x v="4"/>
    <s v="DDP"/>
    <n v="47"/>
    <s v="Cajas"/>
    <n v="2083.73"/>
    <n v="97935.31"/>
    <n v="1967.1"/>
    <n v="2.0085707596167308E-2"/>
    <n v="16"/>
    <d v="2023-04-22T00:00:00"/>
    <d v="2023-04-22T00:00:00"/>
    <n v="0"/>
    <x v="0"/>
    <b v="1"/>
    <n v="42"/>
    <n v="293"/>
    <x v="4"/>
    <x v="1"/>
  </r>
  <r>
    <s v="PED-00293"/>
    <d v="2023-08-31T00:00:00"/>
    <x v="1"/>
    <x v="4"/>
    <n v="35"/>
    <x v="6"/>
    <x v="1"/>
    <s v="SKU-FAR-8975"/>
    <x v="2"/>
    <x v="2"/>
    <x v="0"/>
    <s v="CIF"/>
    <n v="220"/>
    <s v="KG"/>
    <n v="278.57"/>
    <n v="61285.4"/>
    <n v="2878.88"/>
    <n v="4.6974972832028512E-2"/>
    <n v="1"/>
    <d v="2023-09-01T00:00:00"/>
    <d v="2023-09-01T00:00:00"/>
    <n v="0"/>
    <x v="0"/>
    <b v="1"/>
    <n v="433"/>
    <n v="236"/>
    <x v="2"/>
    <x v="1"/>
  </r>
  <r>
    <s v="PED-00294"/>
    <d v="2023-06-20T00:00:00"/>
    <x v="1"/>
    <x v="10"/>
    <n v="25"/>
    <x v="2"/>
    <x v="5"/>
    <s v="SKU-ELE-1718"/>
    <x v="1"/>
    <x v="1"/>
    <x v="1"/>
    <s v="EXW"/>
    <n v="453"/>
    <s v="Metros"/>
    <n v="353.96"/>
    <n v="160343.88"/>
    <n v="11258.03"/>
    <n v="7.0211784821472459E-2"/>
    <n v="9"/>
    <d v="2023-06-29T00:00:00"/>
    <d v="2023-07-04T00:00:00"/>
    <n v="5"/>
    <x v="1"/>
    <b v="0"/>
    <n v="113"/>
    <n v="394"/>
    <x v="0"/>
    <x v="0"/>
  </r>
  <r>
    <s v="PED-00295"/>
    <d v="2024-02-21T00:00:00"/>
    <x v="0"/>
    <x v="9"/>
    <n v="8"/>
    <x v="4"/>
    <x v="5"/>
    <s v="SKU-ELE-5856"/>
    <x v="2"/>
    <x v="2"/>
    <x v="2"/>
    <s v="DAP"/>
    <n v="336"/>
    <s v="Cajas"/>
    <n v="661.22"/>
    <n v="222169.92"/>
    <n v="12072.47"/>
    <n v="5.4338904204493561E-2"/>
    <n v="28"/>
    <d v="2024-03-20T00:00:00"/>
    <d v="2024-03-20T00:00:00"/>
    <n v="0"/>
    <x v="0"/>
    <b v="1"/>
    <n v="329"/>
    <n v="159"/>
    <x v="0"/>
    <x v="0"/>
  </r>
  <r>
    <s v="PED-00296"/>
    <d v="2024-05-12T00:00:00"/>
    <x v="0"/>
    <x v="5"/>
    <n v="20"/>
    <x v="9"/>
    <x v="3"/>
    <s v="SKU-QUÍ-4154"/>
    <x v="3"/>
    <x v="0"/>
    <x v="1"/>
    <s v="EXW"/>
    <n v="770"/>
    <s v="Litros"/>
    <n v="128.22999999999999"/>
    <n v="98737.1"/>
    <n v="7894.27"/>
    <n v="7.9952419100824304E-2"/>
    <n v="27"/>
    <d v="2024-06-08T00:00:00"/>
    <d v="2024-06-13T00:00:00"/>
    <n v="5"/>
    <x v="1"/>
    <b v="0"/>
    <n v="80"/>
    <n v="319"/>
    <x v="1"/>
    <x v="1"/>
  </r>
  <r>
    <s v="PED-00297"/>
    <d v="2024-05-07T00:00:00"/>
    <x v="0"/>
    <x v="5"/>
    <n v="19"/>
    <x v="8"/>
    <x v="2"/>
    <s v="SKU-AUT-6248"/>
    <x v="1"/>
    <x v="3"/>
    <x v="3"/>
    <s v="CIF"/>
    <n v="236"/>
    <s v="Unidades"/>
    <n v="1192.8599999999999"/>
    <n v="281514.96000000002"/>
    <n v="10475.4"/>
    <n v="3.721081110574017E-2"/>
    <n v="6"/>
    <d v="2024-05-13T00:00:00"/>
    <d v="2024-05-12T00:00:00"/>
    <n v="-1"/>
    <x v="0"/>
    <b v="1"/>
    <n v="349"/>
    <n v="327"/>
    <x v="0"/>
    <x v="0"/>
  </r>
  <r>
    <s v="PED-00298"/>
    <d v="2023-08-07T00:00:00"/>
    <x v="1"/>
    <x v="4"/>
    <n v="32"/>
    <x v="3"/>
    <x v="5"/>
    <s v="SKU-ELE-9419"/>
    <x v="5"/>
    <x v="2"/>
    <x v="1"/>
    <s v="FOB"/>
    <n v="57"/>
    <s v="KG"/>
    <n v="543.29"/>
    <n v="30967.53"/>
    <n v="1140.45"/>
    <n v="3.6827283286719997E-2"/>
    <n v="16"/>
    <d v="2023-08-23T00:00:00"/>
    <d v="2023-08-26T00:00:00"/>
    <n v="3"/>
    <x v="2"/>
    <b v="0"/>
    <n v="140"/>
    <n v="275"/>
    <x v="0"/>
    <x v="0"/>
  </r>
  <r>
    <s v="PED-00299"/>
    <d v="2024-02-15T00:00:00"/>
    <x v="0"/>
    <x v="9"/>
    <n v="7"/>
    <x v="3"/>
    <x v="2"/>
    <s v="SKU-AUT-2349"/>
    <x v="1"/>
    <x v="4"/>
    <x v="3"/>
    <s v="FOB"/>
    <n v="27"/>
    <s v="KG"/>
    <n v="1191.6099999999999"/>
    <n v="32173.47"/>
    <n v="951.85"/>
    <n v="2.9584934419569914E-2"/>
    <n v="29"/>
    <d v="2024-03-15T00:00:00"/>
    <d v="2024-03-27T00:00:00"/>
    <n v="12"/>
    <x v="2"/>
    <b v="0"/>
    <n v="29"/>
    <n v="289"/>
    <x v="0"/>
    <x v="0"/>
  </r>
  <r>
    <s v="PED-00300"/>
    <d v="2023-03-02T00:00:00"/>
    <x v="1"/>
    <x v="8"/>
    <n v="9"/>
    <x v="9"/>
    <x v="2"/>
    <s v="SKU-AUT-2572"/>
    <x v="1"/>
    <x v="5"/>
    <x v="4"/>
    <s v="FCA"/>
    <n v="921"/>
    <s v="Metros"/>
    <n v="1042.92"/>
    <n v="960529.32"/>
    <n v="28665.86"/>
    <n v="2.9843815699452051E-2"/>
    <n v="3"/>
    <d v="2023-03-05T00:00:00"/>
    <d v="2023-03-10T00:00:00"/>
    <n v="5"/>
    <x v="2"/>
    <b v="0"/>
    <n v="440"/>
    <n v="366"/>
    <x v="3"/>
    <x v="1"/>
  </r>
  <r>
    <s v="PED-00301"/>
    <d v="2023-06-18T00:00:00"/>
    <x v="1"/>
    <x v="10"/>
    <n v="25"/>
    <x v="4"/>
    <x v="6"/>
    <s v="SKU-CON-3742"/>
    <x v="5"/>
    <x v="3"/>
    <x v="2"/>
    <s v="FOB"/>
    <n v="448"/>
    <s v="Palés"/>
    <n v="179.78"/>
    <n v="80541.440000000002"/>
    <n v="2988.99"/>
    <n v="3.7111206355386742E-2"/>
    <n v="20"/>
    <d v="2023-07-08T00:00:00"/>
    <d v="2023-07-16T00:00:00"/>
    <n v="8"/>
    <x v="1"/>
    <b v="0"/>
    <n v="493"/>
    <n v="41"/>
    <x v="1"/>
    <x v="1"/>
  </r>
  <r>
    <s v="PED-00302"/>
    <d v="2024-01-24T00:00:00"/>
    <x v="0"/>
    <x v="2"/>
    <n v="4"/>
    <x v="3"/>
    <x v="3"/>
    <s v="SKU-QUÍ-9814"/>
    <x v="0"/>
    <x v="0"/>
    <x v="3"/>
    <s v="DAP"/>
    <n v="816"/>
    <s v="Metros"/>
    <n v="135.69"/>
    <n v="110723.04"/>
    <n v="7481.6"/>
    <n v="6.7570399078638016E-2"/>
    <n v="28"/>
    <d v="2024-02-21T00:00:00"/>
    <d v="2024-02-18T00:00:00"/>
    <n v="-3"/>
    <x v="0"/>
    <b v="1"/>
    <n v="29"/>
    <n v="391"/>
    <x v="0"/>
    <x v="0"/>
  </r>
  <r>
    <s v="PED-00303"/>
    <d v="2023-01-03T00:00:00"/>
    <x v="1"/>
    <x v="2"/>
    <n v="1"/>
    <x v="1"/>
    <x v="7"/>
    <s v="SKU-ALI-9736"/>
    <x v="3"/>
    <x v="4"/>
    <x v="1"/>
    <s v="FOB"/>
    <n v="717"/>
    <s v="Unidades"/>
    <n v="119.5"/>
    <n v="85681.5"/>
    <n v="6370.03"/>
    <n v="7.4345453802746209E-2"/>
    <n v="27"/>
    <d v="2023-01-30T00:00:00"/>
    <d v="2023-01-30T00:00:00"/>
    <n v="0"/>
    <x v="0"/>
    <b v="1"/>
    <n v="454"/>
    <n v="65"/>
    <x v="1"/>
    <x v="1"/>
  </r>
  <r>
    <s v="PED-00304"/>
    <d v="2024-02-04T00:00:00"/>
    <x v="0"/>
    <x v="9"/>
    <n v="6"/>
    <x v="3"/>
    <x v="7"/>
    <s v="SKU-ALI-1120"/>
    <x v="0"/>
    <x v="3"/>
    <x v="1"/>
    <s v="DAP"/>
    <n v="196"/>
    <s v="Unidades"/>
    <n v="110.88"/>
    <n v="21732.48"/>
    <n v="1706.11"/>
    <n v="7.8505076272933419E-2"/>
    <n v="4"/>
    <d v="2024-02-08T00:00:00"/>
    <d v="2024-02-20T00:00:00"/>
    <n v="12"/>
    <x v="2"/>
    <b v="0"/>
    <n v="265"/>
    <n v="20"/>
    <x v="3"/>
    <x v="1"/>
  </r>
  <r>
    <s v="PED-00305"/>
    <d v="2023-09-29T00:00:00"/>
    <x v="1"/>
    <x v="3"/>
    <n v="39"/>
    <x v="7"/>
    <x v="4"/>
    <s v="SKU-TEX-2072"/>
    <x v="0"/>
    <x v="4"/>
    <x v="4"/>
    <s v="DAP"/>
    <n v="354"/>
    <s v="Cajas"/>
    <n v="46.67"/>
    <n v="16521.18"/>
    <n v="560.69000000000005"/>
    <n v="3.393764852147365E-2"/>
    <n v="19"/>
    <d v="2023-10-18T00:00:00"/>
    <d v="2023-10-19T00:00:00"/>
    <n v="1"/>
    <x v="1"/>
    <b v="0"/>
    <n v="98"/>
    <n v="334"/>
    <x v="0"/>
    <x v="0"/>
  </r>
  <r>
    <s v="PED-00306"/>
    <d v="2024-04-10T00:00:00"/>
    <x v="0"/>
    <x v="1"/>
    <n v="15"/>
    <x v="1"/>
    <x v="6"/>
    <s v="SKU-CON-4453"/>
    <x v="0"/>
    <x v="2"/>
    <x v="0"/>
    <s v="EXW"/>
    <n v="233"/>
    <s v="KG"/>
    <n v="253.02"/>
    <n v="58953.66"/>
    <n v="4296.42"/>
    <n v="7.2877918012215021E-2"/>
    <n v="26"/>
    <d v="2024-05-06T00:00:00"/>
    <d v="2024-05-18T00:00:00"/>
    <n v="12"/>
    <x v="1"/>
    <b v="0"/>
    <n v="449"/>
    <n v="69"/>
    <x v="2"/>
    <x v="1"/>
  </r>
  <r>
    <s v="PED-00307"/>
    <d v="2023-10-20T00:00:00"/>
    <x v="1"/>
    <x v="0"/>
    <n v="42"/>
    <x v="5"/>
    <x v="3"/>
    <s v="SKU-QUÍ-4492"/>
    <x v="4"/>
    <x v="4"/>
    <x v="0"/>
    <s v="FOB"/>
    <n v="839"/>
    <s v="Cajas"/>
    <n v="117.18"/>
    <n v="98314.02"/>
    <n v="3902.61"/>
    <n v="3.9695355759026024E-2"/>
    <n v="3"/>
    <d v="2023-10-23T00:00:00"/>
    <d v="2023-10-26T00:00:00"/>
    <n v="3"/>
    <x v="1"/>
    <b v="0"/>
    <n v="93"/>
    <n v="260"/>
    <x v="3"/>
    <x v="1"/>
  </r>
  <r>
    <s v="PED-00308"/>
    <d v="2024-03-09T00:00:00"/>
    <x v="0"/>
    <x v="8"/>
    <n v="10"/>
    <x v="5"/>
    <x v="4"/>
    <s v="SKU-TEX-7950"/>
    <x v="0"/>
    <x v="0"/>
    <x v="1"/>
    <s v="DDP"/>
    <n v="497"/>
    <s v="Unidades"/>
    <n v="42.34"/>
    <n v="21042.98"/>
    <n v="563.33000000000004"/>
    <n v="2.6770447911845189E-2"/>
    <n v="19"/>
    <d v="2024-03-28T00:00:00"/>
    <d v="2024-03-27T00:00:00"/>
    <n v="-1"/>
    <x v="0"/>
    <b v="1"/>
    <n v="210"/>
    <n v="245"/>
    <x v="1"/>
    <x v="1"/>
  </r>
  <r>
    <s v="PED-00309"/>
    <d v="2024-12-14T00:00:00"/>
    <x v="0"/>
    <x v="11"/>
    <n v="50"/>
    <x v="8"/>
    <x v="4"/>
    <s v="SKU-TEX-2702"/>
    <x v="4"/>
    <x v="5"/>
    <x v="0"/>
    <s v="FOB"/>
    <n v="918"/>
    <s v="Palés"/>
    <n v="61.37"/>
    <n v="56337.66"/>
    <n v="4067.66"/>
    <n v="7.2201436836389715E-2"/>
    <n v="20"/>
    <d v="2025-01-03T00:00:00"/>
    <d v="2025-01-08T00:00:00"/>
    <n v="5"/>
    <x v="1"/>
    <b v="0"/>
    <n v="294"/>
    <n v="322"/>
    <x v="1"/>
    <x v="1"/>
  </r>
  <r>
    <s v="PED-00310"/>
    <d v="2024-07-23T00:00:00"/>
    <x v="0"/>
    <x v="7"/>
    <n v="30"/>
    <x v="1"/>
    <x v="6"/>
    <s v="SKU-CON-4368"/>
    <x v="5"/>
    <x v="2"/>
    <x v="2"/>
    <s v="FOB"/>
    <n v="886"/>
    <s v="KG"/>
    <n v="177.56"/>
    <n v="157318.16"/>
    <n v="9150.6200000000008"/>
    <n v="5.81663299392772E-2"/>
    <n v="7"/>
    <d v="2024-07-30T00:00:00"/>
    <d v="2024-07-29T00:00:00"/>
    <n v="-1"/>
    <x v="0"/>
    <b v="1"/>
    <n v="36"/>
    <n v="234"/>
    <x v="2"/>
    <x v="1"/>
  </r>
  <r>
    <s v="PED-00311"/>
    <d v="2024-11-08T00:00:00"/>
    <x v="0"/>
    <x v="6"/>
    <n v="45"/>
    <x v="2"/>
    <x v="7"/>
    <s v="SKU-ALI-9810"/>
    <x v="3"/>
    <x v="2"/>
    <x v="0"/>
    <s v="FOB"/>
    <n v="858"/>
    <s v="Unidades"/>
    <n v="108.41"/>
    <n v="93015.78"/>
    <n v="2779.67"/>
    <n v="2.9883854115936029E-2"/>
    <n v="20"/>
    <d v="2024-11-28T00:00:00"/>
    <d v="2024-11-29T00:00:00"/>
    <n v="1"/>
    <x v="1"/>
    <b v="0"/>
    <n v="386"/>
    <n v="426"/>
    <x v="2"/>
    <x v="1"/>
  </r>
  <r>
    <s v="PED-00312"/>
    <d v="2024-05-13T00:00:00"/>
    <x v="0"/>
    <x v="5"/>
    <n v="20"/>
    <x v="8"/>
    <x v="3"/>
    <s v="SKU-QUÍ-8130"/>
    <x v="0"/>
    <x v="0"/>
    <x v="2"/>
    <s v="FCA"/>
    <n v="238"/>
    <s v="Palés"/>
    <n v="116.38"/>
    <n v="27698.44"/>
    <n v="1268.31"/>
    <n v="4.5789943404754924E-2"/>
    <n v="9"/>
    <d v="2024-05-22T00:00:00"/>
    <d v="2024-05-22T00:00:00"/>
    <n v="0"/>
    <x v="0"/>
    <b v="1"/>
    <n v="88"/>
    <n v="271"/>
    <x v="0"/>
    <x v="0"/>
  </r>
  <r>
    <s v="PED-00313"/>
    <d v="2023-06-08T00:00:00"/>
    <x v="1"/>
    <x v="10"/>
    <n v="23"/>
    <x v="2"/>
    <x v="7"/>
    <s v="SKU-ALI-2181"/>
    <x v="2"/>
    <x v="0"/>
    <x v="1"/>
    <s v="DDP"/>
    <n v="399"/>
    <s v="Metros"/>
    <n v="108.96"/>
    <n v="43475.040000000001"/>
    <n v="1618.81"/>
    <n v="3.723538839757249E-2"/>
    <n v="1"/>
    <d v="2023-06-09T00:00:00"/>
    <d v="2023-06-11T00:00:00"/>
    <n v="2"/>
    <x v="2"/>
    <b v="0"/>
    <n v="417"/>
    <n v="98"/>
    <x v="0"/>
    <x v="0"/>
  </r>
  <r>
    <s v="PED-00314"/>
    <d v="2023-07-14T00:00:00"/>
    <x v="1"/>
    <x v="7"/>
    <n v="28"/>
    <x v="7"/>
    <x v="4"/>
    <s v="SKU-TEX-3519"/>
    <x v="5"/>
    <x v="3"/>
    <x v="1"/>
    <s v="DDP"/>
    <n v="988"/>
    <s v="Litros"/>
    <n v="42.03"/>
    <n v="41525.64"/>
    <n v="2666.26"/>
    <n v="6.4207559474098425E-2"/>
    <n v="8"/>
    <d v="2023-07-22T00:00:00"/>
    <d v="2023-07-23T00:00:00"/>
    <n v="1"/>
    <x v="2"/>
    <b v="0"/>
    <n v="254"/>
    <n v="328"/>
    <x v="0"/>
    <x v="0"/>
  </r>
  <r>
    <s v="PED-00315"/>
    <d v="2023-10-31T00:00:00"/>
    <x v="1"/>
    <x v="0"/>
    <n v="44"/>
    <x v="0"/>
    <x v="3"/>
    <s v="SKU-QUÍ-1389"/>
    <x v="4"/>
    <x v="5"/>
    <x v="1"/>
    <s v="DAP"/>
    <n v="598"/>
    <s v="Unidades"/>
    <n v="113.55"/>
    <n v="67902.899999999994"/>
    <n v="3205.35"/>
    <n v="4.7204905828764313E-2"/>
    <n v="7"/>
    <d v="2023-11-07T00:00:00"/>
    <d v="2023-11-07T00:00:00"/>
    <n v="0"/>
    <x v="0"/>
    <b v="1"/>
    <n v="213"/>
    <n v="34"/>
    <x v="2"/>
    <x v="1"/>
  </r>
  <r>
    <s v="PED-00316"/>
    <d v="2023-08-11T00:00:00"/>
    <x v="1"/>
    <x v="4"/>
    <n v="32"/>
    <x v="4"/>
    <x v="4"/>
    <s v="SKU-TEX-8523"/>
    <x v="3"/>
    <x v="4"/>
    <x v="4"/>
    <s v="DDP"/>
    <n v="197"/>
    <s v="Litros"/>
    <n v="53.58"/>
    <n v="10555.26"/>
    <n v="837.63"/>
    <n v="7.9356643038636654E-2"/>
    <n v="18"/>
    <d v="2023-08-29T00:00:00"/>
    <d v="2023-08-30T00:00:00"/>
    <n v="1"/>
    <x v="1"/>
    <b v="0"/>
    <n v="421"/>
    <n v="338"/>
    <x v="0"/>
    <x v="0"/>
  </r>
  <r>
    <s v="PED-00317"/>
    <d v="2023-03-01T00:00:00"/>
    <x v="1"/>
    <x v="8"/>
    <n v="9"/>
    <x v="1"/>
    <x v="0"/>
    <s v="SKU-MAQ-6434"/>
    <x v="1"/>
    <x v="3"/>
    <x v="0"/>
    <s v="DAP"/>
    <n v="867"/>
    <s v="Cajas"/>
    <n v="1330.28"/>
    <n v="1153352.76"/>
    <n v="26855.47"/>
    <n v="2.3284697389548019E-2"/>
    <n v="8"/>
    <d v="2023-03-09T00:00:00"/>
    <d v="2023-03-08T00:00:00"/>
    <n v="-1"/>
    <x v="0"/>
    <b v="1"/>
    <n v="13"/>
    <n v="170"/>
    <x v="0"/>
    <x v="0"/>
  </r>
  <r>
    <s v="PED-00318"/>
    <d v="2024-08-16T00:00:00"/>
    <x v="0"/>
    <x v="4"/>
    <n v="33"/>
    <x v="9"/>
    <x v="6"/>
    <s v="SKU-CON-1620"/>
    <x v="3"/>
    <x v="4"/>
    <x v="3"/>
    <s v="EXW"/>
    <n v="279"/>
    <s v="Litros"/>
    <n v="150.91"/>
    <n v="42103.89"/>
    <n v="1738.93"/>
    <n v="4.1300934426723994E-2"/>
    <n v="1"/>
    <d v="2024-08-17T00:00:00"/>
    <d v="2024-08-29T00:00:00"/>
    <n v="12"/>
    <x v="1"/>
    <b v="0"/>
    <n v="191"/>
    <n v="109"/>
    <x v="2"/>
    <x v="1"/>
  </r>
  <r>
    <s v="PED-00319"/>
    <d v="2024-07-09T00:00:00"/>
    <x v="0"/>
    <x v="7"/>
    <n v="28"/>
    <x v="6"/>
    <x v="2"/>
    <s v="SKU-AUT-2433"/>
    <x v="3"/>
    <x v="4"/>
    <x v="3"/>
    <s v="DAP"/>
    <n v="616"/>
    <s v="Unidades"/>
    <n v="679.76"/>
    <n v="418732.16"/>
    <n v="20481.87"/>
    <n v="4.8914012241142404E-2"/>
    <n v="11"/>
    <d v="2024-07-20T00:00:00"/>
    <d v="2024-07-17T00:00:00"/>
    <n v="-3"/>
    <x v="0"/>
    <b v="1"/>
    <n v="294"/>
    <n v="481"/>
    <x v="0"/>
    <x v="0"/>
  </r>
  <r>
    <s v="PED-00320"/>
    <d v="2023-03-04T00:00:00"/>
    <x v="1"/>
    <x v="8"/>
    <n v="9"/>
    <x v="4"/>
    <x v="3"/>
    <s v="SKU-QUÍ-2200"/>
    <x v="0"/>
    <x v="4"/>
    <x v="1"/>
    <s v="FOB"/>
    <n v="319"/>
    <s v="Litros"/>
    <n v="137.33000000000001"/>
    <n v="43808.27"/>
    <n v="2198.65"/>
    <n v="5.0188012446051859E-2"/>
    <n v="28"/>
    <d v="2023-04-01T00:00:00"/>
    <d v="2023-04-01T00:00:00"/>
    <n v="0"/>
    <x v="0"/>
    <b v="1"/>
    <n v="181"/>
    <n v="294"/>
    <x v="3"/>
    <x v="1"/>
  </r>
  <r>
    <s v="PED-00321"/>
    <d v="2023-11-18T00:00:00"/>
    <x v="1"/>
    <x v="6"/>
    <n v="46"/>
    <x v="7"/>
    <x v="3"/>
    <s v="SKU-QUÍ-1889"/>
    <x v="0"/>
    <x v="3"/>
    <x v="0"/>
    <s v="CIF"/>
    <n v="141"/>
    <s v="KG"/>
    <n v="111.97"/>
    <n v="15787.77"/>
    <n v="615.03"/>
    <n v="3.8956103363552923E-2"/>
    <n v="25"/>
    <d v="2023-12-13T00:00:00"/>
    <d v="2023-12-10T00:00:00"/>
    <n v="-3"/>
    <x v="0"/>
    <b v="1"/>
    <n v="129"/>
    <n v="9"/>
    <x v="3"/>
    <x v="1"/>
  </r>
  <r>
    <s v="PED-00322"/>
    <d v="2023-02-28T00:00:00"/>
    <x v="1"/>
    <x v="9"/>
    <n v="9"/>
    <x v="1"/>
    <x v="2"/>
    <s v="SKU-AUT-3916"/>
    <x v="4"/>
    <x v="2"/>
    <x v="2"/>
    <s v="CIF"/>
    <n v="560"/>
    <s v="Unidades"/>
    <n v="827.13"/>
    <n v="463192.8"/>
    <n v="29530.59"/>
    <n v="6.3754423643890834E-2"/>
    <n v="25"/>
    <d v="2023-03-25T00:00:00"/>
    <d v="2023-03-24T00:00:00"/>
    <n v="-1"/>
    <x v="0"/>
    <b v="1"/>
    <n v="223"/>
    <n v="201"/>
    <x v="0"/>
    <x v="0"/>
  </r>
  <r>
    <s v="PED-00323"/>
    <d v="2023-02-21T00:00:00"/>
    <x v="1"/>
    <x v="9"/>
    <n v="8"/>
    <x v="5"/>
    <x v="4"/>
    <s v="SKU-TEX-5127"/>
    <x v="4"/>
    <x v="0"/>
    <x v="3"/>
    <s v="FCA"/>
    <n v="81"/>
    <s v="Palés"/>
    <n v="60.09"/>
    <n v="4867.29"/>
    <n v="352.8"/>
    <n v="7.2483866792403984E-2"/>
    <n v="18"/>
    <d v="2023-03-11T00:00:00"/>
    <d v="2023-03-11T00:00:00"/>
    <n v="0"/>
    <x v="0"/>
    <b v="1"/>
    <n v="42"/>
    <n v="403"/>
    <x v="0"/>
    <x v="0"/>
  </r>
  <r>
    <s v="PED-00324"/>
    <d v="2024-08-21T00:00:00"/>
    <x v="0"/>
    <x v="4"/>
    <n v="34"/>
    <x v="4"/>
    <x v="0"/>
    <s v="SKU-MAQ-2154"/>
    <x v="0"/>
    <x v="2"/>
    <x v="1"/>
    <s v="FOB"/>
    <n v="802"/>
    <s v="Litros"/>
    <n v="2101.09"/>
    <n v="1639255.3774000001"/>
    <n v="96548.6302"/>
    <n v="5.8897857851248549E-2"/>
    <n v="23"/>
    <d v="2024-09-13T00:00:00"/>
    <d v="2024-09-13T00:00:00"/>
    <n v="0"/>
    <x v="0"/>
    <b v="1"/>
    <n v="180"/>
    <n v="256"/>
    <x v="0"/>
    <x v="0"/>
  </r>
  <r>
    <s v="PED-00325"/>
    <d v="2024-05-03T00:00:00"/>
    <x v="0"/>
    <x v="5"/>
    <n v="18"/>
    <x v="2"/>
    <x v="1"/>
    <s v="SKU-FAR-4729"/>
    <x v="0"/>
    <x v="5"/>
    <x v="3"/>
    <s v="DAP"/>
    <n v="854"/>
    <s v="KG"/>
    <n v="284.85000000000002"/>
    <n v="243261.9"/>
    <n v="16616.150000000001"/>
    <n v="6.8305599849380449E-2"/>
    <n v="10"/>
    <d v="2024-05-13T00:00:00"/>
    <d v="2024-05-15T00:00:00"/>
    <n v="2"/>
    <x v="2"/>
    <b v="0"/>
    <n v="386"/>
    <n v="261"/>
    <x v="2"/>
    <x v="1"/>
  </r>
  <r>
    <s v="PED-00326"/>
    <d v="2024-05-29T00:00:00"/>
    <x v="0"/>
    <x v="5"/>
    <n v="22"/>
    <x v="9"/>
    <x v="2"/>
    <s v="SKU-AUT-5237"/>
    <x v="2"/>
    <x v="3"/>
    <x v="3"/>
    <s v="FOB"/>
    <n v="681"/>
    <s v="Cajas"/>
    <n v="875.49"/>
    <n v="596208.68999999994"/>
    <n v="42351.57"/>
    <n v="7.1034808298416449E-2"/>
    <n v="3"/>
    <d v="2024-06-01T00:00:00"/>
    <d v="2024-06-04T00:00:00"/>
    <n v="3"/>
    <x v="2"/>
    <b v="0"/>
    <n v="168"/>
    <n v="180"/>
    <x v="0"/>
    <x v="0"/>
  </r>
  <r>
    <s v="PED-00327"/>
    <d v="2024-06-27T00:00:00"/>
    <x v="0"/>
    <x v="10"/>
    <n v="26"/>
    <x v="4"/>
    <x v="6"/>
    <s v="SKU-CON-7678"/>
    <x v="2"/>
    <x v="5"/>
    <x v="3"/>
    <s v="FCA"/>
    <n v="196"/>
    <s v="Cajas"/>
    <n v="192.82"/>
    <n v="37792.720000000001"/>
    <n v="2004.25"/>
    <n v="5.3032700477763969E-2"/>
    <n v="7"/>
    <d v="2024-07-04T00:00:00"/>
    <d v="2024-07-12T00:00:00"/>
    <n v="8"/>
    <x v="1"/>
    <b v="0"/>
    <n v="263"/>
    <n v="429"/>
    <x v="0"/>
    <x v="0"/>
  </r>
  <r>
    <s v="PED-00328"/>
    <d v="2023-06-11T00:00:00"/>
    <x v="1"/>
    <x v="10"/>
    <n v="24"/>
    <x v="6"/>
    <x v="7"/>
    <s v="SKU-ALI-7357"/>
    <x v="5"/>
    <x v="0"/>
    <x v="1"/>
    <s v="DDP"/>
    <n v="495"/>
    <s v="Litros"/>
    <n v="62.84"/>
    <n v="31105.8"/>
    <n v="2163.5100000000002"/>
    <n v="6.9553266593368454E-2"/>
    <n v="28"/>
    <d v="2023-07-09T00:00:00"/>
    <d v="2023-07-08T00:00:00"/>
    <n v="-1"/>
    <x v="0"/>
    <b v="1"/>
    <n v="473"/>
    <n v="65"/>
    <x v="3"/>
    <x v="1"/>
  </r>
  <r>
    <s v="PED-00329"/>
    <d v="2023-02-28T00:00:00"/>
    <x v="1"/>
    <x v="9"/>
    <n v="9"/>
    <x v="7"/>
    <x v="4"/>
    <s v="SKU-TEX-8391"/>
    <x v="0"/>
    <x v="0"/>
    <x v="1"/>
    <s v="DAP"/>
    <n v="200"/>
    <s v="Cajas"/>
    <n v="87.76"/>
    <n v="17552"/>
    <n v="670.67"/>
    <n v="3.8210460346399265E-2"/>
    <n v="16"/>
    <d v="2023-03-16T00:00:00"/>
    <d v="2023-03-28T00:00:00"/>
    <n v="12"/>
    <x v="1"/>
    <b v="0"/>
    <n v="95"/>
    <n v="293"/>
    <x v="0"/>
    <x v="0"/>
  </r>
  <r>
    <s v="PED-00330"/>
    <d v="2024-06-04T00:00:00"/>
    <x v="0"/>
    <x v="10"/>
    <n v="23"/>
    <x v="7"/>
    <x v="2"/>
    <s v="SKU-AUT-7626"/>
    <x v="1"/>
    <x v="1"/>
    <x v="4"/>
    <s v="FOB"/>
    <n v="431"/>
    <s v="Palés"/>
    <n v="598.54999999999995"/>
    <n v="257975.05"/>
    <n v="11327.36"/>
    <n v="4.3908742337679559E-2"/>
    <n v="26"/>
    <d v="2024-06-30T00:00:00"/>
    <d v="2024-07-05T00:00:00"/>
    <n v="5"/>
    <x v="1"/>
    <b v="0"/>
    <n v="202"/>
    <n v="160"/>
    <x v="3"/>
    <x v="1"/>
  </r>
  <r>
    <s v="PED-00331"/>
    <d v="2023-03-24T00:00:00"/>
    <x v="1"/>
    <x v="8"/>
    <n v="12"/>
    <x v="8"/>
    <x v="2"/>
    <s v="SKU-AUT-8094"/>
    <x v="2"/>
    <x v="5"/>
    <x v="4"/>
    <s v="DDP"/>
    <n v="129"/>
    <s v="Unidades"/>
    <n v="750.5"/>
    <n v="96814.5"/>
    <n v="3777.2"/>
    <n v="3.9014816995388085E-2"/>
    <n v="16"/>
    <d v="2023-04-09T00:00:00"/>
    <d v="2023-04-08T00:00:00"/>
    <n v="-1"/>
    <x v="0"/>
    <b v="1"/>
    <n v="497"/>
    <n v="66"/>
    <x v="0"/>
    <x v="0"/>
  </r>
  <r>
    <s v="PED-00332"/>
    <d v="2023-07-10T00:00:00"/>
    <x v="1"/>
    <x v="7"/>
    <n v="28"/>
    <x v="7"/>
    <x v="3"/>
    <s v="SKU-QUÍ-6183"/>
    <x v="4"/>
    <x v="2"/>
    <x v="4"/>
    <s v="FCA"/>
    <n v="229"/>
    <s v="KG"/>
    <n v="112.61"/>
    <n v="25787.69"/>
    <n v="1238.92"/>
    <n v="4.8043077918184997E-2"/>
    <n v="25"/>
    <d v="2023-08-04T00:00:00"/>
    <d v="2023-08-03T00:00:00"/>
    <n v="-1"/>
    <x v="0"/>
    <b v="1"/>
    <n v="446"/>
    <n v="99"/>
    <x v="4"/>
    <x v="1"/>
  </r>
  <r>
    <s v="PED-00333"/>
    <d v="2023-03-12T00:00:00"/>
    <x v="1"/>
    <x v="8"/>
    <n v="11"/>
    <x v="8"/>
    <x v="7"/>
    <s v="SKU-ALI-1276"/>
    <x v="3"/>
    <x v="5"/>
    <x v="3"/>
    <s v="DDP"/>
    <n v="62"/>
    <s v="Metros"/>
    <n v="76.510000000000005"/>
    <n v="4743.62"/>
    <n v="176.15"/>
    <n v="3.7134087469063715E-2"/>
    <n v="20"/>
    <d v="2023-04-01T00:00:00"/>
    <d v="2023-04-01T00:00:00"/>
    <n v="0"/>
    <x v="0"/>
    <b v="1"/>
    <n v="320"/>
    <n v="76"/>
    <x v="3"/>
    <x v="1"/>
  </r>
  <r>
    <s v="PED-00334"/>
    <d v="2024-09-01T00:00:00"/>
    <x v="0"/>
    <x v="3"/>
    <n v="36"/>
    <x v="7"/>
    <x v="7"/>
    <s v="SKU-ALI-7381"/>
    <x v="5"/>
    <x v="3"/>
    <x v="0"/>
    <s v="DAP"/>
    <n v="743"/>
    <s v="Litros"/>
    <n v="66.510000000000005"/>
    <n v="49416.93"/>
    <n v="3839.53"/>
    <n v="7.7696651734537131E-2"/>
    <n v="28"/>
    <d v="2024-09-29T00:00:00"/>
    <d v="2024-09-24T00:00:00"/>
    <n v="-5"/>
    <x v="0"/>
    <b v="1"/>
    <n v="334"/>
    <n v="34"/>
    <x v="0"/>
    <x v="0"/>
  </r>
  <r>
    <s v="PED-00335"/>
    <d v="2023-03-11T00:00:00"/>
    <x v="1"/>
    <x v="8"/>
    <n v="10"/>
    <x v="6"/>
    <x v="6"/>
    <s v="SKU-CON-2938"/>
    <x v="2"/>
    <x v="0"/>
    <x v="1"/>
    <s v="FCA"/>
    <n v="460"/>
    <s v="Cajas"/>
    <n v="265.31"/>
    <n v="122042.6"/>
    <n v="4731.67"/>
    <n v="3.8770642382250128E-2"/>
    <n v="17"/>
    <d v="2023-03-28T00:00:00"/>
    <d v="2023-03-29T00:00:00"/>
    <n v="1"/>
    <x v="1"/>
    <b v="0"/>
    <n v="387"/>
    <n v="462"/>
    <x v="1"/>
    <x v="1"/>
  </r>
  <r>
    <s v="PED-00336"/>
    <d v="2024-11-22T00:00:00"/>
    <x v="0"/>
    <x v="6"/>
    <n v="47"/>
    <x v="7"/>
    <x v="7"/>
    <s v="SKU-ALI-9762"/>
    <x v="3"/>
    <x v="0"/>
    <x v="4"/>
    <s v="FCA"/>
    <n v="421"/>
    <s v="Unidades"/>
    <n v="63.84"/>
    <n v="26876.639999999999"/>
    <n v="695.64"/>
    <n v="2.5882699623167183E-2"/>
    <n v="2"/>
    <d v="2024-11-24T00:00:00"/>
    <d v="2024-12-06T00:00:00"/>
    <n v="12"/>
    <x v="1"/>
    <b v="0"/>
    <n v="67"/>
    <n v="44"/>
    <x v="3"/>
    <x v="1"/>
  </r>
  <r>
    <s v="PED-00337"/>
    <d v="2023-08-29T00:00:00"/>
    <x v="1"/>
    <x v="4"/>
    <n v="35"/>
    <x v="9"/>
    <x v="2"/>
    <s v="SKU-AUT-1096"/>
    <x v="3"/>
    <x v="5"/>
    <x v="0"/>
    <s v="FCA"/>
    <n v="652"/>
    <s v="Metros"/>
    <n v="966.34"/>
    <n v="630053.68000000005"/>
    <n v="32516.46"/>
    <n v="5.1609031154297831E-2"/>
    <n v="1"/>
    <d v="2023-08-30T00:00:00"/>
    <d v="2023-08-30T00:00:00"/>
    <n v="0"/>
    <x v="0"/>
    <b v="1"/>
    <n v="91"/>
    <n v="149"/>
    <x v="0"/>
    <x v="0"/>
  </r>
  <r>
    <s v="PED-00338"/>
    <d v="2024-02-18T00:00:00"/>
    <x v="0"/>
    <x v="9"/>
    <n v="8"/>
    <x v="0"/>
    <x v="1"/>
    <s v="SKU-FAR-2036"/>
    <x v="2"/>
    <x v="5"/>
    <x v="4"/>
    <s v="EXW"/>
    <n v="246"/>
    <s v="Palés"/>
    <n v="159.82"/>
    <n v="39315.72"/>
    <n v="921.01"/>
    <n v="2.3425998557320072E-2"/>
    <n v="16"/>
    <d v="2024-03-05T00:00:00"/>
    <d v="2024-03-05T00:00:00"/>
    <n v="0"/>
    <x v="0"/>
    <b v="1"/>
    <n v="265"/>
    <n v="490"/>
    <x v="0"/>
    <x v="0"/>
  </r>
  <r>
    <s v="PED-00339"/>
    <d v="2023-05-03T00:00:00"/>
    <x v="1"/>
    <x v="5"/>
    <n v="18"/>
    <x v="5"/>
    <x v="5"/>
    <s v="SKU-ELE-1745"/>
    <x v="1"/>
    <x v="4"/>
    <x v="4"/>
    <s v="FCA"/>
    <n v="767"/>
    <s v="Cajas"/>
    <n v="378.21"/>
    <n v="290087.07"/>
    <n v="7725.77"/>
    <n v="2.6632590001339943E-2"/>
    <n v="12"/>
    <d v="2023-05-15T00:00:00"/>
    <d v="2023-05-20T00:00:00"/>
    <n v="5"/>
    <x v="2"/>
    <b v="0"/>
    <n v="330"/>
    <n v="67"/>
    <x v="4"/>
    <x v="1"/>
  </r>
  <r>
    <s v="PED-00340"/>
    <d v="2024-08-06T00:00:00"/>
    <x v="0"/>
    <x v="4"/>
    <n v="32"/>
    <x v="9"/>
    <x v="4"/>
    <s v="SKU-TEX-2189"/>
    <x v="1"/>
    <x v="5"/>
    <x v="0"/>
    <s v="EXW"/>
    <n v="747"/>
    <s v="Cajas"/>
    <n v="85.65"/>
    <n v="63980.55"/>
    <n v="2121.81"/>
    <n v="3.3163359802314919E-2"/>
    <n v="5"/>
    <d v="2024-08-11T00:00:00"/>
    <d v="2024-08-13T00:00:00"/>
    <n v="2"/>
    <x v="2"/>
    <b v="0"/>
    <n v="177"/>
    <n v="253"/>
    <x v="2"/>
    <x v="1"/>
  </r>
  <r>
    <s v="PED-00341"/>
    <d v="2023-09-10T00:00:00"/>
    <x v="1"/>
    <x v="3"/>
    <n v="37"/>
    <x v="7"/>
    <x v="5"/>
    <s v="SKU-ELE-6860"/>
    <x v="5"/>
    <x v="4"/>
    <x v="4"/>
    <s v="DDP"/>
    <n v="729"/>
    <s v="KG"/>
    <n v="426.05"/>
    <n v="310590.45"/>
    <n v="14865.17"/>
    <n v="4.7861001521456954E-2"/>
    <n v="5"/>
    <d v="2023-09-15T00:00:00"/>
    <d v="2023-09-15T00:00:00"/>
    <n v="0"/>
    <x v="0"/>
    <b v="1"/>
    <n v="150"/>
    <n v="16"/>
    <x v="3"/>
    <x v="1"/>
  </r>
  <r>
    <s v="PED-00342"/>
    <d v="2024-08-15T00:00:00"/>
    <x v="0"/>
    <x v="4"/>
    <n v="33"/>
    <x v="1"/>
    <x v="2"/>
    <s v="SKU-AUT-9238"/>
    <x v="1"/>
    <x v="3"/>
    <x v="3"/>
    <s v="EXW"/>
    <n v="415"/>
    <s v="Palés"/>
    <n v="1085.5999999999999"/>
    <n v="450524"/>
    <n v="20721.88"/>
    <n v="4.5995063526027474E-2"/>
    <n v="27"/>
    <d v="2024-09-11T00:00:00"/>
    <d v="2024-09-11T00:00:00"/>
    <n v="0"/>
    <x v="0"/>
    <b v="1"/>
    <n v="316"/>
    <n v="260"/>
    <x v="0"/>
    <x v="0"/>
  </r>
  <r>
    <s v="PED-00343"/>
    <d v="2024-08-31T00:00:00"/>
    <x v="0"/>
    <x v="4"/>
    <n v="35"/>
    <x v="2"/>
    <x v="5"/>
    <s v="SKU-ELE-2738"/>
    <x v="5"/>
    <x v="3"/>
    <x v="3"/>
    <s v="DDP"/>
    <n v="617"/>
    <s v="Palés"/>
    <n v="567.85"/>
    <n v="350363.45"/>
    <n v="23818.240000000002"/>
    <n v="6.7981520332671685E-2"/>
    <n v="23"/>
    <d v="2024-09-23T00:00:00"/>
    <d v="2024-09-23T00:00:00"/>
    <n v="0"/>
    <x v="0"/>
    <b v="1"/>
    <n v="46"/>
    <n v="212"/>
    <x v="4"/>
    <x v="1"/>
  </r>
  <r>
    <s v="PED-00344"/>
    <d v="2023-02-10T00:00:00"/>
    <x v="1"/>
    <x v="9"/>
    <n v="6"/>
    <x v="0"/>
    <x v="2"/>
    <s v="SKU-AUT-5748"/>
    <x v="4"/>
    <x v="2"/>
    <x v="3"/>
    <s v="EXW"/>
    <n v="431"/>
    <s v="Litros"/>
    <n v="609.83000000000004"/>
    <n v="262836.73"/>
    <n v="16918.400000000001"/>
    <n v="6.4368476962865892E-2"/>
    <n v="9"/>
    <d v="2023-02-19T00:00:00"/>
    <d v="2023-03-03T00:00:00"/>
    <n v="12"/>
    <x v="2"/>
    <b v="0"/>
    <n v="2"/>
    <n v="312"/>
    <x v="1"/>
    <x v="1"/>
  </r>
  <r>
    <s v="PED-00345"/>
    <d v="2024-09-26T00:00:00"/>
    <x v="0"/>
    <x v="3"/>
    <n v="39"/>
    <x v="5"/>
    <x v="5"/>
    <s v="SKU-ELE-5937"/>
    <x v="2"/>
    <x v="5"/>
    <x v="2"/>
    <s v="DDP"/>
    <n v="721"/>
    <s v="Metros"/>
    <n v="732.18"/>
    <n v="527901.78"/>
    <n v="24061.29"/>
    <n v="4.557910374918607E-2"/>
    <n v="9"/>
    <d v="2024-10-05T00:00:00"/>
    <d v="2024-10-17T00:00:00"/>
    <n v="12"/>
    <x v="2"/>
    <b v="0"/>
    <n v="486"/>
    <n v="255"/>
    <x v="0"/>
    <x v="0"/>
  </r>
  <r>
    <s v="PED-00346"/>
    <d v="2023-03-25T00:00:00"/>
    <x v="1"/>
    <x v="8"/>
    <n v="12"/>
    <x v="2"/>
    <x v="7"/>
    <s v="SKU-ALI-2417"/>
    <x v="3"/>
    <x v="2"/>
    <x v="4"/>
    <s v="DDP"/>
    <n v="256"/>
    <s v="KG"/>
    <n v="71.81"/>
    <n v="18383.36"/>
    <n v="735.74"/>
    <n v="4.0022063431276983E-2"/>
    <n v="3"/>
    <d v="2023-03-28T00:00:00"/>
    <d v="2023-03-28T00:00:00"/>
    <n v="0"/>
    <x v="0"/>
    <b v="1"/>
    <n v="102"/>
    <n v="215"/>
    <x v="3"/>
    <x v="1"/>
  </r>
  <r>
    <s v="PED-00347"/>
    <d v="2024-03-05T00:00:00"/>
    <x v="0"/>
    <x v="8"/>
    <n v="10"/>
    <x v="9"/>
    <x v="0"/>
    <s v="SKU-MAQ-5612"/>
    <x v="5"/>
    <x v="1"/>
    <x v="2"/>
    <s v="FCA"/>
    <n v="81"/>
    <s v="Litros"/>
    <n v="2081.5700000000002"/>
    <n v="168607.17"/>
    <n v="6573.68"/>
    <n v="3.8988140302692938E-2"/>
    <n v="19"/>
    <d v="2024-03-24T00:00:00"/>
    <d v="2024-04-05T00:00:00"/>
    <n v="12"/>
    <x v="1"/>
    <b v="0"/>
    <n v="272"/>
    <n v="350"/>
    <x v="1"/>
    <x v="1"/>
  </r>
  <r>
    <s v="PED-00348"/>
    <d v="2024-11-04T00:00:00"/>
    <x v="0"/>
    <x v="6"/>
    <n v="45"/>
    <x v="6"/>
    <x v="7"/>
    <s v="SKU-ALI-8170"/>
    <x v="1"/>
    <x v="3"/>
    <x v="1"/>
    <s v="FCA"/>
    <n v="839"/>
    <s v="KG"/>
    <n v="66.8"/>
    <n v="56045.2"/>
    <n v="3723.63"/>
    <n v="6.6439766474202966E-2"/>
    <n v="16"/>
    <d v="2024-11-20T00:00:00"/>
    <d v="2024-11-22T00:00:00"/>
    <n v="2"/>
    <x v="1"/>
    <b v="0"/>
    <n v="21"/>
    <n v="423"/>
    <x v="0"/>
    <x v="0"/>
  </r>
  <r>
    <s v="PED-00349"/>
    <d v="2024-08-20T00:00:00"/>
    <x v="0"/>
    <x v="4"/>
    <n v="34"/>
    <x v="6"/>
    <x v="7"/>
    <s v="SKU-ALI-7249"/>
    <x v="5"/>
    <x v="0"/>
    <x v="0"/>
    <s v="DDP"/>
    <n v="194"/>
    <s v="Palés"/>
    <n v="110.65"/>
    <n v="21466.1"/>
    <n v="496.39"/>
    <n v="2.3124368189843522E-2"/>
    <n v="16"/>
    <d v="2024-09-05T00:00:00"/>
    <d v="2024-09-02T00:00:00"/>
    <n v="-3"/>
    <x v="0"/>
    <b v="1"/>
    <n v="115"/>
    <n v="285"/>
    <x v="0"/>
    <x v="0"/>
  </r>
  <r>
    <s v="PED-00350"/>
    <d v="2024-08-01T00:00:00"/>
    <x v="0"/>
    <x v="4"/>
    <n v="31"/>
    <x v="2"/>
    <x v="6"/>
    <s v="SKU-CON-7473"/>
    <x v="0"/>
    <x v="4"/>
    <x v="1"/>
    <s v="FCA"/>
    <n v="15"/>
    <s v="KG"/>
    <n v="142.12"/>
    <n v="3302.8089"/>
    <n v="142.36009999999999"/>
    <n v="4.3102735977246516E-2"/>
    <n v="3"/>
    <d v="2024-08-04T00:00:00"/>
    <d v="2024-08-04T00:00:00"/>
    <n v="0"/>
    <x v="0"/>
    <b v="1"/>
    <n v="346"/>
    <n v="425"/>
    <x v="0"/>
    <x v="0"/>
  </r>
  <r>
    <s v="PED-00351"/>
    <d v="2024-06-19T00:00:00"/>
    <x v="0"/>
    <x v="10"/>
    <n v="25"/>
    <x v="1"/>
    <x v="3"/>
    <s v="SKU-QUÍ-1504"/>
    <x v="5"/>
    <x v="1"/>
    <x v="2"/>
    <s v="DDP"/>
    <n v="215"/>
    <s v="KG"/>
    <n v="133.13"/>
    <n v="28622.95"/>
    <n v="1938.71"/>
    <n v="6.7732710988909248E-2"/>
    <n v="20"/>
    <d v="2024-07-09T00:00:00"/>
    <d v="2024-07-08T00:00:00"/>
    <n v="-1"/>
    <x v="0"/>
    <b v="1"/>
    <n v="399"/>
    <n v="6"/>
    <x v="0"/>
    <x v="0"/>
  </r>
  <r>
    <s v="PED-00352"/>
    <d v="2023-11-20T00:00:00"/>
    <x v="1"/>
    <x v="6"/>
    <n v="47"/>
    <x v="2"/>
    <x v="3"/>
    <s v="SKU-QUÍ-8765"/>
    <x v="1"/>
    <x v="0"/>
    <x v="3"/>
    <s v="FCA"/>
    <n v="553"/>
    <s v="KG"/>
    <n v="157.87"/>
    <n v="87302.11"/>
    <n v="4245.3999999999996"/>
    <n v="4.8628836118623016E-2"/>
    <n v="24"/>
    <d v="2023-12-14T00:00:00"/>
    <d v="2023-12-17T00:00:00"/>
    <n v="3"/>
    <x v="2"/>
    <b v="0"/>
    <n v="463"/>
    <n v="496"/>
    <x v="0"/>
    <x v="0"/>
  </r>
  <r>
    <s v="PED-00353"/>
    <d v="2023-09-25T00:00:00"/>
    <x v="1"/>
    <x v="3"/>
    <n v="39"/>
    <x v="9"/>
    <x v="5"/>
    <s v="SKU-ELE-3561"/>
    <x v="0"/>
    <x v="1"/>
    <x v="4"/>
    <s v="CIF"/>
    <n v="620"/>
    <s v="Unidades"/>
    <n v="723.92"/>
    <n v="448830.4"/>
    <n v="12501.21"/>
    <n v="2.7852859342860907E-2"/>
    <n v="22"/>
    <d v="2023-10-17T00:00:00"/>
    <d v="2023-10-17T00:00:00"/>
    <n v="0"/>
    <x v="0"/>
    <b v="1"/>
    <n v="103"/>
    <n v="379"/>
    <x v="4"/>
    <x v="1"/>
  </r>
  <r>
    <s v="PED-00354"/>
    <d v="2023-07-29T00:00:00"/>
    <x v="1"/>
    <x v="7"/>
    <n v="30"/>
    <x v="2"/>
    <x v="2"/>
    <s v="SKU-AUT-9740"/>
    <x v="0"/>
    <x v="2"/>
    <x v="4"/>
    <s v="EXW"/>
    <n v="915"/>
    <s v="Unidades"/>
    <n v="1141.8900000000001"/>
    <n v="1044829.35"/>
    <n v="35664.160000000003"/>
    <n v="3.4133956899277382E-2"/>
    <n v="24"/>
    <d v="2023-08-22T00:00:00"/>
    <d v="2023-08-27T00:00:00"/>
    <n v="5"/>
    <x v="1"/>
    <b v="0"/>
    <n v="258"/>
    <n v="198"/>
    <x v="1"/>
    <x v="1"/>
  </r>
  <r>
    <s v="PED-00355"/>
    <d v="2024-11-16T00:00:00"/>
    <x v="0"/>
    <x v="6"/>
    <n v="46"/>
    <x v="5"/>
    <x v="6"/>
    <s v="SKU-CON-4602"/>
    <x v="1"/>
    <x v="2"/>
    <x v="3"/>
    <s v="DDP"/>
    <n v="396"/>
    <s v="Metros"/>
    <n v="271.14"/>
    <n v="107371.44"/>
    <n v="8154.89"/>
    <n v="7.5950271319822113E-2"/>
    <n v="1"/>
    <d v="2024-11-17T00:00:00"/>
    <d v="2024-11-17T00:00:00"/>
    <n v="0"/>
    <x v="0"/>
    <b v="1"/>
    <n v="307"/>
    <n v="90"/>
    <x v="0"/>
    <x v="0"/>
  </r>
  <r>
    <s v="PED-00356"/>
    <d v="2023-11-18T00:00:00"/>
    <x v="1"/>
    <x v="6"/>
    <n v="46"/>
    <x v="1"/>
    <x v="7"/>
    <s v="SKU-ALI-3234"/>
    <x v="0"/>
    <x v="4"/>
    <x v="4"/>
    <s v="FOB"/>
    <n v="777"/>
    <s v="Metros"/>
    <n v="112.84"/>
    <n v="87676.68"/>
    <n v="6275.04"/>
    <n v="7.157022825225591E-2"/>
    <n v="24"/>
    <d v="2023-12-12T00:00:00"/>
    <d v="2023-12-09T00:00:00"/>
    <n v="-3"/>
    <x v="0"/>
    <b v="1"/>
    <n v="366"/>
    <n v="471"/>
    <x v="2"/>
    <x v="1"/>
  </r>
  <r>
    <s v="PED-00357"/>
    <d v="2023-09-02T00:00:00"/>
    <x v="1"/>
    <x v="3"/>
    <n v="35"/>
    <x v="3"/>
    <x v="6"/>
    <s v="SKU-CON-7406"/>
    <x v="2"/>
    <x v="3"/>
    <x v="0"/>
    <s v="FCA"/>
    <n v="708"/>
    <s v="Palés"/>
    <n v="171.88"/>
    <n v="121691.04"/>
    <n v="7616.29"/>
    <n v="6.2587105837866128E-2"/>
    <n v="20"/>
    <d v="2023-09-22T00:00:00"/>
    <d v="2023-09-22T00:00:00"/>
    <n v="0"/>
    <x v="0"/>
    <b v="1"/>
    <n v="416"/>
    <n v="146"/>
    <x v="3"/>
    <x v="1"/>
  </r>
  <r>
    <s v="PED-00358"/>
    <d v="2023-09-29T00:00:00"/>
    <x v="1"/>
    <x v="3"/>
    <n v="39"/>
    <x v="4"/>
    <x v="5"/>
    <s v="SKU-ELE-9941"/>
    <x v="3"/>
    <x v="4"/>
    <x v="0"/>
    <s v="FCA"/>
    <n v="85"/>
    <s v="KG"/>
    <n v="463.67"/>
    <n v="39411.949999999997"/>
    <n v="1928.57"/>
    <n v="4.8933635610519145E-2"/>
    <n v="11"/>
    <d v="2023-10-10T00:00:00"/>
    <d v="2023-10-07T00:00:00"/>
    <n v="-3"/>
    <x v="0"/>
    <b v="1"/>
    <n v="297"/>
    <n v="424"/>
    <x v="0"/>
    <x v="0"/>
  </r>
  <r>
    <s v="PED-00359"/>
    <d v="2024-02-10T00:00:00"/>
    <x v="0"/>
    <x v="9"/>
    <n v="6"/>
    <x v="3"/>
    <x v="3"/>
    <s v="SKU-QUÍ-5832"/>
    <x v="2"/>
    <x v="0"/>
    <x v="0"/>
    <s v="DAP"/>
    <n v="186"/>
    <s v="Palés"/>
    <n v="111.74"/>
    <n v="20783.64"/>
    <n v="1064.53"/>
    <n v="5.1219613118779962E-2"/>
    <n v="17"/>
    <d v="2024-02-27T00:00:00"/>
    <d v="2024-02-24T00:00:00"/>
    <n v="-3"/>
    <x v="0"/>
    <b v="1"/>
    <n v="129"/>
    <n v="417"/>
    <x v="3"/>
    <x v="1"/>
  </r>
  <r>
    <s v="PED-00360"/>
    <d v="2023-05-15T00:00:00"/>
    <x v="1"/>
    <x v="5"/>
    <n v="20"/>
    <x v="8"/>
    <x v="0"/>
    <s v="SKU-MAQ-3360"/>
    <x v="2"/>
    <x v="1"/>
    <x v="1"/>
    <s v="FOB"/>
    <n v="836"/>
    <s v="Unidades"/>
    <n v="1502.46"/>
    <n v="1256056.56"/>
    <n v="96548.6302"/>
    <n v="7.6866467064190161E-2"/>
    <n v="8"/>
    <d v="2023-05-23T00:00:00"/>
    <d v="2023-05-23T00:00:00"/>
    <n v="0"/>
    <x v="0"/>
    <b v="1"/>
    <n v="294"/>
    <n v="149"/>
    <x v="0"/>
    <x v="0"/>
  </r>
  <r>
    <s v="PED-00361"/>
    <d v="2024-11-18T00:00:00"/>
    <x v="0"/>
    <x v="6"/>
    <n v="47"/>
    <x v="2"/>
    <x v="4"/>
    <s v="SKU-TEX-5883"/>
    <x v="1"/>
    <x v="4"/>
    <x v="3"/>
    <s v="FOB"/>
    <n v="808"/>
    <s v="KG"/>
    <n v="60.88"/>
    <n v="49191.040000000001"/>
    <n v="3834.26"/>
    <n v="7.7946308921299487E-2"/>
    <n v="4"/>
    <d v="2024-11-22T00:00:00"/>
    <d v="2024-11-22T00:00:00"/>
    <n v="0"/>
    <x v="0"/>
    <b v="1"/>
    <n v="301"/>
    <n v="51"/>
    <x v="1"/>
    <x v="1"/>
  </r>
  <r>
    <s v="PED-00362"/>
    <d v="2024-10-22T00:00:00"/>
    <x v="0"/>
    <x v="0"/>
    <n v="43"/>
    <x v="6"/>
    <x v="5"/>
    <s v="SKU-ELE-7113"/>
    <x v="1"/>
    <x v="5"/>
    <x v="0"/>
    <s v="CIF"/>
    <n v="358"/>
    <s v="Litros"/>
    <n v="567.82000000000005"/>
    <n v="203279.56"/>
    <n v="6691.18"/>
    <n v="3.2916147594967249E-2"/>
    <n v="6"/>
    <d v="2024-10-28T00:00:00"/>
    <d v="2024-10-29T00:00:00"/>
    <n v="1"/>
    <x v="1"/>
    <b v="0"/>
    <n v="47"/>
    <n v="242"/>
    <x v="1"/>
    <x v="1"/>
  </r>
  <r>
    <s v="PED-00363"/>
    <d v="2023-11-04T00:00:00"/>
    <x v="1"/>
    <x v="6"/>
    <n v="44"/>
    <x v="3"/>
    <x v="6"/>
    <s v="SKU-CON-1182"/>
    <x v="3"/>
    <x v="5"/>
    <x v="2"/>
    <s v="EXW"/>
    <n v="264"/>
    <s v="Unidades"/>
    <n v="165.58"/>
    <n v="43713.120000000003"/>
    <n v="3001.62"/>
    <n v="6.8666340906345727E-2"/>
    <n v="8"/>
    <d v="2023-11-12T00:00:00"/>
    <d v="2023-11-17T00:00:00"/>
    <n v="5"/>
    <x v="2"/>
    <b v="0"/>
    <n v="26"/>
    <n v="218"/>
    <x v="0"/>
    <x v="0"/>
  </r>
  <r>
    <s v="PED-00364"/>
    <d v="2024-04-13T00:00:00"/>
    <x v="0"/>
    <x v="1"/>
    <n v="15"/>
    <x v="7"/>
    <x v="0"/>
    <s v="SKU-MAQ-3316"/>
    <x v="5"/>
    <x v="3"/>
    <x v="0"/>
    <s v="CIF"/>
    <n v="846"/>
    <s v="Unidades"/>
    <n v="1879.5"/>
    <n v="1590057"/>
    <n v="50618.76"/>
    <n v="3.1834556874376203E-2"/>
    <n v="20"/>
    <d v="2024-05-03T00:00:00"/>
    <d v="2024-05-02T00:00:00"/>
    <n v="-1"/>
    <x v="0"/>
    <b v="1"/>
    <n v="14"/>
    <n v="5"/>
    <x v="0"/>
    <x v="0"/>
  </r>
  <r>
    <s v="PED-00365"/>
    <d v="2023-11-20T00:00:00"/>
    <x v="1"/>
    <x v="6"/>
    <n v="47"/>
    <x v="9"/>
    <x v="4"/>
    <s v="SKU-TEX-3019"/>
    <x v="2"/>
    <x v="4"/>
    <x v="1"/>
    <s v="EXW"/>
    <n v="711"/>
    <s v="Unidades"/>
    <n v="50.04"/>
    <n v="35578.44"/>
    <n v="1167.4100000000001"/>
    <n v="3.2812287441495468E-2"/>
    <n v="3"/>
    <d v="2023-11-23T00:00:00"/>
    <d v="2023-11-22T00:00:00"/>
    <n v="-1"/>
    <x v="0"/>
    <b v="1"/>
    <n v="262"/>
    <n v="457"/>
    <x v="1"/>
    <x v="1"/>
  </r>
  <r>
    <s v="PED-00366"/>
    <d v="2023-03-16T00:00:00"/>
    <x v="1"/>
    <x v="8"/>
    <n v="11"/>
    <x v="3"/>
    <x v="1"/>
    <s v="SKU-FAR-1684"/>
    <x v="0"/>
    <x v="0"/>
    <x v="2"/>
    <s v="DDP"/>
    <n v="317"/>
    <s v="KG"/>
    <n v="189.65"/>
    <n v="60119.05"/>
    <n v="3641.15"/>
    <n v="6.0565660967696597E-2"/>
    <n v="16"/>
    <d v="2023-04-01T00:00:00"/>
    <d v="2023-04-06T00:00:00"/>
    <n v="5"/>
    <x v="1"/>
    <b v="0"/>
    <n v="364"/>
    <n v="108"/>
    <x v="3"/>
    <x v="1"/>
  </r>
  <r>
    <s v="PED-00367"/>
    <d v="2023-01-10T00:00:00"/>
    <x v="1"/>
    <x v="2"/>
    <n v="2"/>
    <x v="0"/>
    <x v="5"/>
    <s v="SKU-ELE-1082"/>
    <x v="3"/>
    <x v="5"/>
    <x v="3"/>
    <s v="CIF"/>
    <n v="354"/>
    <s v="Metros"/>
    <n v="551.34"/>
    <n v="195174.36"/>
    <n v="8646.24"/>
    <n v="4.4300081219684803E-2"/>
    <n v="25"/>
    <d v="2023-02-04T00:00:00"/>
    <d v="2023-02-04T00:00:00"/>
    <n v="0"/>
    <x v="0"/>
    <b v="1"/>
    <n v="440"/>
    <n v="350"/>
    <x v="0"/>
    <x v="0"/>
  </r>
  <r>
    <s v="PED-00368"/>
    <d v="2024-04-14T00:00:00"/>
    <x v="0"/>
    <x v="1"/>
    <n v="16"/>
    <x v="1"/>
    <x v="5"/>
    <s v="SKU-ELE-7456"/>
    <x v="2"/>
    <x v="3"/>
    <x v="3"/>
    <s v="DAP"/>
    <n v="136"/>
    <s v="Cajas"/>
    <n v="668.58"/>
    <n v="90926.88"/>
    <n v="6900.68"/>
    <n v="7.5892629330292644E-2"/>
    <n v="3"/>
    <d v="2024-04-17T00:00:00"/>
    <d v="2024-04-29T00:00:00"/>
    <n v="12"/>
    <x v="2"/>
    <b v="0"/>
    <n v="297"/>
    <n v="408"/>
    <x v="0"/>
    <x v="0"/>
  </r>
  <r>
    <s v="PED-00369"/>
    <d v="2024-09-28T00:00:00"/>
    <x v="0"/>
    <x v="3"/>
    <n v="39"/>
    <x v="9"/>
    <x v="1"/>
    <s v="SKU-FAR-9800"/>
    <x v="5"/>
    <x v="4"/>
    <x v="0"/>
    <s v="EXW"/>
    <n v="946"/>
    <s v="Litros"/>
    <n v="258.32"/>
    <n v="244370.72"/>
    <n v="6192.5"/>
    <n v="2.5340597269591054E-2"/>
    <n v="25"/>
    <d v="2024-10-23T00:00:00"/>
    <d v="2024-10-22T00:00:00"/>
    <n v="-1"/>
    <x v="0"/>
    <b v="1"/>
    <n v="264"/>
    <n v="65"/>
    <x v="1"/>
    <x v="1"/>
  </r>
  <r>
    <s v="PED-00370"/>
    <d v="2024-07-30T00:00:00"/>
    <x v="0"/>
    <x v="7"/>
    <n v="31"/>
    <x v="6"/>
    <x v="1"/>
    <s v="SKU-FAR-9970"/>
    <x v="0"/>
    <x v="3"/>
    <x v="2"/>
    <s v="CIF"/>
    <n v="296"/>
    <s v="Litros"/>
    <n v="243.29"/>
    <n v="72013.84"/>
    <n v="3650.49"/>
    <n v="5.0691505966075412E-2"/>
    <n v="29"/>
    <d v="2024-08-28T00:00:00"/>
    <d v="2024-08-25T00:00:00"/>
    <n v="-3"/>
    <x v="0"/>
    <b v="1"/>
    <n v="360"/>
    <n v="9"/>
    <x v="0"/>
    <x v="0"/>
  </r>
  <r>
    <s v="PED-00371"/>
    <d v="2023-04-13T00:00:00"/>
    <x v="1"/>
    <x v="1"/>
    <n v="15"/>
    <x v="8"/>
    <x v="5"/>
    <s v="SKU-ELE-2394"/>
    <x v="2"/>
    <x v="0"/>
    <x v="2"/>
    <s v="DAP"/>
    <n v="775"/>
    <s v="Palés"/>
    <n v="412.31"/>
    <n v="319540.25"/>
    <n v="24001.08"/>
    <n v="7.5111288796951253E-2"/>
    <n v="18"/>
    <d v="2023-05-01T00:00:00"/>
    <d v="2023-05-03T00:00:00"/>
    <n v="2"/>
    <x v="1"/>
    <b v="0"/>
    <n v="133"/>
    <n v="201"/>
    <x v="3"/>
    <x v="1"/>
  </r>
  <r>
    <s v="PED-00372"/>
    <d v="2023-03-17T00:00:00"/>
    <x v="1"/>
    <x v="8"/>
    <n v="11"/>
    <x v="3"/>
    <x v="1"/>
    <s v="SKU-FAR-5992"/>
    <x v="4"/>
    <x v="5"/>
    <x v="0"/>
    <s v="FOB"/>
    <n v="734"/>
    <s v="KG"/>
    <n v="227.53"/>
    <n v="167007.01999999999"/>
    <n v="12399.74"/>
    <n v="7.4246819085808491E-2"/>
    <n v="14"/>
    <d v="2023-03-31T00:00:00"/>
    <d v="2023-03-31T00:00:00"/>
    <n v="0"/>
    <x v="0"/>
    <b v="1"/>
    <n v="440"/>
    <n v="281"/>
    <x v="4"/>
    <x v="1"/>
  </r>
  <r>
    <s v="PED-00373"/>
    <d v="2024-07-04T00:00:00"/>
    <x v="0"/>
    <x v="7"/>
    <n v="27"/>
    <x v="1"/>
    <x v="7"/>
    <s v="SKU-ALI-4441"/>
    <x v="3"/>
    <x v="5"/>
    <x v="0"/>
    <s v="FCA"/>
    <n v="771"/>
    <s v="Metros"/>
    <n v="61.6"/>
    <n v="47493.599999999999"/>
    <n v="1395.92"/>
    <n v="2.9391749625212661E-2"/>
    <n v="18"/>
    <d v="2024-07-22T00:00:00"/>
    <d v="2024-07-17T00:00:00"/>
    <n v="-5"/>
    <x v="0"/>
    <b v="1"/>
    <n v="75"/>
    <n v="388"/>
    <x v="0"/>
    <x v="0"/>
  </r>
  <r>
    <s v="PED-00374"/>
    <d v="2023-08-07T00:00:00"/>
    <x v="1"/>
    <x v="4"/>
    <n v="32"/>
    <x v="4"/>
    <x v="4"/>
    <s v="SKU-TEX-6633"/>
    <x v="1"/>
    <x v="5"/>
    <x v="4"/>
    <s v="DDP"/>
    <n v="605"/>
    <s v="Unidades"/>
    <n v="60.11"/>
    <n v="36366.550000000003"/>
    <n v="1527.33"/>
    <n v="4.1998209893432281E-2"/>
    <n v="2"/>
    <d v="2023-08-09T00:00:00"/>
    <d v="2023-08-08T00:00:00"/>
    <n v="-1"/>
    <x v="0"/>
    <b v="1"/>
    <n v="29"/>
    <n v="213"/>
    <x v="4"/>
    <x v="1"/>
  </r>
  <r>
    <s v="PED-00375"/>
    <d v="2024-06-02T00:00:00"/>
    <x v="0"/>
    <x v="10"/>
    <n v="23"/>
    <x v="1"/>
    <x v="4"/>
    <s v="SKU-TEX-4469"/>
    <x v="2"/>
    <x v="2"/>
    <x v="4"/>
    <s v="DDP"/>
    <n v="496"/>
    <s v="Cajas"/>
    <n v="61.85"/>
    <n v="30677.599999999999"/>
    <n v="1753.14"/>
    <n v="5.7147234464234496E-2"/>
    <n v="22"/>
    <d v="2024-06-24T00:00:00"/>
    <d v="2024-06-29T00:00:00"/>
    <n v="5"/>
    <x v="1"/>
    <b v="0"/>
    <n v="438"/>
    <n v="67"/>
    <x v="1"/>
    <x v="1"/>
  </r>
  <r>
    <s v="PED-00376"/>
    <d v="2023-09-29T00:00:00"/>
    <x v="1"/>
    <x v="3"/>
    <n v="39"/>
    <x v="1"/>
    <x v="4"/>
    <s v="SKU-TEX-7760"/>
    <x v="0"/>
    <x v="5"/>
    <x v="0"/>
    <s v="FOB"/>
    <n v="392"/>
    <s v="KG"/>
    <n v="43.91"/>
    <n v="17212.72"/>
    <n v="508.87"/>
    <n v="2.9563601801458454E-2"/>
    <n v="3"/>
    <d v="2023-10-02T00:00:00"/>
    <d v="2023-10-04T00:00:00"/>
    <n v="2"/>
    <x v="2"/>
    <b v="0"/>
    <n v="339"/>
    <n v="246"/>
    <x v="2"/>
    <x v="1"/>
  </r>
  <r>
    <s v="PED-00377"/>
    <d v="2023-05-16T00:00:00"/>
    <x v="1"/>
    <x v="5"/>
    <n v="20"/>
    <x v="9"/>
    <x v="7"/>
    <s v="SKU-ALI-9397"/>
    <x v="0"/>
    <x v="1"/>
    <x v="1"/>
    <s v="CIF"/>
    <n v="415"/>
    <s v="KG"/>
    <n v="73.540000000000006"/>
    <n v="30519.1"/>
    <n v="2382.9699999999998"/>
    <n v="7.80812671409052E-2"/>
    <n v="16"/>
    <d v="2023-06-01T00:00:00"/>
    <d v="2023-06-01T00:00:00"/>
    <n v="0"/>
    <x v="0"/>
    <b v="1"/>
    <n v="125"/>
    <n v="353"/>
    <x v="3"/>
    <x v="1"/>
  </r>
  <r>
    <s v="PED-00378"/>
    <d v="2023-12-24T00:00:00"/>
    <x v="1"/>
    <x v="11"/>
    <n v="52"/>
    <x v="4"/>
    <x v="2"/>
    <s v="SKU-AUT-3333"/>
    <x v="3"/>
    <x v="2"/>
    <x v="4"/>
    <s v="FCA"/>
    <n v="397"/>
    <s v="Metros"/>
    <n v="1171.6199999999999"/>
    <n v="465133.14"/>
    <n v="34831.480000000003"/>
    <n v="7.4884967345048778E-2"/>
    <n v="29"/>
    <d v="2024-01-22T00:00:00"/>
    <d v="2024-01-23T00:00:00"/>
    <n v="1"/>
    <x v="2"/>
    <b v="0"/>
    <n v="83"/>
    <n v="326"/>
    <x v="3"/>
    <x v="1"/>
  </r>
  <r>
    <s v="PED-00379"/>
    <d v="2023-03-12T00:00:00"/>
    <x v="1"/>
    <x v="8"/>
    <n v="11"/>
    <x v="1"/>
    <x v="1"/>
    <s v="SKU-FAR-3637"/>
    <x v="3"/>
    <x v="4"/>
    <x v="0"/>
    <s v="FOB"/>
    <n v="534"/>
    <s v="Cajas"/>
    <n v="292.58"/>
    <n v="156237.72"/>
    <n v="4689.79"/>
    <n v="3.0017015097250521E-2"/>
    <n v="9"/>
    <d v="2023-03-21T00:00:00"/>
    <d v="2023-03-26T00:00:00"/>
    <n v="5"/>
    <x v="1"/>
    <b v="0"/>
    <n v="53"/>
    <n v="49"/>
    <x v="3"/>
    <x v="1"/>
  </r>
  <r>
    <s v="PED-00380"/>
    <d v="2023-09-08T00:00:00"/>
    <x v="1"/>
    <x v="3"/>
    <n v="36"/>
    <x v="0"/>
    <x v="0"/>
    <s v="SKU-MAQ-4014"/>
    <x v="0"/>
    <x v="2"/>
    <x v="2"/>
    <s v="DAP"/>
    <n v="566"/>
    <s v="Unidades"/>
    <n v="1472.79"/>
    <n v="833599.14"/>
    <n v="22731.69"/>
    <n v="2.7269329956362477E-2"/>
    <n v="4"/>
    <d v="2023-09-12T00:00:00"/>
    <d v="2023-09-24T00:00:00"/>
    <n v="12"/>
    <x v="1"/>
    <b v="0"/>
    <n v="365"/>
    <n v="16"/>
    <x v="3"/>
    <x v="1"/>
  </r>
  <r>
    <s v="PED-00381"/>
    <d v="2024-01-14T00:00:00"/>
    <x v="0"/>
    <x v="2"/>
    <n v="3"/>
    <x v="3"/>
    <x v="1"/>
    <s v="SKU-FAR-4617"/>
    <x v="0"/>
    <x v="2"/>
    <x v="4"/>
    <s v="FCA"/>
    <n v="648"/>
    <s v="KG"/>
    <n v="146.9"/>
    <n v="95191.2"/>
    <n v="2391.63"/>
    <n v="2.5124486297052672E-2"/>
    <n v="1"/>
    <d v="2024-01-15T00:00:00"/>
    <d v="2024-01-15T00:00:00"/>
    <n v="0"/>
    <x v="0"/>
    <b v="1"/>
    <n v="282"/>
    <n v="10"/>
    <x v="2"/>
    <x v="1"/>
  </r>
  <r>
    <s v="PED-00382"/>
    <d v="2023-10-19T00:00:00"/>
    <x v="1"/>
    <x v="0"/>
    <n v="42"/>
    <x v="3"/>
    <x v="5"/>
    <s v="SKU-ELE-5140"/>
    <x v="0"/>
    <x v="2"/>
    <x v="1"/>
    <s v="EXW"/>
    <n v="947"/>
    <s v="Litros"/>
    <n v="421.64"/>
    <n v="399293.08"/>
    <n v="29773.94"/>
    <n v="7.456663160804089E-2"/>
    <n v="4"/>
    <d v="2023-10-23T00:00:00"/>
    <d v="2023-10-24T00:00:00"/>
    <n v="1"/>
    <x v="2"/>
    <b v="0"/>
    <n v="339"/>
    <n v="308"/>
    <x v="1"/>
    <x v="1"/>
  </r>
  <r>
    <s v="PED-00383"/>
    <d v="2023-06-11T00:00:00"/>
    <x v="1"/>
    <x v="10"/>
    <n v="24"/>
    <x v="0"/>
    <x v="3"/>
    <s v="SKU-QUÍ-4183"/>
    <x v="2"/>
    <x v="3"/>
    <x v="3"/>
    <s v="CIF"/>
    <n v="635"/>
    <s v="Litros"/>
    <n v="121.65"/>
    <n v="77247.75"/>
    <n v="2442.38"/>
    <n v="3.161749047706891E-2"/>
    <n v="1"/>
    <d v="2023-06-12T00:00:00"/>
    <d v="2023-06-12T00:00:00"/>
    <n v="0"/>
    <x v="0"/>
    <b v="1"/>
    <n v="442"/>
    <n v="305"/>
    <x v="2"/>
    <x v="1"/>
  </r>
  <r>
    <s v="PED-00384"/>
    <d v="2024-03-24T00:00:00"/>
    <x v="0"/>
    <x v="8"/>
    <n v="13"/>
    <x v="3"/>
    <x v="6"/>
    <s v="SKU-CON-2877"/>
    <x v="0"/>
    <x v="1"/>
    <x v="2"/>
    <s v="FCA"/>
    <n v="954"/>
    <s v="Cajas"/>
    <n v="291.64"/>
    <n v="278224.56"/>
    <n v="12513.73"/>
    <n v="4.4977086135027045E-2"/>
    <n v="14"/>
    <d v="2024-04-07T00:00:00"/>
    <d v="2024-04-07T00:00:00"/>
    <n v="0"/>
    <x v="0"/>
    <b v="1"/>
    <n v="262"/>
    <n v="391"/>
    <x v="2"/>
    <x v="1"/>
  </r>
  <r>
    <s v="PED-00385"/>
    <d v="2024-07-10T00:00:00"/>
    <x v="0"/>
    <x v="7"/>
    <n v="28"/>
    <x v="1"/>
    <x v="6"/>
    <s v="SKU-CON-3971"/>
    <x v="1"/>
    <x v="0"/>
    <x v="1"/>
    <s v="EXW"/>
    <n v="285"/>
    <s v="Unidades"/>
    <n v="162.59"/>
    <n v="46338.15"/>
    <n v="2174.6999999999998"/>
    <n v="4.6931092415212948E-2"/>
    <n v="21"/>
    <d v="2024-07-31T00:00:00"/>
    <d v="2024-07-31T00:00:00"/>
    <n v="0"/>
    <x v="0"/>
    <b v="1"/>
    <n v="423"/>
    <n v="475"/>
    <x v="2"/>
    <x v="1"/>
  </r>
  <r>
    <s v="PED-00386"/>
    <d v="2024-12-21T00:00:00"/>
    <x v="0"/>
    <x v="11"/>
    <n v="51"/>
    <x v="8"/>
    <x v="4"/>
    <s v="SKU-TEX-1891"/>
    <x v="0"/>
    <x v="5"/>
    <x v="1"/>
    <s v="FOB"/>
    <n v="509"/>
    <s v="Cajas"/>
    <n v="78.650000000000006"/>
    <n v="40032.85"/>
    <n v="2239.46"/>
    <n v="5.5940558816072301E-2"/>
    <n v="16"/>
    <d v="2025-01-06T00:00:00"/>
    <d v="2025-01-09T00:00:00"/>
    <n v="3"/>
    <x v="2"/>
    <b v="0"/>
    <n v="359"/>
    <n v="123"/>
    <x v="0"/>
    <x v="0"/>
  </r>
  <r>
    <s v="PED-00387"/>
    <d v="2023-11-06T00:00:00"/>
    <x v="1"/>
    <x v="6"/>
    <n v="45"/>
    <x v="1"/>
    <x v="1"/>
    <s v="SKU-FAR-9992"/>
    <x v="1"/>
    <x v="2"/>
    <x v="1"/>
    <s v="DDP"/>
    <n v="726"/>
    <s v="KG"/>
    <n v="157.38999999999999"/>
    <n v="114265.14"/>
    <n v="2777.11"/>
    <n v="2.4304087843414011E-2"/>
    <n v="20"/>
    <d v="2023-11-26T00:00:00"/>
    <d v="2023-11-26T00:00:00"/>
    <n v="0"/>
    <x v="0"/>
    <b v="1"/>
    <n v="221"/>
    <n v="491"/>
    <x v="4"/>
    <x v="1"/>
  </r>
  <r>
    <s v="PED-00388"/>
    <d v="2024-09-18T00:00:00"/>
    <x v="0"/>
    <x v="3"/>
    <n v="38"/>
    <x v="9"/>
    <x v="0"/>
    <s v="SKU-MAQ-8557"/>
    <x v="2"/>
    <x v="0"/>
    <x v="2"/>
    <s v="FCA"/>
    <n v="346"/>
    <s v="Litros"/>
    <n v="2227.5100000000002"/>
    <n v="770718.46"/>
    <n v="25900.39"/>
    <n v="3.3605514003128979E-2"/>
    <n v="24"/>
    <d v="2024-10-12T00:00:00"/>
    <d v="2024-10-24T00:00:00"/>
    <n v="12"/>
    <x v="1"/>
    <b v="0"/>
    <n v="327"/>
    <n v="224"/>
    <x v="0"/>
    <x v="0"/>
  </r>
  <r>
    <s v="PED-00389"/>
    <d v="2024-10-31T00:00:00"/>
    <x v="0"/>
    <x v="0"/>
    <n v="44"/>
    <x v="7"/>
    <x v="5"/>
    <s v="SKU-ELE-2198"/>
    <x v="3"/>
    <x v="3"/>
    <x v="1"/>
    <s v="FCA"/>
    <n v="959"/>
    <s v="Palés"/>
    <n v="502.65"/>
    <n v="482041.35"/>
    <n v="36581.839999999997"/>
    <n v="7.5889423179152579E-2"/>
    <n v="8"/>
    <d v="2024-11-08T00:00:00"/>
    <d v="2024-11-10T00:00:00"/>
    <n v="2"/>
    <x v="1"/>
    <b v="0"/>
    <n v="1"/>
    <n v="243"/>
    <x v="0"/>
    <x v="0"/>
  </r>
  <r>
    <s v="PED-00390"/>
    <d v="2024-06-25T00:00:00"/>
    <x v="0"/>
    <x v="10"/>
    <n v="26"/>
    <x v="8"/>
    <x v="7"/>
    <s v="SKU-ALI-5762"/>
    <x v="1"/>
    <x v="0"/>
    <x v="3"/>
    <s v="EXW"/>
    <n v="941"/>
    <s v="Cajas"/>
    <n v="105.62"/>
    <n v="99388.42"/>
    <n v="7404.9"/>
    <n v="7.4504655572550607E-2"/>
    <n v="7"/>
    <d v="2024-07-02T00:00:00"/>
    <d v="2024-07-03T00:00:00"/>
    <n v="1"/>
    <x v="2"/>
    <b v="0"/>
    <n v="397"/>
    <n v="317"/>
    <x v="3"/>
    <x v="1"/>
  </r>
  <r>
    <s v="PED-00391"/>
    <d v="2023-01-09T00:00:00"/>
    <x v="1"/>
    <x v="2"/>
    <n v="2"/>
    <x v="6"/>
    <x v="2"/>
    <s v="SKU-AUT-2103"/>
    <x v="2"/>
    <x v="2"/>
    <x v="4"/>
    <s v="EXW"/>
    <n v="490"/>
    <s v="Palés"/>
    <n v="779.26"/>
    <n v="381837.4"/>
    <n v="25536.31"/>
    <n v="6.6877445739992991E-2"/>
    <n v="3"/>
    <d v="2023-01-12T00:00:00"/>
    <d v="2023-01-15T00:00:00"/>
    <n v="3"/>
    <x v="1"/>
    <b v="0"/>
    <n v="393"/>
    <n v="472"/>
    <x v="1"/>
    <x v="1"/>
  </r>
  <r>
    <s v="PED-00392"/>
    <d v="2024-11-14T00:00:00"/>
    <x v="0"/>
    <x v="6"/>
    <n v="46"/>
    <x v="6"/>
    <x v="7"/>
    <s v="SKU-ALI-5107"/>
    <x v="0"/>
    <x v="4"/>
    <x v="2"/>
    <s v="DDP"/>
    <n v="906"/>
    <s v="Palés"/>
    <n v="96.17"/>
    <n v="87130.02"/>
    <n v="1844.03"/>
    <n v="2.1164117717406696E-2"/>
    <n v="17"/>
    <d v="2024-12-01T00:00:00"/>
    <d v="2024-12-01T00:00:00"/>
    <n v="0"/>
    <x v="0"/>
    <b v="1"/>
    <n v="305"/>
    <n v="468"/>
    <x v="2"/>
    <x v="1"/>
  </r>
  <r>
    <s v="PED-00393"/>
    <d v="2024-07-21T00:00:00"/>
    <x v="0"/>
    <x v="7"/>
    <n v="30"/>
    <x v="8"/>
    <x v="0"/>
    <s v="SKU-MAQ-2608"/>
    <x v="2"/>
    <x v="1"/>
    <x v="1"/>
    <s v="EXW"/>
    <n v="920"/>
    <s v="Metros"/>
    <n v="1280.42"/>
    <n v="1177986.3999999999"/>
    <n v="46672.3"/>
    <n v="3.9620406483470441E-2"/>
    <n v="1"/>
    <d v="2024-07-22T00:00:00"/>
    <d v="2024-07-22T00:00:00"/>
    <n v="0"/>
    <x v="0"/>
    <b v="1"/>
    <n v="145"/>
    <n v="331"/>
    <x v="2"/>
    <x v="1"/>
  </r>
  <r>
    <s v="PED-00394"/>
    <d v="2023-11-03T00:00:00"/>
    <x v="1"/>
    <x v="6"/>
    <n v="44"/>
    <x v="1"/>
    <x v="5"/>
    <s v="SKU-ELE-4234"/>
    <x v="0"/>
    <x v="0"/>
    <x v="0"/>
    <s v="EXW"/>
    <n v="982"/>
    <s v="Litros"/>
    <n v="408.41"/>
    <n v="401058.62"/>
    <n v="23132.07"/>
    <n v="5.7677528536850799E-2"/>
    <n v="16"/>
    <d v="2023-11-19T00:00:00"/>
    <d v="2023-11-20T00:00:00"/>
    <n v="1"/>
    <x v="1"/>
    <b v="0"/>
    <n v="17"/>
    <n v="378"/>
    <x v="3"/>
    <x v="1"/>
  </r>
  <r>
    <s v="PED-00395"/>
    <d v="2024-11-10T00:00:00"/>
    <x v="0"/>
    <x v="6"/>
    <n v="46"/>
    <x v="2"/>
    <x v="4"/>
    <s v="SKU-TEX-8982"/>
    <x v="2"/>
    <x v="2"/>
    <x v="4"/>
    <s v="FCA"/>
    <n v="282"/>
    <s v="Cajas"/>
    <n v="87.03"/>
    <n v="24542.46"/>
    <n v="896.08"/>
    <n v="3.6511417355880385E-2"/>
    <n v="12"/>
    <d v="2024-11-22T00:00:00"/>
    <d v="2024-11-22T00:00:00"/>
    <n v="0"/>
    <x v="0"/>
    <b v="1"/>
    <n v="15"/>
    <n v="345"/>
    <x v="0"/>
    <x v="0"/>
  </r>
  <r>
    <s v="PED-00396"/>
    <d v="2023-04-17T00:00:00"/>
    <x v="1"/>
    <x v="1"/>
    <n v="16"/>
    <x v="7"/>
    <x v="1"/>
    <s v="SKU-FAR-6420"/>
    <x v="3"/>
    <x v="2"/>
    <x v="2"/>
    <s v="DDP"/>
    <n v="929"/>
    <s v="Palés"/>
    <n v="286.82"/>
    <n v="266455.78000000003"/>
    <n v="19870.990000000002"/>
    <n v="7.4575188423384925E-2"/>
    <n v="27"/>
    <d v="2023-05-14T00:00:00"/>
    <d v="2023-05-09T00:00:00"/>
    <n v="-5"/>
    <x v="0"/>
    <b v="1"/>
    <n v="307"/>
    <n v="28"/>
    <x v="4"/>
    <x v="1"/>
  </r>
  <r>
    <s v="PED-00397"/>
    <d v="2023-05-18T00:00:00"/>
    <x v="1"/>
    <x v="5"/>
    <n v="20"/>
    <x v="0"/>
    <x v="5"/>
    <s v="SKU-ELE-6851"/>
    <x v="1"/>
    <x v="5"/>
    <x v="0"/>
    <s v="DDP"/>
    <n v="67"/>
    <s v="KG"/>
    <n v="704.99"/>
    <n v="47234.33"/>
    <n v="2741.17"/>
    <n v="5.8033426111897851E-2"/>
    <n v="19"/>
    <d v="2023-06-06T00:00:00"/>
    <d v="2023-06-14T00:00:00"/>
    <n v="8"/>
    <x v="2"/>
    <b v="0"/>
    <n v="452"/>
    <n v="357"/>
    <x v="4"/>
    <x v="1"/>
  </r>
  <r>
    <s v="PED-00398"/>
    <d v="2023-09-28T00:00:00"/>
    <x v="1"/>
    <x v="3"/>
    <n v="39"/>
    <x v="1"/>
    <x v="6"/>
    <s v="SKU-CON-3100"/>
    <x v="3"/>
    <x v="4"/>
    <x v="0"/>
    <s v="FCA"/>
    <n v="337"/>
    <s v="Metros"/>
    <n v="240.07"/>
    <n v="80903.59"/>
    <n v="1967.12"/>
    <n v="2.4314372205238358E-2"/>
    <n v="22"/>
    <d v="2023-10-20T00:00:00"/>
    <d v="2023-10-23T00:00:00"/>
    <n v="3"/>
    <x v="2"/>
    <b v="0"/>
    <n v="435"/>
    <n v="482"/>
    <x v="0"/>
    <x v="0"/>
  </r>
  <r>
    <s v="PED-00399"/>
    <d v="2023-04-29T00:00:00"/>
    <x v="1"/>
    <x v="1"/>
    <n v="17"/>
    <x v="8"/>
    <x v="2"/>
    <s v="SKU-AUT-4842"/>
    <x v="4"/>
    <x v="5"/>
    <x v="1"/>
    <s v="FOB"/>
    <n v="740"/>
    <s v="Unidades"/>
    <n v="1077.29"/>
    <n v="797194.6"/>
    <n v="59423.15"/>
    <n v="7.4540331808569713E-2"/>
    <n v="23"/>
    <d v="2023-05-22T00:00:00"/>
    <d v="2023-05-25T00:00:00"/>
    <n v="3"/>
    <x v="1"/>
    <b v="0"/>
    <n v="158"/>
    <n v="356"/>
    <x v="0"/>
    <x v="0"/>
  </r>
  <r>
    <s v="PED-00400"/>
    <d v="2023-04-20T00:00:00"/>
    <x v="1"/>
    <x v="1"/>
    <n v="16"/>
    <x v="2"/>
    <x v="7"/>
    <s v="SKU-ALI-2639"/>
    <x v="0"/>
    <x v="4"/>
    <x v="2"/>
    <s v="FOB"/>
    <n v="118"/>
    <s v="Metros"/>
    <n v="60.42"/>
    <n v="7129.56"/>
    <n v="552.29999999999995"/>
    <n v="7.7466211098581109E-2"/>
    <n v="22"/>
    <d v="2023-05-12T00:00:00"/>
    <d v="2023-05-24T00:00:00"/>
    <n v="12"/>
    <x v="2"/>
    <b v="0"/>
    <n v="484"/>
    <n v="365"/>
    <x v="1"/>
    <x v="1"/>
  </r>
  <r>
    <s v="PED-00401"/>
    <d v="2024-07-20T00:00:00"/>
    <x v="0"/>
    <x v="7"/>
    <n v="29"/>
    <x v="1"/>
    <x v="2"/>
    <s v="SKU-AUT-5671"/>
    <x v="1"/>
    <x v="1"/>
    <x v="1"/>
    <s v="FCA"/>
    <n v="288"/>
    <s v="Unidades"/>
    <n v="774.26"/>
    <n v="222986.88"/>
    <n v="5499.47"/>
    <n v="2.4662751458740532E-2"/>
    <n v="14"/>
    <d v="2024-08-03T00:00:00"/>
    <d v="2024-07-31T00:00:00"/>
    <n v="-3"/>
    <x v="0"/>
    <b v="1"/>
    <n v="339"/>
    <n v="427"/>
    <x v="0"/>
    <x v="0"/>
  </r>
  <r>
    <s v="PED-00402"/>
    <d v="2023-06-09T00:00:00"/>
    <x v="1"/>
    <x v="10"/>
    <n v="23"/>
    <x v="2"/>
    <x v="2"/>
    <s v="SKU-AUT-2143"/>
    <x v="3"/>
    <x v="5"/>
    <x v="3"/>
    <s v="EXW"/>
    <n v="695"/>
    <s v="Litros"/>
    <n v="760.77"/>
    <n v="528735.15"/>
    <n v="27463.360000000001"/>
    <n v="5.1941619542411735E-2"/>
    <n v="6"/>
    <d v="2023-06-15T00:00:00"/>
    <d v="2023-06-14T00:00:00"/>
    <n v="-1"/>
    <x v="0"/>
    <b v="1"/>
    <n v="406"/>
    <n v="364"/>
    <x v="3"/>
    <x v="1"/>
  </r>
  <r>
    <s v="PED-00403"/>
    <d v="2023-10-06T00:00:00"/>
    <x v="1"/>
    <x v="0"/>
    <n v="40"/>
    <x v="8"/>
    <x v="0"/>
    <s v="SKU-MAQ-4170"/>
    <x v="1"/>
    <x v="1"/>
    <x v="0"/>
    <s v="CIF"/>
    <n v="337"/>
    <s v="Cajas"/>
    <n v="1812.77"/>
    <n v="610903.49"/>
    <n v="23337.65"/>
    <n v="3.8201860657237366E-2"/>
    <n v="6"/>
    <d v="2023-10-12T00:00:00"/>
    <d v="2023-10-12T00:00:00"/>
    <n v="0"/>
    <x v="0"/>
    <b v="1"/>
    <n v="351"/>
    <n v="428"/>
    <x v="0"/>
    <x v="0"/>
  </r>
  <r>
    <s v="PED-00404"/>
    <d v="2023-10-16T00:00:00"/>
    <x v="1"/>
    <x v="0"/>
    <n v="42"/>
    <x v="1"/>
    <x v="0"/>
    <s v="SKU-MAQ-6206"/>
    <x v="4"/>
    <x v="3"/>
    <x v="3"/>
    <s v="FOB"/>
    <n v="785"/>
    <s v="Cajas"/>
    <n v="1477.15"/>
    <n v="1159562.75"/>
    <n v="50522.55"/>
    <n v="4.3570345804916553E-2"/>
    <n v="13"/>
    <d v="2023-10-29T00:00:00"/>
    <d v="2023-10-29T00:00:00"/>
    <n v="0"/>
    <x v="0"/>
    <b v="1"/>
    <n v="297"/>
    <n v="284"/>
    <x v="1"/>
    <x v="1"/>
  </r>
  <r>
    <s v="PED-00405"/>
    <d v="2024-09-11T00:00:00"/>
    <x v="0"/>
    <x v="3"/>
    <n v="37"/>
    <x v="4"/>
    <x v="1"/>
    <s v="SKU-FAR-8960"/>
    <x v="5"/>
    <x v="3"/>
    <x v="1"/>
    <s v="FOB"/>
    <n v="324"/>
    <s v="Unidades"/>
    <n v="163.76"/>
    <n v="53058.239999999998"/>
    <n v="1633.08"/>
    <n v="3.0779008123903093E-2"/>
    <n v="19"/>
    <d v="2024-09-30T00:00:00"/>
    <d v="2024-09-25T00:00:00"/>
    <n v="-5"/>
    <x v="0"/>
    <b v="1"/>
    <n v="208"/>
    <n v="496"/>
    <x v="1"/>
    <x v="1"/>
  </r>
  <r>
    <s v="PED-00406"/>
    <d v="2023-08-04T00:00:00"/>
    <x v="1"/>
    <x v="4"/>
    <n v="31"/>
    <x v="3"/>
    <x v="0"/>
    <s v="SKU-MAQ-8383"/>
    <x v="0"/>
    <x v="4"/>
    <x v="4"/>
    <s v="FCA"/>
    <n v="483"/>
    <s v="KG"/>
    <n v="1765.76"/>
    <n v="852862.08"/>
    <n v="46638.19"/>
    <n v="5.4684328326568353E-2"/>
    <n v="22"/>
    <d v="2023-08-26T00:00:00"/>
    <d v="2023-08-28T00:00:00"/>
    <n v="2"/>
    <x v="2"/>
    <b v="0"/>
    <n v="445"/>
    <n v="471"/>
    <x v="0"/>
    <x v="0"/>
  </r>
  <r>
    <s v="PED-00407"/>
    <d v="2023-12-18T00:00:00"/>
    <x v="1"/>
    <x v="11"/>
    <n v="51"/>
    <x v="8"/>
    <x v="0"/>
    <s v="SKU-MAQ-6379"/>
    <x v="0"/>
    <x v="4"/>
    <x v="0"/>
    <s v="FCA"/>
    <n v="120"/>
    <s v="Unidades"/>
    <n v="2027.26"/>
    <n v="243271.2"/>
    <n v="18848.349999999999"/>
    <n v="7.7478756219396289E-2"/>
    <n v="8"/>
    <d v="2023-12-26T00:00:00"/>
    <d v="2024-01-07T00:00:00"/>
    <n v="12"/>
    <x v="2"/>
    <b v="0"/>
    <n v="204"/>
    <n v="58"/>
    <x v="0"/>
    <x v="0"/>
  </r>
  <r>
    <s v="PED-00408"/>
    <d v="2023-07-28T00:00:00"/>
    <x v="1"/>
    <x v="7"/>
    <n v="30"/>
    <x v="6"/>
    <x v="5"/>
    <s v="SKU-ELE-6008"/>
    <x v="2"/>
    <x v="5"/>
    <x v="4"/>
    <s v="CIF"/>
    <n v="708"/>
    <s v="Unidades"/>
    <n v="502.85"/>
    <n v="356017.8"/>
    <n v="17866.52"/>
    <n v="5.0184344715348508E-2"/>
    <n v="27"/>
    <d v="2023-08-24T00:00:00"/>
    <d v="2023-08-26T00:00:00"/>
    <n v="2"/>
    <x v="1"/>
    <b v="0"/>
    <n v="112"/>
    <n v="142"/>
    <x v="4"/>
    <x v="1"/>
  </r>
  <r>
    <s v="PED-00409"/>
    <d v="2024-12-04T00:00:00"/>
    <x v="0"/>
    <x v="11"/>
    <n v="49"/>
    <x v="6"/>
    <x v="6"/>
    <s v="SKU-CON-3496"/>
    <x v="0"/>
    <x v="3"/>
    <x v="2"/>
    <s v="CIF"/>
    <n v="790"/>
    <s v="Cajas"/>
    <n v="161.16"/>
    <n v="127316.4"/>
    <n v="3179.71"/>
    <n v="2.4974865767489501E-2"/>
    <n v="27"/>
    <d v="2024-12-31T00:00:00"/>
    <d v="2024-12-31T00:00:00"/>
    <n v="0"/>
    <x v="0"/>
    <b v="1"/>
    <n v="177"/>
    <n v="325"/>
    <x v="2"/>
    <x v="1"/>
  </r>
  <r>
    <s v="PED-00410"/>
    <d v="2024-10-11T00:00:00"/>
    <x v="0"/>
    <x v="0"/>
    <n v="41"/>
    <x v="7"/>
    <x v="4"/>
    <s v="SKU-TEX-6971"/>
    <x v="0"/>
    <x v="0"/>
    <x v="0"/>
    <s v="DDP"/>
    <n v="944"/>
    <s v="Palés"/>
    <n v="51.44"/>
    <n v="48559.360000000001"/>
    <n v="2777.6"/>
    <n v="5.7200094894166643E-2"/>
    <n v="2"/>
    <d v="2024-10-13T00:00:00"/>
    <d v="2024-10-14T00:00:00"/>
    <n v="1"/>
    <x v="2"/>
    <b v="0"/>
    <n v="460"/>
    <n v="351"/>
    <x v="0"/>
    <x v="0"/>
  </r>
  <r>
    <s v="PED-00411"/>
    <d v="2023-09-28T00:00:00"/>
    <x v="1"/>
    <x v="3"/>
    <n v="39"/>
    <x v="5"/>
    <x v="1"/>
    <s v="SKU-FAR-6182"/>
    <x v="3"/>
    <x v="0"/>
    <x v="3"/>
    <s v="FCA"/>
    <n v="238"/>
    <s v="KG"/>
    <n v="178"/>
    <n v="42364"/>
    <n v="1712.07"/>
    <n v="4.0413322632423754E-2"/>
    <n v="21"/>
    <d v="2023-10-19T00:00:00"/>
    <d v="2023-10-27T00:00:00"/>
    <n v="8"/>
    <x v="1"/>
    <b v="0"/>
    <n v="208"/>
    <n v="299"/>
    <x v="0"/>
    <x v="0"/>
  </r>
  <r>
    <s v="PED-00412"/>
    <d v="2024-06-01T00:00:00"/>
    <x v="0"/>
    <x v="10"/>
    <n v="22"/>
    <x v="6"/>
    <x v="5"/>
    <s v="SKU-ELE-8017"/>
    <x v="0"/>
    <x v="0"/>
    <x v="4"/>
    <s v="FOB"/>
    <n v="506"/>
    <s v="Cajas"/>
    <n v="469.96"/>
    <n v="237799.76"/>
    <n v="16968.32"/>
    <n v="7.1355496742301169E-2"/>
    <n v="1"/>
    <d v="2024-06-02T00:00:00"/>
    <d v="2024-06-07T00:00:00"/>
    <n v="5"/>
    <x v="1"/>
    <b v="0"/>
    <n v="123"/>
    <n v="225"/>
    <x v="2"/>
    <x v="1"/>
  </r>
  <r>
    <s v="PED-00413"/>
    <d v="2024-05-15T00:00:00"/>
    <x v="0"/>
    <x v="5"/>
    <n v="20"/>
    <x v="5"/>
    <x v="4"/>
    <s v="SKU-TEX-3762"/>
    <x v="0"/>
    <x v="3"/>
    <x v="2"/>
    <s v="DAP"/>
    <n v="165"/>
    <s v="Metros"/>
    <n v="72.849999999999994"/>
    <n v="12020.25"/>
    <n v="553.9"/>
    <n v="4.6080572367463241E-2"/>
    <n v="28"/>
    <d v="2024-06-12T00:00:00"/>
    <d v="2024-06-11T00:00:00"/>
    <n v="-1"/>
    <x v="0"/>
    <b v="1"/>
    <n v="14"/>
    <n v="163"/>
    <x v="3"/>
    <x v="1"/>
  </r>
  <r>
    <s v="PED-00414"/>
    <d v="2023-09-15T00:00:00"/>
    <x v="1"/>
    <x v="3"/>
    <n v="37"/>
    <x v="4"/>
    <x v="2"/>
    <s v="SKU-AUT-1079"/>
    <x v="4"/>
    <x v="0"/>
    <x v="0"/>
    <s v="DAP"/>
    <n v="482"/>
    <s v="Unidades"/>
    <n v="944.61"/>
    <n v="455302.02"/>
    <n v="14374.06"/>
    <n v="3.1570384862338187E-2"/>
    <n v="15"/>
    <d v="2023-09-30T00:00:00"/>
    <d v="2023-09-30T00:00:00"/>
    <n v="0"/>
    <x v="0"/>
    <b v="1"/>
    <n v="345"/>
    <n v="83"/>
    <x v="2"/>
    <x v="1"/>
  </r>
  <r>
    <s v="PED-00415"/>
    <d v="2023-02-22T00:00:00"/>
    <x v="1"/>
    <x v="9"/>
    <n v="8"/>
    <x v="8"/>
    <x v="5"/>
    <s v="SKU-ELE-6131"/>
    <x v="4"/>
    <x v="1"/>
    <x v="2"/>
    <s v="EXW"/>
    <n v="710"/>
    <s v="Palés"/>
    <n v="628.42999999999995"/>
    <n v="446185.3"/>
    <n v="14039.82"/>
    <n v="3.1466343691735253E-2"/>
    <n v="1"/>
    <d v="2023-02-23T00:00:00"/>
    <d v="2023-02-28T00:00:00"/>
    <n v="5"/>
    <x v="1"/>
    <b v="0"/>
    <n v="427"/>
    <n v="376"/>
    <x v="2"/>
    <x v="1"/>
  </r>
  <r>
    <s v="PED-00416"/>
    <d v="2023-04-05T00:00:00"/>
    <x v="1"/>
    <x v="1"/>
    <n v="14"/>
    <x v="2"/>
    <x v="3"/>
    <s v="SKU-QUÍ-5033"/>
    <x v="1"/>
    <x v="2"/>
    <x v="3"/>
    <s v="FOB"/>
    <n v="281"/>
    <s v="KG"/>
    <n v="118.8"/>
    <n v="33382.800000000003"/>
    <n v="2207.4699999999998"/>
    <n v="6.6125969061912107E-2"/>
    <n v="5"/>
    <d v="2023-04-10T00:00:00"/>
    <d v="2023-04-15T00:00:00"/>
    <n v="5"/>
    <x v="1"/>
    <b v="0"/>
    <n v="475"/>
    <n v="312"/>
    <x v="0"/>
    <x v="0"/>
  </r>
  <r>
    <s v="PED-00417"/>
    <d v="2024-10-11T00:00:00"/>
    <x v="0"/>
    <x v="0"/>
    <n v="41"/>
    <x v="7"/>
    <x v="5"/>
    <s v="SKU-ELE-4629"/>
    <x v="1"/>
    <x v="4"/>
    <x v="0"/>
    <s v="DAP"/>
    <n v="896"/>
    <s v="Litros"/>
    <n v="679.6"/>
    <n v="608921.59999999998"/>
    <n v="21881.75"/>
    <n v="3.5935250120869421E-2"/>
    <n v="28"/>
    <d v="2024-11-08T00:00:00"/>
    <d v="2024-11-20T00:00:00"/>
    <n v="12"/>
    <x v="2"/>
    <b v="0"/>
    <n v="297"/>
    <n v="116"/>
    <x v="1"/>
    <x v="1"/>
  </r>
  <r>
    <s v="PED-00418"/>
    <d v="2024-03-09T00:00:00"/>
    <x v="0"/>
    <x v="8"/>
    <n v="10"/>
    <x v="3"/>
    <x v="0"/>
    <s v="SKU-MAQ-8145"/>
    <x v="0"/>
    <x v="5"/>
    <x v="2"/>
    <s v="FOB"/>
    <n v="11"/>
    <s v="KG"/>
    <n v="1294.9100000000001"/>
    <n v="14244.01"/>
    <n v="940.59"/>
    <n v="6.6034073270097401E-2"/>
    <n v="29"/>
    <d v="2024-04-07T00:00:00"/>
    <d v="2024-04-10T00:00:00"/>
    <n v="3"/>
    <x v="1"/>
    <b v="0"/>
    <n v="44"/>
    <n v="319"/>
    <x v="0"/>
    <x v="0"/>
  </r>
  <r>
    <s v="PED-00419"/>
    <d v="2023-10-11T00:00:00"/>
    <x v="1"/>
    <x v="0"/>
    <n v="41"/>
    <x v="0"/>
    <x v="4"/>
    <s v="SKU-TEX-5533"/>
    <x v="0"/>
    <x v="1"/>
    <x v="1"/>
    <s v="FCA"/>
    <n v="767"/>
    <s v="KG"/>
    <n v="64.510000000000005"/>
    <n v="49479.17"/>
    <n v="1600.81"/>
    <n v="3.2353210451994241E-2"/>
    <n v="16"/>
    <d v="2023-10-27T00:00:00"/>
    <d v="2023-10-22T00:00:00"/>
    <n v="-5"/>
    <x v="0"/>
    <b v="1"/>
    <n v="93"/>
    <n v="203"/>
    <x v="0"/>
    <x v="0"/>
  </r>
  <r>
    <s v="PED-00420"/>
    <d v="2023-02-15T00:00:00"/>
    <x v="1"/>
    <x v="9"/>
    <n v="7"/>
    <x v="5"/>
    <x v="1"/>
    <s v="SKU-FAR-6889"/>
    <x v="2"/>
    <x v="0"/>
    <x v="0"/>
    <s v="FOB"/>
    <n v="731"/>
    <s v="Unidades"/>
    <n v="268.14999999999998"/>
    <n v="196017.65"/>
    <n v="7703.73"/>
    <n v="3.930120578427504E-2"/>
    <n v="19"/>
    <d v="2023-03-06T00:00:00"/>
    <d v="2023-03-06T00:00:00"/>
    <n v="0"/>
    <x v="0"/>
    <b v="1"/>
    <n v="106"/>
    <n v="354"/>
    <x v="4"/>
    <x v="1"/>
  </r>
  <r>
    <s v="PED-00421"/>
    <d v="2023-01-04T00:00:00"/>
    <x v="1"/>
    <x v="2"/>
    <n v="1"/>
    <x v="3"/>
    <x v="1"/>
    <s v="SKU-FAR-3200"/>
    <x v="1"/>
    <x v="2"/>
    <x v="0"/>
    <s v="DAP"/>
    <n v="520"/>
    <s v="Unidades"/>
    <n v="168.83"/>
    <n v="87791.6"/>
    <n v="4207.78"/>
    <n v="4.7929186847033192E-2"/>
    <n v="4"/>
    <d v="2023-01-08T00:00:00"/>
    <d v="2023-01-08T00:00:00"/>
    <n v="0"/>
    <x v="0"/>
    <b v="1"/>
    <n v="418"/>
    <n v="496"/>
    <x v="0"/>
    <x v="0"/>
  </r>
  <r>
    <s v="PED-00422"/>
    <d v="2023-12-08T00:00:00"/>
    <x v="1"/>
    <x v="11"/>
    <n v="49"/>
    <x v="7"/>
    <x v="4"/>
    <s v="SKU-TEX-6432"/>
    <x v="3"/>
    <x v="5"/>
    <x v="0"/>
    <s v="FOB"/>
    <n v="922"/>
    <s v="Litros"/>
    <n v="47.27"/>
    <n v="43582.94"/>
    <n v="3338.09"/>
    <n v="7.6591666372208947E-2"/>
    <n v="3"/>
    <d v="2023-12-11T00:00:00"/>
    <d v="2023-12-13T00:00:00"/>
    <n v="2"/>
    <x v="1"/>
    <b v="0"/>
    <n v="277"/>
    <n v="293"/>
    <x v="3"/>
    <x v="1"/>
  </r>
  <r>
    <s v="PED-00423"/>
    <d v="2023-05-14T00:00:00"/>
    <x v="1"/>
    <x v="5"/>
    <n v="20"/>
    <x v="7"/>
    <x v="0"/>
    <s v="SKU-MAQ-8863"/>
    <x v="0"/>
    <x v="1"/>
    <x v="0"/>
    <s v="CIF"/>
    <n v="295"/>
    <s v="Litros"/>
    <n v="2110.42"/>
    <n v="622573.9"/>
    <n v="47255.78"/>
    <n v="7.5903888678918272E-2"/>
    <n v="17"/>
    <d v="2023-05-31T00:00:00"/>
    <d v="2023-06-08T00:00:00"/>
    <n v="8"/>
    <x v="1"/>
    <b v="0"/>
    <n v="127"/>
    <n v="144"/>
    <x v="1"/>
    <x v="1"/>
  </r>
  <r>
    <s v="PED-00424"/>
    <d v="2024-10-14T00:00:00"/>
    <x v="0"/>
    <x v="0"/>
    <n v="42"/>
    <x v="6"/>
    <x v="7"/>
    <s v="SKU-ALI-8583"/>
    <x v="3"/>
    <x v="5"/>
    <x v="1"/>
    <s v="EXW"/>
    <n v="880"/>
    <s v="Litros"/>
    <n v="77.95"/>
    <n v="68596"/>
    <n v="2223.35"/>
    <n v="3.2412239780745235E-2"/>
    <n v="17"/>
    <d v="2024-10-31T00:00:00"/>
    <d v="2024-11-12T00:00:00"/>
    <n v="12"/>
    <x v="2"/>
    <b v="0"/>
    <n v="457"/>
    <n v="26"/>
    <x v="0"/>
    <x v="0"/>
  </r>
  <r>
    <s v="PED-00425"/>
    <d v="2023-09-26T00:00:00"/>
    <x v="1"/>
    <x v="3"/>
    <n v="39"/>
    <x v="3"/>
    <x v="5"/>
    <s v="SKU-ELE-8296"/>
    <x v="0"/>
    <x v="4"/>
    <x v="3"/>
    <s v="DDP"/>
    <n v="22"/>
    <s v="Cajas"/>
    <n v="623.54999999999995"/>
    <n v="13718.1"/>
    <n v="569.21"/>
    <n v="4.1493355493836613E-2"/>
    <n v="12"/>
    <d v="2023-10-08T00:00:00"/>
    <d v="2023-10-03T00:00:00"/>
    <n v="-5"/>
    <x v="0"/>
    <b v="1"/>
    <n v="458"/>
    <n v="16"/>
    <x v="0"/>
    <x v="0"/>
  </r>
  <r>
    <s v="PED-00426"/>
    <d v="2023-06-15T00:00:00"/>
    <x v="1"/>
    <x v="10"/>
    <n v="24"/>
    <x v="1"/>
    <x v="0"/>
    <s v="SKU-MAQ-6877"/>
    <x v="3"/>
    <x v="3"/>
    <x v="1"/>
    <s v="DAP"/>
    <n v="617"/>
    <s v="Cajas"/>
    <n v="1080.42"/>
    <n v="666619.14"/>
    <n v="19307.93"/>
    <n v="2.8963959840697044E-2"/>
    <n v="28"/>
    <d v="2023-07-13T00:00:00"/>
    <d v="2023-07-16T00:00:00"/>
    <n v="3"/>
    <x v="2"/>
    <b v="0"/>
    <n v="37"/>
    <n v="62"/>
    <x v="1"/>
    <x v="1"/>
  </r>
  <r>
    <s v="PED-00427"/>
    <d v="2024-03-28T00:00:00"/>
    <x v="0"/>
    <x v="8"/>
    <n v="13"/>
    <x v="9"/>
    <x v="3"/>
    <s v="SKU-QUÍ-6004"/>
    <x v="5"/>
    <x v="0"/>
    <x v="1"/>
    <s v="FCA"/>
    <n v="507"/>
    <s v="Unidades"/>
    <n v="150.24"/>
    <n v="76171.679999999993"/>
    <n v="3854.22"/>
    <n v="5.0599120302978744E-2"/>
    <n v="29"/>
    <d v="2024-04-26T00:00:00"/>
    <d v="2024-04-26T00:00:00"/>
    <n v="0"/>
    <x v="0"/>
    <b v="1"/>
    <n v="96"/>
    <n v="266"/>
    <x v="3"/>
    <x v="1"/>
  </r>
  <r>
    <s v="PED-00428"/>
    <d v="2024-07-18T00:00:00"/>
    <x v="0"/>
    <x v="7"/>
    <n v="29"/>
    <x v="7"/>
    <x v="6"/>
    <s v="SKU-CON-8978"/>
    <x v="3"/>
    <x v="1"/>
    <x v="2"/>
    <s v="DDP"/>
    <n v="742"/>
    <s v="Unidades"/>
    <n v="190.58"/>
    <n v="141410.35999999999"/>
    <n v="6736.08"/>
    <n v="4.7634982330856106E-2"/>
    <n v="14"/>
    <d v="2024-08-01T00:00:00"/>
    <d v="2024-08-01T00:00:00"/>
    <n v="0"/>
    <x v="0"/>
    <b v="1"/>
    <n v="197"/>
    <n v="63"/>
    <x v="0"/>
    <x v="0"/>
  </r>
  <r>
    <s v="PED-00429"/>
    <d v="2024-12-23T00:00:00"/>
    <x v="0"/>
    <x v="11"/>
    <n v="52"/>
    <x v="5"/>
    <x v="2"/>
    <s v="SKU-AUT-2783"/>
    <x v="1"/>
    <x v="1"/>
    <x v="4"/>
    <s v="EXW"/>
    <n v="247"/>
    <s v="Litros"/>
    <n v="595.66999999999996"/>
    <n v="147130.49"/>
    <n v="10894.37"/>
    <n v="7.4045631194458755E-2"/>
    <n v="21"/>
    <d v="2025-01-13T00:00:00"/>
    <d v="2025-01-25T00:00:00"/>
    <n v="12"/>
    <x v="2"/>
    <b v="0"/>
    <n v="191"/>
    <n v="38"/>
    <x v="1"/>
    <x v="1"/>
  </r>
  <r>
    <s v="PED-00430"/>
    <d v="2024-03-13T00:00:00"/>
    <x v="0"/>
    <x v="8"/>
    <n v="11"/>
    <x v="0"/>
    <x v="4"/>
    <s v="SKU-TEX-3879"/>
    <x v="0"/>
    <x v="2"/>
    <x v="4"/>
    <s v="CIF"/>
    <n v="103"/>
    <s v="Cajas"/>
    <n v="71.27"/>
    <n v="7340.81"/>
    <n v="556.44000000000005"/>
    <n v="7.5800899355793164E-2"/>
    <n v="6"/>
    <d v="2024-03-19T00:00:00"/>
    <d v="2024-03-22T00:00:00"/>
    <n v="3"/>
    <x v="2"/>
    <b v="0"/>
    <n v="356"/>
    <n v="129"/>
    <x v="1"/>
    <x v="1"/>
  </r>
  <r>
    <s v="PED-00431"/>
    <d v="2024-07-28T00:00:00"/>
    <x v="0"/>
    <x v="7"/>
    <n v="31"/>
    <x v="0"/>
    <x v="6"/>
    <s v="SKU-CON-2343"/>
    <x v="1"/>
    <x v="2"/>
    <x v="2"/>
    <s v="CIF"/>
    <n v="347"/>
    <s v="Palés"/>
    <n v="178.53"/>
    <n v="61949.91"/>
    <n v="2664.72"/>
    <n v="4.3014106073761847E-2"/>
    <n v="3"/>
    <d v="2024-07-31T00:00:00"/>
    <d v="2024-08-08T00:00:00"/>
    <n v="8"/>
    <x v="2"/>
    <b v="0"/>
    <n v="6"/>
    <n v="114"/>
    <x v="0"/>
    <x v="0"/>
  </r>
  <r>
    <s v="PED-00432"/>
    <d v="2023-01-10T00:00:00"/>
    <x v="1"/>
    <x v="2"/>
    <n v="2"/>
    <x v="4"/>
    <x v="5"/>
    <s v="SKU-ELE-5597"/>
    <x v="3"/>
    <x v="2"/>
    <x v="1"/>
    <s v="CIF"/>
    <n v="790"/>
    <s v="Cajas"/>
    <n v="504.72"/>
    <n v="398728.8"/>
    <n v="19738.78"/>
    <n v="4.950427458462995E-2"/>
    <n v="28"/>
    <d v="2023-02-07T00:00:00"/>
    <d v="2023-02-07T00:00:00"/>
    <n v="0"/>
    <x v="1"/>
    <b v="0"/>
    <n v="43"/>
    <n v="449"/>
    <x v="3"/>
    <x v="1"/>
  </r>
  <r>
    <s v="PED-00433"/>
    <d v="2023-04-25T00:00:00"/>
    <x v="1"/>
    <x v="1"/>
    <n v="17"/>
    <x v="4"/>
    <x v="1"/>
    <s v="SKU-FAR-3293"/>
    <x v="4"/>
    <x v="5"/>
    <x v="2"/>
    <s v="CIF"/>
    <n v="180"/>
    <s v="Unidades"/>
    <n v="152.88999999999999"/>
    <n v="27520.2"/>
    <n v="2030.28"/>
    <n v="7.3774173152811387E-2"/>
    <n v="9"/>
    <d v="2023-05-04T00:00:00"/>
    <d v="2023-05-04T00:00:00"/>
    <n v="0"/>
    <x v="0"/>
    <b v="1"/>
    <n v="331"/>
    <n v="437"/>
    <x v="0"/>
    <x v="0"/>
  </r>
  <r>
    <s v="PED-00434"/>
    <d v="2023-03-19T00:00:00"/>
    <x v="1"/>
    <x v="8"/>
    <n v="12"/>
    <x v="6"/>
    <x v="2"/>
    <s v="SKU-AUT-9824"/>
    <x v="4"/>
    <x v="0"/>
    <x v="0"/>
    <s v="DAP"/>
    <n v="990"/>
    <s v="Cajas"/>
    <n v="654.17999999999995"/>
    <n v="647638.19999999995"/>
    <n v="44300.05"/>
    <n v="6.840246606824614E-2"/>
    <n v="5"/>
    <d v="2023-03-24T00:00:00"/>
    <d v="2023-04-05T00:00:00"/>
    <n v="12"/>
    <x v="1"/>
    <b v="0"/>
    <n v="6"/>
    <n v="412"/>
    <x v="1"/>
    <x v="1"/>
  </r>
  <r>
    <s v="PED-00435"/>
    <d v="2024-12-08T00:00:00"/>
    <x v="0"/>
    <x v="11"/>
    <n v="50"/>
    <x v="1"/>
    <x v="6"/>
    <s v="SKU-CON-4218"/>
    <x v="4"/>
    <x v="5"/>
    <x v="2"/>
    <s v="DAP"/>
    <n v="615"/>
    <s v="Unidades"/>
    <n v="187.68"/>
    <n v="115423.2"/>
    <n v="2333.79"/>
    <n v="2.0219418626411328E-2"/>
    <n v="24"/>
    <d v="2025-01-01T00:00:00"/>
    <d v="2025-01-01T00:00:00"/>
    <n v="0"/>
    <x v="0"/>
    <b v="1"/>
    <n v="193"/>
    <n v="44"/>
    <x v="3"/>
    <x v="1"/>
  </r>
  <r>
    <s v="PED-00436"/>
    <d v="2023-06-02T00:00:00"/>
    <x v="1"/>
    <x v="10"/>
    <n v="22"/>
    <x v="6"/>
    <x v="7"/>
    <s v="SKU-ALI-5312"/>
    <x v="0"/>
    <x v="0"/>
    <x v="2"/>
    <s v="FOB"/>
    <n v="670"/>
    <s v="Litros"/>
    <n v="61.74"/>
    <n v="41365.800000000003"/>
    <n v="1621.69"/>
    <n v="3.920364165566724E-2"/>
    <n v="29"/>
    <d v="2023-07-01T00:00:00"/>
    <d v="2023-06-26T00:00:00"/>
    <n v="-5"/>
    <x v="0"/>
    <b v="1"/>
    <n v="315"/>
    <n v="215"/>
    <x v="1"/>
    <x v="1"/>
  </r>
  <r>
    <s v="PED-00437"/>
    <d v="2024-07-12T00:00:00"/>
    <x v="0"/>
    <x v="7"/>
    <n v="28"/>
    <x v="0"/>
    <x v="6"/>
    <s v="SKU-CON-2252"/>
    <x v="2"/>
    <x v="1"/>
    <x v="0"/>
    <s v="FCA"/>
    <n v="633"/>
    <s v="Litros"/>
    <n v="285.73"/>
    <n v="180867.09"/>
    <n v="8194.4500000000007"/>
    <n v="4.5306473388829337E-2"/>
    <n v="17"/>
    <d v="2024-07-29T00:00:00"/>
    <d v="2024-07-24T00:00:00"/>
    <n v="-5"/>
    <x v="0"/>
    <b v="1"/>
    <n v="0"/>
    <n v="87"/>
    <x v="0"/>
    <x v="0"/>
  </r>
  <r>
    <s v="PED-00438"/>
    <d v="2023-02-06T00:00:00"/>
    <x v="1"/>
    <x v="9"/>
    <n v="6"/>
    <x v="2"/>
    <x v="3"/>
    <s v="SKU-QUÍ-2235"/>
    <x v="5"/>
    <x v="5"/>
    <x v="4"/>
    <s v="FOB"/>
    <n v="576"/>
    <s v="Litros"/>
    <n v="84.58"/>
    <n v="48718.080000000002"/>
    <n v="1645.84"/>
    <n v="3.3782940542812848E-2"/>
    <n v="14"/>
    <d v="2023-02-20T00:00:00"/>
    <d v="2023-02-22T00:00:00"/>
    <n v="2"/>
    <x v="2"/>
    <b v="0"/>
    <n v="61"/>
    <n v="335"/>
    <x v="0"/>
    <x v="0"/>
  </r>
  <r>
    <s v="PED-00439"/>
    <d v="2024-01-14T00:00:00"/>
    <x v="0"/>
    <x v="2"/>
    <n v="3"/>
    <x v="0"/>
    <x v="1"/>
    <s v="SKU-FAR-1305"/>
    <x v="3"/>
    <x v="5"/>
    <x v="0"/>
    <s v="FCA"/>
    <n v="858"/>
    <s v="Palés"/>
    <n v="217.42"/>
    <n v="186546.36"/>
    <n v="5964.69"/>
    <n v="3.1974303867413977E-2"/>
    <n v="21"/>
    <d v="2024-02-04T00:00:00"/>
    <d v="2024-02-16T00:00:00"/>
    <n v="12"/>
    <x v="1"/>
    <b v="0"/>
    <n v="342"/>
    <n v="414"/>
    <x v="0"/>
    <x v="0"/>
  </r>
  <r>
    <s v="PED-00440"/>
    <d v="2024-08-19T00:00:00"/>
    <x v="0"/>
    <x v="4"/>
    <n v="34"/>
    <x v="7"/>
    <x v="4"/>
    <s v="SKU-TEX-9309"/>
    <x v="2"/>
    <x v="5"/>
    <x v="3"/>
    <s v="EXW"/>
    <n v="945"/>
    <s v="Palés"/>
    <n v="47.92"/>
    <n v="45284.4"/>
    <n v="1008.35"/>
    <n v="2.2267050021641005E-2"/>
    <n v="3"/>
    <d v="2024-08-22T00:00:00"/>
    <d v="2024-08-24T00:00:00"/>
    <n v="2"/>
    <x v="2"/>
    <b v="0"/>
    <n v="88"/>
    <n v="176"/>
    <x v="0"/>
    <x v="0"/>
  </r>
  <r>
    <s v="PED-00441"/>
    <d v="2024-07-19T00:00:00"/>
    <x v="0"/>
    <x v="7"/>
    <n v="29"/>
    <x v="3"/>
    <x v="5"/>
    <s v="SKU-ELE-1511"/>
    <x v="4"/>
    <x v="3"/>
    <x v="2"/>
    <s v="FOB"/>
    <n v="476"/>
    <s v="Unidades"/>
    <n v="473.07"/>
    <n v="225181.32"/>
    <n v="13196.12"/>
    <n v="5.8602196665336184E-2"/>
    <n v="28"/>
    <d v="2024-08-16T00:00:00"/>
    <d v="2024-08-28T00:00:00"/>
    <n v="12"/>
    <x v="1"/>
    <b v="0"/>
    <n v="17"/>
    <n v="490"/>
    <x v="0"/>
    <x v="0"/>
  </r>
  <r>
    <s v="PED-00442"/>
    <d v="2023-06-01T00:00:00"/>
    <x v="1"/>
    <x v="10"/>
    <n v="22"/>
    <x v="3"/>
    <x v="4"/>
    <s v="SKU-TEX-7637"/>
    <x v="3"/>
    <x v="4"/>
    <x v="2"/>
    <s v="EXW"/>
    <n v="637"/>
    <s v="KG"/>
    <n v="86.45"/>
    <n v="55068.65"/>
    <n v="1968.74"/>
    <n v="3.5750649416682628E-2"/>
    <n v="1"/>
    <d v="2023-06-02T00:00:00"/>
    <d v="2023-06-02T00:00:00"/>
    <n v="0"/>
    <x v="0"/>
    <b v="1"/>
    <n v="107"/>
    <n v="264"/>
    <x v="1"/>
    <x v="1"/>
  </r>
  <r>
    <s v="PED-00443"/>
    <d v="2024-03-16T00:00:00"/>
    <x v="0"/>
    <x v="8"/>
    <n v="11"/>
    <x v="7"/>
    <x v="2"/>
    <s v="SKU-AUT-4485"/>
    <x v="2"/>
    <x v="0"/>
    <x v="4"/>
    <s v="EXW"/>
    <n v="152"/>
    <s v="Metros"/>
    <n v="663.48"/>
    <n v="100848.96000000001"/>
    <n v="2333.73"/>
    <n v="2.31408434950643E-2"/>
    <n v="20"/>
    <d v="2024-04-05T00:00:00"/>
    <d v="2024-04-17T00:00:00"/>
    <n v="12"/>
    <x v="1"/>
    <b v="0"/>
    <n v="134"/>
    <n v="410"/>
    <x v="4"/>
    <x v="1"/>
  </r>
  <r>
    <s v="PED-00444"/>
    <d v="2023-05-11T00:00:00"/>
    <x v="1"/>
    <x v="5"/>
    <n v="19"/>
    <x v="7"/>
    <x v="5"/>
    <s v="SKU-ELE-1600"/>
    <x v="1"/>
    <x v="0"/>
    <x v="1"/>
    <s v="EXW"/>
    <n v="210"/>
    <s v="Palés"/>
    <n v="736.33"/>
    <n v="154629.29999999999"/>
    <n v="5235.5600000000004"/>
    <n v="3.3858783555251175E-2"/>
    <n v="29"/>
    <d v="2023-06-09T00:00:00"/>
    <d v="2023-06-17T00:00:00"/>
    <n v="8"/>
    <x v="1"/>
    <b v="0"/>
    <n v="370"/>
    <n v="439"/>
    <x v="0"/>
    <x v="0"/>
  </r>
  <r>
    <s v="PED-00445"/>
    <d v="2023-02-12T00:00:00"/>
    <x v="1"/>
    <x v="9"/>
    <n v="7"/>
    <x v="0"/>
    <x v="0"/>
    <s v="SKU-MAQ-5269"/>
    <x v="4"/>
    <x v="5"/>
    <x v="0"/>
    <s v="CIF"/>
    <n v="189"/>
    <s v="Unidades"/>
    <n v="1296.95"/>
    <n v="245123.55"/>
    <n v="16696.55"/>
    <n v="6.8114834335583019E-2"/>
    <n v="21"/>
    <d v="2023-03-05T00:00:00"/>
    <d v="2023-03-05T00:00:00"/>
    <n v="0"/>
    <x v="0"/>
    <b v="1"/>
    <n v="309"/>
    <n v="104"/>
    <x v="3"/>
    <x v="1"/>
  </r>
  <r>
    <s v="PED-00446"/>
    <d v="2023-11-12T00:00:00"/>
    <x v="1"/>
    <x v="6"/>
    <n v="46"/>
    <x v="3"/>
    <x v="7"/>
    <s v="SKU-ALI-9904"/>
    <x v="2"/>
    <x v="3"/>
    <x v="1"/>
    <s v="DDP"/>
    <n v="723"/>
    <s v="Cajas"/>
    <n v="103.46"/>
    <n v="74801.58"/>
    <n v="5317.6"/>
    <n v="7.1089407469735272E-2"/>
    <n v="23"/>
    <d v="2023-12-05T00:00:00"/>
    <d v="2023-12-02T00:00:00"/>
    <n v="-3"/>
    <x v="0"/>
    <b v="1"/>
    <n v="66"/>
    <n v="380"/>
    <x v="3"/>
    <x v="1"/>
  </r>
  <r>
    <s v="PED-00447"/>
    <d v="2024-01-09T00:00:00"/>
    <x v="0"/>
    <x v="2"/>
    <n v="2"/>
    <x v="3"/>
    <x v="0"/>
    <s v="SKU-MAQ-9842"/>
    <x v="0"/>
    <x v="5"/>
    <x v="3"/>
    <s v="DDP"/>
    <n v="373"/>
    <s v="Litros"/>
    <n v="1706.01"/>
    <n v="636341.73"/>
    <n v="31170.55"/>
    <n v="4.8983979095634671E-2"/>
    <n v="1"/>
    <d v="2024-01-10T00:00:00"/>
    <d v="2024-01-10T00:00:00"/>
    <n v="0"/>
    <x v="0"/>
    <b v="1"/>
    <n v="92"/>
    <n v="333"/>
    <x v="0"/>
    <x v="0"/>
  </r>
  <r>
    <s v="PED-00448"/>
    <d v="2023-02-10T00:00:00"/>
    <x v="1"/>
    <x v="9"/>
    <n v="6"/>
    <x v="8"/>
    <x v="0"/>
    <s v="SKU-MAQ-8734"/>
    <x v="1"/>
    <x v="0"/>
    <x v="0"/>
    <s v="DAP"/>
    <n v="488"/>
    <s v="Litros"/>
    <n v="2111.37"/>
    <n v="1030348.56"/>
    <n v="46328.84"/>
    <n v="4.4964240062605604E-2"/>
    <n v="3"/>
    <d v="2023-02-13T00:00:00"/>
    <d v="2023-02-16T00:00:00"/>
    <n v="3"/>
    <x v="2"/>
    <b v="0"/>
    <n v="137"/>
    <n v="300"/>
    <x v="2"/>
    <x v="1"/>
  </r>
  <r>
    <s v="PED-00449"/>
    <d v="2024-01-02T00:00:00"/>
    <x v="0"/>
    <x v="2"/>
    <n v="1"/>
    <x v="3"/>
    <x v="4"/>
    <s v="SKU-TEX-3435"/>
    <x v="4"/>
    <x v="4"/>
    <x v="3"/>
    <s v="EXW"/>
    <n v="574"/>
    <s v="Litros"/>
    <n v="68.59"/>
    <n v="39370.660000000003"/>
    <n v="3097.34"/>
    <n v="7.8671274497303323E-2"/>
    <n v="18"/>
    <d v="2024-01-20T00:00:00"/>
    <d v="2024-01-20T00:00:00"/>
    <n v="0"/>
    <x v="2"/>
    <b v="0"/>
    <n v="188"/>
    <n v="472"/>
    <x v="4"/>
    <x v="1"/>
  </r>
  <r>
    <s v="PED-00450"/>
    <d v="2023-08-04T00:00:00"/>
    <x v="1"/>
    <x v="4"/>
    <n v="31"/>
    <x v="7"/>
    <x v="2"/>
    <s v="SKU-AUT-6993"/>
    <x v="5"/>
    <x v="4"/>
    <x v="3"/>
    <s v="CIF"/>
    <n v="480"/>
    <s v="Unidades"/>
    <n v="902.12"/>
    <n v="433017.59999999998"/>
    <n v="13871.23"/>
    <n v="3.203387114057258E-2"/>
    <n v="25"/>
    <d v="2023-08-29T00:00:00"/>
    <d v="2023-08-29T00:00:00"/>
    <n v="0"/>
    <x v="0"/>
    <b v="1"/>
    <n v="58"/>
    <n v="170"/>
    <x v="1"/>
    <x v="1"/>
  </r>
  <r>
    <s v="PED-00451"/>
    <d v="2024-11-29T00:00:00"/>
    <x v="0"/>
    <x v="6"/>
    <n v="48"/>
    <x v="4"/>
    <x v="7"/>
    <s v="SKU-ALI-7430"/>
    <x v="4"/>
    <x v="1"/>
    <x v="3"/>
    <s v="FOB"/>
    <n v="393"/>
    <s v="Litros"/>
    <n v="68.510000000000005"/>
    <n v="26924.43"/>
    <n v="886.39"/>
    <n v="3.2921402607223253E-2"/>
    <n v="10"/>
    <d v="2024-12-09T00:00:00"/>
    <d v="2024-12-14T00:00:00"/>
    <n v="5"/>
    <x v="1"/>
    <b v="0"/>
    <n v="186"/>
    <n v="107"/>
    <x v="0"/>
    <x v="0"/>
  </r>
  <r>
    <s v="PED-00452"/>
    <d v="2023-09-13T00:00:00"/>
    <x v="1"/>
    <x v="3"/>
    <n v="37"/>
    <x v="1"/>
    <x v="6"/>
    <s v="SKU-CON-4658"/>
    <x v="0"/>
    <x v="3"/>
    <x v="0"/>
    <s v="FOB"/>
    <n v="701"/>
    <s v="Palés"/>
    <n v="166.6"/>
    <n v="116786.6"/>
    <n v="4380.8999999999996"/>
    <n v="3.7512009083233856E-2"/>
    <n v="22"/>
    <d v="2023-10-05T00:00:00"/>
    <d v="2023-09-30T00:00:00"/>
    <n v="-5"/>
    <x v="0"/>
    <b v="1"/>
    <n v="234"/>
    <n v="405"/>
    <x v="3"/>
    <x v="1"/>
  </r>
  <r>
    <s v="PED-00453"/>
    <d v="2024-11-13T00:00:00"/>
    <x v="0"/>
    <x v="6"/>
    <n v="46"/>
    <x v="2"/>
    <x v="5"/>
    <s v="SKU-ELE-5767"/>
    <x v="5"/>
    <x v="4"/>
    <x v="0"/>
    <s v="DAP"/>
    <n v="935"/>
    <s v="Cajas"/>
    <n v="716.6"/>
    <n v="670021"/>
    <n v="20345.48"/>
    <n v="3.0365436307220221E-2"/>
    <n v="26"/>
    <d v="2024-12-09T00:00:00"/>
    <d v="2024-12-10T00:00:00"/>
    <n v="1"/>
    <x v="2"/>
    <b v="0"/>
    <n v="68"/>
    <n v="354"/>
    <x v="4"/>
    <x v="1"/>
  </r>
  <r>
    <s v="PED-00454"/>
    <d v="2023-04-16T00:00:00"/>
    <x v="1"/>
    <x v="1"/>
    <n v="16"/>
    <x v="7"/>
    <x v="5"/>
    <s v="SKU-ELE-3193"/>
    <x v="5"/>
    <x v="3"/>
    <x v="4"/>
    <s v="DAP"/>
    <n v="426"/>
    <s v="Litros"/>
    <n v="481.14"/>
    <n v="204965.64"/>
    <n v="8764.73"/>
    <n v="4.2761947807447138E-2"/>
    <n v="3"/>
    <d v="2023-04-19T00:00:00"/>
    <d v="2023-04-18T00:00:00"/>
    <n v="-1"/>
    <x v="0"/>
    <b v="1"/>
    <n v="446"/>
    <n v="160"/>
    <x v="2"/>
    <x v="1"/>
  </r>
  <r>
    <s v="PED-00455"/>
    <d v="2023-12-29T00:00:00"/>
    <x v="1"/>
    <x v="11"/>
    <n v="52"/>
    <x v="3"/>
    <x v="3"/>
    <s v="SKU-QUÍ-8613"/>
    <x v="5"/>
    <x v="5"/>
    <x v="2"/>
    <s v="EXW"/>
    <n v="834"/>
    <s v="Unidades"/>
    <n v="119.72"/>
    <n v="99846.48"/>
    <n v="7453.55"/>
    <n v="7.4650102837876708E-2"/>
    <n v="8"/>
    <d v="2024-01-06T00:00:00"/>
    <d v="2024-01-06T00:00:00"/>
    <n v="0"/>
    <x v="0"/>
    <b v="1"/>
    <n v="97"/>
    <n v="282"/>
    <x v="2"/>
    <x v="1"/>
  </r>
  <r>
    <s v="PED-00456"/>
    <d v="2024-07-27T00:00:00"/>
    <x v="0"/>
    <x v="7"/>
    <n v="30"/>
    <x v="5"/>
    <x v="1"/>
    <s v="SKU-FAR-9210"/>
    <x v="3"/>
    <x v="1"/>
    <x v="1"/>
    <s v="EXW"/>
    <n v="317"/>
    <s v="Cajas"/>
    <n v="261.57"/>
    <n v="82917.69"/>
    <n v="4719.75"/>
    <n v="5.6920905538974852E-2"/>
    <n v="14"/>
    <d v="2024-08-10T00:00:00"/>
    <d v="2024-08-10T00:00:00"/>
    <n v="0"/>
    <x v="0"/>
    <b v="1"/>
    <n v="7"/>
    <n v="39"/>
    <x v="3"/>
    <x v="1"/>
  </r>
  <r>
    <s v="PED-00457"/>
    <d v="2024-02-21T00:00:00"/>
    <x v="0"/>
    <x v="9"/>
    <n v="8"/>
    <x v="0"/>
    <x v="3"/>
    <s v="SKU-QUÍ-9362"/>
    <x v="3"/>
    <x v="0"/>
    <x v="1"/>
    <s v="FOB"/>
    <n v="658"/>
    <s v="Litros"/>
    <n v="116.53"/>
    <n v="76676.740000000005"/>
    <n v="3428.74"/>
    <n v="4.4716820250834864E-2"/>
    <n v="24"/>
    <d v="2024-03-16T00:00:00"/>
    <d v="2024-03-16T00:00:00"/>
    <n v="0"/>
    <x v="0"/>
    <b v="1"/>
    <n v="461"/>
    <n v="25"/>
    <x v="0"/>
    <x v="0"/>
  </r>
  <r>
    <s v="PED-00458"/>
    <d v="2024-09-27T00:00:00"/>
    <x v="0"/>
    <x v="3"/>
    <n v="39"/>
    <x v="0"/>
    <x v="6"/>
    <s v="SKU-CON-2483"/>
    <x v="5"/>
    <x v="4"/>
    <x v="3"/>
    <s v="FOB"/>
    <n v="703"/>
    <s v="KG"/>
    <n v="292.33"/>
    <n v="205507.99"/>
    <n v="15631.89"/>
    <n v="7.6064633788691133E-2"/>
    <n v="18"/>
    <d v="2024-10-15T00:00:00"/>
    <d v="2024-10-23T00:00:00"/>
    <n v="8"/>
    <x v="2"/>
    <b v="0"/>
    <n v="487"/>
    <n v="82"/>
    <x v="0"/>
    <x v="0"/>
  </r>
  <r>
    <s v="PED-00459"/>
    <d v="2023-06-08T00:00:00"/>
    <x v="1"/>
    <x v="10"/>
    <n v="23"/>
    <x v="1"/>
    <x v="3"/>
    <s v="SKU-QUÍ-7500"/>
    <x v="1"/>
    <x v="4"/>
    <x v="0"/>
    <s v="FOB"/>
    <n v="376"/>
    <s v="Litros"/>
    <n v="154.84"/>
    <n v="58219.839999999997"/>
    <n v="1333.69"/>
    <n v="2.2907826610310166E-2"/>
    <n v="15"/>
    <d v="2023-06-23T00:00:00"/>
    <d v="2023-06-23T00:00:00"/>
    <n v="0"/>
    <x v="0"/>
    <b v="1"/>
    <n v="310"/>
    <n v="172"/>
    <x v="0"/>
    <x v="0"/>
  </r>
  <r>
    <s v="PED-00460"/>
    <d v="2023-08-31T00:00:00"/>
    <x v="1"/>
    <x v="4"/>
    <n v="35"/>
    <x v="7"/>
    <x v="5"/>
    <s v="SKU-ELE-6961"/>
    <x v="5"/>
    <x v="2"/>
    <x v="0"/>
    <s v="FOB"/>
    <n v="10"/>
    <s v="Metros"/>
    <n v="588.97"/>
    <n v="5889.7"/>
    <n v="192.1"/>
    <n v="3.2616262288401789E-2"/>
    <n v="22"/>
    <d v="2023-09-22T00:00:00"/>
    <d v="2023-09-17T00:00:00"/>
    <n v="-5"/>
    <x v="0"/>
    <b v="1"/>
    <n v="133"/>
    <n v="486"/>
    <x v="0"/>
    <x v="0"/>
  </r>
  <r>
    <s v="PED-00461"/>
    <d v="2023-06-16T00:00:00"/>
    <x v="1"/>
    <x v="10"/>
    <n v="24"/>
    <x v="1"/>
    <x v="4"/>
    <s v="SKU-TEX-9227"/>
    <x v="2"/>
    <x v="0"/>
    <x v="3"/>
    <s v="DDP"/>
    <n v="53"/>
    <s v="Palés"/>
    <n v="84.28"/>
    <n v="4466.84"/>
    <n v="241"/>
    <n v="5.3953130177037907E-2"/>
    <n v="23"/>
    <d v="2023-07-09T00:00:00"/>
    <d v="2023-07-04T00:00:00"/>
    <n v="-5"/>
    <x v="0"/>
    <b v="1"/>
    <n v="384"/>
    <n v="172"/>
    <x v="0"/>
    <x v="0"/>
  </r>
  <r>
    <s v="PED-00462"/>
    <d v="2023-07-01T00:00:00"/>
    <x v="1"/>
    <x v="7"/>
    <n v="26"/>
    <x v="4"/>
    <x v="0"/>
    <s v="SKU-MAQ-1173"/>
    <x v="5"/>
    <x v="4"/>
    <x v="2"/>
    <s v="EXW"/>
    <n v="748"/>
    <s v="Cajas"/>
    <n v="1109.53"/>
    <n v="829928.44"/>
    <n v="47250.45"/>
    <n v="5.693316161089744E-2"/>
    <n v="2"/>
    <d v="2023-07-03T00:00:00"/>
    <d v="2023-07-02T00:00:00"/>
    <n v="-1"/>
    <x v="0"/>
    <b v="1"/>
    <n v="55"/>
    <n v="281"/>
    <x v="2"/>
    <x v="1"/>
  </r>
  <r>
    <s v="PED-00463"/>
    <d v="2024-02-27T00:00:00"/>
    <x v="0"/>
    <x v="9"/>
    <n v="9"/>
    <x v="9"/>
    <x v="2"/>
    <s v="SKU-AUT-4913"/>
    <x v="3"/>
    <x v="4"/>
    <x v="1"/>
    <s v="EXW"/>
    <n v="852"/>
    <s v="Palés"/>
    <n v="724.52"/>
    <n v="617291.04"/>
    <n v="13810.93"/>
    <n v="2.237344964540551E-2"/>
    <n v="27"/>
    <d v="2024-03-25T00:00:00"/>
    <d v="2024-04-06T00:00:00"/>
    <n v="12"/>
    <x v="1"/>
    <b v="0"/>
    <n v="480"/>
    <n v="69"/>
    <x v="1"/>
    <x v="1"/>
  </r>
  <r>
    <s v="PED-00464"/>
    <d v="2023-01-26T00:00:00"/>
    <x v="1"/>
    <x v="2"/>
    <n v="4"/>
    <x v="6"/>
    <x v="0"/>
    <s v="SKU-MAQ-3717"/>
    <x v="3"/>
    <x v="0"/>
    <x v="4"/>
    <s v="FOB"/>
    <n v="107"/>
    <s v="KG"/>
    <n v="1608.04"/>
    <n v="172060.28"/>
    <n v="7602.02"/>
    <n v="4.4182306340545305E-2"/>
    <n v="10"/>
    <d v="2023-02-05T00:00:00"/>
    <d v="2023-02-10T00:00:00"/>
    <n v="5"/>
    <x v="1"/>
    <b v="0"/>
    <n v="359"/>
    <n v="322"/>
    <x v="0"/>
    <x v="0"/>
  </r>
  <r>
    <s v="PED-00465"/>
    <d v="2023-07-03T00:00:00"/>
    <x v="1"/>
    <x v="7"/>
    <n v="27"/>
    <x v="5"/>
    <x v="0"/>
    <s v="SKU-MAQ-9423"/>
    <x v="2"/>
    <x v="1"/>
    <x v="2"/>
    <s v="CIF"/>
    <n v="729"/>
    <s v="KG"/>
    <n v="1322.37"/>
    <n v="964007.73"/>
    <n v="56827.519999999997"/>
    <n v="5.8949236848961778E-2"/>
    <n v="2"/>
    <d v="2023-07-05T00:00:00"/>
    <d v="2023-07-05T00:00:00"/>
    <n v="0"/>
    <x v="0"/>
    <b v="1"/>
    <n v="458"/>
    <n v="5"/>
    <x v="3"/>
    <x v="1"/>
  </r>
  <r>
    <s v="PED-00466"/>
    <d v="2023-12-07T00:00:00"/>
    <x v="1"/>
    <x v="11"/>
    <n v="49"/>
    <x v="6"/>
    <x v="7"/>
    <s v="SKU-ALI-3299"/>
    <x v="2"/>
    <x v="3"/>
    <x v="0"/>
    <s v="FOB"/>
    <n v="274"/>
    <s v="Metros"/>
    <n v="103.61"/>
    <n v="28389.14"/>
    <n v="1756.84"/>
    <n v="6.1884227560257195E-2"/>
    <n v="26"/>
    <d v="2024-01-02T00:00:00"/>
    <d v="2024-01-02T00:00:00"/>
    <n v="0"/>
    <x v="0"/>
    <b v="1"/>
    <n v="113"/>
    <n v="283"/>
    <x v="0"/>
    <x v="0"/>
  </r>
  <r>
    <s v="PED-00467"/>
    <d v="2024-02-26T00:00:00"/>
    <x v="0"/>
    <x v="9"/>
    <n v="9"/>
    <x v="9"/>
    <x v="5"/>
    <s v="SKU-ELE-8310"/>
    <x v="4"/>
    <x v="0"/>
    <x v="3"/>
    <s v="FCA"/>
    <n v="809"/>
    <s v="Palés"/>
    <n v="717.68"/>
    <n v="580603.12"/>
    <n v="33842.42"/>
    <n v="5.8288388116136888E-2"/>
    <n v="17"/>
    <d v="2024-03-14T00:00:00"/>
    <d v="2024-03-11T00:00:00"/>
    <n v="-3"/>
    <x v="0"/>
    <b v="1"/>
    <n v="87"/>
    <n v="194"/>
    <x v="0"/>
    <x v="0"/>
  </r>
  <r>
    <s v="PED-00468"/>
    <d v="2024-11-16T00:00:00"/>
    <x v="0"/>
    <x v="6"/>
    <n v="46"/>
    <x v="5"/>
    <x v="6"/>
    <s v="SKU-CON-3608"/>
    <x v="1"/>
    <x v="3"/>
    <x v="1"/>
    <s v="DAP"/>
    <n v="792"/>
    <s v="Cajas"/>
    <n v="207.8"/>
    <n v="164577.60000000001"/>
    <n v="6457"/>
    <n v="3.9233771789113463E-2"/>
    <n v="8"/>
    <d v="2024-11-24T00:00:00"/>
    <d v="2024-11-26T00:00:00"/>
    <n v="2"/>
    <x v="1"/>
    <b v="0"/>
    <n v="137"/>
    <n v="12"/>
    <x v="2"/>
    <x v="1"/>
  </r>
  <r>
    <s v="PED-00469"/>
    <d v="2023-09-12T00:00:00"/>
    <x v="1"/>
    <x v="3"/>
    <n v="37"/>
    <x v="6"/>
    <x v="6"/>
    <s v="SKU-CON-3935"/>
    <x v="1"/>
    <x v="1"/>
    <x v="3"/>
    <s v="FCA"/>
    <n v="149"/>
    <s v="KG"/>
    <n v="194.74"/>
    <n v="29016.26"/>
    <n v="743.14"/>
    <n v="2.5611157330407159E-2"/>
    <n v="1"/>
    <d v="2023-09-13T00:00:00"/>
    <d v="2023-09-21T00:00:00"/>
    <n v="8"/>
    <x v="1"/>
    <b v="0"/>
    <n v="107"/>
    <n v="62"/>
    <x v="1"/>
    <x v="1"/>
  </r>
  <r>
    <s v="PED-00470"/>
    <d v="2023-10-01T00:00:00"/>
    <x v="1"/>
    <x v="0"/>
    <n v="40"/>
    <x v="5"/>
    <x v="2"/>
    <s v="SKU-AUT-3395"/>
    <x v="1"/>
    <x v="1"/>
    <x v="0"/>
    <s v="CIF"/>
    <n v="490"/>
    <s v="KG"/>
    <n v="1175.3900000000001"/>
    <n v="575941.1"/>
    <n v="26278.32"/>
    <n v="4.56267489852695E-2"/>
    <n v="9"/>
    <d v="2023-10-10T00:00:00"/>
    <d v="2023-10-18T00:00:00"/>
    <n v="8"/>
    <x v="2"/>
    <b v="0"/>
    <n v="499"/>
    <n v="12"/>
    <x v="1"/>
    <x v="1"/>
  </r>
  <r>
    <s v="PED-00471"/>
    <d v="2023-06-13T00:00:00"/>
    <x v="1"/>
    <x v="10"/>
    <n v="24"/>
    <x v="1"/>
    <x v="4"/>
    <s v="SKU-TEX-8921"/>
    <x v="0"/>
    <x v="5"/>
    <x v="3"/>
    <s v="DAP"/>
    <n v="246"/>
    <s v="Litros"/>
    <n v="63.35"/>
    <n v="15584.1"/>
    <n v="432.07"/>
    <n v="2.7725053098991922E-2"/>
    <n v="11"/>
    <d v="2023-06-24T00:00:00"/>
    <d v="2023-06-21T00:00:00"/>
    <n v="-3"/>
    <x v="0"/>
    <b v="1"/>
    <n v="22"/>
    <n v="248"/>
    <x v="4"/>
    <x v="1"/>
  </r>
  <r>
    <s v="PED-00472"/>
    <d v="2024-12-19T00:00:00"/>
    <x v="0"/>
    <x v="11"/>
    <n v="51"/>
    <x v="2"/>
    <x v="7"/>
    <s v="SKU-ALI-6878"/>
    <x v="3"/>
    <x v="2"/>
    <x v="1"/>
    <s v="CIF"/>
    <n v="983"/>
    <s v="Metros"/>
    <n v="87.3"/>
    <n v="85815.9"/>
    <n v="6595.59"/>
    <n v="7.685743551020266E-2"/>
    <n v="22"/>
    <d v="2025-01-10T00:00:00"/>
    <d v="2025-01-13T00:00:00"/>
    <n v="3"/>
    <x v="1"/>
    <b v="0"/>
    <n v="143"/>
    <n v="204"/>
    <x v="3"/>
    <x v="1"/>
  </r>
  <r>
    <s v="PED-00473"/>
    <d v="2023-04-21T00:00:00"/>
    <x v="1"/>
    <x v="1"/>
    <n v="16"/>
    <x v="8"/>
    <x v="1"/>
    <s v="SKU-FAR-1662"/>
    <x v="1"/>
    <x v="1"/>
    <x v="3"/>
    <s v="DAP"/>
    <n v="962"/>
    <s v="Unidades"/>
    <n v="196.26"/>
    <n v="188802.12"/>
    <n v="9158.84"/>
    <n v="4.8510260372076335E-2"/>
    <n v="16"/>
    <d v="2023-05-07T00:00:00"/>
    <d v="2023-05-04T00:00:00"/>
    <n v="-3"/>
    <x v="0"/>
    <b v="1"/>
    <n v="356"/>
    <n v="384"/>
    <x v="1"/>
    <x v="1"/>
  </r>
  <r>
    <s v="PED-00474"/>
    <d v="2024-01-27T00:00:00"/>
    <x v="0"/>
    <x v="2"/>
    <n v="4"/>
    <x v="5"/>
    <x v="4"/>
    <s v="SKU-TEX-4585"/>
    <x v="4"/>
    <x v="1"/>
    <x v="1"/>
    <s v="FOB"/>
    <n v="913"/>
    <s v="KG"/>
    <n v="85.66"/>
    <n v="78207.58"/>
    <n v="3052.88"/>
    <n v="3.9035602431375577E-2"/>
    <n v="7"/>
    <d v="2024-02-03T00:00:00"/>
    <d v="2024-02-06T00:00:00"/>
    <n v="3"/>
    <x v="2"/>
    <b v="0"/>
    <n v="143"/>
    <n v="252"/>
    <x v="2"/>
    <x v="1"/>
  </r>
  <r>
    <s v="PED-00475"/>
    <d v="2023-02-09T00:00:00"/>
    <x v="1"/>
    <x v="9"/>
    <n v="6"/>
    <x v="9"/>
    <x v="3"/>
    <s v="SKU-QUÍ-8989"/>
    <x v="4"/>
    <x v="3"/>
    <x v="3"/>
    <s v="FOB"/>
    <n v="81"/>
    <s v="Cajas"/>
    <n v="138.62"/>
    <n v="11228.22"/>
    <n v="740.82"/>
    <n v="6.5978400850713659E-2"/>
    <n v="29"/>
    <d v="2023-03-10T00:00:00"/>
    <d v="2023-03-11T00:00:00"/>
    <n v="1"/>
    <x v="1"/>
    <b v="0"/>
    <n v="55"/>
    <n v="39"/>
    <x v="2"/>
    <x v="1"/>
  </r>
  <r>
    <s v="PED-00476"/>
    <d v="2024-04-26T00:00:00"/>
    <x v="0"/>
    <x v="1"/>
    <n v="17"/>
    <x v="1"/>
    <x v="4"/>
    <s v="SKU-TEX-4796"/>
    <x v="1"/>
    <x v="1"/>
    <x v="3"/>
    <s v="CIF"/>
    <n v="676"/>
    <s v="Cajas"/>
    <n v="78.58"/>
    <n v="53120.08"/>
    <n v="2649.47"/>
    <n v="4.9876995667175197E-2"/>
    <n v="10"/>
    <d v="2024-05-06T00:00:00"/>
    <d v="2024-05-08T00:00:00"/>
    <n v="2"/>
    <x v="2"/>
    <b v="0"/>
    <n v="107"/>
    <n v="164"/>
    <x v="4"/>
    <x v="1"/>
  </r>
  <r>
    <s v="PED-00477"/>
    <d v="2023-08-16T00:00:00"/>
    <x v="1"/>
    <x v="4"/>
    <n v="33"/>
    <x v="8"/>
    <x v="4"/>
    <s v="SKU-TEX-2029"/>
    <x v="2"/>
    <x v="0"/>
    <x v="1"/>
    <s v="DAP"/>
    <n v="199"/>
    <s v="Litros"/>
    <n v="80.97"/>
    <n v="16113.03"/>
    <n v="622"/>
    <n v="3.8602298884815582E-2"/>
    <n v="23"/>
    <d v="2023-09-08T00:00:00"/>
    <d v="2023-09-16T00:00:00"/>
    <n v="8"/>
    <x v="1"/>
    <b v="0"/>
    <n v="350"/>
    <n v="30"/>
    <x v="0"/>
    <x v="0"/>
  </r>
  <r>
    <s v="PED-00478"/>
    <d v="2023-07-24T00:00:00"/>
    <x v="1"/>
    <x v="7"/>
    <n v="30"/>
    <x v="1"/>
    <x v="0"/>
    <s v="SKU-MAQ-5331"/>
    <x v="4"/>
    <x v="5"/>
    <x v="3"/>
    <s v="DDP"/>
    <n v="277"/>
    <s v="Cajas"/>
    <n v="1460.22"/>
    <n v="404480.94"/>
    <n v="27795.15"/>
    <n v="6.8718071116033314E-2"/>
    <n v="26"/>
    <d v="2023-08-19T00:00:00"/>
    <d v="2023-08-16T00:00:00"/>
    <n v="-3"/>
    <x v="0"/>
    <b v="1"/>
    <n v="5"/>
    <n v="499"/>
    <x v="1"/>
    <x v="1"/>
  </r>
  <r>
    <s v="PED-00479"/>
    <d v="2024-04-16T00:00:00"/>
    <x v="0"/>
    <x v="1"/>
    <n v="16"/>
    <x v="4"/>
    <x v="4"/>
    <s v="SKU-TEX-7052"/>
    <x v="2"/>
    <x v="5"/>
    <x v="2"/>
    <s v="CIF"/>
    <n v="330"/>
    <s v="Litros"/>
    <n v="62.82"/>
    <n v="20730.599999999999"/>
    <n v="1493.21"/>
    <n v="7.2029270739872461E-2"/>
    <n v="3"/>
    <d v="2024-04-19T00:00:00"/>
    <d v="2024-04-20T00:00:00"/>
    <n v="1"/>
    <x v="1"/>
    <b v="0"/>
    <n v="29"/>
    <n v="16"/>
    <x v="4"/>
    <x v="1"/>
  </r>
  <r>
    <s v="PED-00480"/>
    <d v="2023-12-25T00:00:00"/>
    <x v="1"/>
    <x v="11"/>
    <n v="52"/>
    <x v="3"/>
    <x v="6"/>
    <s v="SKU-CON-4834"/>
    <x v="3"/>
    <x v="0"/>
    <x v="4"/>
    <s v="CIF"/>
    <n v="116"/>
    <s v="KG"/>
    <n v="275.76"/>
    <n v="31988.16"/>
    <n v="1931.46"/>
    <n v="6.0380465772335766E-2"/>
    <n v="18"/>
    <d v="2024-01-12T00:00:00"/>
    <d v="2024-01-24T00:00:00"/>
    <n v="12"/>
    <x v="1"/>
    <b v="0"/>
    <n v="446"/>
    <n v="136"/>
    <x v="0"/>
    <x v="0"/>
  </r>
  <r>
    <s v="PED-00481"/>
    <d v="2023-11-09T00:00:00"/>
    <x v="1"/>
    <x v="6"/>
    <n v="45"/>
    <x v="0"/>
    <x v="3"/>
    <s v="SKU-QUÍ-1701"/>
    <x v="0"/>
    <x v="4"/>
    <x v="2"/>
    <s v="FCA"/>
    <n v="241"/>
    <s v="KG"/>
    <n v="118.87"/>
    <n v="28647.67"/>
    <n v="653.67999999999995"/>
    <n v="2.2817911543940573E-2"/>
    <n v="25"/>
    <d v="2023-12-04T00:00:00"/>
    <d v="2023-12-04T00:00:00"/>
    <n v="0"/>
    <x v="0"/>
    <b v="1"/>
    <n v="484"/>
    <n v="364"/>
    <x v="0"/>
    <x v="0"/>
  </r>
  <r>
    <s v="PED-00482"/>
    <d v="2023-08-22T00:00:00"/>
    <x v="1"/>
    <x v="4"/>
    <n v="34"/>
    <x v="4"/>
    <x v="3"/>
    <s v="SKU-QUÍ-4387"/>
    <x v="4"/>
    <x v="1"/>
    <x v="4"/>
    <s v="EXW"/>
    <n v="51"/>
    <s v="KG"/>
    <n v="160.22"/>
    <n v="8171.22"/>
    <n v="441.08"/>
    <n v="5.3979699481839914E-2"/>
    <n v="24"/>
    <d v="2023-09-15T00:00:00"/>
    <d v="2023-09-15T00:00:00"/>
    <n v="0"/>
    <x v="0"/>
    <b v="1"/>
    <n v="384"/>
    <n v="319"/>
    <x v="0"/>
    <x v="0"/>
  </r>
  <r>
    <s v="PED-00483"/>
    <d v="2023-08-17T00:00:00"/>
    <x v="1"/>
    <x v="4"/>
    <n v="33"/>
    <x v="9"/>
    <x v="5"/>
    <s v="SKU-ELE-9485"/>
    <x v="2"/>
    <x v="2"/>
    <x v="2"/>
    <s v="CIF"/>
    <n v="711"/>
    <s v="KG"/>
    <n v="726.4"/>
    <n v="516470.4"/>
    <n v="33982.559999999998"/>
    <n v="6.5797691406903461E-2"/>
    <n v="13"/>
    <d v="2023-08-30T00:00:00"/>
    <d v="2023-08-31T00:00:00"/>
    <n v="1"/>
    <x v="1"/>
    <b v="0"/>
    <n v="306"/>
    <n v="312"/>
    <x v="1"/>
    <x v="1"/>
  </r>
  <r>
    <s v="PED-00484"/>
    <d v="2023-01-25T00:00:00"/>
    <x v="1"/>
    <x v="2"/>
    <n v="4"/>
    <x v="7"/>
    <x v="4"/>
    <s v="SKU-TEX-6918"/>
    <x v="1"/>
    <x v="1"/>
    <x v="4"/>
    <s v="DDP"/>
    <n v="892"/>
    <s v="Unidades"/>
    <n v="71.91"/>
    <n v="64143.72"/>
    <n v="1808.22"/>
    <n v="2.8190133032508873E-2"/>
    <n v="28"/>
    <d v="2023-02-22T00:00:00"/>
    <d v="2023-02-22T00:00:00"/>
    <n v="0"/>
    <x v="0"/>
    <b v="1"/>
    <n v="361"/>
    <n v="396"/>
    <x v="0"/>
    <x v="0"/>
  </r>
  <r>
    <s v="PED-00485"/>
    <d v="2024-11-06T00:00:00"/>
    <x v="0"/>
    <x v="6"/>
    <n v="45"/>
    <x v="7"/>
    <x v="0"/>
    <s v="SKU-MAQ-7358"/>
    <x v="3"/>
    <x v="5"/>
    <x v="3"/>
    <s v="FOB"/>
    <n v="148"/>
    <s v="Metros"/>
    <n v="1939.95"/>
    <n v="287112.59999999998"/>
    <n v="9681.51"/>
    <n v="3.3720254701465564E-2"/>
    <n v="26"/>
    <d v="2024-12-02T00:00:00"/>
    <d v="2024-11-29T00:00:00"/>
    <n v="-3"/>
    <x v="0"/>
    <b v="1"/>
    <n v="344"/>
    <n v="164"/>
    <x v="3"/>
    <x v="1"/>
  </r>
  <r>
    <s v="PED-00486"/>
    <d v="2023-07-17T00:00:00"/>
    <x v="1"/>
    <x v="7"/>
    <n v="29"/>
    <x v="0"/>
    <x v="4"/>
    <s v="SKU-TEX-8695"/>
    <x v="5"/>
    <x v="2"/>
    <x v="1"/>
    <s v="DAP"/>
    <n v="624"/>
    <s v="Metros"/>
    <n v="80.64"/>
    <n v="50319.360000000001"/>
    <n v="3670.78"/>
    <n v="7.2949655957468454E-2"/>
    <n v="7"/>
    <d v="2023-07-24T00:00:00"/>
    <d v="2023-07-29T00:00:00"/>
    <n v="5"/>
    <x v="1"/>
    <b v="0"/>
    <n v="126"/>
    <n v="397"/>
    <x v="1"/>
    <x v="1"/>
  </r>
  <r>
    <s v="PED-00487"/>
    <d v="2024-02-13T00:00:00"/>
    <x v="0"/>
    <x v="9"/>
    <n v="7"/>
    <x v="1"/>
    <x v="1"/>
    <s v="SKU-FAR-8448"/>
    <x v="5"/>
    <x v="4"/>
    <x v="1"/>
    <s v="EXW"/>
    <n v="692"/>
    <s v="Unidades"/>
    <n v="275.20999999999998"/>
    <n v="190445.32"/>
    <n v="4038.83"/>
    <n v="2.1207294566230349E-2"/>
    <n v="25"/>
    <d v="2024-03-09T00:00:00"/>
    <d v="2024-03-21T00:00:00"/>
    <n v="12"/>
    <x v="1"/>
    <b v="0"/>
    <n v="301"/>
    <n v="458"/>
    <x v="0"/>
    <x v="0"/>
  </r>
  <r>
    <s v="PED-00488"/>
    <d v="2023-12-03T00:00:00"/>
    <x v="1"/>
    <x v="11"/>
    <n v="49"/>
    <x v="2"/>
    <x v="1"/>
    <s v="SKU-FAR-1760"/>
    <x v="1"/>
    <x v="3"/>
    <x v="0"/>
    <s v="DAP"/>
    <n v="872"/>
    <s v="KG"/>
    <n v="203.21"/>
    <n v="177199.12"/>
    <n v="11546.94"/>
    <n v="6.5163641896190005E-2"/>
    <n v="4"/>
    <d v="2023-12-07T00:00:00"/>
    <d v="2023-12-08T00:00:00"/>
    <n v="1"/>
    <x v="2"/>
    <b v="0"/>
    <n v="120"/>
    <n v="280"/>
    <x v="3"/>
    <x v="1"/>
  </r>
  <r>
    <s v="PED-00489"/>
    <d v="2023-10-13T00:00:00"/>
    <x v="1"/>
    <x v="0"/>
    <n v="41"/>
    <x v="9"/>
    <x v="0"/>
    <s v="SKU-MAQ-1653"/>
    <x v="3"/>
    <x v="3"/>
    <x v="4"/>
    <s v="FOB"/>
    <n v="282"/>
    <s v="Cajas"/>
    <n v="1111.52"/>
    <n v="313448.64"/>
    <n v="15179.19"/>
    <n v="4.8426402488139682E-2"/>
    <n v="13"/>
    <d v="2023-10-26T00:00:00"/>
    <d v="2023-10-28T00:00:00"/>
    <n v="2"/>
    <x v="2"/>
    <b v="0"/>
    <n v="404"/>
    <n v="222"/>
    <x v="4"/>
    <x v="1"/>
  </r>
  <r>
    <s v="PED-00490"/>
    <d v="2023-03-13T00:00:00"/>
    <x v="1"/>
    <x v="8"/>
    <n v="11"/>
    <x v="0"/>
    <x v="5"/>
    <s v="SKU-ELE-6309"/>
    <x v="3"/>
    <x v="1"/>
    <x v="0"/>
    <s v="CIF"/>
    <n v="490"/>
    <s v="Litros"/>
    <n v="510.75"/>
    <n v="250267.5"/>
    <n v="11714.1"/>
    <n v="4.6806317240552613E-2"/>
    <n v="20"/>
    <d v="2023-04-02T00:00:00"/>
    <d v="2023-03-30T00:00:00"/>
    <n v="-3"/>
    <x v="0"/>
    <b v="1"/>
    <n v="98"/>
    <n v="121"/>
    <x v="0"/>
    <x v="0"/>
  </r>
  <r>
    <s v="PED-00491"/>
    <d v="2023-10-13T00:00:00"/>
    <x v="1"/>
    <x v="0"/>
    <n v="41"/>
    <x v="8"/>
    <x v="5"/>
    <s v="SKU-ELE-2691"/>
    <x v="3"/>
    <x v="1"/>
    <x v="0"/>
    <s v="FCA"/>
    <n v="425"/>
    <s v="Metros"/>
    <n v="619.5"/>
    <n v="263287.5"/>
    <n v="5377.86"/>
    <n v="2.0425808289417462E-2"/>
    <n v="1"/>
    <d v="2023-10-14T00:00:00"/>
    <d v="2023-10-14T00:00:00"/>
    <n v="0"/>
    <x v="0"/>
    <b v="1"/>
    <n v="165"/>
    <n v="77"/>
    <x v="0"/>
    <x v="0"/>
  </r>
  <r>
    <s v="PED-00492"/>
    <d v="2023-12-26T00:00:00"/>
    <x v="1"/>
    <x v="11"/>
    <n v="52"/>
    <x v="8"/>
    <x v="3"/>
    <s v="SKU-QUÍ-9542"/>
    <x v="3"/>
    <x v="2"/>
    <x v="4"/>
    <s v="DDP"/>
    <n v="515"/>
    <s v="Palés"/>
    <n v="127.23"/>
    <n v="65523.45"/>
    <n v="4531.8599999999997"/>
    <n v="6.9163940543423771E-2"/>
    <n v="8"/>
    <d v="2024-01-03T00:00:00"/>
    <d v="2023-12-29T00:00:00"/>
    <n v="-5"/>
    <x v="0"/>
    <b v="1"/>
    <n v="324"/>
    <n v="312"/>
    <x v="1"/>
    <x v="1"/>
  </r>
  <r>
    <s v="PED-00493"/>
    <d v="2024-10-18T00:00:00"/>
    <x v="0"/>
    <x v="0"/>
    <n v="42"/>
    <x v="7"/>
    <x v="3"/>
    <s v="SKU-QUÍ-5480"/>
    <x v="5"/>
    <x v="2"/>
    <x v="1"/>
    <s v="EXW"/>
    <n v="742"/>
    <s v="Litros"/>
    <n v="155.9"/>
    <n v="115677.8"/>
    <n v="4810.9799999999996"/>
    <n v="4.1589483894057457E-2"/>
    <n v="14"/>
    <d v="2024-11-01T00:00:00"/>
    <d v="2024-11-02T00:00:00"/>
    <n v="1"/>
    <x v="2"/>
    <b v="0"/>
    <n v="318"/>
    <n v="326"/>
    <x v="1"/>
    <x v="1"/>
  </r>
  <r>
    <s v="PED-00494"/>
    <d v="2024-06-05T00:00:00"/>
    <x v="0"/>
    <x v="10"/>
    <n v="23"/>
    <x v="3"/>
    <x v="7"/>
    <s v="SKU-ALI-5314"/>
    <x v="2"/>
    <x v="4"/>
    <x v="4"/>
    <s v="DDP"/>
    <n v="734"/>
    <s v="Palés"/>
    <n v="78.849999999999994"/>
    <n v="57875.9"/>
    <n v="3035.36"/>
    <n v="5.2446009478902274E-2"/>
    <n v="16"/>
    <d v="2024-06-21T00:00:00"/>
    <d v="2024-06-23T00:00:00"/>
    <n v="2"/>
    <x v="1"/>
    <b v="0"/>
    <n v="240"/>
    <n v="87"/>
    <x v="0"/>
    <x v="0"/>
  </r>
  <r>
    <s v="PED-00495"/>
    <d v="2024-02-14T00:00:00"/>
    <x v="0"/>
    <x v="9"/>
    <n v="7"/>
    <x v="1"/>
    <x v="0"/>
    <s v="SKU-MAQ-9918"/>
    <x v="3"/>
    <x v="1"/>
    <x v="3"/>
    <s v="DDP"/>
    <n v="862"/>
    <s v="Palés"/>
    <n v="1811.69"/>
    <n v="1561676.78"/>
    <n v="94697.02"/>
    <n v="6.0638040606584419E-2"/>
    <n v="14"/>
    <d v="2024-02-28T00:00:00"/>
    <d v="2024-02-28T00:00:00"/>
    <n v="0"/>
    <x v="0"/>
    <b v="1"/>
    <n v="49"/>
    <n v="112"/>
    <x v="0"/>
    <x v="0"/>
  </r>
  <r>
    <s v="PED-00496"/>
    <d v="2024-11-26T00:00:00"/>
    <x v="0"/>
    <x v="6"/>
    <n v="48"/>
    <x v="7"/>
    <x v="4"/>
    <s v="SKU-TEX-3848"/>
    <x v="2"/>
    <x v="5"/>
    <x v="0"/>
    <s v="DDP"/>
    <n v="433"/>
    <s v="KG"/>
    <n v="50.95"/>
    <n v="22061.35"/>
    <n v="1371.28"/>
    <n v="6.2157574219166102E-2"/>
    <n v="12"/>
    <d v="2024-12-08T00:00:00"/>
    <d v="2024-12-08T00:00:00"/>
    <n v="0"/>
    <x v="0"/>
    <b v="1"/>
    <n v="267"/>
    <n v="99"/>
    <x v="0"/>
    <x v="0"/>
  </r>
  <r>
    <s v="PED-00497"/>
    <d v="2024-07-03T00:00:00"/>
    <x v="0"/>
    <x v="7"/>
    <n v="27"/>
    <x v="2"/>
    <x v="2"/>
    <s v="SKU-AUT-7171"/>
    <x v="3"/>
    <x v="3"/>
    <x v="0"/>
    <s v="DDP"/>
    <n v="416"/>
    <s v="Palés"/>
    <n v="1039.5999999999999"/>
    <n v="432473.59999999998"/>
    <n v="33455.64"/>
    <n v="7.7358802941959931E-2"/>
    <n v="19"/>
    <d v="2024-07-22T00:00:00"/>
    <d v="2024-07-22T00:00:00"/>
    <n v="0"/>
    <x v="0"/>
    <b v="1"/>
    <n v="324"/>
    <n v="425"/>
    <x v="1"/>
    <x v="1"/>
  </r>
  <r>
    <s v="PED-00498"/>
    <d v="2023-12-06T00:00:00"/>
    <x v="1"/>
    <x v="11"/>
    <n v="49"/>
    <x v="0"/>
    <x v="0"/>
    <s v="SKU-MAQ-7201"/>
    <x v="4"/>
    <x v="4"/>
    <x v="4"/>
    <s v="FOB"/>
    <n v="577"/>
    <s v="KG"/>
    <n v="1704.84"/>
    <n v="983692.68"/>
    <n v="51034.37"/>
    <n v="5.1880400289244809E-2"/>
    <n v="23"/>
    <d v="2023-12-29T00:00:00"/>
    <d v="2023-12-26T00:00:00"/>
    <n v="-3"/>
    <x v="0"/>
    <b v="1"/>
    <n v="72"/>
    <n v="425"/>
    <x v="0"/>
    <x v="0"/>
  </r>
  <r>
    <s v="PED-00499"/>
    <d v="2023-01-29T00:00:00"/>
    <x v="1"/>
    <x v="2"/>
    <n v="5"/>
    <x v="5"/>
    <x v="7"/>
    <s v="SKU-ALI-6985"/>
    <x v="0"/>
    <x v="2"/>
    <x v="0"/>
    <s v="DDP"/>
    <n v="399"/>
    <s v="Unidades"/>
    <n v="69.06"/>
    <n v="27554.94"/>
    <n v="1211.95"/>
    <n v="4.3983038975951322E-2"/>
    <n v="15"/>
    <d v="2023-02-13T00:00:00"/>
    <d v="2023-02-08T00:00:00"/>
    <n v="-5"/>
    <x v="0"/>
    <b v="1"/>
    <n v="299"/>
    <n v="302"/>
    <x v="0"/>
    <x v="0"/>
  </r>
  <r>
    <s v="PED-00500"/>
    <d v="2023-04-29T00:00:00"/>
    <x v="1"/>
    <x v="1"/>
    <n v="17"/>
    <x v="2"/>
    <x v="3"/>
    <s v="SKU-QUÍ-2275"/>
    <x v="4"/>
    <x v="5"/>
    <x v="1"/>
    <s v="FCA"/>
    <n v="351"/>
    <s v="Cajas"/>
    <n v="112.02"/>
    <n v="39319.019999999997"/>
    <n v="3036.3"/>
    <n v="7.7222168812956182E-2"/>
    <n v="28"/>
    <d v="2023-05-27T00:00:00"/>
    <d v="2023-05-28T00:00:00"/>
    <n v="1"/>
    <x v="2"/>
    <b v="0"/>
    <n v="51"/>
    <n v="371"/>
    <x v="2"/>
    <x v="1"/>
  </r>
  <r>
    <s v="PED-00501"/>
    <d v="2023-09-25T00:00:00"/>
    <x v="1"/>
    <x v="3"/>
    <n v="39"/>
    <x v="5"/>
    <x v="0"/>
    <s v="SKU-MAQ-9465"/>
    <x v="0"/>
    <x v="1"/>
    <x v="0"/>
    <s v="DDP"/>
    <n v="955"/>
    <s v="Palés"/>
    <n v="1948.33"/>
    <n v="1639255.3774000001"/>
    <n v="96548.6302"/>
    <n v="5.8897857851248549E-2"/>
    <n v="2"/>
    <d v="2023-09-27T00:00:00"/>
    <d v="2023-09-28T00:00:00"/>
    <n v="1"/>
    <x v="1"/>
    <b v="0"/>
    <n v="264"/>
    <n v="427"/>
    <x v="2"/>
    <x v="1"/>
  </r>
  <r>
    <s v="PED-00502"/>
    <d v="2023-07-02T00:00:00"/>
    <x v="1"/>
    <x v="7"/>
    <n v="27"/>
    <x v="1"/>
    <x v="0"/>
    <s v="SKU-MAQ-5121"/>
    <x v="4"/>
    <x v="0"/>
    <x v="4"/>
    <s v="FOB"/>
    <n v="623"/>
    <s v="Cajas"/>
    <n v="1629.12"/>
    <n v="1014941.76"/>
    <n v="38455.15"/>
    <n v="3.7889021336554328E-2"/>
    <n v="2"/>
    <d v="2023-07-04T00:00:00"/>
    <d v="2023-07-09T00:00:00"/>
    <n v="5"/>
    <x v="2"/>
    <b v="0"/>
    <n v="226"/>
    <n v="424"/>
    <x v="0"/>
    <x v="0"/>
  </r>
  <r>
    <s v="PED-00503"/>
    <d v="2024-08-17T00:00:00"/>
    <x v="0"/>
    <x v="4"/>
    <n v="33"/>
    <x v="0"/>
    <x v="3"/>
    <s v="SKU-QUÍ-7165"/>
    <x v="3"/>
    <x v="2"/>
    <x v="1"/>
    <s v="DAP"/>
    <n v="942"/>
    <s v="KG"/>
    <n v="104.74"/>
    <n v="98665.08"/>
    <n v="2721.96"/>
    <n v="2.7587876075304454E-2"/>
    <n v="23"/>
    <d v="2024-09-09T00:00:00"/>
    <d v="2024-09-17T00:00:00"/>
    <n v="8"/>
    <x v="1"/>
    <b v="0"/>
    <n v="192"/>
    <n v="386"/>
    <x v="3"/>
    <x v="1"/>
  </r>
  <r>
    <s v="PED-00504"/>
    <d v="2023-09-29T00:00:00"/>
    <x v="1"/>
    <x v="3"/>
    <n v="39"/>
    <x v="8"/>
    <x v="6"/>
    <s v="SKU-CON-4651"/>
    <x v="2"/>
    <x v="4"/>
    <x v="1"/>
    <s v="FOB"/>
    <n v="502"/>
    <s v="Palés"/>
    <n v="294.76"/>
    <n v="147969.51999999999"/>
    <n v="10439.73"/>
    <n v="7.0553246371279715E-2"/>
    <n v="22"/>
    <d v="2023-10-21T00:00:00"/>
    <d v="2023-10-26T00:00:00"/>
    <n v="5"/>
    <x v="1"/>
    <b v="0"/>
    <n v="373"/>
    <n v="238"/>
    <x v="4"/>
    <x v="1"/>
  </r>
  <r>
    <s v="PED-00505"/>
    <d v="2023-02-09T00:00:00"/>
    <x v="1"/>
    <x v="9"/>
    <n v="6"/>
    <x v="8"/>
    <x v="7"/>
    <s v="SKU-ALI-9460"/>
    <x v="0"/>
    <x v="0"/>
    <x v="0"/>
    <s v="FCA"/>
    <n v="201"/>
    <s v="Litros"/>
    <n v="101.77"/>
    <n v="20455.77"/>
    <n v="853.64"/>
    <n v="4.1731012814477282E-2"/>
    <n v="19"/>
    <d v="2023-02-28T00:00:00"/>
    <d v="2023-02-25T00:00:00"/>
    <n v="-3"/>
    <x v="0"/>
    <b v="1"/>
    <n v="238"/>
    <n v="491"/>
    <x v="0"/>
    <x v="0"/>
  </r>
  <r>
    <s v="PED-00506"/>
    <d v="2023-04-22T00:00:00"/>
    <x v="1"/>
    <x v="1"/>
    <n v="16"/>
    <x v="4"/>
    <x v="3"/>
    <s v="SKU-QUÍ-7649"/>
    <x v="5"/>
    <x v="5"/>
    <x v="4"/>
    <s v="FCA"/>
    <n v="508"/>
    <s v="Unidades"/>
    <n v="175.88"/>
    <n v="89347.04"/>
    <n v="5327.6"/>
    <n v="5.9628164514459583E-2"/>
    <n v="25"/>
    <d v="2023-05-17T00:00:00"/>
    <d v="2023-05-14T00:00:00"/>
    <n v="-3"/>
    <x v="0"/>
    <b v="1"/>
    <n v="9"/>
    <n v="345"/>
    <x v="2"/>
    <x v="1"/>
  </r>
  <r>
    <s v="PED-00507"/>
    <d v="2024-09-02T00:00:00"/>
    <x v="0"/>
    <x v="3"/>
    <n v="36"/>
    <x v="8"/>
    <x v="5"/>
    <s v="SKU-ELE-6781"/>
    <x v="1"/>
    <x v="3"/>
    <x v="0"/>
    <s v="CIF"/>
    <n v="831"/>
    <s v="Metros"/>
    <n v="520.84"/>
    <n v="432818.04"/>
    <n v="20883.03"/>
    <n v="4.824898241302511E-2"/>
    <n v="26"/>
    <d v="2024-09-28T00:00:00"/>
    <d v="2024-09-23T00:00:00"/>
    <n v="-5"/>
    <x v="0"/>
    <b v="1"/>
    <n v="301"/>
    <n v="110"/>
    <x v="4"/>
    <x v="1"/>
  </r>
  <r>
    <s v="PED-00508"/>
    <d v="2024-03-20T00:00:00"/>
    <x v="0"/>
    <x v="8"/>
    <n v="12"/>
    <x v="9"/>
    <x v="4"/>
    <s v="SKU-TEX-6653"/>
    <x v="0"/>
    <x v="5"/>
    <x v="3"/>
    <s v="FOB"/>
    <n v="721"/>
    <s v="Unidades"/>
    <n v="64.8"/>
    <n v="46720.800000000003"/>
    <n v="1492.07"/>
    <n v="3.1935882947209802E-2"/>
    <n v="29"/>
    <d v="2024-04-18T00:00:00"/>
    <d v="2024-04-23T00:00:00"/>
    <n v="5"/>
    <x v="2"/>
    <b v="0"/>
    <n v="358"/>
    <n v="89"/>
    <x v="0"/>
    <x v="0"/>
  </r>
  <r>
    <s v="PED-00509"/>
    <d v="2023-12-20T00:00:00"/>
    <x v="1"/>
    <x v="11"/>
    <n v="51"/>
    <x v="4"/>
    <x v="3"/>
    <s v="SKU-QUÍ-8976"/>
    <x v="0"/>
    <x v="3"/>
    <x v="3"/>
    <s v="DAP"/>
    <n v="242"/>
    <s v="Palés"/>
    <n v="170.2"/>
    <n v="41188.400000000001"/>
    <n v="2310.7199999999998"/>
    <n v="5.6101232385817358E-2"/>
    <n v="22"/>
    <d v="2024-01-11T00:00:00"/>
    <d v="2024-01-13T00:00:00"/>
    <n v="2"/>
    <x v="2"/>
    <b v="0"/>
    <n v="227"/>
    <n v="384"/>
    <x v="2"/>
    <x v="1"/>
  </r>
  <r>
    <s v="PED-00510"/>
    <d v="2023-11-18T00:00:00"/>
    <x v="1"/>
    <x v="6"/>
    <n v="46"/>
    <x v="4"/>
    <x v="7"/>
    <s v="SKU-ALI-8898"/>
    <x v="5"/>
    <x v="5"/>
    <x v="1"/>
    <s v="CIF"/>
    <n v="954"/>
    <s v="Unidades"/>
    <n v="89.6"/>
    <n v="85478.399999999994"/>
    <n v="2020.79"/>
    <n v="2.3640943209044626E-2"/>
    <n v="26"/>
    <d v="2023-12-14T00:00:00"/>
    <d v="2023-12-16T00:00:00"/>
    <n v="2"/>
    <x v="2"/>
    <b v="0"/>
    <n v="441"/>
    <n v="462"/>
    <x v="2"/>
    <x v="1"/>
  </r>
  <r>
    <s v="PED-00511"/>
    <d v="2024-03-22T00:00:00"/>
    <x v="0"/>
    <x v="8"/>
    <n v="12"/>
    <x v="8"/>
    <x v="1"/>
    <s v="SKU-FAR-1108"/>
    <x v="3"/>
    <x v="2"/>
    <x v="0"/>
    <s v="CIF"/>
    <n v="236"/>
    <s v="Metros"/>
    <n v="253.16"/>
    <n v="59745.760000000002"/>
    <n v="2676.64"/>
    <n v="4.4800501324278069E-2"/>
    <n v="26"/>
    <d v="2024-04-17T00:00:00"/>
    <d v="2024-04-12T00:00:00"/>
    <n v="-5"/>
    <x v="0"/>
    <b v="1"/>
    <n v="292"/>
    <n v="138"/>
    <x v="0"/>
    <x v="0"/>
  </r>
  <r>
    <s v="PED-00512"/>
    <d v="2024-09-12T00:00:00"/>
    <x v="0"/>
    <x v="3"/>
    <n v="37"/>
    <x v="7"/>
    <x v="5"/>
    <s v="SKU-ELE-9222"/>
    <x v="4"/>
    <x v="2"/>
    <x v="3"/>
    <s v="EXW"/>
    <n v="380"/>
    <s v="Litros"/>
    <n v="450.87"/>
    <n v="171330.6"/>
    <n v="9045.7199999999993"/>
    <n v="5.2796873413155615E-2"/>
    <n v="22"/>
    <d v="2024-10-04T00:00:00"/>
    <d v="2024-10-16T00:00:00"/>
    <n v="12"/>
    <x v="1"/>
    <b v="0"/>
    <n v="51"/>
    <n v="484"/>
    <x v="0"/>
    <x v="0"/>
  </r>
  <r>
    <s v="PED-00513"/>
    <d v="2024-06-07T00:00:00"/>
    <x v="0"/>
    <x v="10"/>
    <n v="23"/>
    <x v="3"/>
    <x v="1"/>
    <s v="SKU-FAR-3276"/>
    <x v="4"/>
    <x v="4"/>
    <x v="2"/>
    <s v="DDP"/>
    <n v="148"/>
    <s v="Cajas"/>
    <n v="211.48"/>
    <n v="31299.040000000001"/>
    <n v="1444.85"/>
    <n v="4.6162757707584635E-2"/>
    <n v="17"/>
    <d v="2024-06-24T00:00:00"/>
    <d v="2024-07-02T00:00:00"/>
    <n v="8"/>
    <x v="2"/>
    <b v="0"/>
    <n v="239"/>
    <n v="134"/>
    <x v="3"/>
    <x v="1"/>
  </r>
  <r>
    <s v="PED-00514"/>
    <d v="2023-04-29T00:00:00"/>
    <x v="1"/>
    <x v="1"/>
    <n v="17"/>
    <x v="3"/>
    <x v="2"/>
    <s v="SKU-AUT-8207"/>
    <x v="2"/>
    <x v="0"/>
    <x v="3"/>
    <s v="CIF"/>
    <n v="865"/>
    <s v="Litros"/>
    <n v="639.01"/>
    <n v="552743.65"/>
    <n v="35884.300000000003"/>
    <n v="6.4920329704375626E-2"/>
    <n v="20"/>
    <d v="2023-05-19T00:00:00"/>
    <d v="2023-05-21T00:00:00"/>
    <n v="2"/>
    <x v="1"/>
    <b v="0"/>
    <n v="98"/>
    <n v="11"/>
    <x v="4"/>
    <x v="1"/>
  </r>
  <r>
    <s v="PED-00515"/>
    <d v="2024-01-30T00:00:00"/>
    <x v="0"/>
    <x v="2"/>
    <n v="5"/>
    <x v="9"/>
    <x v="3"/>
    <s v="SKU-QUÍ-3713"/>
    <x v="3"/>
    <x v="5"/>
    <x v="0"/>
    <s v="CIF"/>
    <n v="826"/>
    <s v="Unidades"/>
    <n v="103.77"/>
    <n v="85714.02"/>
    <n v="5972.17"/>
    <n v="6.9675532660817913E-2"/>
    <n v="10"/>
    <d v="2024-02-09T00:00:00"/>
    <d v="2024-02-12T00:00:00"/>
    <n v="3"/>
    <x v="2"/>
    <b v="0"/>
    <n v="80"/>
    <n v="243"/>
    <x v="2"/>
    <x v="1"/>
  </r>
  <r>
    <s v="PED-00516"/>
    <d v="2024-08-13T00:00:00"/>
    <x v="0"/>
    <x v="4"/>
    <n v="33"/>
    <x v="6"/>
    <x v="5"/>
    <s v="SKU-ELE-4768"/>
    <x v="5"/>
    <x v="5"/>
    <x v="0"/>
    <s v="FCA"/>
    <n v="158"/>
    <s v="Metros"/>
    <n v="350.38"/>
    <n v="55360.04"/>
    <n v="3668.96"/>
    <n v="6.6274518587775583E-2"/>
    <n v="6"/>
    <d v="2024-08-19T00:00:00"/>
    <d v="2024-08-19T00:00:00"/>
    <n v="0"/>
    <x v="0"/>
    <b v="1"/>
    <n v="12"/>
    <n v="421"/>
    <x v="4"/>
    <x v="1"/>
  </r>
  <r>
    <s v="PED-00517"/>
    <d v="2023-07-14T00:00:00"/>
    <x v="1"/>
    <x v="7"/>
    <n v="28"/>
    <x v="7"/>
    <x v="4"/>
    <s v="SKU-TEX-2263"/>
    <x v="3"/>
    <x v="0"/>
    <x v="3"/>
    <s v="DAP"/>
    <n v="124"/>
    <s v="Cajas"/>
    <n v="43.88"/>
    <n v="5441.12"/>
    <n v="142.36009999999999"/>
    <n v="2.6163749375128647E-2"/>
    <n v="15"/>
    <d v="2023-07-29T00:00:00"/>
    <d v="2023-07-24T00:00:00"/>
    <n v="-5"/>
    <x v="0"/>
    <b v="1"/>
    <n v="389"/>
    <n v="181"/>
    <x v="0"/>
    <x v="0"/>
  </r>
  <r>
    <s v="PED-00518"/>
    <d v="2023-09-18T00:00:00"/>
    <x v="1"/>
    <x v="3"/>
    <n v="38"/>
    <x v="6"/>
    <x v="3"/>
    <s v="SKU-QUÍ-9430"/>
    <x v="3"/>
    <x v="1"/>
    <x v="0"/>
    <s v="CIF"/>
    <n v="459"/>
    <s v="Metros"/>
    <n v="177.82"/>
    <n v="81619.38"/>
    <n v="2583.0700000000002"/>
    <n v="3.1647753266442355E-2"/>
    <n v="22"/>
    <d v="2023-10-10T00:00:00"/>
    <d v="2023-10-05T00:00:00"/>
    <n v="-5"/>
    <x v="0"/>
    <b v="1"/>
    <n v="441"/>
    <n v="194"/>
    <x v="0"/>
    <x v="0"/>
  </r>
  <r>
    <s v="PED-00519"/>
    <d v="2023-02-15T00:00:00"/>
    <x v="1"/>
    <x v="9"/>
    <n v="7"/>
    <x v="5"/>
    <x v="4"/>
    <s v="SKU-TEX-5600"/>
    <x v="4"/>
    <x v="4"/>
    <x v="0"/>
    <s v="DAP"/>
    <n v="72"/>
    <s v="Litros"/>
    <n v="53.63"/>
    <n v="3861.36"/>
    <n v="201.55"/>
    <n v="5.2196635382352335E-2"/>
    <n v="11"/>
    <d v="2023-02-26T00:00:00"/>
    <d v="2023-02-25T00:00:00"/>
    <n v="-1"/>
    <x v="0"/>
    <b v="1"/>
    <n v="356"/>
    <n v="361"/>
    <x v="2"/>
    <x v="1"/>
  </r>
  <r>
    <s v="PED-00520"/>
    <d v="2024-12-26T00:00:00"/>
    <x v="0"/>
    <x v="11"/>
    <n v="52"/>
    <x v="7"/>
    <x v="6"/>
    <s v="SKU-CON-4465"/>
    <x v="5"/>
    <x v="5"/>
    <x v="2"/>
    <s v="DDP"/>
    <n v="113"/>
    <s v="KG"/>
    <n v="246.13"/>
    <n v="27812.69"/>
    <n v="2116.25"/>
    <n v="7.6089367838925323E-2"/>
    <n v="28"/>
    <d v="2025-01-23T00:00:00"/>
    <d v="2025-01-23T00:00:00"/>
    <n v="0"/>
    <x v="0"/>
    <b v="1"/>
    <n v="127"/>
    <n v="121"/>
    <x v="0"/>
    <x v="0"/>
  </r>
  <r>
    <s v="PED-00521"/>
    <d v="2024-03-22T00:00:00"/>
    <x v="0"/>
    <x v="8"/>
    <n v="12"/>
    <x v="0"/>
    <x v="0"/>
    <s v="SKU-MAQ-3461"/>
    <x v="1"/>
    <x v="4"/>
    <x v="1"/>
    <s v="FCA"/>
    <n v="860"/>
    <s v="KG"/>
    <n v="2056.92"/>
    <n v="1639255.3774000001"/>
    <n v="96548.6302"/>
    <n v="5.8897857851248549E-2"/>
    <n v="5"/>
    <d v="2024-03-27T00:00:00"/>
    <d v="2024-03-27T00:00:00"/>
    <n v="0"/>
    <x v="0"/>
    <b v="1"/>
    <n v="303"/>
    <n v="52"/>
    <x v="3"/>
    <x v="1"/>
  </r>
  <r>
    <s v="PED-00522"/>
    <d v="2023-01-02T00:00:00"/>
    <x v="1"/>
    <x v="2"/>
    <n v="1"/>
    <x v="6"/>
    <x v="1"/>
    <s v="SKU-FAR-4062"/>
    <x v="0"/>
    <x v="5"/>
    <x v="0"/>
    <s v="EXW"/>
    <n v="880"/>
    <s v="Cajas"/>
    <n v="228.11"/>
    <n v="200736.8"/>
    <n v="14162.4"/>
    <n v="7.0552086114753249E-2"/>
    <n v="1"/>
    <d v="2023-01-03T00:00:00"/>
    <d v="2023-01-06T00:00:00"/>
    <n v="3"/>
    <x v="2"/>
    <b v="0"/>
    <n v="415"/>
    <n v="473"/>
    <x v="0"/>
    <x v="0"/>
  </r>
  <r>
    <s v="PED-00523"/>
    <d v="2024-06-16T00:00:00"/>
    <x v="0"/>
    <x v="10"/>
    <n v="25"/>
    <x v="9"/>
    <x v="5"/>
    <s v="SKU-ELE-3578"/>
    <x v="4"/>
    <x v="5"/>
    <x v="4"/>
    <s v="EXW"/>
    <n v="677"/>
    <s v="Cajas"/>
    <n v="411.26"/>
    <n v="278423.02"/>
    <n v="10633.67"/>
    <n v="3.8192495721079384E-2"/>
    <n v="8"/>
    <d v="2024-06-24T00:00:00"/>
    <d v="2024-06-29T00:00:00"/>
    <n v="5"/>
    <x v="2"/>
    <b v="0"/>
    <n v="10"/>
    <n v="477"/>
    <x v="2"/>
    <x v="1"/>
  </r>
  <r>
    <s v="PED-00524"/>
    <d v="2024-07-05T00:00:00"/>
    <x v="0"/>
    <x v="7"/>
    <n v="27"/>
    <x v="9"/>
    <x v="4"/>
    <s v="SKU-TEX-6934"/>
    <x v="5"/>
    <x v="1"/>
    <x v="1"/>
    <s v="DDP"/>
    <n v="282"/>
    <s v="Cajas"/>
    <n v="76.95"/>
    <n v="21699.9"/>
    <n v="993.14"/>
    <n v="4.5767031184475504E-2"/>
    <n v="21"/>
    <d v="2024-07-26T00:00:00"/>
    <d v="2024-08-07T00:00:00"/>
    <n v="12"/>
    <x v="1"/>
    <b v="0"/>
    <n v="80"/>
    <n v="415"/>
    <x v="2"/>
    <x v="1"/>
  </r>
  <r>
    <s v="PED-00525"/>
    <d v="2024-12-04T00:00:00"/>
    <x v="0"/>
    <x v="11"/>
    <n v="49"/>
    <x v="7"/>
    <x v="7"/>
    <s v="SKU-ALI-2938"/>
    <x v="2"/>
    <x v="2"/>
    <x v="1"/>
    <s v="DDP"/>
    <n v="15"/>
    <s v="KG"/>
    <n v="94.42"/>
    <n v="3302.8089"/>
    <n v="142.36009999999999"/>
    <n v="4.3102735977246516E-2"/>
    <n v="28"/>
    <d v="2025-01-01T00:00:00"/>
    <d v="2024-12-29T00:00:00"/>
    <n v="-3"/>
    <x v="0"/>
    <b v="1"/>
    <n v="260"/>
    <n v="355"/>
    <x v="1"/>
    <x v="1"/>
  </r>
  <r>
    <s v="PED-00526"/>
    <d v="2024-11-17T00:00:00"/>
    <x v="0"/>
    <x v="6"/>
    <n v="47"/>
    <x v="4"/>
    <x v="4"/>
    <s v="SKU-TEX-4773"/>
    <x v="0"/>
    <x v="4"/>
    <x v="4"/>
    <s v="FCA"/>
    <n v="156"/>
    <s v="Litros"/>
    <n v="77.099999999999994"/>
    <n v="12027.6"/>
    <n v="354.12"/>
    <n v="2.9442282749675745E-2"/>
    <n v="12"/>
    <d v="2024-11-29T00:00:00"/>
    <d v="2024-11-26T00:00:00"/>
    <n v="-3"/>
    <x v="0"/>
    <b v="1"/>
    <n v="5"/>
    <n v="172"/>
    <x v="1"/>
    <x v="1"/>
  </r>
  <r>
    <s v="PED-00527"/>
    <d v="2023-07-21T00:00:00"/>
    <x v="1"/>
    <x v="7"/>
    <n v="29"/>
    <x v="0"/>
    <x v="7"/>
    <s v="SKU-ALI-7793"/>
    <x v="0"/>
    <x v="0"/>
    <x v="3"/>
    <s v="FCA"/>
    <n v="193"/>
    <s v="Cajas"/>
    <n v="105.26"/>
    <n v="20315.18"/>
    <n v="444.17"/>
    <n v="2.1863946073822631E-2"/>
    <n v="12"/>
    <d v="2023-08-02T00:00:00"/>
    <d v="2023-08-02T00:00:00"/>
    <n v="0"/>
    <x v="0"/>
    <b v="1"/>
    <n v="457"/>
    <n v="178"/>
    <x v="3"/>
    <x v="1"/>
  </r>
  <r>
    <s v="PED-00528"/>
    <d v="2024-01-08T00:00:00"/>
    <x v="0"/>
    <x v="2"/>
    <n v="2"/>
    <x v="1"/>
    <x v="3"/>
    <s v="SKU-QUÍ-6410"/>
    <x v="4"/>
    <x v="4"/>
    <x v="2"/>
    <s v="FOB"/>
    <n v="37"/>
    <s v="KG"/>
    <n v="177.64"/>
    <n v="6572.68"/>
    <n v="504.87"/>
    <n v="7.6813415532172566E-2"/>
    <n v="5"/>
    <d v="2024-01-13T00:00:00"/>
    <d v="2024-01-16T00:00:00"/>
    <n v="3"/>
    <x v="2"/>
    <b v="0"/>
    <n v="372"/>
    <n v="292"/>
    <x v="0"/>
    <x v="0"/>
  </r>
  <r>
    <s v="PED-00529"/>
    <d v="2024-03-17T00:00:00"/>
    <x v="0"/>
    <x v="8"/>
    <n v="12"/>
    <x v="0"/>
    <x v="5"/>
    <s v="SKU-ELE-2856"/>
    <x v="2"/>
    <x v="1"/>
    <x v="0"/>
    <s v="CIF"/>
    <n v="971"/>
    <s v="Cajas"/>
    <n v="579.42999999999995"/>
    <n v="562626.53"/>
    <n v="19378.41"/>
    <n v="3.4442759035909661E-2"/>
    <n v="7"/>
    <d v="2024-03-24T00:00:00"/>
    <d v="2024-03-19T00:00:00"/>
    <n v="-5"/>
    <x v="0"/>
    <b v="1"/>
    <n v="480"/>
    <n v="374"/>
    <x v="0"/>
    <x v="0"/>
  </r>
  <r>
    <s v="PED-00530"/>
    <d v="2023-03-13T00:00:00"/>
    <x v="1"/>
    <x v="8"/>
    <n v="11"/>
    <x v="9"/>
    <x v="4"/>
    <s v="SKU-TEX-8889"/>
    <x v="4"/>
    <x v="3"/>
    <x v="3"/>
    <s v="CIF"/>
    <n v="559"/>
    <s v="Cajas"/>
    <n v="58.4"/>
    <n v="32645.599999999999"/>
    <n v="1122.9100000000001"/>
    <n v="3.4396978459578016E-2"/>
    <n v="4"/>
    <d v="2023-03-17T00:00:00"/>
    <d v="2023-03-20T00:00:00"/>
    <n v="3"/>
    <x v="1"/>
    <b v="0"/>
    <n v="221"/>
    <n v="58"/>
    <x v="1"/>
    <x v="1"/>
  </r>
  <r>
    <s v="PED-00531"/>
    <d v="2024-11-11T00:00:00"/>
    <x v="0"/>
    <x v="6"/>
    <n v="46"/>
    <x v="5"/>
    <x v="2"/>
    <s v="SKU-AUT-8844"/>
    <x v="3"/>
    <x v="3"/>
    <x v="4"/>
    <s v="CIF"/>
    <n v="128"/>
    <s v="Metros"/>
    <n v="975.02"/>
    <n v="124802.56"/>
    <n v="3120.41"/>
    <n v="2.5002772379028121E-2"/>
    <n v="6"/>
    <d v="2024-11-17T00:00:00"/>
    <d v="2024-11-20T00:00:00"/>
    <n v="3"/>
    <x v="2"/>
    <b v="0"/>
    <n v="404"/>
    <n v="53"/>
    <x v="4"/>
    <x v="1"/>
  </r>
  <r>
    <s v="PED-00532"/>
    <d v="2023-12-05T00:00:00"/>
    <x v="1"/>
    <x v="11"/>
    <n v="49"/>
    <x v="6"/>
    <x v="4"/>
    <s v="SKU-TEX-8848"/>
    <x v="5"/>
    <x v="1"/>
    <x v="2"/>
    <s v="DAP"/>
    <n v="302"/>
    <s v="Cajas"/>
    <n v="45.29"/>
    <n v="13677.58"/>
    <n v="1035.54"/>
    <n v="7.5710761699072496E-2"/>
    <n v="13"/>
    <d v="2023-12-18T00:00:00"/>
    <d v="2023-12-21T00:00:00"/>
    <n v="3"/>
    <x v="1"/>
    <b v="0"/>
    <n v="297"/>
    <n v="401"/>
    <x v="4"/>
    <x v="1"/>
  </r>
  <r>
    <s v="PED-00533"/>
    <d v="2024-09-30T00:00:00"/>
    <x v="0"/>
    <x v="3"/>
    <n v="40"/>
    <x v="6"/>
    <x v="6"/>
    <s v="SKU-CON-4452"/>
    <x v="2"/>
    <x v="1"/>
    <x v="2"/>
    <s v="FOB"/>
    <n v="380"/>
    <s v="KG"/>
    <n v="283.58"/>
    <n v="107760.4"/>
    <n v="5903.57"/>
    <n v="5.4784225002876753E-2"/>
    <n v="20"/>
    <d v="2024-10-20T00:00:00"/>
    <d v="2024-10-20T00:00:00"/>
    <n v="0"/>
    <x v="0"/>
    <b v="1"/>
    <n v="80"/>
    <n v="256"/>
    <x v="0"/>
    <x v="0"/>
  </r>
  <r>
    <s v="PED-00534"/>
    <d v="2023-11-18T00:00:00"/>
    <x v="1"/>
    <x v="6"/>
    <n v="46"/>
    <x v="5"/>
    <x v="2"/>
    <s v="SKU-AUT-3641"/>
    <x v="0"/>
    <x v="2"/>
    <x v="2"/>
    <s v="CIF"/>
    <n v="253"/>
    <s v="Litros"/>
    <n v="636.4"/>
    <n v="161009.20000000001"/>
    <n v="9664.1299999999992"/>
    <n v="6.0022222332636883E-2"/>
    <n v="15"/>
    <d v="2023-12-03T00:00:00"/>
    <d v="2023-12-06T00:00:00"/>
    <n v="3"/>
    <x v="2"/>
    <b v="0"/>
    <n v="410"/>
    <n v="244"/>
    <x v="0"/>
    <x v="0"/>
  </r>
  <r>
    <s v="PED-00535"/>
    <d v="2024-11-10T00:00:00"/>
    <x v="0"/>
    <x v="6"/>
    <n v="46"/>
    <x v="2"/>
    <x v="5"/>
    <s v="SKU-ELE-7732"/>
    <x v="4"/>
    <x v="4"/>
    <x v="4"/>
    <s v="DAP"/>
    <n v="589"/>
    <s v="KG"/>
    <n v="481.14"/>
    <n v="283391.46000000002"/>
    <n v="21167.82"/>
    <n v="7.4694629118322753E-2"/>
    <n v="3"/>
    <d v="2024-11-13T00:00:00"/>
    <d v="2024-11-21T00:00:00"/>
    <n v="8"/>
    <x v="1"/>
    <b v="0"/>
    <n v="2"/>
    <n v="148"/>
    <x v="2"/>
    <x v="1"/>
  </r>
  <r>
    <s v="PED-00536"/>
    <d v="2023-05-08T00:00:00"/>
    <x v="1"/>
    <x v="5"/>
    <n v="19"/>
    <x v="7"/>
    <x v="6"/>
    <s v="SKU-CON-1367"/>
    <x v="0"/>
    <x v="4"/>
    <x v="3"/>
    <s v="DAP"/>
    <n v="735"/>
    <s v="KG"/>
    <n v="270.52"/>
    <n v="198832.2"/>
    <n v="8099.87"/>
    <n v="4.0737214596026194E-2"/>
    <n v="23"/>
    <d v="2023-05-31T00:00:00"/>
    <d v="2023-05-31T00:00:00"/>
    <n v="0"/>
    <x v="0"/>
    <b v="1"/>
    <n v="59"/>
    <n v="283"/>
    <x v="2"/>
    <x v="1"/>
  </r>
  <r>
    <s v="PED-00537"/>
    <d v="2023-11-04T00:00:00"/>
    <x v="1"/>
    <x v="6"/>
    <n v="44"/>
    <x v="9"/>
    <x v="4"/>
    <s v="SKU-TEX-4992"/>
    <x v="2"/>
    <x v="3"/>
    <x v="0"/>
    <s v="EXW"/>
    <n v="227"/>
    <s v="Cajas"/>
    <n v="70.67"/>
    <n v="16042.09"/>
    <n v="919.06"/>
    <n v="5.729054007302041E-2"/>
    <n v="8"/>
    <d v="2023-11-12T00:00:00"/>
    <d v="2023-11-09T00:00:00"/>
    <n v="-3"/>
    <x v="0"/>
    <b v="1"/>
    <n v="220"/>
    <n v="367"/>
    <x v="0"/>
    <x v="0"/>
  </r>
  <r>
    <s v="PED-00538"/>
    <d v="2024-06-03T00:00:00"/>
    <x v="0"/>
    <x v="10"/>
    <n v="23"/>
    <x v="3"/>
    <x v="7"/>
    <s v="SKU-ALI-1706"/>
    <x v="0"/>
    <x v="0"/>
    <x v="2"/>
    <s v="DAP"/>
    <n v="186"/>
    <s v="Metros"/>
    <n v="81.19"/>
    <n v="15101.34"/>
    <n v="337.18"/>
    <n v="2.2327819915318774E-2"/>
    <n v="20"/>
    <d v="2024-06-23T00:00:00"/>
    <d v="2024-06-23T00:00:00"/>
    <n v="0"/>
    <x v="0"/>
    <b v="1"/>
    <n v="449"/>
    <n v="15"/>
    <x v="2"/>
    <x v="1"/>
  </r>
  <r>
    <s v="PED-00539"/>
    <d v="2023-11-13T00:00:00"/>
    <x v="1"/>
    <x v="6"/>
    <n v="46"/>
    <x v="8"/>
    <x v="4"/>
    <s v="SKU-TEX-3095"/>
    <x v="4"/>
    <x v="4"/>
    <x v="2"/>
    <s v="DDP"/>
    <n v="308"/>
    <s v="Palés"/>
    <n v="64.72"/>
    <n v="19933.759999999998"/>
    <n v="622.05999999999995"/>
    <n v="3.1206355449247908E-2"/>
    <n v="16"/>
    <d v="2023-11-29T00:00:00"/>
    <d v="2023-11-29T00:00:00"/>
    <n v="0"/>
    <x v="1"/>
    <b v="0"/>
    <n v="348"/>
    <n v="175"/>
    <x v="0"/>
    <x v="0"/>
  </r>
  <r>
    <s v="PED-00540"/>
    <d v="2024-11-13T00:00:00"/>
    <x v="0"/>
    <x v="6"/>
    <n v="46"/>
    <x v="5"/>
    <x v="1"/>
    <s v="SKU-FAR-3639"/>
    <x v="4"/>
    <x v="5"/>
    <x v="3"/>
    <s v="FCA"/>
    <n v="685"/>
    <s v="Palés"/>
    <n v="276.73"/>
    <n v="189560.05"/>
    <n v="13245.46"/>
    <n v="6.9874744177372813E-2"/>
    <n v="13"/>
    <d v="2024-11-26T00:00:00"/>
    <d v="2024-11-26T00:00:00"/>
    <n v="0"/>
    <x v="0"/>
    <b v="1"/>
    <n v="48"/>
    <n v="27"/>
    <x v="4"/>
    <x v="1"/>
  </r>
  <r>
    <s v="PED-00541"/>
    <d v="2024-02-23T00:00:00"/>
    <x v="0"/>
    <x v="9"/>
    <n v="8"/>
    <x v="5"/>
    <x v="3"/>
    <s v="SKU-QUÍ-3207"/>
    <x v="1"/>
    <x v="5"/>
    <x v="2"/>
    <s v="DAP"/>
    <n v="67"/>
    <s v="Palés"/>
    <n v="116.64"/>
    <n v="7814.88"/>
    <n v="515.83000000000004"/>
    <n v="6.600613189198043E-2"/>
    <n v="18"/>
    <d v="2024-03-12T00:00:00"/>
    <d v="2024-03-11T00:00:00"/>
    <n v="-1"/>
    <x v="0"/>
    <b v="1"/>
    <n v="227"/>
    <n v="405"/>
    <x v="0"/>
    <x v="0"/>
  </r>
  <r>
    <s v="PED-00542"/>
    <d v="2023-12-01T00:00:00"/>
    <x v="1"/>
    <x v="11"/>
    <n v="48"/>
    <x v="0"/>
    <x v="0"/>
    <s v="SKU-MAQ-9399"/>
    <x v="0"/>
    <x v="2"/>
    <x v="2"/>
    <s v="DDP"/>
    <n v="278"/>
    <s v="KG"/>
    <n v="2093.58"/>
    <n v="582015.24"/>
    <n v="23885.07"/>
    <n v="4.1038564557175514E-2"/>
    <n v="28"/>
    <d v="2023-12-29T00:00:00"/>
    <d v="2023-12-29T00:00:00"/>
    <n v="0"/>
    <x v="0"/>
    <b v="1"/>
    <n v="289"/>
    <n v="466"/>
    <x v="0"/>
    <x v="0"/>
  </r>
  <r>
    <s v="PED-00543"/>
    <d v="2024-02-17T00:00:00"/>
    <x v="0"/>
    <x v="9"/>
    <n v="7"/>
    <x v="7"/>
    <x v="7"/>
    <s v="SKU-ALI-1642"/>
    <x v="1"/>
    <x v="2"/>
    <x v="4"/>
    <s v="DDP"/>
    <n v="317"/>
    <s v="Cajas"/>
    <n v="61.64"/>
    <n v="19539.88"/>
    <n v="832.57"/>
    <n v="4.260875706503827E-2"/>
    <n v="10"/>
    <d v="2024-02-27T00:00:00"/>
    <d v="2024-02-24T00:00:00"/>
    <n v="-3"/>
    <x v="0"/>
    <b v="1"/>
    <n v="292"/>
    <n v="367"/>
    <x v="0"/>
    <x v="0"/>
  </r>
  <r>
    <s v="PED-00544"/>
    <d v="2024-12-14T00:00:00"/>
    <x v="0"/>
    <x v="11"/>
    <n v="50"/>
    <x v="7"/>
    <x v="1"/>
    <s v="SKU-FAR-3406"/>
    <x v="1"/>
    <x v="3"/>
    <x v="1"/>
    <s v="EXW"/>
    <n v="579"/>
    <s v="Palés"/>
    <n v="264.29000000000002"/>
    <n v="153023.91"/>
    <n v="7959.27"/>
    <n v="5.2013244204778195E-2"/>
    <n v="19"/>
    <d v="2025-01-02T00:00:00"/>
    <d v="2024-12-30T00:00:00"/>
    <n v="-3"/>
    <x v="0"/>
    <b v="1"/>
    <n v="297"/>
    <n v="128"/>
    <x v="0"/>
    <x v="0"/>
  </r>
  <r>
    <s v="PED-00545"/>
    <d v="2023-10-30T00:00:00"/>
    <x v="1"/>
    <x v="0"/>
    <n v="44"/>
    <x v="3"/>
    <x v="2"/>
    <s v="SKU-AUT-1916"/>
    <x v="0"/>
    <x v="0"/>
    <x v="3"/>
    <s v="EXW"/>
    <n v="297"/>
    <s v="Unidades"/>
    <n v="1102.43"/>
    <n v="327421.71000000002"/>
    <n v="6553.17"/>
    <n v="2.0014463915663992E-2"/>
    <n v="17"/>
    <d v="2023-11-16T00:00:00"/>
    <d v="2023-11-19T00:00:00"/>
    <n v="3"/>
    <x v="1"/>
    <b v="0"/>
    <n v="192"/>
    <n v="222"/>
    <x v="0"/>
    <x v="0"/>
  </r>
  <r>
    <s v="PED-00546"/>
    <d v="2024-07-21T00:00:00"/>
    <x v="0"/>
    <x v="7"/>
    <n v="30"/>
    <x v="8"/>
    <x v="3"/>
    <s v="SKU-QUÍ-3725"/>
    <x v="2"/>
    <x v="0"/>
    <x v="3"/>
    <s v="DAP"/>
    <n v="986"/>
    <s v="Unidades"/>
    <n v="101.45"/>
    <n v="100029.7"/>
    <n v="3448.49"/>
    <n v="3.4474661025675375E-2"/>
    <n v="24"/>
    <d v="2024-08-14T00:00:00"/>
    <d v="2024-08-15T00:00:00"/>
    <n v="1"/>
    <x v="1"/>
    <b v="0"/>
    <n v="443"/>
    <n v="371"/>
    <x v="0"/>
    <x v="0"/>
  </r>
  <r>
    <s v="PED-00547"/>
    <d v="2023-05-11T00:00:00"/>
    <x v="1"/>
    <x v="5"/>
    <n v="19"/>
    <x v="7"/>
    <x v="5"/>
    <s v="SKU-ELE-5231"/>
    <x v="3"/>
    <x v="1"/>
    <x v="3"/>
    <s v="EXW"/>
    <n v="114"/>
    <s v="Unidades"/>
    <n v="522.14"/>
    <n v="59523.96"/>
    <n v="1934.17"/>
    <n v="3.2493973855234094E-2"/>
    <n v="19"/>
    <d v="2023-05-30T00:00:00"/>
    <d v="2023-05-29T00:00:00"/>
    <n v="-1"/>
    <x v="1"/>
    <b v="0"/>
    <n v="473"/>
    <n v="243"/>
    <x v="2"/>
    <x v="1"/>
  </r>
  <r>
    <s v="PED-00548"/>
    <d v="2023-07-16T00:00:00"/>
    <x v="1"/>
    <x v="7"/>
    <n v="29"/>
    <x v="4"/>
    <x v="7"/>
    <s v="SKU-ALI-3949"/>
    <x v="4"/>
    <x v="2"/>
    <x v="4"/>
    <s v="EXW"/>
    <n v="237"/>
    <s v="Litros"/>
    <n v="66.59"/>
    <n v="15781.83"/>
    <n v="552.82000000000005"/>
    <n v="3.5028890819378995E-2"/>
    <n v="28"/>
    <d v="2023-08-13T00:00:00"/>
    <d v="2023-08-21T00:00:00"/>
    <n v="8"/>
    <x v="1"/>
    <b v="0"/>
    <n v="256"/>
    <n v="425"/>
    <x v="3"/>
    <x v="1"/>
  </r>
  <r>
    <s v="PED-00549"/>
    <d v="2024-03-06T00:00:00"/>
    <x v="0"/>
    <x v="8"/>
    <n v="10"/>
    <x v="9"/>
    <x v="0"/>
    <s v="SKU-MAQ-9464"/>
    <x v="5"/>
    <x v="4"/>
    <x v="4"/>
    <s v="FCA"/>
    <n v="256"/>
    <s v="Cajas"/>
    <n v="1897.92"/>
    <n v="485867.52000000002"/>
    <n v="33211.160000000003"/>
    <n v="6.8354353054923295E-2"/>
    <n v="26"/>
    <d v="2024-04-01T00:00:00"/>
    <d v="2024-03-27T00:00:00"/>
    <n v="-5"/>
    <x v="0"/>
    <b v="1"/>
    <n v="442"/>
    <n v="353"/>
    <x v="0"/>
    <x v="0"/>
  </r>
  <r>
    <s v="PED-00550"/>
    <d v="2024-11-11T00:00:00"/>
    <x v="0"/>
    <x v="6"/>
    <n v="46"/>
    <x v="4"/>
    <x v="3"/>
    <s v="SKU-QUÍ-7642"/>
    <x v="1"/>
    <x v="5"/>
    <x v="0"/>
    <s v="CIF"/>
    <n v="709"/>
    <s v="KG"/>
    <n v="135.38999999999999"/>
    <n v="95991.51"/>
    <n v="3530.61"/>
    <n v="3.6780440270186399E-2"/>
    <n v="23"/>
    <d v="2024-12-04T00:00:00"/>
    <d v="2024-12-06T00:00:00"/>
    <n v="2"/>
    <x v="1"/>
    <b v="0"/>
    <n v="387"/>
    <n v="237"/>
    <x v="1"/>
    <x v="1"/>
  </r>
  <r>
    <s v="PED-00551"/>
    <d v="2024-01-24T00:00:00"/>
    <x v="0"/>
    <x v="2"/>
    <n v="4"/>
    <x v="2"/>
    <x v="2"/>
    <s v="SKU-AUT-1305"/>
    <x v="2"/>
    <x v="4"/>
    <x v="4"/>
    <s v="DAP"/>
    <n v="503"/>
    <s v="KG"/>
    <n v="966.61"/>
    <n v="486204.83"/>
    <n v="15311.21"/>
    <n v="3.1491274983837574E-2"/>
    <n v="26"/>
    <d v="2024-02-19T00:00:00"/>
    <d v="2024-02-19T00:00:00"/>
    <n v="0"/>
    <x v="0"/>
    <b v="1"/>
    <n v="102"/>
    <n v="231"/>
    <x v="0"/>
    <x v="0"/>
  </r>
  <r>
    <s v="PED-00552"/>
    <d v="2024-11-24T00:00:00"/>
    <x v="0"/>
    <x v="6"/>
    <n v="48"/>
    <x v="9"/>
    <x v="6"/>
    <s v="SKU-CON-5644"/>
    <x v="0"/>
    <x v="5"/>
    <x v="3"/>
    <s v="DAP"/>
    <n v="92"/>
    <s v="Cajas"/>
    <n v="171.44"/>
    <n v="15772.48"/>
    <n v="792.66"/>
    <n v="5.0255888737852257E-2"/>
    <n v="5"/>
    <d v="2024-11-29T00:00:00"/>
    <d v="2024-11-30T00:00:00"/>
    <n v="1"/>
    <x v="1"/>
    <b v="0"/>
    <n v="397"/>
    <n v="325"/>
    <x v="4"/>
    <x v="1"/>
  </r>
  <r>
    <s v="PED-00553"/>
    <d v="2023-06-28T00:00:00"/>
    <x v="1"/>
    <x v="10"/>
    <n v="26"/>
    <x v="1"/>
    <x v="6"/>
    <s v="SKU-CON-2404"/>
    <x v="2"/>
    <x v="3"/>
    <x v="0"/>
    <s v="DAP"/>
    <n v="195"/>
    <s v="Metros"/>
    <n v="173.88"/>
    <n v="33906.6"/>
    <n v="2439.1999999999998"/>
    <n v="7.193879657647774E-2"/>
    <n v="26"/>
    <d v="2023-07-24T00:00:00"/>
    <d v="2023-07-27T00:00:00"/>
    <n v="3"/>
    <x v="2"/>
    <b v="0"/>
    <n v="365"/>
    <n v="91"/>
    <x v="0"/>
    <x v="0"/>
  </r>
  <r>
    <s v="PED-00554"/>
    <d v="2024-09-22T00:00:00"/>
    <x v="0"/>
    <x v="3"/>
    <n v="39"/>
    <x v="9"/>
    <x v="0"/>
    <s v="SKU-MAQ-4548"/>
    <x v="2"/>
    <x v="5"/>
    <x v="1"/>
    <s v="EXW"/>
    <n v="261"/>
    <s v="Metros"/>
    <n v="1099.8"/>
    <n v="287047.8"/>
    <n v="9897.69"/>
    <n v="3.4480981913116909E-2"/>
    <n v="21"/>
    <d v="2024-10-13T00:00:00"/>
    <d v="2024-10-13T00:00:00"/>
    <n v="0"/>
    <x v="0"/>
    <b v="1"/>
    <n v="145"/>
    <n v="2"/>
    <x v="3"/>
    <x v="1"/>
  </r>
  <r>
    <s v="PED-00555"/>
    <d v="2024-08-05T00:00:00"/>
    <x v="0"/>
    <x v="4"/>
    <n v="32"/>
    <x v="9"/>
    <x v="5"/>
    <s v="SKU-ELE-8359"/>
    <x v="0"/>
    <x v="4"/>
    <x v="2"/>
    <s v="FCA"/>
    <n v="364"/>
    <s v="Litros"/>
    <n v="478.83"/>
    <n v="174294.12"/>
    <n v="4307.1899999999996"/>
    <n v="2.4712193388968025E-2"/>
    <n v="23"/>
    <d v="2024-08-28T00:00:00"/>
    <d v="2024-08-23T00:00:00"/>
    <n v="-5"/>
    <x v="0"/>
    <b v="1"/>
    <n v="289"/>
    <n v="478"/>
    <x v="0"/>
    <x v="0"/>
  </r>
  <r>
    <s v="PED-00556"/>
    <d v="2023-11-05T00:00:00"/>
    <x v="1"/>
    <x v="6"/>
    <n v="45"/>
    <x v="3"/>
    <x v="5"/>
    <s v="SKU-ELE-8723"/>
    <x v="5"/>
    <x v="4"/>
    <x v="2"/>
    <s v="EXW"/>
    <n v="759"/>
    <s v="Cajas"/>
    <n v="573.9"/>
    <n v="435590.1"/>
    <n v="18026.580000000002"/>
    <n v="4.1384273885012542E-2"/>
    <n v="9"/>
    <d v="2023-11-14T00:00:00"/>
    <d v="2023-11-26T00:00:00"/>
    <n v="12"/>
    <x v="2"/>
    <b v="0"/>
    <n v="256"/>
    <n v="463"/>
    <x v="4"/>
    <x v="1"/>
  </r>
  <r>
    <s v="PED-00557"/>
    <d v="2024-02-20T00:00:00"/>
    <x v="0"/>
    <x v="9"/>
    <n v="8"/>
    <x v="4"/>
    <x v="2"/>
    <s v="SKU-AUT-8891"/>
    <x v="0"/>
    <x v="0"/>
    <x v="0"/>
    <s v="DDP"/>
    <n v="881"/>
    <s v="Metros"/>
    <n v="1109.08"/>
    <n v="977099.48"/>
    <n v="63373.8"/>
    <n v="6.4859107283528603E-2"/>
    <n v="12"/>
    <d v="2024-03-03T00:00:00"/>
    <d v="2024-03-08T00:00:00"/>
    <n v="5"/>
    <x v="2"/>
    <b v="0"/>
    <n v="308"/>
    <n v="80"/>
    <x v="0"/>
    <x v="0"/>
  </r>
  <r>
    <s v="PED-00558"/>
    <d v="2024-07-15T00:00:00"/>
    <x v="0"/>
    <x v="7"/>
    <n v="29"/>
    <x v="8"/>
    <x v="7"/>
    <s v="SKU-ALI-3794"/>
    <x v="5"/>
    <x v="0"/>
    <x v="1"/>
    <s v="FOB"/>
    <n v="705"/>
    <s v="Litros"/>
    <n v="98.68"/>
    <n v="69569.399999999994"/>
    <n v="3690.06"/>
    <n v="5.3041423384419015E-2"/>
    <n v="21"/>
    <d v="2024-08-05T00:00:00"/>
    <d v="2024-08-06T00:00:00"/>
    <n v="1"/>
    <x v="1"/>
    <b v="0"/>
    <n v="277"/>
    <n v="43"/>
    <x v="0"/>
    <x v="0"/>
  </r>
  <r>
    <s v="PED-00559"/>
    <d v="2023-01-01T00:00:00"/>
    <x v="1"/>
    <x v="2"/>
    <n v="1"/>
    <x v="0"/>
    <x v="2"/>
    <s v="SKU-AUT-4594"/>
    <x v="0"/>
    <x v="2"/>
    <x v="2"/>
    <s v="FOB"/>
    <n v="805"/>
    <s v="Palés"/>
    <n v="838.65"/>
    <n v="675113.25"/>
    <n v="46587.95"/>
    <n v="6.900760724219232E-2"/>
    <n v="1"/>
    <d v="2023-01-02T00:00:00"/>
    <d v="2023-01-02T00:00:00"/>
    <n v="0"/>
    <x v="0"/>
    <b v="1"/>
    <n v="463"/>
    <n v="154"/>
    <x v="0"/>
    <x v="0"/>
  </r>
  <r>
    <s v="PED-00560"/>
    <d v="2023-11-08T00:00:00"/>
    <x v="1"/>
    <x v="6"/>
    <n v="45"/>
    <x v="3"/>
    <x v="4"/>
    <s v="SKU-TEX-7730"/>
    <x v="1"/>
    <x v="4"/>
    <x v="0"/>
    <s v="FOB"/>
    <n v="906"/>
    <s v="Palés"/>
    <n v="87.75"/>
    <n v="79501.5"/>
    <n v="6167.37"/>
    <n v="7.7575517443067107E-2"/>
    <n v="26"/>
    <d v="2023-12-04T00:00:00"/>
    <d v="2023-12-03T00:00:00"/>
    <n v="-1"/>
    <x v="1"/>
    <b v="0"/>
    <n v="188"/>
    <n v="434"/>
    <x v="2"/>
    <x v="1"/>
  </r>
  <r>
    <s v="PED-00561"/>
    <d v="2023-10-21T00:00:00"/>
    <x v="1"/>
    <x v="0"/>
    <n v="42"/>
    <x v="9"/>
    <x v="5"/>
    <s v="SKU-ELE-3338"/>
    <x v="5"/>
    <x v="3"/>
    <x v="4"/>
    <s v="CIF"/>
    <n v="947"/>
    <s v="Litros"/>
    <n v="637.70000000000005"/>
    <n v="603901.9"/>
    <n v="40799.46"/>
    <n v="6.7559747700744105E-2"/>
    <n v="26"/>
    <d v="2023-11-16T00:00:00"/>
    <d v="2023-11-28T00:00:00"/>
    <n v="12"/>
    <x v="1"/>
    <b v="0"/>
    <n v="405"/>
    <n v="23"/>
    <x v="2"/>
    <x v="1"/>
  </r>
  <r>
    <s v="PED-00562"/>
    <d v="2023-08-04T00:00:00"/>
    <x v="1"/>
    <x v="4"/>
    <n v="31"/>
    <x v="0"/>
    <x v="3"/>
    <s v="SKU-QUÍ-3979"/>
    <x v="1"/>
    <x v="5"/>
    <x v="3"/>
    <s v="EXW"/>
    <n v="219"/>
    <s v="Cajas"/>
    <n v="173.3"/>
    <n v="37952.699999999997"/>
    <n v="2134.0100000000002"/>
    <n v="5.6228147141046632E-2"/>
    <n v="1"/>
    <d v="2023-08-05T00:00:00"/>
    <d v="2023-08-08T00:00:00"/>
    <n v="3"/>
    <x v="2"/>
    <b v="0"/>
    <n v="177"/>
    <n v="403"/>
    <x v="1"/>
    <x v="1"/>
  </r>
  <r>
    <s v="PED-00563"/>
    <d v="2024-03-16T00:00:00"/>
    <x v="0"/>
    <x v="8"/>
    <n v="11"/>
    <x v="6"/>
    <x v="4"/>
    <s v="SKU-TEX-9369"/>
    <x v="5"/>
    <x v="2"/>
    <x v="1"/>
    <s v="DDP"/>
    <n v="825"/>
    <s v="Palés"/>
    <n v="67.319999999999993"/>
    <n v="55539"/>
    <n v="2754.76"/>
    <n v="4.9600460937359335E-2"/>
    <n v="15"/>
    <d v="2024-03-31T00:00:00"/>
    <d v="2024-03-26T00:00:00"/>
    <n v="-5"/>
    <x v="0"/>
    <b v="1"/>
    <n v="15"/>
    <n v="415"/>
    <x v="4"/>
    <x v="1"/>
  </r>
  <r>
    <s v="PED-00564"/>
    <d v="2024-08-16T00:00:00"/>
    <x v="0"/>
    <x v="4"/>
    <n v="33"/>
    <x v="0"/>
    <x v="6"/>
    <s v="SKU-CON-5333"/>
    <x v="5"/>
    <x v="1"/>
    <x v="2"/>
    <s v="DDP"/>
    <n v="817"/>
    <s v="Cajas"/>
    <n v="181.42"/>
    <n v="148220.14000000001"/>
    <n v="3320.75"/>
    <n v="2.2404175303032365E-2"/>
    <n v="2"/>
    <d v="2024-08-18T00:00:00"/>
    <d v="2024-08-18T00:00:00"/>
    <n v="0"/>
    <x v="0"/>
    <b v="1"/>
    <n v="411"/>
    <n v="98"/>
    <x v="3"/>
    <x v="1"/>
  </r>
  <r>
    <s v="PED-00565"/>
    <d v="2024-09-13T00:00:00"/>
    <x v="0"/>
    <x v="3"/>
    <n v="37"/>
    <x v="5"/>
    <x v="6"/>
    <s v="SKU-CON-3747"/>
    <x v="0"/>
    <x v="1"/>
    <x v="3"/>
    <s v="FOB"/>
    <n v="618"/>
    <s v="Metros"/>
    <n v="148.44999999999999"/>
    <n v="91742.1"/>
    <n v="7253.07"/>
    <n v="7.9059341349282386E-2"/>
    <n v="22"/>
    <d v="2024-10-05T00:00:00"/>
    <d v="2024-09-30T00:00:00"/>
    <n v="-5"/>
    <x v="0"/>
    <b v="1"/>
    <n v="475"/>
    <n v="396"/>
    <x v="2"/>
    <x v="1"/>
  </r>
  <r>
    <s v="PED-00566"/>
    <d v="2024-11-01T00:00:00"/>
    <x v="0"/>
    <x v="6"/>
    <n v="44"/>
    <x v="3"/>
    <x v="1"/>
    <s v="SKU-FAR-6614"/>
    <x v="5"/>
    <x v="5"/>
    <x v="0"/>
    <s v="FCA"/>
    <n v="456"/>
    <s v="Palés"/>
    <n v="256.17"/>
    <n v="116813.52"/>
    <n v="5024.0200000000004"/>
    <n v="4.3008891436539194E-2"/>
    <n v="16"/>
    <d v="2024-11-17T00:00:00"/>
    <d v="2024-11-16T00:00:00"/>
    <n v="-1"/>
    <x v="0"/>
    <b v="1"/>
    <n v="374"/>
    <n v="367"/>
    <x v="0"/>
    <x v="0"/>
  </r>
  <r>
    <s v="PED-00567"/>
    <d v="2023-11-26T00:00:00"/>
    <x v="1"/>
    <x v="6"/>
    <n v="48"/>
    <x v="3"/>
    <x v="0"/>
    <s v="SKU-MAQ-8429"/>
    <x v="1"/>
    <x v="5"/>
    <x v="2"/>
    <s v="CIF"/>
    <n v="469"/>
    <s v="Metros"/>
    <n v="1195.56"/>
    <n v="560717.64"/>
    <n v="16335.78"/>
    <n v="2.9133700876612337E-2"/>
    <n v="25"/>
    <d v="2023-12-21T00:00:00"/>
    <d v="2024-01-02T00:00:00"/>
    <n v="12"/>
    <x v="1"/>
    <b v="0"/>
    <n v="85"/>
    <n v="170"/>
    <x v="0"/>
    <x v="0"/>
  </r>
  <r>
    <s v="PED-00568"/>
    <d v="2024-04-21T00:00:00"/>
    <x v="0"/>
    <x v="1"/>
    <n v="17"/>
    <x v="5"/>
    <x v="4"/>
    <s v="SKU-TEX-2127"/>
    <x v="0"/>
    <x v="5"/>
    <x v="3"/>
    <s v="CIF"/>
    <n v="977"/>
    <s v="Cajas"/>
    <n v="56.53"/>
    <n v="55229.81"/>
    <n v="3313.93"/>
    <n v="6.0002560211595876E-2"/>
    <n v="8"/>
    <d v="2024-04-29T00:00:00"/>
    <d v="2024-04-29T00:00:00"/>
    <n v="0"/>
    <x v="0"/>
    <b v="1"/>
    <n v="247"/>
    <n v="147"/>
    <x v="3"/>
    <x v="1"/>
  </r>
  <r>
    <s v="PED-00569"/>
    <d v="2024-03-28T00:00:00"/>
    <x v="0"/>
    <x v="8"/>
    <n v="13"/>
    <x v="6"/>
    <x v="0"/>
    <s v="SKU-MAQ-4765"/>
    <x v="4"/>
    <x v="0"/>
    <x v="4"/>
    <s v="FOB"/>
    <n v="481"/>
    <s v="Cajas"/>
    <n v="1688.97"/>
    <n v="812394.57"/>
    <n v="30105.15"/>
    <n v="3.7057300863052305E-2"/>
    <n v="13"/>
    <d v="2024-04-10T00:00:00"/>
    <d v="2024-04-15T00:00:00"/>
    <n v="5"/>
    <x v="2"/>
    <b v="0"/>
    <n v="453"/>
    <n v="122"/>
    <x v="0"/>
    <x v="0"/>
  </r>
  <r>
    <s v="PED-00570"/>
    <d v="2024-03-28T00:00:00"/>
    <x v="0"/>
    <x v="8"/>
    <n v="13"/>
    <x v="7"/>
    <x v="2"/>
    <s v="SKU-AUT-7196"/>
    <x v="1"/>
    <x v="5"/>
    <x v="1"/>
    <s v="FOB"/>
    <n v="729"/>
    <s v="Unidades"/>
    <n v="921.23"/>
    <n v="671576.67"/>
    <n v="37035.230000000003"/>
    <n v="5.5146689357151134E-2"/>
    <n v="21"/>
    <d v="2024-04-18T00:00:00"/>
    <d v="2024-04-26T00:00:00"/>
    <n v="8"/>
    <x v="1"/>
    <b v="0"/>
    <n v="216"/>
    <n v="111"/>
    <x v="0"/>
    <x v="0"/>
  </r>
  <r>
    <s v="PED-00571"/>
    <d v="2024-11-22T00:00:00"/>
    <x v="0"/>
    <x v="6"/>
    <n v="47"/>
    <x v="7"/>
    <x v="4"/>
    <s v="SKU-TEX-7315"/>
    <x v="4"/>
    <x v="1"/>
    <x v="0"/>
    <s v="EXW"/>
    <n v="379"/>
    <s v="Litros"/>
    <n v="70.83"/>
    <n v="26844.57"/>
    <n v="1481.98"/>
    <n v="5.5205950402632639E-2"/>
    <n v="1"/>
    <d v="2024-11-23T00:00:00"/>
    <d v="2024-11-22T00:00:00"/>
    <n v="-1"/>
    <x v="0"/>
    <b v="1"/>
    <n v="41"/>
    <n v="499"/>
    <x v="0"/>
    <x v="0"/>
  </r>
  <r>
    <s v="PED-00572"/>
    <d v="2023-08-07T00:00:00"/>
    <x v="1"/>
    <x v="4"/>
    <n v="32"/>
    <x v="7"/>
    <x v="2"/>
    <s v="SKU-AUT-3166"/>
    <x v="2"/>
    <x v="5"/>
    <x v="2"/>
    <s v="FCA"/>
    <n v="909"/>
    <s v="KG"/>
    <n v="666.4"/>
    <n v="605757.6"/>
    <n v="28315.41"/>
    <n v="4.6743796528512398E-2"/>
    <n v="16"/>
    <d v="2023-08-23T00:00:00"/>
    <d v="2023-08-25T00:00:00"/>
    <n v="2"/>
    <x v="2"/>
    <b v="0"/>
    <n v="193"/>
    <n v="129"/>
    <x v="0"/>
    <x v="0"/>
  </r>
  <r>
    <s v="PED-00573"/>
    <d v="2024-06-07T00:00:00"/>
    <x v="0"/>
    <x v="10"/>
    <n v="23"/>
    <x v="7"/>
    <x v="1"/>
    <s v="SKU-FAR-2778"/>
    <x v="0"/>
    <x v="4"/>
    <x v="4"/>
    <s v="CIF"/>
    <n v="943"/>
    <s v="Litros"/>
    <n v="200.76"/>
    <n v="189316.68"/>
    <n v="13283.81"/>
    <n v="7.0167140053375113E-2"/>
    <n v="29"/>
    <d v="2024-07-06T00:00:00"/>
    <d v="2024-07-11T00:00:00"/>
    <n v="5"/>
    <x v="2"/>
    <b v="0"/>
    <n v="326"/>
    <n v="67"/>
    <x v="0"/>
    <x v="0"/>
  </r>
  <r>
    <s v="PED-00574"/>
    <d v="2024-04-29T00:00:00"/>
    <x v="0"/>
    <x v="1"/>
    <n v="18"/>
    <x v="4"/>
    <x v="5"/>
    <s v="SKU-ELE-1271"/>
    <x v="2"/>
    <x v="3"/>
    <x v="1"/>
    <s v="DDP"/>
    <n v="501"/>
    <s v="Cajas"/>
    <n v="596.88"/>
    <n v="299036.88"/>
    <n v="10734.83"/>
    <n v="3.5898013649687623E-2"/>
    <n v="7"/>
    <d v="2024-05-06T00:00:00"/>
    <d v="2024-05-03T00:00:00"/>
    <n v="-3"/>
    <x v="0"/>
    <b v="1"/>
    <n v="372"/>
    <n v="346"/>
    <x v="1"/>
    <x v="1"/>
  </r>
  <r>
    <s v="PED-00575"/>
    <d v="2023-06-23T00:00:00"/>
    <x v="1"/>
    <x v="10"/>
    <n v="25"/>
    <x v="5"/>
    <x v="6"/>
    <s v="SKU-CON-4315"/>
    <x v="0"/>
    <x v="1"/>
    <x v="1"/>
    <s v="FOB"/>
    <n v="932"/>
    <s v="Cajas"/>
    <n v="295.17"/>
    <n v="275098.44"/>
    <n v="12907.06"/>
    <n v="4.6917968709673526E-2"/>
    <n v="5"/>
    <d v="2023-06-28T00:00:00"/>
    <d v="2023-07-01T00:00:00"/>
    <n v="3"/>
    <x v="2"/>
    <b v="0"/>
    <n v="464"/>
    <n v="315"/>
    <x v="1"/>
    <x v="1"/>
  </r>
  <r>
    <s v="PED-00576"/>
    <d v="2024-11-05T00:00:00"/>
    <x v="0"/>
    <x v="6"/>
    <n v="45"/>
    <x v="6"/>
    <x v="1"/>
    <s v="SKU-FAR-9564"/>
    <x v="0"/>
    <x v="3"/>
    <x v="4"/>
    <s v="EXW"/>
    <n v="146"/>
    <s v="Litros"/>
    <n v="256.42"/>
    <n v="37437.32"/>
    <n v="1956.53"/>
    <n v="5.2261486666246408E-2"/>
    <n v="22"/>
    <d v="2024-11-27T00:00:00"/>
    <d v="2024-11-26T00:00:00"/>
    <n v="-1"/>
    <x v="0"/>
    <b v="1"/>
    <n v="162"/>
    <n v="216"/>
    <x v="4"/>
    <x v="1"/>
  </r>
  <r>
    <s v="PED-00577"/>
    <d v="2023-03-28T00:00:00"/>
    <x v="1"/>
    <x v="8"/>
    <n v="13"/>
    <x v="9"/>
    <x v="6"/>
    <s v="SKU-CON-9263"/>
    <x v="1"/>
    <x v="1"/>
    <x v="2"/>
    <s v="DDP"/>
    <n v="376"/>
    <s v="Cajas"/>
    <n v="287.62"/>
    <n v="108145.12"/>
    <n v="6468.97"/>
    <n v="5.9817493382965416E-2"/>
    <n v="29"/>
    <d v="2023-04-26T00:00:00"/>
    <d v="2023-04-26T00:00:00"/>
    <n v="0"/>
    <x v="0"/>
    <b v="1"/>
    <n v="275"/>
    <n v="387"/>
    <x v="0"/>
    <x v="0"/>
  </r>
  <r>
    <s v="PED-00578"/>
    <d v="2023-10-18T00:00:00"/>
    <x v="1"/>
    <x v="0"/>
    <n v="42"/>
    <x v="2"/>
    <x v="5"/>
    <s v="SKU-ELE-7877"/>
    <x v="4"/>
    <x v="2"/>
    <x v="1"/>
    <s v="CIF"/>
    <n v="921"/>
    <s v="Metros"/>
    <n v="654.88"/>
    <n v="603144.48"/>
    <n v="40433.79"/>
    <n v="6.7038315595626438E-2"/>
    <n v="23"/>
    <d v="2023-11-10T00:00:00"/>
    <d v="2023-11-15T00:00:00"/>
    <n v="5"/>
    <x v="1"/>
    <b v="0"/>
    <n v="363"/>
    <n v="379"/>
    <x v="3"/>
    <x v="1"/>
  </r>
  <r>
    <s v="PED-00579"/>
    <d v="2024-06-11T00:00:00"/>
    <x v="0"/>
    <x v="10"/>
    <n v="24"/>
    <x v="3"/>
    <x v="2"/>
    <s v="SKU-AUT-3450"/>
    <x v="0"/>
    <x v="4"/>
    <x v="0"/>
    <s v="FOB"/>
    <n v="193"/>
    <s v="Palés"/>
    <n v="938.7"/>
    <n v="181169.1"/>
    <n v="7914.99"/>
    <n v="4.3688410440853323E-2"/>
    <n v="3"/>
    <d v="2024-06-14T00:00:00"/>
    <d v="2024-06-16T00:00:00"/>
    <n v="2"/>
    <x v="2"/>
    <b v="0"/>
    <n v="129"/>
    <n v="95"/>
    <x v="1"/>
    <x v="1"/>
  </r>
  <r>
    <s v="PED-00580"/>
    <d v="2024-11-10T00:00:00"/>
    <x v="0"/>
    <x v="6"/>
    <n v="46"/>
    <x v="0"/>
    <x v="5"/>
    <s v="SKU-ELE-2577"/>
    <x v="4"/>
    <x v="1"/>
    <x v="3"/>
    <s v="FCA"/>
    <n v="597"/>
    <s v="Cajas"/>
    <n v="426.81"/>
    <n v="254805.57"/>
    <n v="14973.09"/>
    <n v="5.876280491042641E-2"/>
    <n v="12"/>
    <d v="2024-11-22T00:00:00"/>
    <d v="2024-11-19T00:00:00"/>
    <n v="-3"/>
    <x v="0"/>
    <b v="1"/>
    <n v="262"/>
    <n v="144"/>
    <x v="2"/>
    <x v="1"/>
  </r>
  <r>
    <s v="PED-00581"/>
    <d v="2024-10-10T00:00:00"/>
    <x v="0"/>
    <x v="0"/>
    <n v="41"/>
    <x v="7"/>
    <x v="6"/>
    <s v="SKU-CON-3906"/>
    <x v="0"/>
    <x v="4"/>
    <x v="0"/>
    <s v="FOB"/>
    <n v="296"/>
    <s v="Litros"/>
    <n v="246.67"/>
    <n v="73014.320000000007"/>
    <n v="2120.09"/>
    <n v="2.9036632813946632E-2"/>
    <n v="26"/>
    <d v="2024-11-05T00:00:00"/>
    <d v="2024-11-05T00:00:00"/>
    <n v="0"/>
    <x v="0"/>
    <b v="1"/>
    <n v="479"/>
    <n v="384"/>
    <x v="2"/>
    <x v="1"/>
  </r>
  <r>
    <s v="PED-00582"/>
    <d v="2024-09-26T00:00:00"/>
    <x v="0"/>
    <x v="3"/>
    <n v="39"/>
    <x v="0"/>
    <x v="6"/>
    <s v="SKU-CON-8796"/>
    <x v="4"/>
    <x v="1"/>
    <x v="1"/>
    <s v="FCA"/>
    <n v="481"/>
    <s v="Litros"/>
    <n v="239.74"/>
    <n v="115314.94"/>
    <n v="8759.19"/>
    <n v="7.5958848003563118E-2"/>
    <n v="16"/>
    <d v="2024-10-12T00:00:00"/>
    <d v="2024-10-24T00:00:00"/>
    <n v="12"/>
    <x v="1"/>
    <b v="0"/>
    <n v="176"/>
    <n v="32"/>
    <x v="2"/>
    <x v="1"/>
  </r>
  <r>
    <s v="PED-00583"/>
    <d v="2023-12-10T00:00:00"/>
    <x v="1"/>
    <x v="11"/>
    <n v="50"/>
    <x v="2"/>
    <x v="0"/>
    <s v="SKU-MAQ-1639"/>
    <x v="2"/>
    <x v="3"/>
    <x v="3"/>
    <s v="EXW"/>
    <n v="384"/>
    <s v="Litros"/>
    <n v="1772.96"/>
    <n v="680816.64000000001"/>
    <n v="29263.9"/>
    <n v="4.2983526372093371E-2"/>
    <n v="19"/>
    <d v="2023-12-29T00:00:00"/>
    <d v="2023-12-29T00:00:00"/>
    <n v="0"/>
    <x v="0"/>
    <b v="1"/>
    <n v="466"/>
    <n v="285"/>
    <x v="3"/>
    <x v="1"/>
  </r>
  <r>
    <s v="PED-00584"/>
    <d v="2023-04-06T00:00:00"/>
    <x v="1"/>
    <x v="1"/>
    <n v="14"/>
    <x v="3"/>
    <x v="3"/>
    <s v="SKU-QUÍ-9706"/>
    <x v="1"/>
    <x v="3"/>
    <x v="4"/>
    <s v="EXW"/>
    <n v="663"/>
    <s v="Unidades"/>
    <n v="131.02000000000001"/>
    <n v="86866.26"/>
    <n v="5539.57"/>
    <n v="6.3771250195415338E-2"/>
    <n v="5"/>
    <d v="2023-04-11T00:00:00"/>
    <d v="2023-04-16T00:00:00"/>
    <n v="5"/>
    <x v="1"/>
    <b v="0"/>
    <n v="459"/>
    <n v="4"/>
    <x v="1"/>
    <x v="1"/>
  </r>
  <r>
    <s v="PED-00585"/>
    <d v="2023-08-29T00:00:00"/>
    <x v="1"/>
    <x v="4"/>
    <n v="35"/>
    <x v="1"/>
    <x v="1"/>
    <s v="SKU-FAR-9246"/>
    <x v="0"/>
    <x v="1"/>
    <x v="3"/>
    <s v="CIF"/>
    <n v="758"/>
    <s v="Metros"/>
    <n v="224.59"/>
    <n v="170239.22"/>
    <n v="3612.56"/>
    <n v="2.1220491964190156E-2"/>
    <n v="22"/>
    <d v="2023-09-20T00:00:00"/>
    <d v="2023-09-23T00:00:00"/>
    <n v="3"/>
    <x v="1"/>
    <b v="0"/>
    <n v="264"/>
    <n v="117"/>
    <x v="0"/>
    <x v="0"/>
  </r>
  <r>
    <s v="PED-00586"/>
    <d v="2024-11-19T00:00:00"/>
    <x v="0"/>
    <x v="6"/>
    <n v="47"/>
    <x v="8"/>
    <x v="4"/>
    <s v="SKU-TEX-2925"/>
    <x v="3"/>
    <x v="1"/>
    <x v="3"/>
    <s v="FCA"/>
    <n v="546"/>
    <s v="Metros"/>
    <n v="58.05"/>
    <n v="31695.3"/>
    <n v="1024.1099999999999"/>
    <n v="3.2311099752960218E-2"/>
    <n v="25"/>
    <d v="2024-12-14T00:00:00"/>
    <d v="2024-12-26T00:00:00"/>
    <n v="12"/>
    <x v="1"/>
    <b v="0"/>
    <n v="26"/>
    <n v="139"/>
    <x v="0"/>
    <x v="0"/>
  </r>
  <r>
    <s v="PED-00587"/>
    <d v="2023-11-14T00:00:00"/>
    <x v="1"/>
    <x v="6"/>
    <n v="46"/>
    <x v="6"/>
    <x v="6"/>
    <s v="SKU-CON-2526"/>
    <x v="4"/>
    <x v="0"/>
    <x v="3"/>
    <s v="FOB"/>
    <n v="520"/>
    <s v="Unidades"/>
    <n v="223.09"/>
    <n v="116006.8"/>
    <n v="5710.43"/>
    <n v="4.9224959226528101E-2"/>
    <n v="29"/>
    <d v="2023-12-13T00:00:00"/>
    <d v="2023-12-13T00:00:00"/>
    <n v="0"/>
    <x v="0"/>
    <b v="1"/>
    <n v="461"/>
    <n v="229"/>
    <x v="0"/>
    <x v="0"/>
  </r>
  <r>
    <s v="PED-00588"/>
    <d v="2023-08-19T00:00:00"/>
    <x v="1"/>
    <x v="4"/>
    <n v="33"/>
    <x v="4"/>
    <x v="1"/>
    <s v="SKU-FAR-8901"/>
    <x v="4"/>
    <x v="4"/>
    <x v="1"/>
    <s v="EXW"/>
    <n v="811"/>
    <s v="Metros"/>
    <n v="171.61"/>
    <n v="139175.71"/>
    <n v="10117.4"/>
    <n v="7.2695156360258556E-2"/>
    <n v="14"/>
    <d v="2023-09-02T00:00:00"/>
    <d v="2023-08-30T00:00:00"/>
    <n v="-3"/>
    <x v="0"/>
    <b v="1"/>
    <n v="385"/>
    <n v="159"/>
    <x v="1"/>
    <x v="1"/>
  </r>
  <r>
    <s v="PED-00589"/>
    <d v="2023-07-23T00:00:00"/>
    <x v="1"/>
    <x v="7"/>
    <n v="30"/>
    <x v="0"/>
    <x v="0"/>
    <s v="SKU-MAQ-3135"/>
    <x v="3"/>
    <x v="4"/>
    <x v="2"/>
    <s v="FOB"/>
    <n v="588"/>
    <s v="Unidades"/>
    <n v="2016.21"/>
    <n v="1185531.48"/>
    <n v="61215.28"/>
    <n v="5.1635305373755234E-2"/>
    <n v="28"/>
    <d v="2023-08-20T00:00:00"/>
    <d v="2023-08-20T00:00:00"/>
    <n v="0"/>
    <x v="0"/>
    <b v="1"/>
    <n v="84"/>
    <n v="293"/>
    <x v="0"/>
    <x v="0"/>
  </r>
  <r>
    <s v="PED-00590"/>
    <d v="2023-05-31T00:00:00"/>
    <x v="1"/>
    <x v="5"/>
    <n v="22"/>
    <x v="7"/>
    <x v="5"/>
    <s v="SKU-ELE-9835"/>
    <x v="1"/>
    <x v="4"/>
    <x v="1"/>
    <s v="CIF"/>
    <n v="259"/>
    <s v="Metros"/>
    <n v="424.31"/>
    <n v="109896.29"/>
    <n v="8329.2800000000007"/>
    <n v="7.5792185523278363E-2"/>
    <n v="5"/>
    <d v="2023-06-05T00:00:00"/>
    <d v="2023-06-17T00:00:00"/>
    <n v="12"/>
    <x v="1"/>
    <b v="0"/>
    <n v="195"/>
    <n v="248"/>
    <x v="4"/>
    <x v="1"/>
  </r>
  <r>
    <s v="PED-00591"/>
    <d v="2023-01-26T00:00:00"/>
    <x v="1"/>
    <x v="2"/>
    <n v="4"/>
    <x v="5"/>
    <x v="0"/>
    <s v="SKU-MAQ-1019"/>
    <x v="4"/>
    <x v="4"/>
    <x v="2"/>
    <s v="FCA"/>
    <n v="929"/>
    <s v="Unidades"/>
    <n v="1151.96"/>
    <n v="1070170.8400000001"/>
    <n v="52468.14"/>
    <n v="4.9027816904448636E-2"/>
    <n v="15"/>
    <d v="2023-02-10T00:00:00"/>
    <d v="2023-02-10T00:00:00"/>
    <n v="0"/>
    <x v="0"/>
    <b v="1"/>
    <n v="315"/>
    <n v="272"/>
    <x v="3"/>
    <x v="1"/>
  </r>
  <r>
    <s v="PED-00592"/>
    <d v="2023-02-17T00:00:00"/>
    <x v="1"/>
    <x v="9"/>
    <n v="7"/>
    <x v="0"/>
    <x v="7"/>
    <s v="SKU-ALI-8069"/>
    <x v="1"/>
    <x v="2"/>
    <x v="4"/>
    <s v="FOB"/>
    <n v="519"/>
    <s v="Unidades"/>
    <n v="83.92"/>
    <n v="43554.48"/>
    <n v="2152.7600000000002"/>
    <n v="4.9426832785054491E-2"/>
    <n v="17"/>
    <d v="2023-03-06T00:00:00"/>
    <d v="2023-03-14T00:00:00"/>
    <n v="8"/>
    <x v="2"/>
    <b v="0"/>
    <n v="242"/>
    <n v="185"/>
    <x v="3"/>
    <x v="1"/>
  </r>
  <r>
    <s v="PED-00593"/>
    <d v="2023-09-08T00:00:00"/>
    <x v="1"/>
    <x v="3"/>
    <n v="36"/>
    <x v="3"/>
    <x v="7"/>
    <s v="SKU-ALI-9553"/>
    <x v="4"/>
    <x v="2"/>
    <x v="4"/>
    <s v="DDP"/>
    <n v="639"/>
    <s v="Metros"/>
    <n v="98.13"/>
    <n v="62705.07"/>
    <n v="1704.63"/>
    <n v="2.7184883136244009E-2"/>
    <n v="14"/>
    <d v="2023-09-22T00:00:00"/>
    <d v="2023-09-23T00:00:00"/>
    <n v="1"/>
    <x v="1"/>
    <b v="0"/>
    <n v="468"/>
    <n v="364"/>
    <x v="0"/>
    <x v="0"/>
  </r>
  <r>
    <s v="PED-00594"/>
    <d v="2024-05-01T00:00:00"/>
    <x v="0"/>
    <x v="5"/>
    <n v="18"/>
    <x v="1"/>
    <x v="4"/>
    <s v="SKU-TEX-7892"/>
    <x v="5"/>
    <x v="5"/>
    <x v="4"/>
    <s v="FOB"/>
    <n v="82"/>
    <s v="Unidades"/>
    <n v="63.01"/>
    <n v="5166.82"/>
    <n v="352.17"/>
    <n v="6.8159912673559378E-2"/>
    <n v="20"/>
    <d v="2024-05-21T00:00:00"/>
    <d v="2024-05-21T00:00:00"/>
    <n v="0"/>
    <x v="0"/>
    <b v="1"/>
    <n v="367"/>
    <n v="39"/>
    <x v="0"/>
    <x v="0"/>
  </r>
  <r>
    <s v="PED-00595"/>
    <d v="2024-09-17T00:00:00"/>
    <x v="0"/>
    <x v="3"/>
    <n v="38"/>
    <x v="6"/>
    <x v="0"/>
    <s v="SKU-MAQ-7068"/>
    <x v="4"/>
    <x v="1"/>
    <x v="4"/>
    <s v="DAP"/>
    <n v="291"/>
    <s v="Metros"/>
    <n v="1382.1"/>
    <n v="402191.1"/>
    <n v="14003.46"/>
    <n v="3.4817926105276821E-2"/>
    <n v="5"/>
    <d v="2024-09-22T00:00:00"/>
    <d v="2024-09-19T00:00:00"/>
    <n v="-3"/>
    <x v="0"/>
    <b v="1"/>
    <n v="341"/>
    <n v="223"/>
    <x v="4"/>
    <x v="1"/>
  </r>
  <r>
    <s v="PED-00596"/>
    <d v="2023-03-16T00:00:00"/>
    <x v="1"/>
    <x v="8"/>
    <n v="11"/>
    <x v="5"/>
    <x v="2"/>
    <s v="SKU-AUT-1711"/>
    <x v="5"/>
    <x v="1"/>
    <x v="4"/>
    <s v="DAP"/>
    <n v="925"/>
    <s v="Unidades"/>
    <n v="917.23"/>
    <n v="848437.75"/>
    <n v="62764.67"/>
    <n v="7.3976753156021161E-2"/>
    <n v="12"/>
    <d v="2023-03-28T00:00:00"/>
    <d v="2023-04-09T00:00:00"/>
    <n v="12"/>
    <x v="2"/>
    <b v="0"/>
    <n v="176"/>
    <n v="151"/>
    <x v="1"/>
    <x v="1"/>
  </r>
  <r>
    <s v="PED-00597"/>
    <d v="2024-04-11T00:00:00"/>
    <x v="0"/>
    <x v="1"/>
    <n v="15"/>
    <x v="8"/>
    <x v="4"/>
    <s v="SKU-TEX-9680"/>
    <x v="0"/>
    <x v="1"/>
    <x v="0"/>
    <s v="CIF"/>
    <n v="969"/>
    <s v="Litros"/>
    <n v="58.66"/>
    <n v="56841.54"/>
    <n v="4243.1899999999996"/>
    <n v="7.4649455310324103E-2"/>
    <n v="16"/>
    <d v="2024-04-27T00:00:00"/>
    <d v="2024-05-05T00:00:00"/>
    <n v="8"/>
    <x v="2"/>
    <b v="0"/>
    <n v="129"/>
    <n v="139"/>
    <x v="0"/>
    <x v="0"/>
  </r>
  <r>
    <s v="PED-00598"/>
    <d v="2024-02-29T00:00:00"/>
    <x v="0"/>
    <x v="9"/>
    <n v="9"/>
    <x v="3"/>
    <x v="2"/>
    <s v="SKU-AUT-8028"/>
    <x v="1"/>
    <x v="1"/>
    <x v="1"/>
    <s v="CIF"/>
    <n v="369"/>
    <s v="KG"/>
    <n v="1157.04"/>
    <n v="426947.76"/>
    <n v="32703.599999999999"/>
    <n v="7.6598598385900885E-2"/>
    <n v="26"/>
    <d v="2024-03-26T00:00:00"/>
    <d v="2024-04-03T00:00:00"/>
    <n v="8"/>
    <x v="2"/>
    <b v="0"/>
    <n v="144"/>
    <n v="366"/>
    <x v="4"/>
    <x v="1"/>
  </r>
  <r>
    <s v="PED-00599"/>
    <d v="2024-10-06T00:00:00"/>
    <x v="0"/>
    <x v="0"/>
    <n v="41"/>
    <x v="1"/>
    <x v="4"/>
    <s v="SKU-TEX-4759"/>
    <x v="4"/>
    <x v="4"/>
    <x v="2"/>
    <s v="CIF"/>
    <n v="19"/>
    <s v="Metros"/>
    <n v="86.29"/>
    <n v="3302.8089"/>
    <n v="142.36009999999999"/>
    <n v="4.3102735977246516E-2"/>
    <n v="26"/>
    <d v="2024-11-01T00:00:00"/>
    <d v="2024-11-01T00:00:00"/>
    <n v="0"/>
    <x v="0"/>
    <b v="1"/>
    <n v="82"/>
    <n v="127"/>
    <x v="0"/>
    <x v="0"/>
  </r>
  <r>
    <s v="PED-00600"/>
    <d v="2024-08-12T00:00:00"/>
    <x v="0"/>
    <x v="4"/>
    <n v="33"/>
    <x v="5"/>
    <x v="7"/>
    <s v="SKU-ALI-8899"/>
    <x v="2"/>
    <x v="4"/>
    <x v="4"/>
    <s v="DDP"/>
    <n v="220"/>
    <s v="Unidades"/>
    <n v="88.15"/>
    <n v="19393"/>
    <n v="1175.71"/>
    <n v="6.0625483421853248E-2"/>
    <n v="16"/>
    <d v="2024-08-28T00:00:00"/>
    <d v="2024-08-29T00:00:00"/>
    <n v="1"/>
    <x v="2"/>
    <b v="0"/>
    <n v="359"/>
    <n v="350"/>
    <x v="1"/>
    <x v="1"/>
  </r>
  <r>
    <s v="PED-00601"/>
    <d v="2023-07-19T00:00:00"/>
    <x v="1"/>
    <x v="7"/>
    <n v="29"/>
    <x v="8"/>
    <x v="4"/>
    <s v="SKU-TEX-7246"/>
    <x v="2"/>
    <x v="2"/>
    <x v="0"/>
    <s v="FCA"/>
    <n v="844"/>
    <s v="Litros"/>
    <n v="57.74"/>
    <n v="48732.56"/>
    <n v="3251"/>
    <n v="6.6711044935870392E-2"/>
    <n v="21"/>
    <d v="2023-08-09T00:00:00"/>
    <d v="2023-08-17T00:00:00"/>
    <n v="8"/>
    <x v="1"/>
    <b v="0"/>
    <n v="87"/>
    <n v="146"/>
    <x v="3"/>
    <x v="1"/>
  </r>
  <r>
    <s v="PED-00602"/>
    <d v="2024-12-14T00:00:00"/>
    <x v="0"/>
    <x v="11"/>
    <n v="50"/>
    <x v="0"/>
    <x v="7"/>
    <s v="SKU-ALI-6742"/>
    <x v="3"/>
    <x v="3"/>
    <x v="0"/>
    <s v="DDP"/>
    <n v="161"/>
    <s v="KG"/>
    <n v="103.18"/>
    <n v="16611.98"/>
    <n v="462.82"/>
    <n v="2.7860616254052797E-2"/>
    <n v="7"/>
    <d v="2024-12-21T00:00:00"/>
    <d v="2024-12-22T00:00:00"/>
    <n v="1"/>
    <x v="2"/>
    <b v="0"/>
    <n v="19"/>
    <n v="284"/>
    <x v="4"/>
    <x v="1"/>
  </r>
  <r>
    <s v="PED-00603"/>
    <d v="2024-01-29T00:00:00"/>
    <x v="0"/>
    <x v="2"/>
    <n v="5"/>
    <x v="3"/>
    <x v="6"/>
    <s v="SKU-CON-2600"/>
    <x v="2"/>
    <x v="0"/>
    <x v="0"/>
    <s v="FOB"/>
    <n v="14"/>
    <s v="Unidades"/>
    <n v="145.87"/>
    <n v="3302.8089"/>
    <n v="142.36009999999999"/>
    <n v="4.3102735977246516E-2"/>
    <n v="4"/>
    <d v="2024-02-02T00:00:00"/>
    <d v="2024-02-02T00:00:00"/>
    <n v="0"/>
    <x v="1"/>
    <b v="0"/>
    <n v="229"/>
    <n v="468"/>
    <x v="0"/>
    <x v="0"/>
  </r>
  <r>
    <s v="PED-00604"/>
    <d v="2024-05-21T00:00:00"/>
    <x v="0"/>
    <x v="5"/>
    <n v="21"/>
    <x v="9"/>
    <x v="5"/>
    <s v="SKU-ELE-7971"/>
    <x v="5"/>
    <x v="4"/>
    <x v="1"/>
    <s v="EXW"/>
    <n v="204"/>
    <s v="KG"/>
    <n v="539.91"/>
    <n v="110141.64"/>
    <n v="2429.4899999999998"/>
    <n v="2.2057870211484046E-2"/>
    <n v="1"/>
    <d v="2024-05-22T00:00:00"/>
    <d v="2024-06-03T00:00:00"/>
    <n v="12"/>
    <x v="2"/>
    <b v="0"/>
    <n v="459"/>
    <n v="217"/>
    <x v="1"/>
    <x v="1"/>
  </r>
  <r>
    <s v="PED-00605"/>
    <d v="2024-02-14T00:00:00"/>
    <x v="0"/>
    <x v="9"/>
    <n v="7"/>
    <x v="8"/>
    <x v="2"/>
    <s v="SKU-AUT-3193"/>
    <x v="2"/>
    <x v="4"/>
    <x v="4"/>
    <s v="FCA"/>
    <n v="963"/>
    <s v="Metros"/>
    <n v="775.25"/>
    <n v="746565.75"/>
    <n v="37219.26"/>
    <n v="4.9853961288741151E-2"/>
    <n v="5"/>
    <d v="2024-02-19T00:00:00"/>
    <d v="2024-02-22T00:00:00"/>
    <n v="3"/>
    <x v="1"/>
    <b v="0"/>
    <n v="472"/>
    <n v="435"/>
    <x v="2"/>
    <x v="1"/>
  </r>
  <r>
    <s v="PED-00606"/>
    <d v="2023-09-07T00:00:00"/>
    <x v="1"/>
    <x v="3"/>
    <n v="36"/>
    <x v="1"/>
    <x v="0"/>
    <s v="SKU-MAQ-5170"/>
    <x v="2"/>
    <x v="4"/>
    <x v="0"/>
    <s v="DAP"/>
    <n v="292"/>
    <s v="KG"/>
    <n v="2154.64"/>
    <n v="629154.88"/>
    <n v="18428.3"/>
    <n v="2.9290561967825791E-2"/>
    <n v="23"/>
    <d v="2023-09-30T00:00:00"/>
    <d v="2023-09-30T00:00:00"/>
    <n v="0"/>
    <x v="2"/>
    <b v="0"/>
    <n v="125"/>
    <n v="219"/>
    <x v="2"/>
    <x v="1"/>
  </r>
  <r>
    <s v="PED-00607"/>
    <d v="2023-06-01T00:00:00"/>
    <x v="1"/>
    <x v="10"/>
    <n v="22"/>
    <x v="9"/>
    <x v="6"/>
    <s v="SKU-CON-8817"/>
    <x v="2"/>
    <x v="3"/>
    <x v="0"/>
    <s v="DAP"/>
    <n v="473"/>
    <s v="Palés"/>
    <n v="141.91999999999999"/>
    <n v="67128.160000000003"/>
    <n v="2079.3200000000002"/>
    <n v="3.0975376056784517E-2"/>
    <n v="26"/>
    <d v="2023-06-27T00:00:00"/>
    <d v="2023-07-05T00:00:00"/>
    <n v="8"/>
    <x v="2"/>
    <b v="0"/>
    <n v="470"/>
    <n v="144"/>
    <x v="0"/>
    <x v="0"/>
  </r>
  <r>
    <s v="PED-00608"/>
    <d v="2024-11-02T00:00:00"/>
    <x v="0"/>
    <x v="6"/>
    <n v="44"/>
    <x v="9"/>
    <x v="6"/>
    <s v="SKU-CON-4809"/>
    <x v="4"/>
    <x v="3"/>
    <x v="4"/>
    <s v="DAP"/>
    <n v="122"/>
    <s v="Cajas"/>
    <n v="228.45"/>
    <n v="27870.9"/>
    <n v="1167.8699999999999"/>
    <n v="4.1902844902748024E-2"/>
    <n v="10"/>
    <d v="2024-11-12T00:00:00"/>
    <d v="2024-11-11T00:00:00"/>
    <n v="-1"/>
    <x v="0"/>
    <b v="1"/>
    <n v="497"/>
    <n v="328"/>
    <x v="0"/>
    <x v="0"/>
  </r>
  <r>
    <s v="PED-00609"/>
    <d v="2024-12-05T00:00:00"/>
    <x v="0"/>
    <x v="11"/>
    <n v="49"/>
    <x v="4"/>
    <x v="4"/>
    <s v="SKU-TEX-2373"/>
    <x v="3"/>
    <x v="2"/>
    <x v="1"/>
    <s v="FOB"/>
    <n v="280"/>
    <s v="Palés"/>
    <n v="77.55"/>
    <n v="21714"/>
    <n v="997.68"/>
    <n v="4.5946394031500415E-2"/>
    <n v="22"/>
    <d v="2024-12-27T00:00:00"/>
    <d v="2024-12-27T00:00:00"/>
    <n v="0"/>
    <x v="0"/>
    <b v="1"/>
    <n v="353"/>
    <n v="276"/>
    <x v="3"/>
    <x v="1"/>
  </r>
  <r>
    <s v="PED-00610"/>
    <d v="2023-01-06T00:00:00"/>
    <x v="1"/>
    <x v="2"/>
    <n v="1"/>
    <x v="1"/>
    <x v="7"/>
    <s v="SKU-ALI-5641"/>
    <x v="1"/>
    <x v="4"/>
    <x v="0"/>
    <s v="FOB"/>
    <n v="172"/>
    <s v="Metros"/>
    <n v="87.04"/>
    <n v="14970.88"/>
    <n v="859.18"/>
    <n v="5.7390079941860468E-2"/>
    <n v="5"/>
    <d v="2023-01-11T00:00:00"/>
    <d v="2023-01-11T00:00:00"/>
    <n v="0"/>
    <x v="0"/>
    <b v="1"/>
    <n v="415"/>
    <n v="241"/>
    <x v="0"/>
    <x v="0"/>
  </r>
  <r>
    <s v="PED-00611"/>
    <d v="2023-04-20T00:00:00"/>
    <x v="1"/>
    <x v="1"/>
    <n v="16"/>
    <x v="9"/>
    <x v="1"/>
    <s v="SKU-FAR-9908"/>
    <x v="3"/>
    <x v="0"/>
    <x v="2"/>
    <s v="CIF"/>
    <n v="469"/>
    <s v="Metros"/>
    <n v="153.66"/>
    <n v="72066.539999999994"/>
    <n v="1763.16"/>
    <n v="2.446572292772763E-2"/>
    <n v="4"/>
    <d v="2023-04-24T00:00:00"/>
    <d v="2023-04-24T00:00:00"/>
    <n v="0"/>
    <x v="0"/>
    <b v="1"/>
    <n v="50"/>
    <n v="59"/>
    <x v="4"/>
    <x v="1"/>
  </r>
  <r>
    <s v="PED-00612"/>
    <d v="2024-03-11T00:00:00"/>
    <x v="0"/>
    <x v="8"/>
    <n v="11"/>
    <x v="0"/>
    <x v="2"/>
    <s v="SKU-AUT-7695"/>
    <x v="5"/>
    <x v="1"/>
    <x v="3"/>
    <s v="EXW"/>
    <n v="114"/>
    <s v="KG"/>
    <n v="1182.3800000000001"/>
    <n v="134791.32"/>
    <n v="6769.42"/>
    <n v="5.0221483104401679E-2"/>
    <n v="2"/>
    <d v="2024-03-13T00:00:00"/>
    <d v="2024-03-12T00:00:00"/>
    <n v="-1"/>
    <x v="0"/>
    <b v="1"/>
    <n v="87"/>
    <n v="97"/>
    <x v="0"/>
    <x v="0"/>
  </r>
  <r>
    <s v="PED-00613"/>
    <d v="2023-08-13T00:00:00"/>
    <x v="1"/>
    <x v="4"/>
    <n v="33"/>
    <x v="3"/>
    <x v="6"/>
    <s v="SKU-CON-5223"/>
    <x v="4"/>
    <x v="4"/>
    <x v="3"/>
    <s v="CIF"/>
    <n v="702"/>
    <s v="Litros"/>
    <n v="222.88"/>
    <n v="156461.76000000001"/>
    <n v="4843.67"/>
    <n v="3.0957532370848952E-2"/>
    <n v="20"/>
    <d v="2023-09-02T00:00:00"/>
    <d v="2023-08-30T00:00:00"/>
    <n v="-3"/>
    <x v="0"/>
    <b v="1"/>
    <n v="169"/>
    <n v="330"/>
    <x v="0"/>
    <x v="0"/>
  </r>
  <r>
    <s v="PED-00614"/>
    <d v="2023-06-30T00:00:00"/>
    <x v="1"/>
    <x v="10"/>
    <n v="26"/>
    <x v="3"/>
    <x v="4"/>
    <s v="SKU-TEX-4096"/>
    <x v="0"/>
    <x v="2"/>
    <x v="3"/>
    <s v="FOB"/>
    <n v="565"/>
    <s v="Unidades"/>
    <n v="71.48"/>
    <n v="40386.199999999997"/>
    <n v="2198.56"/>
    <n v="5.4438397274316479E-2"/>
    <n v="10"/>
    <d v="2023-07-10T00:00:00"/>
    <d v="2023-07-10T00:00:00"/>
    <n v="0"/>
    <x v="0"/>
    <b v="1"/>
    <n v="62"/>
    <n v="374"/>
    <x v="0"/>
    <x v="0"/>
  </r>
  <r>
    <s v="PED-00615"/>
    <d v="2024-12-13T00:00:00"/>
    <x v="0"/>
    <x v="11"/>
    <n v="50"/>
    <x v="0"/>
    <x v="3"/>
    <s v="SKU-QUÍ-1089"/>
    <x v="4"/>
    <x v="2"/>
    <x v="1"/>
    <s v="DDP"/>
    <n v="291"/>
    <s v="Cajas"/>
    <n v="106.71"/>
    <n v="31052.61"/>
    <n v="1808.64"/>
    <n v="5.8244379457958607E-2"/>
    <n v="26"/>
    <d v="2025-01-08T00:00:00"/>
    <d v="2025-01-08T00:00:00"/>
    <n v="0"/>
    <x v="0"/>
    <b v="1"/>
    <n v="88"/>
    <n v="403"/>
    <x v="4"/>
    <x v="1"/>
  </r>
  <r>
    <s v="PED-00616"/>
    <d v="2024-06-14T00:00:00"/>
    <x v="0"/>
    <x v="10"/>
    <n v="24"/>
    <x v="4"/>
    <x v="5"/>
    <s v="SKU-ELE-1116"/>
    <x v="2"/>
    <x v="0"/>
    <x v="0"/>
    <s v="CIF"/>
    <n v="696"/>
    <s v="Unidades"/>
    <n v="543.4"/>
    <n v="378206.4"/>
    <n v="20197.189999999999"/>
    <n v="5.3402560083594557E-2"/>
    <n v="19"/>
    <d v="2024-07-03T00:00:00"/>
    <d v="2024-07-03T00:00:00"/>
    <n v="0"/>
    <x v="0"/>
    <b v="1"/>
    <n v="188"/>
    <n v="368"/>
    <x v="0"/>
    <x v="0"/>
  </r>
  <r>
    <s v="PED-00617"/>
    <d v="2024-04-20T00:00:00"/>
    <x v="0"/>
    <x v="1"/>
    <n v="16"/>
    <x v="6"/>
    <x v="5"/>
    <s v="SKU-ELE-9561"/>
    <x v="2"/>
    <x v="5"/>
    <x v="3"/>
    <s v="FCA"/>
    <n v="171"/>
    <s v="Litros"/>
    <n v="521.66"/>
    <n v="89203.86"/>
    <n v="5735.61"/>
    <n v="6.4297778145474868E-2"/>
    <n v="26"/>
    <d v="2024-05-16T00:00:00"/>
    <d v="2024-05-24T00:00:00"/>
    <n v="8"/>
    <x v="1"/>
    <b v="0"/>
    <n v="189"/>
    <n v="180"/>
    <x v="4"/>
    <x v="1"/>
  </r>
  <r>
    <s v="PED-00618"/>
    <d v="2023-02-21T00:00:00"/>
    <x v="1"/>
    <x v="9"/>
    <n v="8"/>
    <x v="4"/>
    <x v="1"/>
    <s v="SKU-FAR-2930"/>
    <x v="5"/>
    <x v="2"/>
    <x v="3"/>
    <s v="FOB"/>
    <n v="992"/>
    <s v="Metros"/>
    <n v="151.97999999999999"/>
    <n v="150764.16"/>
    <n v="6051.15"/>
    <n v="4.0136528469365662E-2"/>
    <n v="1"/>
    <d v="2023-02-22T00:00:00"/>
    <d v="2023-03-06T00:00:00"/>
    <n v="12"/>
    <x v="2"/>
    <b v="0"/>
    <n v="386"/>
    <n v="113"/>
    <x v="0"/>
    <x v="0"/>
  </r>
  <r>
    <s v="PED-00619"/>
    <d v="2024-07-24T00:00:00"/>
    <x v="0"/>
    <x v="7"/>
    <n v="30"/>
    <x v="3"/>
    <x v="7"/>
    <s v="SKU-ALI-9515"/>
    <x v="0"/>
    <x v="3"/>
    <x v="4"/>
    <s v="FOB"/>
    <n v="360"/>
    <s v="Cajas"/>
    <n v="62.79"/>
    <n v="22604.400000000001"/>
    <n v="1489.77"/>
    <n v="6.5906195254021332E-2"/>
    <n v="24"/>
    <d v="2024-08-17T00:00:00"/>
    <d v="2024-08-16T00:00:00"/>
    <n v="-1"/>
    <x v="0"/>
    <b v="1"/>
    <n v="88"/>
    <n v="494"/>
    <x v="2"/>
    <x v="1"/>
  </r>
  <r>
    <s v="PED-00620"/>
    <d v="2023-09-13T00:00:00"/>
    <x v="1"/>
    <x v="3"/>
    <n v="37"/>
    <x v="6"/>
    <x v="4"/>
    <s v="SKU-TEX-1117"/>
    <x v="4"/>
    <x v="3"/>
    <x v="0"/>
    <s v="DDP"/>
    <n v="443"/>
    <s v="Palés"/>
    <n v="82.2"/>
    <n v="36414.6"/>
    <n v="1673.83"/>
    <n v="4.5965903785844142E-2"/>
    <n v="5"/>
    <d v="2023-09-18T00:00:00"/>
    <d v="2023-09-20T00:00:00"/>
    <n v="2"/>
    <x v="2"/>
    <b v="0"/>
    <n v="347"/>
    <n v="102"/>
    <x v="2"/>
    <x v="1"/>
  </r>
  <r>
    <s v="PED-00621"/>
    <d v="2023-05-05T00:00:00"/>
    <x v="1"/>
    <x v="5"/>
    <n v="18"/>
    <x v="4"/>
    <x v="2"/>
    <s v="SKU-AUT-7144"/>
    <x v="0"/>
    <x v="1"/>
    <x v="0"/>
    <s v="DDP"/>
    <n v="861"/>
    <s v="Metros"/>
    <n v="713.48"/>
    <n v="614306.28"/>
    <n v="30132.38"/>
    <n v="4.9051069443730902E-2"/>
    <n v="13"/>
    <d v="2023-05-18T00:00:00"/>
    <d v="2023-05-23T00:00:00"/>
    <n v="5"/>
    <x v="2"/>
    <b v="0"/>
    <n v="331"/>
    <n v="335"/>
    <x v="4"/>
    <x v="1"/>
  </r>
  <r>
    <s v="PED-00622"/>
    <d v="2024-04-12T00:00:00"/>
    <x v="0"/>
    <x v="1"/>
    <n v="15"/>
    <x v="9"/>
    <x v="7"/>
    <s v="SKU-ALI-4365"/>
    <x v="1"/>
    <x v="2"/>
    <x v="4"/>
    <s v="DDP"/>
    <n v="149"/>
    <s v="Metros"/>
    <n v="68.48"/>
    <n v="10203.52"/>
    <n v="600.85"/>
    <n v="5.8886541115222985E-2"/>
    <n v="4"/>
    <d v="2024-04-16T00:00:00"/>
    <d v="2024-04-16T00:00:00"/>
    <n v="0"/>
    <x v="0"/>
    <b v="1"/>
    <n v="25"/>
    <n v="318"/>
    <x v="4"/>
    <x v="1"/>
  </r>
  <r>
    <s v="PED-00623"/>
    <d v="2023-05-17T00:00:00"/>
    <x v="1"/>
    <x v="5"/>
    <n v="20"/>
    <x v="6"/>
    <x v="5"/>
    <s v="SKU-ELE-6175"/>
    <x v="3"/>
    <x v="1"/>
    <x v="0"/>
    <s v="EXW"/>
    <n v="480"/>
    <s v="KG"/>
    <n v="551.96"/>
    <n v="264940.79999999999"/>
    <n v="5590.65"/>
    <n v="2.1101506449742735E-2"/>
    <n v="16"/>
    <d v="2023-06-02T00:00:00"/>
    <d v="2023-05-30T00:00:00"/>
    <n v="-3"/>
    <x v="0"/>
    <b v="1"/>
    <n v="175"/>
    <n v="56"/>
    <x v="0"/>
    <x v="0"/>
  </r>
  <r>
    <s v="PED-00624"/>
    <d v="2024-04-20T00:00:00"/>
    <x v="0"/>
    <x v="1"/>
    <n v="16"/>
    <x v="3"/>
    <x v="7"/>
    <s v="SKU-ALI-7698"/>
    <x v="4"/>
    <x v="2"/>
    <x v="2"/>
    <s v="FCA"/>
    <n v="141"/>
    <s v="Litros"/>
    <n v="105.2"/>
    <n v="14833.2"/>
    <n v="878.71"/>
    <n v="5.9239408893563085E-2"/>
    <n v="24"/>
    <d v="2024-05-14T00:00:00"/>
    <d v="2024-05-11T00:00:00"/>
    <n v="-3"/>
    <x v="0"/>
    <b v="1"/>
    <n v="363"/>
    <n v="284"/>
    <x v="3"/>
    <x v="1"/>
  </r>
  <r>
    <s v="PED-00625"/>
    <d v="2024-11-14T00:00:00"/>
    <x v="0"/>
    <x v="6"/>
    <n v="46"/>
    <x v="0"/>
    <x v="5"/>
    <s v="SKU-ELE-6935"/>
    <x v="0"/>
    <x v="0"/>
    <x v="1"/>
    <s v="FOB"/>
    <n v="96"/>
    <s v="KG"/>
    <n v="374.78"/>
    <n v="35978.879999999997"/>
    <n v="2054.94"/>
    <n v="5.7115174235551527E-2"/>
    <n v="16"/>
    <d v="2024-11-30T00:00:00"/>
    <d v="2024-11-25T00:00:00"/>
    <n v="-5"/>
    <x v="0"/>
    <b v="1"/>
    <n v="263"/>
    <n v="128"/>
    <x v="2"/>
    <x v="1"/>
  </r>
  <r>
    <s v="PED-00626"/>
    <d v="2024-06-27T00:00:00"/>
    <x v="0"/>
    <x v="10"/>
    <n v="26"/>
    <x v="7"/>
    <x v="7"/>
    <s v="SKU-ALI-2746"/>
    <x v="1"/>
    <x v="4"/>
    <x v="4"/>
    <s v="DDP"/>
    <n v="697"/>
    <s v="KG"/>
    <n v="92.92"/>
    <n v="64765.24"/>
    <n v="2499.34"/>
    <n v="3.8590762575727355E-2"/>
    <n v="23"/>
    <d v="2024-07-20T00:00:00"/>
    <d v="2024-07-20T00:00:00"/>
    <n v="0"/>
    <x v="0"/>
    <b v="1"/>
    <n v="388"/>
    <n v="379"/>
    <x v="1"/>
    <x v="1"/>
  </r>
  <r>
    <s v="PED-00627"/>
    <d v="2024-07-26T00:00:00"/>
    <x v="0"/>
    <x v="7"/>
    <n v="30"/>
    <x v="9"/>
    <x v="1"/>
    <s v="SKU-FAR-3535"/>
    <x v="1"/>
    <x v="2"/>
    <x v="3"/>
    <s v="EXW"/>
    <n v="192"/>
    <s v="Unidades"/>
    <n v="159.07"/>
    <n v="30541.439999999999"/>
    <n v="768.05"/>
    <n v="2.514779918694076E-2"/>
    <n v="2"/>
    <d v="2024-07-28T00:00:00"/>
    <d v="2024-08-02T00:00:00"/>
    <n v="5"/>
    <x v="1"/>
    <b v="0"/>
    <n v="394"/>
    <n v="465"/>
    <x v="1"/>
    <x v="1"/>
  </r>
  <r>
    <s v="PED-00628"/>
    <d v="2024-09-01T00:00:00"/>
    <x v="0"/>
    <x v="3"/>
    <n v="36"/>
    <x v="9"/>
    <x v="0"/>
    <s v="SKU-MAQ-7980"/>
    <x v="3"/>
    <x v="5"/>
    <x v="0"/>
    <s v="DAP"/>
    <n v="377"/>
    <s v="Metros"/>
    <n v="1093.75"/>
    <n v="412343.75"/>
    <n v="10496.67"/>
    <n v="2.5456115195149679E-2"/>
    <n v="17"/>
    <d v="2024-09-18T00:00:00"/>
    <d v="2024-09-21T00:00:00"/>
    <n v="3"/>
    <x v="1"/>
    <b v="0"/>
    <n v="41"/>
    <n v="314"/>
    <x v="0"/>
    <x v="0"/>
  </r>
  <r>
    <s v="PED-00629"/>
    <d v="2023-11-21T00:00:00"/>
    <x v="1"/>
    <x v="6"/>
    <n v="47"/>
    <x v="7"/>
    <x v="1"/>
    <s v="SKU-FAR-5155"/>
    <x v="1"/>
    <x v="3"/>
    <x v="2"/>
    <s v="FCA"/>
    <n v="138"/>
    <s v="Litros"/>
    <n v="148.44"/>
    <n v="20484.72"/>
    <n v="1544.41"/>
    <n v="7.5393268738845345E-2"/>
    <n v="28"/>
    <d v="2023-12-19T00:00:00"/>
    <d v="2023-12-27T00:00:00"/>
    <n v="8"/>
    <x v="1"/>
    <b v="0"/>
    <n v="482"/>
    <n v="447"/>
    <x v="0"/>
    <x v="0"/>
  </r>
  <r>
    <s v="PED-00630"/>
    <d v="2024-03-29T00:00:00"/>
    <x v="0"/>
    <x v="8"/>
    <n v="13"/>
    <x v="8"/>
    <x v="1"/>
    <s v="SKU-FAR-5281"/>
    <x v="5"/>
    <x v="0"/>
    <x v="2"/>
    <s v="DAP"/>
    <n v="255"/>
    <s v="KG"/>
    <n v="273.47000000000003"/>
    <n v="69734.850000000006"/>
    <n v="4278.7"/>
    <n v="6.1356696113922943E-2"/>
    <n v="27"/>
    <d v="2024-04-25T00:00:00"/>
    <d v="2024-04-26T00:00:00"/>
    <n v="1"/>
    <x v="1"/>
    <b v="0"/>
    <n v="474"/>
    <n v="85"/>
    <x v="0"/>
    <x v="0"/>
  </r>
  <r>
    <s v="PED-00631"/>
    <d v="2024-09-19T00:00:00"/>
    <x v="0"/>
    <x v="3"/>
    <n v="38"/>
    <x v="2"/>
    <x v="0"/>
    <s v="SKU-MAQ-9783"/>
    <x v="1"/>
    <x v="4"/>
    <x v="1"/>
    <s v="DAP"/>
    <n v="610"/>
    <s v="Palés"/>
    <n v="1191.57"/>
    <n v="726857.7"/>
    <n v="20080.28"/>
    <n v="2.762615020794304E-2"/>
    <n v="20"/>
    <d v="2024-10-09T00:00:00"/>
    <d v="2024-10-21T00:00:00"/>
    <n v="12"/>
    <x v="2"/>
    <b v="0"/>
    <n v="118"/>
    <n v="199"/>
    <x v="0"/>
    <x v="0"/>
  </r>
  <r>
    <s v="PED-00632"/>
    <d v="2024-05-31T00:00:00"/>
    <x v="0"/>
    <x v="5"/>
    <n v="22"/>
    <x v="5"/>
    <x v="0"/>
    <s v="SKU-MAQ-7939"/>
    <x v="0"/>
    <x v="4"/>
    <x v="2"/>
    <s v="FOB"/>
    <n v="587"/>
    <s v="Cajas"/>
    <n v="1104.18"/>
    <n v="648153.66"/>
    <n v="26835.759999999998"/>
    <n v="4.1403391905555233E-2"/>
    <n v="24"/>
    <d v="2024-06-24T00:00:00"/>
    <d v="2024-06-29T00:00:00"/>
    <n v="5"/>
    <x v="1"/>
    <b v="0"/>
    <n v="168"/>
    <n v="70"/>
    <x v="0"/>
    <x v="0"/>
  </r>
  <r>
    <s v="PED-00633"/>
    <d v="2024-03-12T00:00:00"/>
    <x v="0"/>
    <x v="8"/>
    <n v="11"/>
    <x v="1"/>
    <x v="6"/>
    <s v="SKU-CON-6990"/>
    <x v="5"/>
    <x v="3"/>
    <x v="0"/>
    <s v="EXW"/>
    <n v="679"/>
    <s v="Litros"/>
    <n v="210.06"/>
    <n v="142630.74"/>
    <n v="7922.99"/>
    <n v="5.5548965110887041E-2"/>
    <n v="12"/>
    <d v="2024-03-24T00:00:00"/>
    <d v="2024-03-25T00:00:00"/>
    <n v="1"/>
    <x v="1"/>
    <b v="0"/>
    <n v="107"/>
    <n v="344"/>
    <x v="2"/>
    <x v="1"/>
  </r>
  <r>
    <s v="PED-00634"/>
    <d v="2024-07-15T00:00:00"/>
    <x v="0"/>
    <x v="7"/>
    <n v="29"/>
    <x v="4"/>
    <x v="6"/>
    <s v="SKU-CON-5514"/>
    <x v="1"/>
    <x v="4"/>
    <x v="0"/>
    <s v="EXW"/>
    <n v="908"/>
    <s v="Unidades"/>
    <n v="275.04000000000002"/>
    <n v="249736.32000000001"/>
    <n v="17515.080000000002"/>
    <n v="7.0134292040500965E-2"/>
    <n v="18"/>
    <d v="2024-08-02T00:00:00"/>
    <d v="2024-08-03T00:00:00"/>
    <n v="1"/>
    <x v="2"/>
    <b v="0"/>
    <n v="485"/>
    <n v="477"/>
    <x v="0"/>
    <x v="0"/>
  </r>
  <r>
    <s v="PED-00635"/>
    <d v="2024-04-01T00:00:00"/>
    <x v="0"/>
    <x v="1"/>
    <n v="14"/>
    <x v="2"/>
    <x v="4"/>
    <s v="SKU-TEX-7511"/>
    <x v="2"/>
    <x v="1"/>
    <x v="2"/>
    <s v="DAP"/>
    <n v="387"/>
    <s v="Litros"/>
    <n v="54.6"/>
    <n v="21130.2"/>
    <n v="477.96"/>
    <n v="2.2619757503478433E-2"/>
    <n v="3"/>
    <d v="2024-04-04T00:00:00"/>
    <d v="2024-04-06T00:00:00"/>
    <n v="2"/>
    <x v="1"/>
    <b v="0"/>
    <n v="146"/>
    <n v="97"/>
    <x v="1"/>
    <x v="1"/>
  </r>
  <r>
    <s v="PED-00636"/>
    <d v="2023-06-12T00:00:00"/>
    <x v="1"/>
    <x v="10"/>
    <n v="24"/>
    <x v="4"/>
    <x v="2"/>
    <s v="SKU-AUT-4337"/>
    <x v="1"/>
    <x v="0"/>
    <x v="0"/>
    <s v="FCA"/>
    <n v="158"/>
    <s v="Metros"/>
    <n v="829.9"/>
    <n v="131124.20000000001"/>
    <n v="4484.18"/>
    <n v="3.4197958881731973E-2"/>
    <n v="28"/>
    <d v="2023-07-10T00:00:00"/>
    <d v="2023-07-05T00:00:00"/>
    <n v="-5"/>
    <x v="0"/>
    <b v="1"/>
    <n v="175"/>
    <n v="299"/>
    <x v="2"/>
    <x v="1"/>
  </r>
  <r>
    <s v="PED-00637"/>
    <d v="2024-05-01T00:00:00"/>
    <x v="0"/>
    <x v="5"/>
    <n v="18"/>
    <x v="2"/>
    <x v="2"/>
    <s v="SKU-AUT-7770"/>
    <x v="5"/>
    <x v="5"/>
    <x v="0"/>
    <s v="CIF"/>
    <n v="994"/>
    <s v="Unidades"/>
    <n v="585.54999999999995"/>
    <n v="582036.69999999995"/>
    <n v="42712.73"/>
    <n v="7.3384942908239298E-2"/>
    <n v="1"/>
    <d v="2024-05-02T00:00:00"/>
    <d v="2024-05-07T00:00:00"/>
    <n v="5"/>
    <x v="2"/>
    <b v="0"/>
    <n v="436"/>
    <n v="175"/>
    <x v="3"/>
    <x v="1"/>
  </r>
  <r>
    <s v="PED-00638"/>
    <d v="2024-04-05T00:00:00"/>
    <x v="0"/>
    <x v="1"/>
    <n v="14"/>
    <x v="6"/>
    <x v="4"/>
    <s v="SKU-TEX-8904"/>
    <x v="1"/>
    <x v="3"/>
    <x v="3"/>
    <s v="DAP"/>
    <n v="861"/>
    <s v="Cajas"/>
    <n v="63.56"/>
    <n v="54725.16"/>
    <n v="1124.5999999999999"/>
    <n v="2.0549962759359677E-2"/>
    <n v="1"/>
    <d v="2024-04-06T00:00:00"/>
    <d v="2024-04-11T00:00:00"/>
    <n v="5"/>
    <x v="1"/>
    <b v="0"/>
    <n v="438"/>
    <n v="232"/>
    <x v="3"/>
    <x v="1"/>
  </r>
  <r>
    <s v="PED-00639"/>
    <d v="2023-09-23T00:00:00"/>
    <x v="1"/>
    <x v="3"/>
    <n v="38"/>
    <x v="0"/>
    <x v="1"/>
    <s v="SKU-FAR-3928"/>
    <x v="1"/>
    <x v="2"/>
    <x v="4"/>
    <s v="FOB"/>
    <n v="442"/>
    <s v="Palés"/>
    <n v="232.42"/>
    <n v="102729.64"/>
    <n v="3295.97"/>
    <n v="3.208392436691105E-2"/>
    <n v="29"/>
    <d v="2023-10-22T00:00:00"/>
    <d v="2023-10-24T00:00:00"/>
    <n v="2"/>
    <x v="2"/>
    <b v="0"/>
    <n v="375"/>
    <n v="371"/>
    <x v="0"/>
    <x v="0"/>
  </r>
  <r>
    <s v="PED-00640"/>
    <d v="2023-09-11T00:00:00"/>
    <x v="1"/>
    <x v="3"/>
    <n v="37"/>
    <x v="1"/>
    <x v="1"/>
    <s v="SKU-FAR-7065"/>
    <x v="1"/>
    <x v="2"/>
    <x v="0"/>
    <s v="DAP"/>
    <n v="637"/>
    <s v="KG"/>
    <n v="231.35"/>
    <n v="147369.95000000001"/>
    <n v="11427.28"/>
    <n v="7.7541452650285891E-2"/>
    <n v="19"/>
    <d v="2023-09-30T00:00:00"/>
    <d v="2023-09-30T00:00:00"/>
    <n v="0"/>
    <x v="0"/>
    <b v="1"/>
    <n v="188"/>
    <n v="74"/>
    <x v="0"/>
    <x v="0"/>
  </r>
  <r>
    <s v="PED-00641"/>
    <d v="2024-10-14T00:00:00"/>
    <x v="0"/>
    <x v="0"/>
    <n v="42"/>
    <x v="1"/>
    <x v="5"/>
    <s v="SKU-ELE-8925"/>
    <x v="5"/>
    <x v="2"/>
    <x v="0"/>
    <s v="FCA"/>
    <n v="735"/>
    <s v="Litros"/>
    <n v="482.97"/>
    <n v="354982.95"/>
    <n v="20164.490000000002"/>
    <n v="5.680410847901287E-2"/>
    <n v="11"/>
    <d v="2024-10-25T00:00:00"/>
    <d v="2024-10-25T00:00:00"/>
    <n v="0"/>
    <x v="2"/>
    <b v="0"/>
    <n v="159"/>
    <n v="142"/>
    <x v="1"/>
    <x v="1"/>
  </r>
  <r>
    <s v="PED-00642"/>
    <d v="2023-10-11T00:00:00"/>
    <x v="1"/>
    <x v="0"/>
    <n v="41"/>
    <x v="4"/>
    <x v="5"/>
    <s v="SKU-ELE-5157"/>
    <x v="1"/>
    <x v="0"/>
    <x v="1"/>
    <s v="FCA"/>
    <n v="478"/>
    <s v="Unidades"/>
    <n v="476.21"/>
    <n v="227628.38"/>
    <n v="8126.4"/>
    <n v="3.5700293610137712E-2"/>
    <n v="5"/>
    <d v="2023-10-16T00:00:00"/>
    <d v="2023-10-16T00:00:00"/>
    <n v="0"/>
    <x v="0"/>
    <b v="1"/>
    <n v="301"/>
    <n v="418"/>
    <x v="0"/>
    <x v="0"/>
  </r>
  <r>
    <s v="PED-00643"/>
    <d v="2024-06-17T00:00:00"/>
    <x v="0"/>
    <x v="10"/>
    <n v="25"/>
    <x v="7"/>
    <x v="2"/>
    <s v="SKU-AUT-6024"/>
    <x v="3"/>
    <x v="5"/>
    <x v="4"/>
    <s v="DAP"/>
    <n v="455"/>
    <s v="Cajas"/>
    <n v="628.24"/>
    <n v="285849.2"/>
    <n v="6865.95"/>
    <n v="2.4019483000127337E-2"/>
    <n v="12"/>
    <d v="2024-06-29T00:00:00"/>
    <d v="2024-06-29T00:00:00"/>
    <n v="0"/>
    <x v="0"/>
    <b v="1"/>
    <n v="347"/>
    <n v="22"/>
    <x v="0"/>
    <x v="0"/>
  </r>
  <r>
    <s v="PED-00644"/>
    <d v="2024-05-11T00:00:00"/>
    <x v="0"/>
    <x v="5"/>
    <n v="19"/>
    <x v="6"/>
    <x v="4"/>
    <s v="SKU-TEX-6641"/>
    <x v="0"/>
    <x v="4"/>
    <x v="4"/>
    <s v="EXW"/>
    <n v="490"/>
    <s v="KG"/>
    <n v="59.61"/>
    <n v="29208.9"/>
    <n v="633.58000000000004"/>
    <n v="2.1691333805792072E-2"/>
    <n v="3"/>
    <d v="2024-05-14T00:00:00"/>
    <d v="2024-05-15T00:00:00"/>
    <n v="1"/>
    <x v="1"/>
    <b v="0"/>
    <n v="419"/>
    <n v="180"/>
    <x v="1"/>
    <x v="1"/>
  </r>
  <r>
    <s v="PED-00645"/>
    <d v="2024-10-03T00:00:00"/>
    <x v="0"/>
    <x v="0"/>
    <n v="40"/>
    <x v="8"/>
    <x v="3"/>
    <s v="SKU-QUÍ-7522"/>
    <x v="3"/>
    <x v="5"/>
    <x v="4"/>
    <s v="DAP"/>
    <n v="893"/>
    <s v="Cajas"/>
    <n v="93.55"/>
    <n v="83540.149999999994"/>
    <n v="2897.57"/>
    <n v="3.4684759364209908E-2"/>
    <n v="1"/>
    <d v="2024-10-04T00:00:00"/>
    <d v="2024-10-04T00:00:00"/>
    <n v="0"/>
    <x v="0"/>
    <b v="1"/>
    <n v="401"/>
    <n v="44"/>
    <x v="0"/>
    <x v="0"/>
  </r>
  <r>
    <s v="PED-00646"/>
    <d v="2023-09-02T00:00:00"/>
    <x v="1"/>
    <x v="3"/>
    <n v="35"/>
    <x v="1"/>
    <x v="6"/>
    <s v="SKU-CON-3262"/>
    <x v="5"/>
    <x v="5"/>
    <x v="2"/>
    <s v="DDP"/>
    <n v="303"/>
    <s v="Palés"/>
    <n v="262.66000000000003"/>
    <n v="79585.98"/>
    <n v="5800.95"/>
    <n v="7.2889094285199477E-2"/>
    <n v="1"/>
    <d v="2023-09-03T00:00:00"/>
    <d v="2023-09-03T00:00:00"/>
    <n v="0"/>
    <x v="0"/>
    <b v="1"/>
    <n v="73"/>
    <n v="468"/>
    <x v="0"/>
    <x v="0"/>
  </r>
  <r>
    <s v="PED-00647"/>
    <d v="2023-10-09T00:00:00"/>
    <x v="1"/>
    <x v="0"/>
    <n v="41"/>
    <x v="5"/>
    <x v="3"/>
    <s v="SKU-QUÍ-2951"/>
    <x v="2"/>
    <x v="3"/>
    <x v="3"/>
    <s v="DDP"/>
    <n v="774"/>
    <s v="KG"/>
    <n v="176.76"/>
    <n v="136812.24"/>
    <n v="6150.37"/>
    <n v="4.495482275562479E-2"/>
    <n v="8"/>
    <d v="2023-10-17T00:00:00"/>
    <d v="2023-10-29T00:00:00"/>
    <n v="12"/>
    <x v="1"/>
    <b v="0"/>
    <n v="351"/>
    <n v="91"/>
    <x v="0"/>
    <x v="0"/>
  </r>
  <r>
    <s v="PED-00648"/>
    <d v="2024-03-26T00:00:00"/>
    <x v="0"/>
    <x v="8"/>
    <n v="13"/>
    <x v="4"/>
    <x v="4"/>
    <s v="SKU-TEX-4764"/>
    <x v="3"/>
    <x v="0"/>
    <x v="3"/>
    <s v="CIF"/>
    <n v="152"/>
    <s v="KG"/>
    <n v="88.56"/>
    <n v="13461.12"/>
    <n v="851.01"/>
    <n v="6.3219850948509487E-2"/>
    <n v="10"/>
    <d v="2024-04-05T00:00:00"/>
    <d v="2024-04-07T00:00:00"/>
    <n v="2"/>
    <x v="1"/>
    <b v="0"/>
    <n v="17"/>
    <n v="268"/>
    <x v="3"/>
    <x v="1"/>
  </r>
  <r>
    <s v="PED-00649"/>
    <d v="2023-03-21T00:00:00"/>
    <x v="1"/>
    <x v="8"/>
    <n v="12"/>
    <x v="9"/>
    <x v="5"/>
    <s v="SKU-ELE-8317"/>
    <x v="0"/>
    <x v="2"/>
    <x v="1"/>
    <s v="FOB"/>
    <n v="259"/>
    <s v="KG"/>
    <n v="696.03"/>
    <n v="180271.77"/>
    <n v="13537.89"/>
    <n v="7.5097115871220435E-2"/>
    <n v="11"/>
    <d v="2023-04-01T00:00:00"/>
    <d v="2023-04-06T00:00:00"/>
    <n v="5"/>
    <x v="2"/>
    <b v="0"/>
    <n v="139"/>
    <n v="33"/>
    <x v="0"/>
    <x v="0"/>
  </r>
  <r>
    <s v="PED-00650"/>
    <d v="2024-12-31T00:00:00"/>
    <x v="0"/>
    <x v="11"/>
    <n v="53"/>
    <x v="5"/>
    <x v="2"/>
    <s v="SKU-AUT-3650"/>
    <x v="4"/>
    <x v="3"/>
    <x v="4"/>
    <s v="FOB"/>
    <n v="887"/>
    <s v="Unidades"/>
    <n v="944.51"/>
    <n v="837780.37"/>
    <n v="37266.5"/>
    <n v="4.448242204576839E-2"/>
    <n v="12"/>
    <d v="2025-01-12T00:00:00"/>
    <d v="2025-01-20T00:00:00"/>
    <n v="8"/>
    <x v="2"/>
    <b v="0"/>
    <n v="114"/>
    <n v="165"/>
    <x v="0"/>
    <x v="0"/>
  </r>
  <r>
    <s v="PED-00651"/>
    <d v="2023-10-20T00:00:00"/>
    <x v="1"/>
    <x v="0"/>
    <n v="42"/>
    <x v="3"/>
    <x v="2"/>
    <s v="SKU-AUT-2642"/>
    <x v="0"/>
    <x v="4"/>
    <x v="4"/>
    <s v="EXW"/>
    <n v="957"/>
    <s v="KG"/>
    <n v="1008.55"/>
    <n v="965182.35"/>
    <n v="30380.7"/>
    <n v="3.1476642729739102E-2"/>
    <n v="29"/>
    <d v="2023-11-18T00:00:00"/>
    <d v="2023-11-19T00:00:00"/>
    <n v="1"/>
    <x v="1"/>
    <b v="0"/>
    <n v="327"/>
    <n v="69"/>
    <x v="4"/>
    <x v="1"/>
  </r>
  <r>
    <s v="PED-00652"/>
    <d v="2023-08-29T00:00:00"/>
    <x v="1"/>
    <x v="4"/>
    <n v="35"/>
    <x v="4"/>
    <x v="5"/>
    <s v="SKU-ELE-4513"/>
    <x v="3"/>
    <x v="5"/>
    <x v="0"/>
    <s v="FOB"/>
    <n v="984"/>
    <s v="Cajas"/>
    <n v="464.08"/>
    <n v="456654.72"/>
    <n v="23301.759999999998"/>
    <n v="5.1027086723203038E-2"/>
    <n v="13"/>
    <d v="2023-09-11T00:00:00"/>
    <d v="2023-09-11T00:00:00"/>
    <n v="0"/>
    <x v="0"/>
    <b v="1"/>
    <n v="224"/>
    <n v="363"/>
    <x v="2"/>
    <x v="1"/>
  </r>
  <r>
    <s v="PED-00653"/>
    <d v="2023-10-06T00:00:00"/>
    <x v="1"/>
    <x v="0"/>
    <n v="40"/>
    <x v="4"/>
    <x v="3"/>
    <s v="SKU-QUÍ-9328"/>
    <x v="4"/>
    <x v="2"/>
    <x v="2"/>
    <s v="CIF"/>
    <n v="311"/>
    <s v="Unidades"/>
    <n v="144.55000000000001"/>
    <n v="44955.05"/>
    <n v="3348.48"/>
    <n v="7.4485068974453367E-2"/>
    <n v="12"/>
    <d v="2023-10-18T00:00:00"/>
    <d v="2023-10-18T00:00:00"/>
    <n v="0"/>
    <x v="0"/>
    <b v="1"/>
    <n v="45"/>
    <n v="195"/>
    <x v="2"/>
    <x v="1"/>
  </r>
  <r>
    <s v="PED-00654"/>
    <d v="2023-12-10T00:00:00"/>
    <x v="1"/>
    <x v="11"/>
    <n v="50"/>
    <x v="9"/>
    <x v="7"/>
    <s v="SKU-ALI-7562"/>
    <x v="5"/>
    <x v="0"/>
    <x v="2"/>
    <s v="DDP"/>
    <n v="34"/>
    <s v="KG"/>
    <n v="85.16"/>
    <n v="3302.8089"/>
    <n v="197.65"/>
    <n v="5.9843002118590637E-2"/>
    <n v="14"/>
    <d v="2023-12-24T00:00:00"/>
    <d v="2023-12-24T00:00:00"/>
    <n v="0"/>
    <x v="0"/>
    <b v="1"/>
    <n v="438"/>
    <n v="132"/>
    <x v="3"/>
    <x v="1"/>
  </r>
  <r>
    <s v="PED-00655"/>
    <d v="2023-11-24T00:00:00"/>
    <x v="1"/>
    <x v="6"/>
    <n v="47"/>
    <x v="6"/>
    <x v="7"/>
    <s v="SKU-ALI-6544"/>
    <x v="0"/>
    <x v="1"/>
    <x v="1"/>
    <s v="EXW"/>
    <n v="798"/>
    <s v="Cajas"/>
    <n v="86.85"/>
    <n v="69306.3"/>
    <n v="1659.87"/>
    <n v="2.3949770800057134E-2"/>
    <n v="2"/>
    <d v="2023-11-26T00:00:00"/>
    <d v="2023-11-26T00:00:00"/>
    <n v="0"/>
    <x v="0"/>
    <b v="1"/>
    <n v="37"/>
    <n v="246"/>
    <x v="0"/>
    <x v="0"/>
  </r>
  <r>
    <s v="PED-00656"/>
    <d v="2024-07-07T00:00:00"/>
    <x v="0"/>
    <x v="7"/>
    <n v="28"/>
    <x v="9"/>
    <x v="5"/>
    <s v="SKU-ELE-1852"/>
    <x v="2"/>
    <x v="5"/>
    <x v="3"/>
    <s v="FCA"/>
    <n v="993"/>
    <s v="Cajas"/>
    <n v="653.11"/>
    <n v="648538.23"/>
    <n v="39920.36"/>
    <n v="6.1554366656226267E-2"/>
    <n v="29"/>
    <d v="2024-08-05T00:00:00"/>
    <d v="2024-08-17T00:00:00"/>
    <n v="12"/>
    <x v="1"/>
    <b v="0"/>
    <n v="205"/>
    <n v="381"/>
    <x v="0"/>
    <x v="0"/>
  </r>
  <r>
    <s v="PED-00657"/>
    <d v="2023-03-24T00:00:00"/>
    <x v="1"/>
    <x v="8"/>
    <n v="12"/>
    <x v="1"/>
    <x v="7"/>
    <s v="SKU-ALI-3633"/>
    <x v="4"/>
    <x v="5"/>
    <x v="4"/>
    <s v="DDP"/>
    <n v="898"/>
    <s v="Litros"/>
    <n v="74.040000000000006"/>
    <n v="66487.92"/>
    <n v="3611.22"/>
    <n v="5.4313926499731074E-2"/>
    <n v="19"/>
    <d v="2023-04-12T00:00:00"/>
    <d v="2023-04-15T00:00:00"/>
    <n v="3"/>
    <x v="2"/>
    <b v="0"/>
    <n v="385"/>
    <n v="167"/>
    <x v="1"/>
    <x v="1"/>
  </r>
  <r>
    <s v="PED-00658"/>
    <d v="2023-05-22T00:00:00"/>
    <x v="1"/>
    <x v="5"/>
    <n v="21"/>
    <x v="0"/>
    <x v="0"/>
    <s v="SKU-MAQ-7375"/>
    <x v="4"/>
    <x v="5"/>
    <x v="1"/>
    <s v="CIF"/>
    <n v="899"/>
    <s v="Cajas"/>
    <n v="1431.65"/>
    <n v="1287053.3500000001"/>
    <n v="95818.28"/>
    <n v="7.4447791927195556E-2"/>
    <n v="18"/>
    <d v="2023-06-09T00:00:00"/>
    <d v="2023-06-14T00:00:00"/>
    <n v="5"/>
    <x v="1"/>
    <b v="0"/>
    <n v="8"/>
    <n v="453"/>
    <x v="0"/>
    <x v="0"/>
  </r>
  <r>
    <s v="PED-00659"/>
    <d v="2023-06-04T00:00:00"/>
    <x v="1"/>
    <x v="10"/>
    <n v="23"/>
    <x v="4"/>
    <x v="4"/>
    <s v="SKU-TEX-1086"/>
    <x v="0"/>
    <x v="5"/>
    <x v="2"/>
    <s v="EXW"/>
    <n v="910"/>
    <s v="Metros"/>
    <n v="86.38"/>
    <n v="78605.8"/>
    <n v="2149.7800000000002"/>
    <n v="2.7348872475059093E-2"/>
    <n v="3"/>
    <d v="2023-06-07T00:00:00"/>
    <d v="2023-06-10T00:00:00"/>
    <n v="3"/>
    <x v="1"/>
    <b v="0"/>
    <n v="252"/>
    <n v="276"/>
    <x v="4"/>
    <x v="1"/>
  </r>
  <r>
    <s v="PED-00660"/>
    <d v="2023-08-25T00:00:00"/>
    <x v="1"/>
    <x v="4"/>
    <n v="34"/>
    <x v="3"/>
    <x v="4"/>
    <s v="SKU-TEX-2492"/>
    <x v="3"/>
    <x v="2"/>
    <x v="2"/>
    <s v="DAP"/>
    <n v="79"/>
    <s v="Palés"/>
    <n v="44.7"/>
    <n v="3531.3"/>
    <n v="183.78"/>
    <n v="5.2043156911052588E-2"/>
    <n v="23"/>
    <d v="2023-09-17T00:00:00"/>
    <d v="2023-09-22T00:00:00"/>
    <n v="5"/>
    <x v="1"/>
    <b v="0"/>
    <n v="107"/>
    <n v="155"/>
    <x v="0"/>
    <x v="0"/>
  </r>
  <r>
    <s v="PED-00661"/>
    <d v="2024-01-28T00:00:00"/>
    <x v="0"/>
    <x v="2"/>
    <n v="5"/>
    <x v="7"/>
    <x v="5"/>
    <s v="SKU-ELE-3381"/>
    <x v="4"/>
    <x v="0"/>
    <x v="2"/>
    <s v="FOB"/>
    <n v="634"/>
    <s v="KG"/>
    <n v="544.25"/>
    <n v="345054.5"/>
    <n v="25108.84"/>
    <n v="7.2767751181335119E-2"/>
    <n v="17"/>
    <d v="2024-02-14T00:00:00"/>
    <d v="2024-02-16T00:00:00"/>
    <n v="2"/>
    <x v="2"/>
    <b v="0"/>
    <n v="388"/>
    <n v="386"/>
    <x v="0"/>
    <x v="0"/>
  </r>
  <r>
    <s v="PED-00662"/>
    <d v="2024-12-11T00:00:00"/>
    <x v="0"/>
    <x v="11"/>
    <n v="50"/>
    <x v="4"/>
    <x v="1"/>
    <s v="SKU-FAR-8727"/>
    <x v="5"/>
    <x v="3"/>
    <x v="4"/>
    <s v="CIF"/>
    <n v="884"/>
    <s v="KG"/>
    <n v="286.05"/>
    <n v="252868.2"/>
    <n v="11278.28"/>
    <n v="4.4601416864595865E-2"/>
    <n v="26"/>
    <d v="2025-01-06T00:00:00"/>
    <d v="2025-01-11T00:00:00"/>
    <n v="5"/>
    <x v="2"/>
    <b v="0"/>
    <n v="97"/>
    <n v="22"/>
    <x v="2"/>
    <x v="1"/>
  </r>
  <r>
    <s v="PED-00663"/>
    <d v="2023-06-06T00:00:00"/>
    <x v="1"/>
    <x v="10"/>
    <n v="23"/>
    <x v="9"/>
    <x v="6"/>
    <s v="SKU-CON-8133"/>
    <x v="0"/>
    <x v="2"/>
    <x v="4"/>
    <s v="EXW"/>
    <n v="121"/>
    <s v="KG"/>
    <n v="237.66"/>
    <n v="28756.86"/>
    <n v="1406.78"/>
    <n v="4.891980556987098E-2"/>
    <n v="8"/>
    <d v="2023-06-14T00:00:00"/>
    <d v="2023-06-17T00:00:00"/>
    <n v="3"/>
    <x v="2"/>
    <b v="0"/>
    <n v="274"/>
    <n v="199"/>
    <x v="0"/>
    <x v="0"/>
  </r>
  <r>
    <s v="PED-00664"/>
    <d v="2024-12-24T00:00:00"/>
    <x v="0"/>
    <x v="11"/>
    <n v="52"/>
    <x v="2"/>
    <x v="3"/>
    <s v="SKU-QUÍ-2444"/>
    <x v="5"/>
    <x v="0"/>
    <x v="4"/>
    <s v="DDP"/>
    <n v="373"/>
    <s v="Cajas"/>
    <n v="136.46"/>
    <n v="50899.58"/>
    <n v="1233.18"/>
    <n v="2.4227704825855144E-2"/>
    <n v="29"/>
    <d v="2025-01-22T00:00:00"/>
    <d v="2025-01-27T00:00:00"/>
    <n v="5"/>
    <x v="1"/>
    <b v="0"/>
    <n v="70"/>
    <n v="274"/>
    <x v="3"/>
    <x v="1"/>
  </r>
  <r>
    <s v="PED-00665"/>
    <d v="2023-08-08T00:00:00"/>
    <x v="1"/>
    <x v="4"/>
    <n v="32"/>
    <x v="4"/>
    <x v="5"/>
    <s v="SKU-ELE-2049"/>
    <x v="0"/>
    <x v="3"/>
    <x v="0"/>
    <s v="EXW"/>
    <n v="312"/>
    <s v="Cajas"/>
    <n v="449.9"/>
    <n v="140368.79999999999"/>
    <n v="5149.9399999999996"/>
    <n v="3.6688637361008997E-2"/>
    <n v="26"/>
    <d v="2023-09-03T00:00:00"/>
    <d v="2023-09-05T00:00:00"/>
    <n v="2"/>
    <x v="1"/>
    <b v="0"/>
    <n v="38"/>
    <n v="458"/>
    <x v="4"/>
    <x v="1"/>
  </r>
  <r>
    <s v="PED-00666"/>
    <d v="2023-03-07T00:00:00"/>
    <x v="1"/>
    <x v="8"/>
    <n v="10"/>
    <x v="4"/>
    <x v="7"/>
    <s v="SKU-ALI-5310"/>
    <x v="5"/>
    <x v="5"/>
    <x v="3"/>
    <s v="DAP"/>
    <n v="480"/>
    <s v="KG"/>
    <n v="77.97"/>
    <n v="37425.599999999999"/>
    <n v="1477.2"/>
    <n v="3.9470309093240993E-2"/>
    <n v="10"/>
    <d v="2023-03-17T00:00:00"/>
    <d v="2023-03-19T00:00:00"/>
    <n v="2"/>
    <x v="1"/>
    <b v="0"/>
    <n v="297"/>
    <n v="49"/>
    <x v="0"/>
    <x v="0"/>
  </r>
  <r>
    <s v="PED-00667"/>
    <d v="2024-02-29T00:00:00"/>
    <x v="0"/>
    <x v="9"/>
    <n v="9"/>
    <x v="3"/>
    <x v="3"/>
    <s v="SKU-QUÍ-4633"/>
    <x v="3"/>
    <x v="0"/>
    <x v="2"/>
    <s v="CIF"/>
    <n v="973"/>
    <s v="Metros"/>
    <n v="165.8"/>
    <n v="161323.4"/>
    <n v="12374.69"/>
    <n v="7.6707346857306513E-2"/>
    <n v="26"/>
    <d v="2024-03-26T00:00:00"/>
    <d v="2024-03-21T00:00:00"/>
    <n v="-5"/>
    <x v="0"/>
    <b v="1"/>
    <n v="400"/>
    <n v="457"/>
    <x v="0"/>
    <x v="0"/>
  </r>
  <r>
    <s v="PED-00668"/>
    <d v="2024-02-22T00:00:00"/>
    <x v="0"/>
    <x v="9"/>
    <n v="8"/>
    <x v="3"/>
    <x v="1"/>
    <s v="SKU-FAR-7075"/>
    <x v="0"/>
    <x v="5"/>
    <x v="2"/>
    <s v="EXW"/>
    <n v="100"/>
    <s v="Unidades"/>
    <n v="229.47"/>
    <n v="22947"/>
    <n v="848.12"/>
    <n v="3.6959951191876936E-2"/>
    <n v="2"/>
    <d v="2024-02-24T00:00:00"/>
    <d v="2024-02-29T00:00:00"/>
    <n v="5"/>
    <x v="2"/>
    <b v="0"/>
    <n v="446"/>
    <n v="185"/>
    <x v="0"/>
    <x v="0"/>
  </r>
  <r>
    <s v="PED-00669"/>
    <d v="2023-12-05T00:00:00"/>
    <x v="1"/>
    <x v="11"/>
    <n v="49"/>
    <x v="4"/>
    <x v="7"/>
    <s v="SKU-ALI-2311"/>
    <x v="2"/>
    <x v="0"/>
    <x v="0"/>
    <s v="FCA"/>
    <n v="539"/>
    <s v="Unidades"/>
    <n v="88.94"/>
    <n v="47938.66"/>
    <n v="2284.38"/>
    <n v="4.7652145470899687E-2"/>
    <n v="19"/>
    <d v="2023-12-24T00:00:00"/>
    <d v="2024-01-01T00:00:00"/>
    <n v="8"/>
    <x v="1"/>
    <b v="0"/>
    <n v="89"/>
    <n v="475"/>
    <x v="1"/>
    <x v="1"/>
  </r>
  <r>
    <s v="PED-00670"/>
    <d v="2024-07-09T00:00:00"/>
    <x v="0"/>
    <x v="7"/>
    <n v="28"/>
    <x v="2"/>
    <x v="2"/>
    <s v="SKU-AUT-1618"/>
    <x v="3"/>
    <x v="4"/>
    <x v="2"/>
    <s v="CIF"/>
    <n v="670"/>
    <s v="Palés"/>
    <n v="623.73"/>
    <n v="417899.1"/>
    <n v="25190.23"/>
    <n v="6.0278258555713574E-2"/>
    <n v="9"/>
    <d v="2024-07-18T00:00:00"/>
    <d v="2024-07-18T00:00:00"/>
    <n v="0"/>
    <x v="0"/>
    <b v="1"/>
    <n v="429"/>
    <n v="19"/>
    <x v="3"/>
    <x v="1"/>
  </r>
  <r>
    <s v="PED-00671"/>
    <d v="2024-04-22T00:00:00"/>
    <x v="0"/>
    <x v="1"/>
    <n v="17"/>
    <x v="0"/>
    <x v="6"/>
    <s v="SKU-CON-7296"/>
    <x v="5"/>
    <x v="1"/>
    <x v="2"/>
    <s v="CIF"/>
    <n v="997"/>
    <s v="Litros"/>
    <n v="142.56"/>
    <n v="142132.32"/>
    <n v="4225.74"/>
    <n v="2.9731028101138431E-2"/>
    <n v="7"/>
    <d v="2024-04-29T00:00:00"/>
    <d v="2024-04-29T00:00:00"/>
    <n v="0"/>
    <x v="0"/>
    <b v="1"/>
    <n v="218"/>
    <n v="491"/>
    <x v="4"/>
    <x v="1"/>
  </r>
  <r>
    <s v="PED-00672"/>
    <d v="2024-03-01T00:00:00"/>
    <x v="0"/>
    <x v="8"/>
    <n v="9"/>
    <x v="8"/>
    <x v="0"/>
    <s v="SKU-MAQ-7564"/>
    <x v="0"/>
    <x v="5"/>
    <x v="4"/>
    <s v="DDP"/>
    <n v="748"/>
    <s v="Palés"/>
    <n v="2206.42"/>
    <n v="1639255.3774000001"/>
    <n v="81177.58"/>
    <n v="4.9521008818500641E-2"/>
    <n v="4"/>
    <d v="2024-03-05T00:00:00"/>
    <d v="2024-03-02T00:00:00"/>
    <n v="-3"/>
    <x v="0"/>
    <b v="1"/>
    <n v="106"/>
    <n v="115"/>
    <x v="4"/>
    <x v="1"/>
  </r>
  <r>
    <s v="PED-00673"/>
    <d v="2023-03-05T00:00:00"/>
    <x v="1"/>
    <x v="8"/>
    <n v="10"/>
    <x v="2"/>
    <x v="7"/>
    <s v="SKU-ALI-9536"/>
    <x v="3"/>
    <x v="5"/>
    <x v="4"/>
    <s v="FOB"/>
    <n v="735"/>
    <s v="KG"/>
    <n v="80.13"/>
    <n v="58895.55"/>
    <n v="3787.71"/>
    <n v="6.4312329199744292E-2"/>
    <n v="26"/>
    <d v="2023-03-31T00:00:00"/>
    <d v="2023-04-02T00:00:00"/>
    <n v="2"/>
    <x v="1"/>
    <b v="0"/>
    <n v="475"/>
    <n v="91"/>
    <x v="0"/>
    <x v="0"/>
  </r>
  <r>
    <s v="PED-00674"/>
    <d v="2023-07-31T00:00:00"/>
    <x v="1"/>
    <x v="7"/>
    <n v="31"/>
    <x v="2"/>
    <x v="0"/>
    <s v="SKU-MAQ-5693"/>
    <x v="5"/>
    <x v="5"/>
    <x v="3"/>
    <s v="FCA"/>
    <n v="881"/>
    <s v="KG"/>
    <n v="1773.86"/>
    <n v="1562770.66"/>
    <n v="96548.6302"/>
    <n v="6.1780421575101753E-2"/>
    <n v="21"/>
    <d v="2023-08-21T00:00:00"/>
    <d v="2023-08-20T00:00:00"/>
    <n v="-1"/>
    <x v="0"/>
    <b v="1"/>
    <n v="403"/>
    <n v="348"/>
    <x v="3"/>
    <x v="1"/>
  </r>
  <r>
    <s v="PED-00675"/>
    <d v="2024-03-06T00:00:00"/>
    <x v="0"/>
    <x v="8"/>
    <n v="10"/>
    <x v="2"/>
    <x v="3"/>
    <s v="SKU-QUÍ-1941"/>
    <x v="1"/>
    <x v="4"/>
    <x v="2"/>
    <s v="DAP"/>
    <n v="672"/>
    <s v="KG"/>
    <n v="91.65"/>
    <n v="61588.800000000003"/>
    <n v="3546.01"/>
    <n v="5.7575565687267814E-2"/>
    <n v="18"/>
    <d v="2024-03-24T00:00:00"/>
    <d v="2024-03-24T00:00:00"/>
    <n v="0"/>
    <x v="0"/>
    <b v="1"/>
    <n v="453"/>
    <n v="455"/>
    <x v="0"/>
    <x v="0"/>
  </r>
  <r>
    <s v="PED-00676"/>
    <d v="2024-02-03T00:00:00"/>
    <x v="0"/>
    <x v="9"/>
    <n v="5"/>
    <x v="0"/>
    <x v="0"/>
    <s v="SKU-MAQ-3871"/>
    <x v="1"/>
    <x v="2"/>
    <x v="1"/>
    <s v="EXW"/>
    <n v="201"/>
    <s v="Litros"/>
    <n v="1869.74"/>
    <n v="375817.74"/>
    <n v="22602.89"/>
    <n v="6.0143222616367176E-2"/>
    <n v="13"/>
    <d v="2024-02-16T00:00:00"/>
    <d v="2024-02-28T00:00:00"/>
    <n v="12"/>
    <x v="2"/>
    <b v="0"/>
    <n v="391"/>
    <n v="338"/>
    <x v="1"/>
    <x v="1"/>
  </r>
  <r>
    <s v="PED-00677"/>
    <d v="2024-08-21T00:00:00"/>
    <x v="0"/>
    <x v="4"/>
    <n v="34"/>
    <x v="6"/>
    <x v="3"/>
    <s v="SKU-QUÍ-9099"/>
    <x v="4"/>
    <x v="3"/>
    <x v="2"/>
    <s v="FOB"/>
    <n v="972"/>
    <s v="Cajas"/>
    <n v="173.53"/>
    <n v="168671.16"/>
    <n v="4651.45"/>
    <n v="2.7577032137562817E-2"/>
    <n v="11"/>
    <d v="2024-09-01T00:00:00"/>
    <d v="2024-09-02T00:00:00"/>
    <n v="1"/>
    <x v="1"/>
    <b v="0"/>
    <n v="95"/>
    <n v="52"/>
    <x v="1"/>
    <x v="1"/>
  </r>
  <r>
    <s v="PED-00678"/>
    <d v="2024-12-13T00:00:00"/>
    <x v="0"/>
    <x v="11"/>
    <n v="50"/>
    <x v="6"/>
    <x v="3"/>
    <s v="SKU-QUÍ-8192"/>
    <x v="2"/>
    <x v="5"/>
    <x v="2"/>
    <s v="DDP"/>
    <n v="561"/>
    <s v="Litros"/>
    <n v="139.26"/>
    <n v="78124.86"/>
    <n v="5995.82"/>
    <n v="7.6746633529967287E-2"/>
    <n v="29"/>
    <d v="2025-01-11T00:00:00"/>
    <d v="2025-01-16T00:00:00"/>
    <n v="5"/>
    <x v="1"/>
    <b v="0"/>
    <n v="402"/>
    <n v="495"/>
    <x v="0"/>
    <x v="0"/>
  </r>
  <r>
    <s v="PED-00679"/>
    <d v="2023-01-21T00:00:00"/>
    <x v="1"/>
    <x v="2"/>
    <n v="3"/>
    <x v="2"/>
    <x v="3"/>
    <s v="SKU-QUÍ-1175"/>
    <x v="1"/>
    <x v="5"/>
    <x v="3"/>
    <s v="FOB"/>
    <n v="251"/>
    <s v="Palés"/>
    <n v="96.11"/>
    <n v="24123.61"/>
    <n v="674.36"/>
    <n v="2.7954356748430272E-2"/>
    <n v="24"/>
    <d v="2023-02-14T00:00:00"/>
    <d v="2023-02-17T00:00:00"/>
    <n v="3"/>
    <x v="2"/>
    <b v="0"/>
    <n v="31"/>
    <n v="122"/>
    <x v="0"/>
    <x v="0"/>
  </r>
  <r>
    <s v="PED-00680"/>
    <d v="2024-08-12T00:00:00"/>
    <x v="0"/>
    <x v="4"/>
    <n v="33"/>
    <x v="8"/>
    <x v="3"/>
    <s v="SKU-QUÍ-4304"/>
    <x v="5"/>
    <x v="2"/>
    <x v="1"/>
    <s v="CIF"/>
    <n v="147"/>
    <s v="Cajas"/>
    <n v="139.85"/>
    <n v="20557.95"/>
    <n v="1366.7"/>
    <n v="6.6480364044080267E-2"/>
    <n v="4"/>
    <d v="2024-08-16T00:00:00"/>
    <d v="2024-08-13T00:00:00"/>
    <n v="-3"/>
    <x v="0"/>
    <b v="1"/>
    <n v="125"/>
    <n v="340"/>
    <x v="2"/>
    <x v="1"/>
  </r>
  <r>
    <s v="PED-00681"/>
    <d v="2024-01-25T00:00:00"/>
    <x v="0"/>
    <x v="2"/>
    <n v="4"/>
    <x v="9"/>
    <x v="3"/>
    <s v="SKU-QUÍ-9489"/>
    <x v="3"/>
    <x v="2"/>
    <x v="2"/>
    <s v="CIF"/>
    <n v="354"/>
    <s v="Cajas"/>
    <n v="157.57"/>
    <n v="55779.78"/>
    <n v="2001.88"/>
    <n v="3.5888990598385295E-2"/>
    <n v="25"/>
    <d v="2024-02-19T00:00:00"/>
    <d v="2024-02-18T00:00:00"/>
    <n v="-1"/>
    <x v="0"/>
    <b v="1"/>
    <n v="146"/>
    <n v="337"/>
    <x v="0"/>
    <x v="0"/>
  </r>
  <r>
    <s v="PED-00682"/>
    <d v="2024-05-03T00:00:00"/>
    <x v="0"/>
    <x v="5"/>
    <n v="18"/>
    <x v="5"/>
    <x v="7"/>
    <s v="SKU-ALI-5685"/>
    <x v="0"/>
    <x v="1"/>
    <x v="1"/>
    <s v="DAP"/>
    <n v="189"/>
    <s v="Palés"/>
    <n v="82.01"/>
    <n v="15499.89"/>
    <n v="1178.23"/>
    <n v="7.601537817365156E-2"/>
    <n v="21"/>
    <d v="2024-05-24T00:00:00"/>
    <d v="2024-05-24T00:00:00"/>
    <n v="0"/>
    <x v="0"/>
    <b v="1"/>
    <n v="279"/>
    <n v="264"/>
    <x v="0"/>
    <x v="0"/>
  </r>
  <r>
    <s v="PED-00683"/>
    <d v="2023-01-07T00:00:00"/>
    <x v="1"/>
    <x v="2"/>
    <n v="1"/>
    <x v="6"/>
    <x v="3"/>
    <s v="SKU-QUÍ-4190"/>
    <x v="3"/>
    <x v="0"/>
    <x v="4"/>
    <s v="FCA"/>
    <n v="721"/>
    <s v="Cajas"/>
    <n v="168.46"/>
    <n v="121459.66"/>
    <n v="7675.96"/>
    <n v="6.319760816060245E-2"/>
    <n v="29"/>
    <d v="2023-02-05T00:00:00"/>
    <d v="2023-02-10T00:00:00"/>
    <n v="5"/>
    <x v="2"/>
    <b v="0"/>
    <n v="23"/>
    <n v="3"/>
    <x v="0"/>
    <x v="0"/>
  </r>
  <r>
    <s v="PED-00684"/>
    <d v="2023-12-27T00:00:00"/>
    <x v="1"/>
    <x v="11"/>
    <n v="52"/>
    <x v="7"/>
    <x v="7"/>
    <s v="SKU-ALI-1550"/>
    <x v="4"/>
    <x v="5"/>
    <x v="4"/>
    <s v="EXW"/>
    <n v="512"/>
    <s v="Unidades"/>
    <n v="97.52"/>
    <n v="49930.239999999998"/>
    <n v="3256.89"/>
    <n v="6.5228807231849872E-2"/>
    <n v="25"/>
    <d v="2024-01-21T00:00:00"/>
    <d v="2024-01-16T00:00:00"/>
    <n v="-5"/>
    <x v="0"/>
    <b v="1"/>
    <n v="439"/>
    <n v="168"/>
    <x v="0"/>
    <x v="0"/>
  </r>
  <r>
    <s v="PED-00685"/>
    <d v="2023-11-02T00:00:00"/>
    <x v="1"/>
    <x v="6"/>
    <n v="44"/>
    <x v="3"/>
    <x v="3"/>
    <s v="SKU-QUÍ-9364"/>
    <x v="3"/>
    <x v="0"/>
    <x v="1"/>
    <s v="EXW"/>
    <n v="212"/>
    <s v="Palés"/>
    <n v="170.33"/>
    <n v="36109.96"/>
    <n v="1196.81"/>
    <n v="3.3143487281625347E-2"/>
    <n v="4"/>
    <d v="2023-11-06T00:00:00"/>
    <d v="2023-11-07T00:00:00"/>
    <n v="1"/>
    <x v="2"/>
    <b v="0"/>
    <n v="208"/>
    <n v="280"/>
    <x v="0"/>
    <x v="0"/>
  </r>
  <r>
    <s v="PED-00686"/>
    <d v="2024-02-04T00:00:00"/>
    <x v="0"/>
    <x v="9"/>
    <n v="6"/>
    <x v="0"/>
    <x v="0"/>
    <s v="SKU-MAQ-9451"/>
    <x v="1"/>
    <x v="2"/>
    <x v="2"/>
    <s v="DDP"/>
    <n v="582"/>
    <s v="Palés"/>
    <n v="1798.21"/>
    <n v="1046558.22"/>
    <n v="48751.19"/>
    <n v="4.6582396534040893E-2"/>
    <n v="10"/>
    <d v="2024-02-14T00:00:00"/>
    <d v="2024-02-11T00:00:00"/>
    <n v="-3"/>
    <x v="0"/>
    <b v="1"/>
    <n v="119"/>
    <n v="289"/>
    <x v="1"/>
    <x v="1"/>
  </r>
  <r>
    <s v="PED-00687"/>
    <d v="2024-03-05T00:00:00"/>
    <x v="0"/>
    <x v="8"/>
    <n v="10"/>
    <x v="0"/>
    <x v="2"/>
    <s v="SKU-AUT-4795"/>
    <x v="3"/>
    <x v="2"/>
    <x v="1"/>
    <s v="DAP"/>
    <n v="201"/>
    <s v="Unidades"/>
    <n v="644.02"/>
    <n v="129448.02"/>
    <n v="7387.44"/>
    <n v="5.7068775559487118E-2"/>
    <n v="5"/>
    <d v="2024-03-10T00:00:00"/>
    <d v="2024-03-10T00:00:00"/>
    <n v="0"/>
    <x v="0"/>
    <b v="1"/>
    <n v="273"/>
    <n v="72"/>
    <x v="3"/>
    <x v="1"/>
  </r>
  <r>
    <s v="PED-00688"/>
    <d v="2024-07-05T00:00:00"/>
    <x v="0"/>
    <x v="7"/>
    <n v="27"/>
    <x v="5"/>
    <x v="3"/>
    <s v="SKU-QUÍ-3776"/>
    <x v="1"/>
    <x v="1"/>
    <x v="1"/>
    <s v="EXW"/>
    <n v="14"/>
    <s v="Litros"/>
    <n v="113.73"/>
    <n v="3302.8089"/>
    <n v="142.36009999999999"/>
    <n v="4.3102735977246516E-2"/>
    <n v="9"/>
    <d v="2024-07-14T00:00:00"/>
    <d v="2024-07-09T00:00:00"/>
    <n v="-5"/>
    <x v="0"/>
    <b v="1"/>
    <n v="139"/>
    <n v="136"/>
    <x v="2"/>
    <x v="1"/>
  </r>
  <r>
    <s v="PED-00689"/>
    <d v="2024-07-13T00:00:00"/>
    <x v="0"/>
    <x v="7"/>
    <n v="28"/>
    <x v="6"/>
    <x v="1"/>
    <s v="SKU-FAR-1590"/>
    <x v="1"/>
    <x v="3"/>
    <x v="4"/>
    <s v="FCA"/>
    <n v="899"/>
    <s v="Litros"/>
    <n v="172.29"/>
    <n v="154888.71"/>
    <n v="4063.9"/>
    <n v="2.623754823705356E-2"/>
    <n v="24"/>
    <d v="2024-08-06T00:00:00"/>
    <d v="2024-08-05T00:00:00"/>
    <n v="-1"/>
    <x v="0"/>
    <b v="1"/>
    <n v="296"/>
    <n v="337"/>
    <x v="0"/>
    <x v="0"/>
  </r>
  <r>
    <s v="PED-00690"/>
    <d v="2024-09-09T00:00:00"/>
    <x v="0"/>
    <x v="3"/>
    <n v="37"/>
    <x v="8"/>
    <x v="3"/>
    <s v="SKU-QUÍ-6893"/>
    <x v="2"/>
    <x v="4"/>
    <x v="1"/>
    <s v="CIF"/>
    <n v="246"/>
    <s v="Litros"/>
    <n v="171.25"/>
    <n v="42127.5"/>
    <n v="3275.07"/>
    <n v="7.7741855082784403E-2"/>
    <n v="3"/>
    <d v="2024-09-12T00:00:00"/>
    <d v="2024-09-24T00:00:00"/>
    <n v="12"/>
    <x v="2"/>
    <b v="0"/>
    <n v="342"/>
    <n v="255"/>
    <x v="3"/>
    <x v="1"/>
  </r>
  <r>
    <s v="PED-00691"/>
    <d v="2023-08-14T00:00:00"/>
    <x v="1"/>
    <x v="4"/>
    <n v="33"/>
    <x v="8"/>
    <x v="3"/>
    <s v="SKU-QUÍ-4919"/>
    <x v="4"/>
    <x v="4"/>
    <x v="0"/>
    <s v="DAP"/>
    <n v="702"/>
    <s v="Cajas"/>
    <n v="157"/>
    <n v="110214"/>
    <n v="8091.17"/>
    <n v="7.3413268731740075E-2"/>
    <n v="17"/>
    <d v="2023-08-31T00:00:00"/>
    <d v="2023-08-28T00:00:00"/>
    <n v="-3"/>
    <x v="0"/>
    <b v="1"/>
    <n v="431"/>
    <n v="458"/>
    <x v="0"/>
    <x v="0"/>
  </r>
  <r>
    <s v="PED-00692"/>
    <d v="2024-05-14T00:00:00"/>
    <x v="0"/>
    <x v="5"/>
    <n v="20"/>
    <x v="3"/>
    <x v="0"/>
    <s v="SKU-MAQ-1004"/>
    <x v="5"/>
    <x v="4"/>
    <x v="0"/>
    <s v="FOB"/>
    <n v="320"/>
    <s v="Unidades"/>
    <n v="1861.68"/>
    <n v="595737.59999999998"/>
    <n v="21578.16"/>
    <n v="3.6220913368570327E-2"/>
    <n v="3"/>
    <d v="2024-05-17T00:00:00"/>
    <d v="2024-05-17T00:00:00"/>
    <n v="0"/>
    <x v="0"/>
    <b v="1"/>
    <n v="81"/>
    <n v="140"/>
    <x v="0"/>
    <x v="0"/>
  </r>
  <r>
    <s v="PED-00693"/>
    <d v="2023-08-13T00:00:00"/>
    <x v="1"/>
    <x v="4"/>
    <n v="33"/>
    <x v="2"/>
    <x v="6"/>
    <s v="SKU-CON-3579"/>
    <x v="1"/>
    <x v="2"/>
    <x v="4"/>
    <s v="DAP"/>
    <n v="558"/>
    <s v="Palés"/>
    <n v="188.15"/>
    <n v="104987.7"/>
    <n v="7282.54"/>
    <n v="6.9365649499893794E-2"/>
    <n v="16"/>
    <d v="2023-08-29T00:00:00"/>
    <d v="2023-08-30T00:00:00"/>
    <n v="1"/>
    <x v="2"/>
    <b v="0"/>
    <n v="447"/>
    <n v="485"/>
    <x v="3"/>
    <x v="1"/>
  </r>
  <r>
    <s v="PED-00694"/>
    <d v="2023-10-07T00:00:00"/>
    <x v="1"/>
    <x v="0"/>
    <n v="40"/>
    <x v="9"/>
    <x v="4"/>
    <s v="SKU-TEX-2422"/>
    <x v="0"/>
    <x v="5"/>
    <x v="2"/>
    <s v="DAP"/>
    <n v="65"/>
    <s v="Palés"/>
    <n v="50.83"/>
    <n v="3303.95"/>
    <n v="168.83"/>
    <n v="5.1099441577505719E-2"/>
    <n v="4"/>
    <d v="2023-10-11T00:00:00"/>
    <d v="2023-10-11T00:00:00"/>
    <n v="0"/>
    <x v="0"/>
    <b v="1"/>
    <n v="399"/>
    <n v="392"/>
    <x v="4"/>
    <x v="1"/>
  </r>
  <r>
    <s v="PED-00695"/>
    <d v="2024-03-22T00:00:00"/>
    <x v="0"/>
    <x v="8"/>
    <n v="12"/>
    <x v="6"/>
    <x v="0"/>
    <s v="SKU-MAQ-5520"/>
    <x v="4"/>
    <x v="1"/>
    <x v="2"/>
    <s v="FCA"/>
    <n v="452"/>
    <s v="Palés"/>
    <n v="1957.74"/>
    <n v="884898.48"/>
    <n v="42217.08"/>
    <n v="4.7708387972369447E-2"/>
    <n v="18"/>
    <d v="2024-04-09T00:00:00"/>
    <d v="2024-04-04T00:00:00"/>
    <n v="-5"/>
    <x v="0"/>
    <b v="1"/>
    <n v="207"/>
    <n v="207"/>
    <x v="3"/>
    <x v="1"/>
  </r>
  <r>
    <s v="PED-00696"/>
    <d v="2024-05-12T00:00:00"/>
    <x v="0"/>
    <x v="5"/>
    <n v="20"/>
    <x v="8"/>
    <x v="1"/>
    <s v="SKU-FAR-7544"/>
    <x v="5"/>
    <x v="3"/>
    <x v="4"/>
    <s v="FCA"/>
    <n v="246"/>
    <s v="Cajas"/>
    <n v="215.87"/>
    <n v="53104.02"/>
    <n v="2063.94"/>
    <n v="3.8865984157131613E-2"/>
    <n v="17"/>
    <d v="2024-05-29T00:00:00"/>
    <d v="2024-05-29T00:00:00"/>
    <n v="0"/>
    <x v="0"/>
    <b v="1"/>
    <n v="483"/>
    <n v="259"/>
    <x v="0"/>
    <x v="0"/>
  </r>
  <r>
    <s v="PED-00697"/>
    <d v="2023-01-30T00:00:00"/>
    <x v="1"/>
    <x v="2"/>
    <n v="5"/>
    <x v="5"/>
    <x v="4"/>
    <s v="SKU-TEX-6785"/>
    <x v="0"/>
    <x v="4"/>
    <x v="2"/>
    <s v="EXW"/>
    <n v="879"/>
    <s v="Cajas"/>
    <n v="52.84"/>
    <n v="46446.36"/>
    <n v="2547.96"/>
    <n v="5.4858120205759933E-2"/>
    <n v="7"/>
    <d v="2023-02-06T00:00:00"/>
    <d v="2023-02-06T00:00:00"/>
    <n v="0"/>
    <x v="0"/>
    <b v="1"/>
    <n v="406"/>
    <n v="417"/>
    <x v="3"/>
    <x v="1"/>
  </r>
  <r>
    <s v="PED-00698"/>
    <d v="2024-02-03T00:00:00"/>
    <x v="0"/>
    <x v="9"/>
    <n v="5"/>
    <x v="3"/>
    <x v="5"/>
    <s v="SKU-ELE-7474"/>
    <x v="3"/>
    <x v="1"/>
    <x v="3"/>
    <s v="DDP"/>
    <n v="870"/>
    <s v="Metros"/>
    <n v="596.65"/>
    <n v="519085.5"/>
    <n v="33114.199999999997"/>
    <n v="6.3793344256389356E-2"/>
    <n v="24"/>
    <d v="2024-02-27T00:00:00"/>
    <d v="2024-02-26T00:00:00"/>
    <n v="-1"/>
    <x v="0"/>
    <b v="1"/>
    <n v="469"/>
    <n v="262"/>
    <x v="0"/>
    <x v="0"/>
  </r>
  <r>
    <s v="PED-00699"/>
    <d v="2023-12-11T00:00:00"/>
    <x v="1"/>
    <x v="11"/>
    <n v="50"/>
    <x v="4"/>
    <x v="5"/>
    <s v="SKU-ELE-7642"/>
    <x v="4"/>
    <x v="2"/>
    <x v="0"/>
    <s v="DDP"/>
    <n v="206"/>
    <s v="Litros"/>
    <n v="366.13"/>
    <n v="75422.78"/>
    <n v="3368.08"/>
    <n v="4.4656004459130254E-2"/>
    <n v="23"/>
    <d v="2024-01-03T00:00:00"/>
    <d v="2024-01-15T00:00:00"/>
    <n v="12"/>
    <x v="2"/>
    <b v="0"/>
    <n v="422"/>
    <n v="270"/>
    <x v="0"/>
    <x v="0"/>
  </r>
  <r>
    <s v="PED-00700"/>
    <d v="2024-11-15T00:00:00"/>
    <x v="0"/>
    <x v="6"/>
    <n v="46"/>
    <x v="3"/>
    <x v="6"/>
    <s v="SKU-CON-4281"/>
    <x v="0"/>
    <x v="4"/>
    <x v="3"/>
    <s v="FCA"/>
    <n v="594"/>
    <s v="Metros"/>
    <n v="192.19"/>
    <n v="114160.86"/>
    <n v="6593.15"/>
    <n v="5.775315637951571E-2"/>
    <n v="5"/>
    <d v="2024-11-20T00:00:00"/>
    <d v="2024-11-21T00:00:00"/>
    <n v="1"/>
    <x v="2"/>
    <b v="0"/>
    <n v="32"/>
    <n v="37"/>
    <x v="4"/>
    <x v="1"/>
  </r>
  <r>
    <s v="PED-00701"/>
    <d v="2024-11-26T00:00:00"/>
    <x v="0"/>
    <x v="6"/>
    <n v="48"/>
    <x v="8"/>
    <x v="1"/>
    <s v="SKU-FAR-9482"/>
    <x v="4"/>
    <x v="3"/>
    <x v="3"/>
    <s v="EXW"/>
    <n v="580"/>
    <s v="Metros"/>
    <n v="214.97"/>
    <n v="124682.6"/>
    <n v="7725.18"/>
    <n v="6.1958765697860005E-2"/>
    <n v="12"/>
    <d v="2024-12-08T00:00:00"/>
    <d v="2024-12-16T00:00:00"/>
    <n v="8"/>
    <x v="2"/>
    <b v="0"/>
    <n v="23"/>
    <n v="202"/>
    <x v="3"/>
    <x v="1"/>
  </r>
  <r>
    <s v="PED-00702"/>
    <d v="2024-02-19T00:00:00"/>
    <x v="0"/>
    <x v="9"/>
    <n v="8"/>
    <x v="4"/>
    <x v="0"/>
    <s v="SKU-MAQ-1251"/>
    <x v="4"/>
    <x v="0"/>
    <x v="3"/>
    <s v="EXW"/>
    <n v="761"/>
    <s v="Cajas"/>
    <n v="1227.55"/>
    <n v="934165.55"/>
    <n v="58541.64"/>
    <n v="6.266730773790577E-2"/>
    <n v="17"/>
    <d v="2024-03-07T00:00:00"/>
    <d v="2024-03-12T00:00:00"/>
    <n v="5"/>
    <x v="1"/>
    <b v="0"/>
    <n v="60"/>
    <n v="223"/>
    <x v="0"/>
    <x v="0"/>
  </r>
  <r>
    <s v="PED-00703"/>
    <d v="2023-06-19T00:00:00"/>
    <x v="1"/>
    <x v="10"/>
    <n v="25"/>
    <x v="7"/>
    <x v="7"/>
    <s v="SKU-ALI-2124"/>
    <x v="3"/>
    <x v="3"/>
    <x v="4"/>
    <s v="EXW"/>
    <n v="523"/>
    <s v="Litros"/>
    <n v="119.02"/>
    <n v="62247.46"/>
    <n v="1439.03"/>
    <n v="2.3117891075394883E-2"/>
    <n v="23"/>
    <d v="2023-07-12T00:00:00"/>
    <d v="2023-07-15T00:00:00"/>
    <n v="3"/>
    <x v="1"/>
    <b v="0"/>
    <n v="310"/>
    <n v="346"/>
    <x v="3"/>
    <x v="1"/>
  </r>
  <r>
    <s v="PED-00704"/>
    <d v="2024-04-23T00:00:00"/>
    <x v="0"/>
    <x v="1"/>
    <n v="17"/>
    <x v="1"/>
    <x v="1"/>
    <s v="SKU-FAR-2477"/>
    <x v="3"/>
    <x v="5"/>
    <x v="3"/>
    <s v="FCA"/>
    <n v="458"/>
    <s v="Litros"/>
    <n v="173.46"/>
    <n v="79444.679999999993"/>
    <n v="5687.04"/>
    <n v="7.1584906629367756E-2"/>
    <n v="13"/>
    <d v="2024-05-06T00:00:00"/>
    <d v="2024-05-09T00:00:00"/>
    <n v="3"/>
    <x v="1"/>
    <b v="0"/>
    <n v="188"/>
    <n v="477"/>
    <x v="0"/>
    <x v="0"/>
  </r>
  <r>
    <s v="PED-00705"/>
    <d v="2023-05-11T00:00:00"/>
    <x v="1"/>
    <x v="5"/>
    <n v="19"/>
    <x v="3"/>
    <x v="2"/>
    <s v="SKU-AUT-5661"/>
    <x v="4"/>
    <x v="4"/>
    <x v="1"/>
    <s v="DDP"/>
    <n v="369"/>
    <s v="Palés"/>
    <n v="643.42999999999995"/>
    <n v="237425.67"/>
    <n v="11276.58"/>
    <n v="4.7495201340276301E-2"/>
    <n v="23"/>
    <d v="2023-06-03T00:00:00"/>
    <d v="2023-06-06T00:00:00"/>
    <n v="3"/>
    <x v="1"/>
    <b v="0"/>
    <n v="83"/>
    <n v="51"/>
    <x v="0"/>
    <x v="0"/>
  </r>
  <r>
    <s v="PED-00706"/>
    <d v="2024-09-29T00:00:00"/>
    <x v="0"/>
    <x v="3"/>
    <n v="40"/>
    <x v="5"/>
    <x v="4"/>
    <s v="SKU-TEX-6703"/>
    <x v="0"/>
    <x v="4"/>
    <x v="2"/>
    <s v="EXW"/>
    <n v="709"/>
    <s v="Cajas"/>
    <n v="51.77"/>
    <n v="36704.93"/>
    <n v="1312.02"/>
    <n v="3.5745062039350024E-2"/>
    <n v="25"/>
    <d v="2024-10-24T00:00:00"/>
    <d v="2024-10-21T00:00:00"/>
    <n v="-3"/>
    <x v="0"/>
    <b v="1"/>
    <n v="224"/>
    <n v="80"/>
    <x v="3"/>
    <x v="1"/>
  </r>
  <r>
    <s v="PED-00707"/>
    <d v="2024-06-30T00:00:00"/>
    <x v="0"/>
    <x v="10"/>
    <n v="27"/>
    <x v="5"/>
    <x v="4"/>
    <s v="SKU-TEX-6693"/>
    <x v="2"/>
    <x v="0"/>
    <x v="4"/>
    <s v="FCA"/>
    <n v="828"/>
    <s v="Litros"/>
    <n v="78.91"/>
    <n v="65337.48"/>
    <n v="2254.5300000000002"/>
    <n v="3.4505922175143582E-2"/>
    <n v="3"/>
    <d v="2024-07-03T00:00:00"/>
    <d v="2024-07-02T00:00:00"/>
    <n v="-1"/>
    <x v="0"/>
    <b v="1"/>
    <n v="478"/>
    <n v="355"/>
    <x v="1"/>
    <x v="1"/>
  </r>
  <r>
    <s v="PED-00708"/>
    <d v="2023-01-28T00:00:00"/>
    <x v="1"/>
    <x v="2"/>
    <n v="4"/>
    <x v="9"/>
    <x v="3"/>
    <s v="SKU-QUÍ-5530"/>
    <x v="1"/>
    <x v="0"/>
    <x v="1"/>
    <s v="FOB"/>
    <n v="39"/>
    <s v="Metros"/>
    <n v="124.85"/>
    <n v="4869.1499999999996"/>
    <n v="238.5"/>
    <n v="4.8981855149256036E-2"/>
    <n v="9"/>
    <d v="2023-02-06T00:00:00"/>
    <d v="2023-02-07T00:00:00"/>
    <n v="1"/>
    <x v="1"/>
    <b v="0"/>
    <n v="167"/>
    <n v="210"/>
    <x v="0"/>
    <x v="0"/>
  </r>
  <r>
    <s v="PED-00709"/>
    <d v="2024-02-08T00:00:00"/>
    <x v="0"/>
    <x v="9"/>
    <n v="6"/>
    <x v="2"/>
    <x v="5"/>
    <s v="SKU-ELE-4707"/>
    <x v="3"/>
    <x v="4"/>
    <x v="1"/>
    <s v="FOB"/>
    <n v="788"/>
    <s v="Unidades"/>
    <n v="576.16999999999996"/>
    <n v="454021.96"/>
    <n v="33238.9"/>
    <n v="7.3209894957503824E-2"/>
    <n v="17"/>
    <d v="2024-02-25T00:00:00"/>
    <d v="2024-02-25T00:00:00"/>
    <n v="0"/>
    <x v="0"/>
    <b v="1"/>
    <n v="185"/>
    <n v="6"/>
    <x v="1"/>
    <x v="1"/>
  </r>
  <r>
    <s v="PED-00710"/>
    <d v="2024-08-29T00:00:00"/>
    <x v="0"/>
    <x v="4"/>
    <n v="35"/>
    <x v="3"/>
    <x v="6"/>
    <s v="SKU-CON-4187"/>
    <x v="2"/>
    <x v="5"/>
    <x v="0"/>
    <s v="CIF"/>
    <n v="997"/>
    <s v="Unidades"/>
    <n v="143.36000000000001"/>
    <n v="142929.92000000001"/>
    <n v="6103.23"/>
    <n v="4.2700856475677021E-2"/>
    <n v="17"/>
    <d v="2024-09-15T00:00:00"/>
    <d v="2024-09-12T00:00:00"/>
    <n v="-3"/>
    <x v="0"/>
    <b v="1"/>
    <n v="374"/>
    <n v="362"/>
    <x v="0"/>
    <x v="0"/>
  </r>
  <r>
    <s v="PED-00711"/>
    <d v="2024-07-31T00:00:00"/>
    <x v="0"/>
    <x v="7"/>
    <n v="31"/>
    <x v="8"/>
    <x v="4"/>
    <s v="SKU-TEX-8450"/>
    <x v="3"/>
    <x v="0"/>
    <x v="0"/>
    <s v="FOB"/>
    <n v="117"/>
    <s v="Cajas"/>
    <n v="43.65"/>
    <n v="5107.05"/>
    <n v="331.87"/>
    <n v="6.4982719965537838E-2"/>
    <n v="20"/>
    <d v="2024-08-20T00:00:00"/>
    <d v="2024-08-19T00:00:00"/>
    <n v="-1"/>
    <x v="0"/>
    <b v="1"/>
    <n v="71"/>
    <n v="44"/>
    <x v="0"/>
    <x v="0"/>
  </r>
  <r>
    <s v="PED-00712"/>
    <d v="2024-11-09T00:00:00"/>
    <x v="0"/>
    <x v="6"/>
    <n v="45"/>
    <x v="1"/>
    <x v="1"/>
    <s v="SKU-FAR-7618"/>
    <x v="4"/>
    <x v="2"/>
    <x v="1"/>
    <s v="DAP"/>
    <n v="853"/>
    <s v="Palés"/>
    <n v="211.33"/>
    <n v="180264.49"/>
    <n v="4652.47"/>
    <n v="2.5809131903904093E-2"/>
    <n v="16"/>
    <d v="2024-11-25T00:00:00"/>
    <d v="2024-11-30T00:00:00"/>
    <n v="5"/>
    <x v="1"/>
    <b v="0"/>
    <n v="73"/>
    <n v="314"/>
    <x v="0"/>
    <x v="0"/>
  </r>
  <r>
    <s v="PED-00713"/>
    <d v="2023-01-28T00:00:00"/>
    <x v="1"/>
    <x v="2"/>
    <n v="4"/>
    <x v="6"/>
    <x v="4"/>
    <s v="SKU-TEX-1076"/>
    <x v="2"/>
    <x v="4"/>
    <x v="0"/>
    <s v="CIF"/>
    <n v="944"/>
    <s v="Palés"/>
    <n v="81.2"/>
    <n v="76652.800000000003"/>
    <n v="3722.52"/>
    <n v="4.856339233530934E-2"/>
    <n v="25"/>
    <d v="2023-02-22T00:00:00"/>
    <d v="2023-02-22T00:00:00"/>
    <n v="0"/>
    <x v="0"/>
    <b v="1"/>
    <n v="384"/>
    <n v="377"/>
    <x v="0"/>
    <x v="0"/>
  </r>
  <r>
    <s v="PED-00714"/>
    <d v="2023-03-27T00:00:00"/>
    <x v="1"/>
    <x v="8"/>
    <n v="13"/>
    <x v="8"/>
    <x v="6"/>
    <s v="SKU-CON-5277"/>
    <x v="0"/>
    <x v="3"/>
    <x v="2"/>
    <s v="FOB"/>
    <n v="611"/>
    <s v="Litros"/>
    <n v="281.64"/>
    <n v="172082.04"/>
    <n v="13680.72"/>
    <n v="7.9501149567961879E-2"/>
    <n v="22"/>
    <d v="2023-04-18T00:00:00"/>
    <d v="2023-04-19T00:00:00"/>
    <n v="1"/>
    <x v="1"/>
    <b v="0"/>
    <n v="340"/>
    <n v="276"/>
    <x v="0"/>
    <x v="0"/>
  </r>
  <r>
    <s v="PED-00715"/>
    <d v="2024-10-20T00:00:00"/>
    <x v="0"/>
    <x v="0"/>
    <n v="43"/>
    <x v="5"/>
    <x v="6"/>
    <s v="SKU-CON-3867"/>
    <x v="0"/>
    <x v="3"/>
    <x v="2"/>
    <s v="DAP"/>
    <n v="726"/>
    <s v="Cajas"/>
    <n v="153.87"/>
    <n v="111709.62"/>
    <n v="7398.11"/>
    <n v="6.6226256968737338E-2"/>
    <n v="13"/>
    <d v="2024-11-02T00:00:00"/>
    <d v="2024-11-05T00:00:00"/>
    <n v="3"/>
    <x v="1"/>
    <b v="0"/>
    <n v="152"/>
    <n v="411"/>
    <x v="0"/>
    <x v="0"/>
  </r>
  <r>
    <s v="PED-00716"/>
    <d v="2024-03-14T00:00:00"/>
    <x v="0"/>
    <x v="8"/>
    <n v="11"/>
    <x v="7"/>
    <x v="6"/>
    <s v="SKU-CON-7670"/>
    <x v="5"/>
    <x v="5"/>
    <x v="0"/>
    <s v="FOB"/>
    <n v="900"/>
    <s v="Unidades"/>
    <n v="226.14"/>
    <n v="203526"/>
    <n v="6641.4"/>
    <n v="3.2631703074791428E-2"/>
    <n v="27"/>
    <d v="2024-04-10T00:00:00"/>
    <d v="2024-04-05T00:00:00"/>
    <n v="-5"/>
    <x v="0"/>
    <b v="1"/>
    <n v="95"/>
    <n v="258"/>
    <x v="1"/>
    <x v="1"/>
  </r>
  <r>
    <s v="PED-00717"/>
    <d v="2023-05-19T00:00:00"/>
    <x v="1"/>
    <x v="5"/>
    <n v="20"/>
    <x v="8"/>
    <x v="1"/>
    <s v="SKU-FAR-9294"/>
    <x v="1"/>
    <x v="2"/>
    <x v="3"/>
    <s v="FCA"/>
    <n v="977"/>
    <s v="Metros"/>
    <n v="286.12"/>
    <n v="279539.24"/>
    <n v="14001.14"/>
    <n v="5.0086492329305898E-2"/>
    <n v="19"/>
    <d v="2023-06-07T00:00:00"/>
    <d v="2023-06-15T00:00:00"/>
    <n v="8"/>
    <x v="2"/>
    <b v="0"/>
    <n v="52"/>
    <n v="141"/>
    <x v="4"/>
    <x v="1"/>
  </r>
  <r>
    <s v="PED-00718"/>
    <d v="2024-04-17T00:00:00"/>
    <x v="0"/>
    <x v="1"/>
    <n v="16"/>
    <x v="0"/>
    <x v="7"/>
    <s v="SKU-ALI-2744"/>
    <x v="1"/>
    <x v="0"/>
    <x v="1"/>
    <s v="DAP"/>
    <n v="968"/>
    <s v="Litros"/>
    <n v="80.83"/>
    <n v="78243.44"/>
    <n v="2661.65"/>
    <n v="3.4017548308203222E-2"/>
    <n v="17"/>
    <d v="2024-05-04T00:00:00"/>
    <d v="2024-05-05T00:00:00"/>
    <n v="1"/>
    <x v="2"/>
    <b v="0"/>
    <n v="444"/>
    <n v="257"/>
    <x v="0"/>
    <x v="0"/>
  </r>
  <r>
    <s v="PED-00719"/>
    <d v="2023-07-06T00:00:00"/>
    <x v="1"/>
    <x v="7"/>
    <n v="27"/>
    <x v="5"/>
    <x v="3"/>
    <s v="SKU-QUÍ-2185"/>
    <x v="3"/>
    <x v="4"/>
    <x v="2"/>
    <s v="EXW"/>
    <n v="969"/>
    <s v="Metros"/>
    <n v="163.63999999999999"/>
    <n v="158567.16"/>
    <n v="7067.92"/>
    <n v="4.4573668343432522E-2"/>
    <n v="4"/>
    <d v="2023-07-10T00:00:00"/>
    <d v="2023-07-12T00:00:00"/>
    <n v="2"/>
    <x v="2"/>
    <b v="0"/>
    <n v="173"/>
    <n v="284"/>
    <x v="0"/>
    <x v="0"/>
  </r>
  <r>
    <s v="PED-00720"/>
    <d v="2023-02-21T00:00:00"/>
    <x v="1"/>
    <x v="9"/>
    <n v="8"/>
    <x v="3"/>
    <x v="5"/>
    <s v="SKU-ELE-9243"/>
    <x v="1"/>
    <x v="3"/>
    <x v="0"/>
    <s v="FCA"/>
    <n v="454"/>
    <s v="Litros"/>
    <n v="403.48"/>
    <n v="183179.92"/>
    <n v="12237.34"/>
    <n v="6.6805029721598297E-2"/>
    <n v="12"/>
    <d v="2023-03-05T00:00:00"/>
    <d v="2023-03-17T00:00:00"/>
    <n v="12"/>
    <x v="2"/>
    <b v="0"/>
    <n v="109"/>
    <n v="401"/>
    <x v="0"/>
    <x v="0"/>
  </r>
  <r>
    <s v="PED-00721"/>
    <d v="2023-09-24T00:00:00"/>
    <x v="1"/>
    <x v="3"/>
    <n v="39"/>
    <x v="7"/>
    <x v="4"/>
    <s v="SKU-TEX-5821"/>
    <x v="5"/>
    <x v="3"/>
    <x v="0"/>
    <s v="DAP"/>
    <n v="902"/>
    <s v="KG"/>
    <n v="86.9"/>
    <n v="78383.8"/>
    <n v="5194.7700000000004"/>
    <n v="6.6273515700948415E-2"/>
    <n v="29"/>
    <d v="2023-10-23T00:00:00"/>
    <d v="2023-10-22T00:00:00"/>
    <n v="-1"/>
    <x v="0"/>
    <b v="1"/>
    <n v="457"/>
    <n v="36"/>
    <x v="0"/>
    <x v="0"/>
  </r>
  <r>
    <s v="PED-00722"/>
    <d v="2024-01-24T00:00:00"/>
    <x v="0"/>
    <x v="2"/>
    <n v="4"/>
    <x v="0"/>
    <x v="1"/>
    <s v="SKU-FAR-6570"/>
    <x v="0"/>
    <x v="3"/>
    <x v="2"/>
    <s v="FCA"/>
    <n v="447"/>
    <s v="Metros"/>
    <n v="260.23"/>
    <n v="116322.81"/>
    <n v="3918.45"/>
    <n v="3.3685998472698521E-2"/>
    <n v="9"/>
    <d v="2024-02-02T00:00:00"/>
    <d v="2024-02-02T00:00:00"/>
    <n v="0"/>
    <x v="0"/>
    <b v="1"/>
    <n v="315"/>
    <n v="428"/>
    <x v="2"/>
    <x v="1"/>
  </r>
  <r>
    <s v="PED-00723"/>
    <d v="2023-12-02T00:00:00"/>
    <x v="1"/>
    <x v="11"/>
    <n v="48"/>
    <x v="4"/>
    <x v="0"/>
    <s v="SKU-MAQ-2917"/>
    <x v="2"/>
    <x v="3"/>
    <x v="2"/>
    <s v="EXW"/>
    <n v="741"/>
    <s v="Cajas"/>
    <n v="2179.6"/>
    <n v="1615083.6"/>
    <n v="96548.6302"/>
    <n v="5.9779339100465137E-2"/>
    <n v="19"/>
    <d v="2023-12-21T00:00:00"/>
    <d v="2023-12-26T00:00:00"/>
    <n v="5"/>
    <x v="1"/>
    <b v="0"/>
    <n v="50"/>
    <n v="44"/>
    <x v="3"/>
    <x v="1"/>
  </r>
  <r>
    <s v="PED-00724"/>
    <d v="2023-08-05T00:00:00"/>
    <x v="1"/>
    <x v="4"/>
    <n v="31"/>
    <x v="1"/>
    <x v="5"/>
    <s v="SKU-ELE-9409"/>
    <x v="2"/>
    <x v="1"/>
    <x v="3"/>
    <s v="DAP"/>
    <n v="899"/>
    <s v="Metros"/>
    <n v="620.65"/>
    <n v="557964.35"/>
    <n v="30997.200000000001"/>
    <n v="5.5554086923295373E-2"/>
    <n v="12"/>
    <d v="2023-08-17T00:00:00"/>
    <d v="2023-08-17T00:00:00"/>
    <n v="0"/>
    <x v="0"/>
    <b v="1"/>
    <n v="376"/>
    <n v="407"/>
    <x v="3"/>
    <x v="1"/>
  </r>
  <r>
    <s v="PED-00725"/>
    <d v="2024-04-10T00:00:00"/>
    <x v="0"/>
    <x v="1"/>
    <n v="15"/>
    <x v="5"/>
    <x v="7"/>
    <s v="SKU-ALI-5222"/>
    <x v="0"/>
    <x v="5"/>
    <x v="0"/>
    <s v="DAP"/>
    <n v="615"/>
    <s v="Metros"/>
    <n v="79.260000000000005"/>
    <n v="48744.9"/>
    <n v="2086.06"/>
    <n v="4.2795451421584613E-2"/>
    <n v="9"/>
    <d v="2024-04-19T00:00:00"/>
    <d v="2024-04-24T00:00:00"/>
    <n v="5"/>
    <x v="2"/>
    <b v="0"/>
    <n v="252"/>
    <n v="119"/>
    <x v="3"/>
    <x v="1"/>
  </r>
  <r>
    <s v="PED-00726"/>
    <d v="2023-12-01T00:00:00"/>
    <x v="1"/>
    <x v="11"/>
    <n v="48"/>
    <x v="3"/>
    <x v="1"/>
    <s v="SKU-FAR-9813"/>
    <x v="4"/>
    <x v="0"/>
    <x v="0"/>
    <s v="FCA"/>
    <n v="466"/>
    <s v="Litros"/>
    <n v="290.11"/>
    <n v="135191.26"/>
    <n v="6775.26"/>
    <n v="5.0116109576906077E-2"/>
    <n v="7"/>
    <d v="2023-12-08T00:00:00"/>
    <d v="2023-12-09T00:00:00"/>
    <n v="1"/>
    <x v="1"/>
    <b v="0"/>
    <n v="495"/>
    <n v="45"/>
    <x v="0"/>
    <x v="0"/>
  </r>
  <r>
    <s v="PED-00727"/>
    <d v="2023-12-12T00:00:00"/>
    <x v="1"/>
    <x v="11"/>
    <n v="50"/>
    <x v="0"/>
    <x v="2"/>
    <s v="SKU-AUT-5098"/>
    <x v="0"/>
    <x v="4"/>
    <x v="4"/>
    <s v="FOB"/>
    <n v="624"/>
    <s v="Unidades"/>
    <n v="736.36"/>
    <n v="459488.64"/>
    <n v="25871.17"/>
    <n v="5.6304264671265862E-2"/>
    <n v="28"/>
    <d v="2024-01-09T00:00:00"/>
    <d v="2024-01-09T00:00:00"/>
    <n v="0"/>
    <x v="0"/>
    <b v="1"/>
    <n v="72"/>
    <n v="139"/>
    <x v="2"/>
    <x v="1"/>
  </r>
  <r>
    <s v="PED-00728"/>
    <d v="2024-01-24T00:00:00"/>
    <x v="0"/>
    <x v="2"/>
    <n v="4"/>
    <x v="0"/>
    <x v="2"/>
    <s v="SKU-AUT-8254"/>
    <x v="2"/>
    <x v="4"/>
    <x v="3"/>
    <s v="DAP"/>
    <n v="744"/>
    <s v="KG"/>
    <n v="772.59"/>
    <n v="574806.96"/>
    <n v="30805.88"/>
    <n v="5.3593435959787272E-2"/>
    <n v="14"/>
    <d v="2024-02-07T00:00:00"/>
    <d v="2024-02-09T00:00:00"/>
    <n v="2"/>
    <x v="2"/>
    <b v="0"/>
    <n v="211"/>
    <n v="52"/>
    <x v="0"/>
    <x v="0"/>
  </r>
  <r>
    <s v="PED-00729"/>
    <d v="2023-10-12T00:00:00"/>
    <x v="1"/>
    <x v="0"/>
    <n v="41"/>
    <x v="2"/>
    <x v="3"/>
    <s v="SKU-QUÍ-7178"/>
    <x v="3"/>
    <x v="4"/>
    <x v="2"/>
    <s v="FOB"/>
    <n v="707"/>
    <s v="Metros"/>
    <n v="151.28"/>
    <n v="106954.96"/>
    <n v="5260.51"/>
    <n v="4.9184348252759851E-2"/>
    <n v="20"/>
    <d v="2023-11-01T00:00:00"/>
    <d v="2023-11-01T00:00:00"/>
    <n v="0"/>
    <x v="0"/>
    <b v="1"/>
    <n v="431"/>
    <n v="300"/>
    <x v="0"/>
    <x v="0"/>
  </r>
  <r>
    <s v="PED-00730"/>
    <d v="2024-03-07T00:00:00"/>
    <x v="0"/>
    <x v="8"/>
    <n v="10"/>
    <x v="0"/>
    <x v="3"/>
    <s v="SKU-QUÍ-8923"/>
    <x v="5"/>
    <x v="0"/>
    <x v="2"/>
    <s v="DAP"/>
    <n v="990"/>
    <s v="Unidades"/>
    <n v="157.47"/>
    <n v="155895.29999999999"/>
    <n v="7840.91"/>
    <n v="5.0295999943551863E-2"/>
    <n v="19"/>
    <d v="2024-03-26T00:00:00"/>
    <d v="2024-03-21T00:00:00"/>
    <n v="-5"/>
    <x v="0"/>
    <b v="1"/>
    <n v="211"/>
    <n v="287"/>
    <x v="0"/>
    <x v="0"/>
  </r>
  <r>
    <s v="PED-00731"/>
    <d v="2023-09-16T00:00:00"/>
    <x v="1"/>
    <x v="3"/>
    <n v="37"/>
    <x v="1"/>
    <x v="7"/>
    <s v="SKU-ALI-4985"/>
    <x v="0"/>
    <x v="5"/>
    <x v="1"/>
    <s v="DDP"/>
    <n v="705"/>
    <s v="Palés"/>
    <n v="115.48"/>
    <n v="81413.399999999994"/>
    <n v="2490.0100000000002"/>
    <n v="3.0584768600746319E-2"/>
    <n v="26"/>
    <d v="2023-10-12T00:00:00"/>
    <d v="2023-10-12T00:00:00"/>
    <n v="0"/>
    <x v="0"/>
    <b v="1"/>
    <n v="250"/>
    <n v="273"/>
    <x v="4"/>
    <x v="1"/>
  </r>
  <r>
    <s v="PED-00732"/>
    <d v="2023-03-25T00:00:00"/>
    <x v="1"/>
    <x v="8"/>
    <n v="12"/>
    <x v="7"/>
    <x v="7"/>
    <s v="SKU-ALI-6565"/>
    <x v="4"/>
    <x v="2"/>
    <x v="2"/>
    <s v="CIF"/>
    <n v="504"/>
    <s v="KG"/>
    <n v="69.11"/>
    <n v="34831.440000000002"/>
    <n v="2395.15"/>
    <n v="6.8764024685743677E-2"/>
    <n v="15"/>
    <d v="2023-04-09T00:00:00"/>
    <d v="2023-04-08T00:00:00"/>
    <n v="-1"/>
    <x v="0"/>
    <b v="1"/>
    <n v="167"/>
    <n v="268"/>
    <x v="0"/>
    <x v="0"/>
  </r>
  <r>
    <s v="PED-00733"/>
    <d v="2024-04-26T00:00:00"/>
    <x v="0"/>
    <x v="1"/>
    <n v="17"/>
    <x v="7"/>
    <x v="3"/>
    <s v="SKU-QUÍ-8517"/>
    <x v="3"/>
    <x v="5"/>
    <x v="0"/>
    <s v="FOB"/>
    <n v="683"/>
    <s v="KG"/>
    <n v="160.61000000000001"/>
    <n v="109696.63"/>
    <n v="5759.69"/>
    <n v="5.2505623919349202E-2"/>
    <n v="16"/>
    <d v="2024-05-12T00:00:00"/>
    <d v="2024-05-15T00:00:00"/>
    <n v="3"/>
    <x v="2"/>
    <b v="0"/>
    <n v="262"/>
    <n v="387"/>
    <x v="2"/>
    <x v="1"/>
  </r>
  <r>
    <s v="PED-00734"/>
    <d v="2023-01-20T00:00:00"/>
    <x v="1"/>
    <x v="2"/>
    <n v="3"/>
    <x v="0"/>
    <x v="4"/>
    <s v="SKU-TEX-8548"/>
    <x v="0"/>
    <x v="3"/>
    <x v="2"/>
    <s v="FOB"/>
    <n v="256"/>
    <s v="Litros"/>
    <n v="77.45"/>
    <n v="19827.2"/>
    <n v="552.48"/>
    <n v="2.7864751452550032E-2"/>
    <n v="21"/>
    <d v="2023-02-10T00:00:00"/>
    <d v="2023-02-12T00:00:00"/>
    <n v="2"/>
    <x v="2"/>
    <b v="0"/>
    <n v="330"/>
    <n v="278"/>
    <x v="2"/>
    <x v="1"/>
  </r>
  <r>
    <s v="PED-00735"/>
    <d v="2024-07-06T00:00:00"/>
    <x v="0"/>
    <x v="7"/>
    <n v="27"/>
    <x v="3"/>
    <x v="4"/>
    <s v="SKU-TEX-1448"/>
    <x v="3"/>
    <x v="3"/>
    <x v="0"/>
    <s v="EXW"/>
    <n v="552"/>
    <s v="Metros"/>
    <n v="45.06"/>
    <n v="24873.119999999999"/>
    <n v="1640.87"/>
    <n v="6.5969608959390705E-2"/>
    <n v="5"/>
    <d v="2024-07-11T00:00:00"/>
    <d v="2024-07-06T00:00:00"/>
    <n v="-5"/>
    <x v="0"/>
    <b v="1"/>
    <n v="468"/>
    <n v="61"/>
    <x v="1"/>
    <x v="1"/>
  </r>
  <r>
    <s v="PED-00736"/>
    <d v="2023-02-23T00:00:00"/>
    <x v="1"/>
    <x v="9"/>
    <n v="8"/>
    <x v="5"/>
    <x v="1"/>
    <s v="SKU-FAR-8896"/>
    <x v="0"/>
    <x v="5"/>
    <x v="0"/>
    <s v="DDP"/>
    <n v="573"/>
    <s v="Palés"/>
    <n v="201.96"/>
    <n v="115723.08"/>
    <n v="8788.7800000000007"/>
    <n v="7.5946647807853027E-2"/>
    <n v="3"/>
    <d v="2023-02-26T00:00:00"/>
    <d v="2023-03-06T00:00:00"/>
    <n v="8"/>
    <x v="2"/>
    <b v="0"/>
    <n v="229"/>
    <n v="53"/>
    <x v="4"/>
    <x v="1"/>
  </r>
  <r>
    <s v="PED-00737"/>
    <d v="2023-12-25T00:00:00"/>
    <x v="1"/>
    <x v="11"/>
    <n v="52"/>
    <x v="3"/>
    <x v="0"/>
    <s v="SKU-MAQ-2904"/>
    <x v="3"/>
    <x v="5"/>
    <x v="3"/>
    <s v="EXW"/>
    <n v="866"/>
    <s v="Litros"/>
    <n v="1389.32"/>
    <n v="1203151.1200000001"/>
    <n v="92448.22"/>
    <n v="7.6838410789161704E-2"/>
    <n v="12"/>
    <d v="2024-01-06T00:00:00"/>
    <d v="2024-01-06T00:00:00"/>
    <n v="0"/>
    <x v="0"/>
    <b v="1"/>
    <n v="238"/>
    <n v="457"/>
    <x v="0"/>
    <x v="0"/>
  </r>
  <r>
    <s v="PED-00738"/>
    <d v="2023-08-18T00:00:00"/>
    <x v="1"/>
    <x v="4"/>
    <n v="33"/>
    <x v="9"/>
    <x v="1"/>
    <s v="SKU-FAR-5224"/>
    <x v="1"/>
    <x v="0"/>
    <x v="2"/>
    <s v="DDP"/>
    <n v="597"/>
    <s v="Cajas"/>
    <n v="188.72"/>
    <n v="112665.84"/>
    <n v="4747.8599999999997"/>
    <n v="4.2141078431581387E-2"/>
    <n v="25"/>
    <d v="2023-09-12T00:00:00"/>
    <d v="2023-09-15T00:00:00"/>
    <n v="3"/>
    <x v="1"/>
    <b v="0"/>
    <n v="274"/>
    <n v="438"/>
    <x v="4"/>
    <x v="1"/>
  </r>
  <r>
    <s v="PED-00739"/>
    <d v="2024-10-27T00:00:00"/>
    <x v="0"/>
    <x v="0"/>
    <n v="44"/>
    <x v="5"/>
    <x v="0"/>
    <s v="SKU-MAQ-2106"/>
    <x v="3"/>
    <x v="0"/>
    <x v="3"/>
    <s v="DDP"/>
    <n v="906"/>
    <s v="Unidades"/>
    <n v="2229.54"/>
    <n v="1639255.3774000001"/>
    <n v="56823.61"/>
    <n v="3.4664281589929645E-2"/>
    <n v="20"/>
    <d v="2024-11-16T00:00:00"/>
    <d v="2024-11-17T00:00:00"/>
    <n v="1"/>
    <x v="1"/>
    <b v="0"/>
    <n v="493"/>
    <n v="68"/>
    <x v="4"/>
    <x v="1"/>
  </r>
  <r>
    <s v="PED-00740"/>
    <d v="2023-03-12T00:00:00"/>
    <x v="1"/>
    <x v="8"/>
    <n v="11"/>
    <x v="4"/>
    <x v="7"/>
    <s v="SKU-ALI-7269"/>
    <x v="1"/>
    <x v="1"/>
    <x v="0"/>
    <s v="FCA"/>
    <n v="448"/>
    <s v="Unidades"/>
    <n v="97.14"/>
    <n v="43518.720000000001"/>
    <n v="2223.98"/>
    <n v="5.1103984676019884E-2"/>
    <n v="27"/>
    <d v="2023-04-08T00:00:00"/>
    <d v="2023-04-08T00:00:00"/>
    <n v="0"/>
    <x v="0"/>
    <b v="1"/>
    <n v="142"/>
    <n v="241"/>
    <x v="2"/>
    <x v="1"/>
  </r>
  <r>
    <s v="PED-00741"/>
    <d v="2024-10-29T00:00:00"/>
    <x v="0"/>
    <x v="0"/>
    <n v="44"/>
    <x v="1"/>
    <x v="5"/>
    <s v="SKU-ELE-4610"/>
    <x v="2"/>
    <x v="4"/>
    <x v="2"/>
    <s v="FCA"/>
    <n v="287"/>
    <s v="Litros"/>
    <n v="637.07000000000005"/>
    <n v="182839.09"/>
    <n v="4892.1400000000003"/>
    <n v="2.6756532205449067E-2"/>
    <n v="21"/>
    <d v="2024-11-19T00:00:00"/>
    <d v="2024-11-14T00:00:00"/>
    <n v="-5"/>
    <x v="0"/>
    <b v="1"/>
    <n v="69"/>
    <n v="423"/>
    <x v="0"/>
    <x v="0"/>
  </r>
  <r>
    <s v="PED-00742"/>
    <d v="2023-02-11T00:00:00"/>
    <x v="1"/>
    <x v="9"/>
    <n v="6"/>
    <x v="3"/>
    <x v="1"/>
    <s v="SKU-FAR-4767"/>
    <x v="1"/>
    <x v="1"/>
    <x v="2"/>
    <s v="FCA"/>
    <n v="561"/>
    <s v="Unidades"/>
    <n v="296.26"/>
    <n v="166201.85999999999"/>
    <n v="12637.86"/>
    <n v="7.6039221221711972E-2"/>
    <n v="4"/>
    <d v="2023-02-15T00:00:00"/>
    <d v="2023-02-27T00:00:00"/>
    <n v="12"/>
    <x v="1"/>
    <b v="0"/>
    <n v="444"/>
    <n v="269"/>
    <x v="0"/>
    <x v="0"/>
  </r>
  <r>
    <s v="PED-00743"/>
    <d v="2023-02-01T00:00:00"/>
    <x v="1"/>
    <x v="9"/>
    <n v="5"/>
    <x v="2"/>
    <x v="1"/>
    <s v="SKU-FAR-6172"/>
    <x v="3"/>
    <x v="4"/>
    <x v="3"/>
    <s v="DAP"/>
    <n v="622"/>
    <s v="Metros"/>
    <n v="200.35"/>
    <n v="124617.7"/>
    <n v="3864.99"/>
    <n v="3.1014775589663427E-2"/>
    <n v="21"/>
    <d v="2023-02-22T00:00:00"/>
    <d v="2023-02-19T00:00:00"/>
    <n v="-3"/>
    <x v="0"/>
    <b v="1"/>
    <n v="311"/>
    <n v="251"/>
    <x v="3"/>
    <x v="1"/>
  </r>
  <r>
    <s v="PED-00744"/>
    <d v="2023-09-11T00:00:00"/>
    <x v="1"/>
    <x v="3"/>
    <n v="37"/>
    <x v="7"/>
    <x v="0"/>
    <s v="SKU-MAQ-7757"/>
    <x v="5"/>
    <x v="3"/>
    <x v="3"/>
    <s v="EXW"/>
    <n v="120"/>
    <s v="Unidades"/>
    <n v="2012.21"/>
    <n v="241465.2"/>
    <n v="8491.35"/>
    <n v="3.5165936954890391E-2"/>
    <n v="23"/>
    <d v="2023-10-04T00:00:00"/>
    <d v="2023-10-16T00:00:00"/>
    <n v="12"/>
    <x v="2"/>
    <b v="0"/>
    <n v="393"/>
    <n v="353"/>
    <x v="2"/>
    <x v="1"/>
  </r>
  <r>
    <s v="PED-00745"/>
    <d v="2023-07-24T00:00:00"/>
    <x v="1"/>
    <x v="7"/>
    <n v="30"/>
    <x v="0"/>
    <x v="6"/>
    <s v="SKU-CON-6785"/>
    <x v="5"/>
    <x v="1"/>
    <x v="0"/>
    <s v="CIF"/>
    <n v="394"/>
    <s v="Metros"/>
    <n v="209.52"/>
    <n v="82550.880000000005"/>
    <n v="3665.11"/>
    <n v="4.4398194180364885E-2"/>
    <n v="16"/>
    <d v="2023-08-09T00:00:00"/>
    <d v="2023-08-09T00:00:00"/>
    <n v="0"/>
    <x v="0"/>
    <b v="1"/>
    <n v="173"/>
    <n v="283"/>
    <x v="4"/>
    <x v="1"/>
  </r>
  <r>
    <s v="PED-00746"/>
    <d v="2023-01-21T00:00:00"/>
    <x v="1"/>
    <x v="2"/>
    <n v="3"/>
    <x v="5"/>
    <x v="7"/>
    <s v="SKU-ALI-9462"/>
    <x v="2"/>
    <x v="1"/>
    <x v="0"/>
    <s v="DDP"/>
    <n v="842"/>
    <s v="Cajas"/>
    <n v="111.65"/>
    <n v="94009.3"/>
    <n v="4041.45"/>
    <n v="4.2989895680533734E-2"/>
    <n v="25"/>
    <d v="2023-02-15T00:00:00"/>
    <d v="2023-02-27T00:00:00"/>
    <n v="12"/>
    <x v="1"/>
    <b v="0"/>
    <n v="335"/>
    <n v="455"/>
    <x v="3"/>
    <x v="1"/>
  </r>
  <r>
    <s v="PED-00747"/>
    <d v="2024-09-28T00:00:00"/>
    <x v="0"/>
    <x v="3"/>
    <n v="39"/>
    <x v="0"/>
    <x v="7"/>
    <s v="SKU-ALI-9776"/>
    <x v="3"/>
    <x v="2"/>
    <x v="2"/>
    <s v="DDP"/>
    <n v="770"/>
    <s v="Palés"/>
    <n v="67.56"/>
    <n v="52021.2"/>
    <n v="3520.78"/>
    <n v="6.7679715193036699E-2"/>
    <n v="7"/>
    <d v="2024-10-05T00:00:00"/>
    <d v="2024-10-13T00:00:00"/>
    <n v="8"/>
    <x v="1"/>
    <b v="0"/>
    <n v="108"/>
    <n v="463"/>
    <x v="2"/>
    <x v="1"/>
  </r>
  <r>
    <s v="PED-00748"/>
    <d v="2023-06-06T00:00:00"/>
    <x v="1"/>
    <x v="10"/>
    <n v="23"/>
    <x v="4"/>
    <x v="2"/>
    <s v="SKU-AUT-1159"/>
    <x v="1"/>
    <x v="5"/>
    <x v="2"/>
    <s v="FOB"/>
    <n v="200"/>
    <s v="KG"/>
    <n v="1166.52"/>
    <n v="233304"/>
    <n v="11053.71"/>
    <n v="4.7378999074169321E-2"/>
    <n v="13"/>
    <d v="2023-06-19T00:00:00"/>
    <d v="2023-06-19T00:00:00"/>
    <n v="0"/>
    <x v="0"/>
    <b v="1"/>
    <n v="202"/>
    <n v="350"/>
    <x v="0"/>
    <x v="0"/>
  </r>
  <r>
    <s v="PED-00749"/>
    <d v="2023-09-02T00:00:00"/>
    <x v="1"/>
    <x v="3"/>
    <n v="35"/>
    <x v="9"/>
    <x v="6"/>
    <s v="SKU-CON-5314"/>
    <x v="5"/>
    <x v="0"/>
    <x v="4"/>
    <s v="DAP"/>
    <n v="499"/>
    <s v="Litros"/>
    <n v="175"/>
    <n v="87325"/>
    <n v="2641.24"/>
    <n v="3.0246092184368734E-2"/>
    <n v="21"/>
    <d v="2023-09-23T00:00:00"/>
    <d v="2023-09-25T00:00:00"/>
    <n v="2"/>
    <x v="2"/>
    <b v="0"/>
    <n v="184"/>
    <n v="70"/>
    <x v="4"/>
    <x v="1"/>
  </r>
  <r>
    <s v="PED-00750"/>
    <d v="2023-05-10T00:00:00"/>
    <x v="1"/>
    <x v="5"/>
    <n v="19"/>
    <x v="0"/>
    <x v="0"/>
    <s v="SKU-MAQ-5067"/>
    <x v="0"/>
    <x v="1"/>
    <x v="4"/>
    <s v="CIF"/>
    <n v="703"/>
    <s v="Litros"/>
    <n v="1441.46"/>
    <n v="1013346.38"/>
    <n v="36513.5"/>
    <n v="3.6032595290861946E-2"/>
    <n v="10"/>
    <d v="2023-05-20T00:00:00"/>
    <d v="2023-05-20T00:00:00"/>
    <n v="0"/>
    <x v="0"/>
    <b v="1"/>
    <n v="290"/>
    <n v="322"/>
    <x v="3"/>
    <x v="1"/>
  </r>
  <r>
    <s v="PED-00751"/>
    <d v="2024-04-29T00:00:00"/>
    <x v="0"/>
    <x v="1"/>
    <n v="18"/>
    <x v="3"/>
    <x v="7"/>
    <s v="SKU-ALI-5706"/>
    <x v="4"/>
    <x v="0"/>
    <x v="1"/>
    <s v="FCA"/>
    <n v="435"/>
    <s v="Metros"/>
    <n v="104.4"/>
    <n v="45414"/>
    <n v="2295.5300000000002"/>
    <n v="5.0546747698947465E-2"/>
    <n v="26"/>
    <d v="2024-05-25T00:00:00"/>
    <d v="2024-05-27T00:00:00"/>
    <n v="2"/>
    <x v="1"/>
    <b v="0"/>
    <n v="327"/>
    <n v="412"/>
    <x v="2"/>
    <x v="1"/>
  </r>
  <r>
    <s v="PED-00752"/>
    <d v="2024-11-16T00:00:00"/>
    <x v="0"/>
    <x v="6"/>
    <n v="46"/>
    <x v="5"/>
    <x v="6"/>
    <s v="SKU-CON-2523"/>
    <x v="3"/>
    <x v="4"/>
    <x v="0"/>
    <s v="DDP"/>
    <n v="414"/>
    <s v="Cajas"/>
    <n v="203"/>
    <n v="84042"/>
    <n v="2424.38"/>
    <n v="2.8847243045144095E-2"/>
    <n v="7"/>
    <d v="2024-11-23T00:00:00"/>
    <d v="2024-11-20T00:00:00"/>
    <n v="-3"/>
    <x v="0"/>
    <b v="1"/>
    <n v="91"/>
    <n v="99"/>
    <x v="3"/>
    <x v="1"/>
  </r>
  <r>
    <s v="PED-00753"/>
    <d v="2023-04-28T00:00:00"/>
    <x v="1"/>
    <x v="1"/>
    <n v="17"/>
    <x v="2"/>
    <x v="3"/>
    <s v="SKU-QUÍ-7536"/>
    <x v="0"/>
    <x v="1"/>
    <x v="1"/>
    <s v="FOB"/>
    <n v="344"/>
    <s v="Cajas"/>
    <n v="142.38999999999999"/>
    <n v="48982.16"/>
    <n v="2777.26"/>
    <n v="5.6699418727144742E-2"/>
    <n v="14"/>
    <d v="2023-05-12T00:00:00"/>
    <d v="2023-05-11T00:00:00"/>
    <n v="-1"/>
    <x v="0"/>
    <b v="1"/>
    <n v="258"/>
    <n v="60"/>
    <x v="0"/>
    <x v="0"/>
  </r>
  <r>
    <s v="PED-00754"/>
    <d v="2024-07-31T00:00:00"/>
    <x v="0"/>
    <x v="7"/>
    <n v="31"/>
    <x v="4"/>
    <x v="6"/>
    <s v="SKU-CON-6603"/>
    <x v="0"/>
    <x v="4"/>
    <x v="1"/>
    <s v="EXW"/>
    <n v="218"/>
    <s v="KG"/>
    <n v="211.13"/>
    <n v="46026.34"/>
    <n v="2482.88"/>
    <n v="5.3944762933572393E-2"/>
    <n v="26"/>
    <d v="2024-08-26T00:00:00"/>
    <d v="2024-08-26T00:00:00"/>
    <n v="0"/>
    <x v="0"/>
    <b v="1"/>
    <n v="321"/>
    <n v="102"/>
    <x v="0"/>
    <x v="0"/>
  </r>
  <r>
    <s v="PED-00755"/>
    <d v="2023-08-12T00:00:00"/>
    <x v="1"/>
    <x v="4"/>
    <n v="32"/>
    <x v="8"/>
    <x v="4"/>
    <s v="SKU-TEX-2245"/>
    <x v="3"/>
    <x v="1"/>
    <x v="3"/>
    <s v="DDP"/>
    <n v="31"/>
    <s v="Palés"/>
    <n v="77.63"/>
    <n v="3302.8089"/>
    <n v="151.33000000000001"/>
    <n v="4.5818575818903723E-2"/>
    <n v="5"/>
    <d v="2023-08-17T00:00:00"/>
    <d v="2023-08-29T00:00:00"/>
    <n v="12"/>
    <x v="1"/>
    <b v="0"/>
    <n v="436"/>
    <n v="451"/>
    <x v="1"/>
    <x v="1"/>
  </r>
  <r>
    <s v="PED-00756"/>
    <d v="2024-04-21T00:00:00"/>
    <x v="0"/>
    <x v="1"/>
    <n v="17"/>
    <x v="1"/>
    <x v="2"/>
    <s v="SKU-AUT-3924"/>
    <x v="4"/>
    <x v="3"/>
    <x v="3"/>
    <s v="FOB"/>
    <n v="687"/>
    <s v="Litros"/>
    <n v="706.13"/>
    <n v="485111.31"/>
    <n v="36995.69"/>
    <n v="7.6262270611666433E-2"/>
    <n v="3"/>
    <d v="2024-04-24T00:00:00"/>
    <d v="2024-04-29T00:00:00"/>
    <n v="5"/>
    <x v="1"/>
    <b v="0"/>
    <n v="205"/>
    <n v="392"/>
    <x v="3"/>
    <x v="1"/>
  </r>
  <r>
    <s v="PED-00757"/>
    <d v="2024-12-17T00:00:00"/>
    <x v="0"/>
    <x v="11"/>
    <n v="51"/>
    <x v="9"/>
    <x v="3"/>
    <s v="SKU-QUÍ-8807"/>
    <x v="5"/>
    <x v="2"/>
    <x v="4"/>
    <s v="EXW"/>
    <n v="620"/>
    <s v="Metros"/>
    <n v="89.61"/>
    <n v="55558.2"/>
    <n v="4152.16"/>
    <n v="7.4735322598644308E-2"/>
    <n v="23"/>
    <d v="2025-01-09T00:00:00"/>
    <d v="2025-01-08T00:00:00"/>
    <n v="-1"/>
    <x v="0"/>
    <b v="1"/>
    <n v="51"/>
    <n v="118"/>
    <x v="1"/>
    <x v="1"/>
  </r>
  <r>
    <s v="PED-00758"/>
    <d v="2023-09-20T00:00:00"/>
    <x v="1"/>
    <x v="3"/>
    <n v="38"/>
    <x v="3"/>
    <x v="5"/>
    <s v="SKU-ELE-6142"/>
    <x v="4"/>
    <x v="4"/>
    <x v="1"/>
    <s v="DAP"/>
    <n v="217"/>
    <s v="Cajas"/>
    <n v="469.97"/>
    <n v="101983.49"/>
    <n v="7828.72"/>
    <n v="7.6764582188744476E-2"/>
    <n v="29"/>
    <d v="2023-10-19T00:00:00"/>
    <d v="2023-10-19T00:00:00"/>
    <n v="0"/>
    <x v="0"/>
    <b v="1"/>
    <n v="348"/>
    <n v="16"/>
    <x v="2"/>
    <x v="1"/>
  </r>
  <r>
    <s v="PED-00759"/>
    <d v="2024-01-13T00:00:00"/>
    <x v="0"/>
    <x v="2"/>
    <n v="2"/>
    <x v="1"/>
    <x v="1"/>
    <s v="SKU-FAR-6792"/>
    <x v="2"/>
    <x v="5"/>
    <x v="4"/>
    <s v="FCA"/>
    <n v="17"/>
    <s v="Litros"/>
    <n v="215.89"/>
    <n v="3670.13"/>
    <n v="142.36009999999999"/>
    <n v="3.8788843991902189E-2"/>
    <n v="11"/>
    <d v="2024-01-24T00:00:00"/>
    <d v="2024-01-24T00:00:00"/>
    <n v="0"/>
    <x v="0"/>
    <b v="1"/>
    <n v="180"/>
    <n v="304"/>
    <x v="0"/>
    <x v="0"/>
  </r>
  <r>
    <s v="PED-00760"/>
    <d v="2023-06-21T00:00:00"/>
    <x v="1"/>
    <x v="10"/>
    <n v="25"/>
    <x v="2"/>
    <x v="2"/>
    <s v="SKU-AUT-4580"/>
    <x v="1"/>
    <x v="5"/>
    <x v="0"/>
    <s v="EXW"/>
    <n v="711"/>
    <s v="Metros"/>
    <n v="667.53"/>
    <n v="474613.83"/>
    <n v="13238.84"/>
    <n v="2.7893919568251942E-2"/>
    <n v="11"/>
    <d v="2023-07-02T00:00:00"/>
    <d v="2023-06-29T00:00:00"/>
    <n v="-3"/>
    <x v="0"/>
    <b v="1"/>
    <n v="437"/>
    <n v="190"/>
    <x v="0"/>
    <x v="0"/>
  </r>
  <r>
    <s v="PED-00761"/>
    <d v="2024-09-12T00:00:00"/>
    <x v="0"/>
    <x v="3"/>
    <n v="37"/>
    <x v="1"/>
    <x v="5"/>
    <s v="SKU-ELE-5408"/>
    <x v="1"/>
    <x v="3"/>
    <x v="2"/>
    <s v="DDP"/>
    <n v="696"/>
    <s v="Unidades"/>
    <n v="491.92"/>
    <n v="342376.32"/>
    <n v="13057.07"/>
    <n v="3.813660360623071E-2"/>
    <n v="18"/>
    <d v="2024-09-30T00:00:00"/>
    <d v="2024-10-01T00:00:00"/>
    <n v="1"/>
    <x v="2"/>
    <b v="0"/>
    <n v="302"/>
    <n v="211"/>
    <x v="0"/>
    <x v="0"/>
  </r>
  <r>
    <s v="PED-00762"/>
    <d v="2024-09-13T00:00:00"/>
    <x v="0"/>
    <x v="3"/>
    <n v="37"/>
    <x v="7"/>
    <x v="1"/>
    <s v="SKU-FAR-3994"/>
    <x v="0"/>
    <x v="3"/>
    <x v="3"/>
    <s v="CIF"/>
    <n v="794"/>
    <s v="Litros"/>
    <n v="204"/>
    <n v="161976"/>
    <n v="11938.46"/>
    <n v="7.370511680742825E-2"/>
    <n v="15"/>
    <d v="2024-09-28T00:00:00"/>
    <d v="2024-10-10T00:00:00"/>
    <n v="12"/>
    <x v="2"/>
    <b v="0"/>
    <n v="2"/>
    <n v="77"/>
    <x v="3"/>
    <x v="1"/>
  </r>
  <r>
    <s v="PED-00763"/>
    <d v="2023-04-28T00:00:00"/>
    <x v="1"/>
    <x v="1"/>
    <n v="17"/>
    <x v="5"/>
    <x v="4"/>
    <s v="SKU-TEX-4115"/>
    <x v="5"/>
    <x v="5"/>
    <x v="0"/>
    <s v="EXW"/>
    <n v="538"/>
    <s v="Palés"/>
    <n v="44.75"/>
    <n v="24075.5"/>
    <n v="1885.67"/>
    <n v="7.8323191626342131E-2"/>
    <n v="12"/>
    <d v="2023-05-10T00:00:00"/>
    <d v="2023-05-07T00:00:00"/>
    <n v="-3"/>
    <x v="0"/>
    <b v="1"/>
    <n v="448"/>
    <n v="45"/>
    <x v="4"/>
    <x v="1"/>
  </r>
  <r>
    <s v="PED-00764"/>
    <d v="2023-06-17T00:00:00"/>
    <x v="1"/>
    <x v="10"/>
    <n v="24"/>
    <x v="1"/>
    <x v="6"/>
    <s v="SKU-CON-9175"/>
    <x v="4"/>
    <x v="4"/>
    <x v="0"/>
    <s v="CIF"/>
    <n v="611"/>
    <s v="Metros"/>
    <n v="233.33"/>
    <n v="142564.63"/>
    <n v="10201.85"/>
    <n v="7.1559474464318387E-2"/>
    <n v="9"/>
    <d v="2023-06-26T00:00:00"/>
    <d v="2023-06-26T00:00:00"/>
    <n v="0"/>
    <x v="0"/>
    <b v="1"/>
    <n v="398"/>
    <n v="92"/>
    <x v="0"/>
    <x v="0"/>
  </r>
  <r>
    <s v="PED-00765"/>
    <d v="2023-11-15T00:00:00"/>
    <x v="1"/>
    <x v="6"/>
    <n v="46"/>
    <x v="3"/>
    <x v="7"/>
    <s v="SKU-ALI-4271"/>
    <x v="0"/>
    <x v="5"/>
    <x v="3"/>
    <s v="CIF"/>
    <n v="662"/>
    <s v="Palés"/>
    <n v="112.6"/>
    <n v="74541.2"/>
    <n v="1982.88"/>
    <n v="2.6601127966815668E-2"/>
    <n v="10"/>
    <d v="2023-11-25T00:00:00"/>
    <d v="2023-11-20T00:00:00"/>
    <n v="-5"/>
    <x v="0"/>
    <b v="1"/>
    <n v="83"/>
    <n v="376"/>
    <x v="4"/>
    <x v="1"/>
  </r>
  <r>
    <s v="PED-00766"/>
    <d v="2023-04-21T00:00:00"/>
    <x v="1"/>
    <x v="1"/>
    <n v="16"/>
    <x v="8"/>
    <x v="3"/>
    <s v="SKU-QUÍ-4847"/>
    <x v="3"/>
    <x v="2"/>
    <x v="3"/>
    <s v="EXW"/>
    <n v="666"/>
    <s v="Litros"/>
    <n v="98.57"/>
    <n v="65647.62"/>
    <n v="5044.74"/>
    <n v="7.6845740942322049E-2"/>
    <n v="26"/>
    <d v="2023-05-17T00:00:00"/>
    <d v="2023-05-16T00:00:00"/>
    <n v="-1"/>
    <x v="0"/>
    <b v="1"/>
    <n v="213"/>
    <n v="12"/>
    <x v="0"/>
    <x v="0"/>
  </r>
  <r>
    <s v="PED-00767"/>
    <d v="2024-08-15T00:00:00"/>
    <x v="0"/>
    <x v="4"/>
    <n v="33"/>
    <x v="7"/>
    <x v="0"/>
    <s v="SKU-MAQ-4965"/>
    <x v="0"/>
    <x v="1"/>
    <x v="1"/>
    <s v="DAP"/>
    <n v="175"/>
    <s v="Unidades"/>
    <n v="1767.37"/>
    <n v="309289.75"/>
    <n v="14042.21"/>
    <n v="4.5401472244068868E-2"/>
    <n v="12"/>
    <d v="2024-08-27T00:00:00"/>
    <d v="2024-08-24T00:00:00"/>
    <n v="-3"/>
    <x v="0"/>
    <b v="1"/>
    <n v="33"/>
    <n v="227"/>
    <x v="4"/>
    <x v="1"/>
  </r>
  <r>
    <s v="PED-00768"/>
    <d v="2023-01-27T00:00:00"/>
    <x v="1"/>
    <x v="2"/>
    <n v="4"/>
    <x v="7"/>
    <x v="3"/>
    <s v="SKU-QUÍ-5348"/>
    <x v="3"/>
    <x v="2"/>
    <x v="4"/>
    <s v="EXW"/>
    <n v="858"/>
    <s v="Palés"/>
    <n v="147.81"/>
    <n v="126820.98"/>
    <n v="2607.2600000000002"/>
    <n v="2.0558585811275076E-2"/>
    <n v="17"/>
    <d v="2023-02-13T00:00:00"/>
    <d v="2023-02-14T00:00:00"/>
    <n v="1"/>
    <x v="1"/>
    <b v="0"/>
    <n v="49"/>
    <n v="300"/>
    <x v="0"/>
    <x v="0"/>
  </r>
  <r>
    <s v="PED-00769"/>
    <d v="2023-11-16T00:00:00"/>
    <x v="1"/>
    <x v="6"/>
    <n v="46"/>
    <x v="1"/>
    <x v="4"/>
    <s v="SKU-TEX-4387"/>
    <x v="3"/>
    <x v="5"/>
    <x v="0"/>
    <s v="FOB"/>
    <n v="505"/>
    <s v="Cajas"/>
    <n v="62.13"/>
    <n v="31375.65"/>
    <n v="1460.34"/>
    <n v="4.6543736942501586E-2"/>
    <n v="29"/>
    <d v="2023-12-15T00:00:00"/>
    <d v="2023-12-15T00:00:00"/>
    <n v="0"/>
    <x v="0"/>
    <b v="1"/>
    <n v="288"/>
    <n v="436"/>
    <x v="3"/>
    <x v="1"/>
  </r>
  <r>
    <s v="PED-00770"/>
    <d v="2024-08-12T00:00:00"/>
    <x v="0"/>
    <x v="4"/>
    <n v="33"/>
    <x v="9"/>
    <x v="5"/>
    <s v="SKU-ELE-4755"/>
    <x v="2"/>
    <x v="1"/>
    <x v="1"/>
    <s v="FCA"/>
    <n v="599"/>
    <s v="Metros"/>
    <n v="630.44000000000005"/>
    <n v="377633.56"/>
    <n v="8596.51"/>
    <n v="2.2764157931302504E-2"/>
    <n v="6"/>
    <d v="2024-08-18T00:00:00"/>
    <d v="2024-08-20T00:00:00"/>
    <n v="2"/>
    <x v="2"/>
    <b v="0"/>
    <n v="328"/>
    <n v="16"/>
    <x v="0"/>
    <x v="0"/>
  </r>
  <r>
    <s v="PED-00771"/>
    <d v="2024-11-24T00:00:00"/>
    <x v="0"/>
    <x v="6"/>
    <n v="48"/>
    <x v="6"/>
    <x v="0"/>
    <s v="SKU-MAQ-4322"/>
    <x v="2"/>
    <x v="5"/>
    <x v="1"/>
    <s v="CIF"/>
    <n v="438"/>
    <s v="Litros"/>
    <n v="1542.88"/>
    <n v="675781.44"/>
    <n v="35568.19"/>
    <n v="5.2632682543042326E-2"/>
    <n v="7"/>
    <d v="2024-12-01T00:00:00"/>
    <d v="2024-12-01T00:00:00"/>
    <n v="0"/>
    <x v="0"/>
    <b v="1"/>
    <n v="258"/>
    <n v="302"/>
    <x v="0"/>
    <x v="0"/>
  </r>
  <r>
    <s v="PED-00772"/>
    <d v="2024-01-20T00:00:00"/>
    <x v="0"/>
    <x v="2"/>
    <n v="3"/>
    <x v="9"/>
    <x v="7"/>
    <s v="SKU-ALI-5091"/>
    <x v="3"/>
    <x v="2"/>
    <x v="0"/>
    <s v="FCA"/>
    <n v="783"/>
    <s v="Unidades"/>
    <n v="88.3"/>
    <n v="69138.899999999994"/>
    <n v="2787.21"/>
    <n v="4.0313195610575239E-2"/>
    <n v="14"/>
    <d v="2024-02-03T00:00:00"/>
    <d v="2024-02-15T00:00:00"/>
    <n v="12"/>
    <x v="2"/>
    <b v="0"/>
    <n v="257"/>
    <n v="61"/>
    <x v="3"/>
    <x v="1"/>
  </r>
  <r>
    <s v="PED-00773"/>
    <d v="2024-02-11T00:00:00"/>
    <x v="0"/>
    <x v="9"/>
    <n v="7"/>
    <x v="0"/>
    <x v="4"/>
    <s v="SKU-TEX-6833"/>
    <x v="5"/>
    <x v="2"/>
    <x v="0"/>
    <s v="DDP"/>
    <n v="172"/>
    <s v="Cajas"/>
    <n v="42.35"/>
    <n v="7284.2"/>
    <n v="352.6"/>
    <n v="4.8406139315230232E-2"/>
    <n v="13"/>
    <d v="2024-02-24T00:00:00"/>
    <d v="2024-02-29T00:00:00"/>
    <n v="5"/>
    <x v="1"/>
    <b v="0"/>
    <n v="387"/>
    <n v="433"/>
    <x v="1"/>
    <x v="1"/>
  </r>
  <r>
    <s v="PED-00774"/>
    <d v="2023-07-23T00:00:00"/>
    <x v="1"/>
    <x v="7"/>
    <n v="30"/>
    <x v="3"/>
    <x v="0"/>
    <s v="SKU-MAQ-3555"/>
    <x v="2"/>
    <x v="4"/>
    <x v="2"/>
    <s v="CIF"/>
    <n v="375"/>
    <s v="Litros"/>
    <n v="1880.06"/>
    <n v="705022.5"/>
    <n v="40038.379999999997"/>
    <n v="5.6790215915094908E-2"/>
    <n v="8"/>
    <d v="2023-07-31T00:00:00"/>
    <d v="2023-07-31T00:00:00"/>
    <n v="0"/>
    <x v="0"/>
    <b v="1"/>
    <n v="271"/>
    <n v="42"/>
    <x v="2"/>
    <x v="1"/>
  </r>
  <r>
    <s v="PED-00775"/>
    <d v="2023-03-19T00:00:00"/>
    <x v="1"/>
    <x v="8"/>
    <n v="12"/>
    <x v="6"/>
    <x v="4"/>
    <s v="SKU-TEX-2747"/>
    <x v="2"/>
    <x v="4"/>
    <x v="4"/>
    <s v="DDP"/>
    <n v="535"/>
    <s v="Unidades"/>
    <n v="73.739999999999995"/>
    <n v="39450.9"/>
    <n v="2845.52"/>
    <n v="7.2128139028513921E-2"/>
    <n v="10"/>
    <d v="2023-03-29T00:00:00"/>
    <d v="2023-03-29T00:00:00"/>
    <n v="0"/>
    <x v="0"/>
    <b v="1"/>
    <n v="181"/>
    <n v="67"/>
    <x v="4"/>
    <x v="1"/>
  </r>
  <r>
    <s v="PED-00776"/>
    <d v="2024-08-29T00:00:00"/>
    <x v="0"/>
    <x v="4"/>
    <n v="35"/>
    <x v="5"/>
    <x v="6"/>
    <s v="SKU-CON-2964"/>
    <x v="1"/>
    <x v="2"/>
    <x v="0"/>
    <s v="FOB"/>
    <n v="248"/>
    <s v="Cajas"/>
    <n v="146.13999999999999"/>
    <n v="36242.720000000001"/>
    <n v="2164.1999999999998"/>
    <n v="5.9714061196289893E-2"/>
    <n v="9"/>
    <d v="2024-09-07T00:00:00"/>
    <d v="2024-09-10T00:00:00"/>
    <n v="3"/>
    <x v="1"/>
    <b v="0"/>
    <n v="32"/>
    <n v="379"/>
    <x v="0"/>
    <x v="0"/>
  </r>
  <r>
    <s v="PED-00777"/>
    <d v="2024-12-08T00:00:00"/>
    <x v="0"/>
    <x v="11"/>
    <n v="50"/>
    <x v="7"/>
    <x v="4"/>
    <s v="SKU-TEX-2285"/>
    <x v="0"/>
    <x v="1"/>
    <x v="3"/>
    <s v="FOB"/>
    <n v="81"/>
    <s v="Palés"/>
    <n v="59.68"/>
    <n v="4834.08"/>
    <n v="222.58"/>
    <n v="4.6043921490749019E-2"/>
    <n v="18"/>
    <d v="2024-12-26T00:00:00"/>
    <d v="2024-12-27T00:00:00"/>
    <n v="1"/>
    <x v="2"/>
    <b v="0"/>
    <n v="264"/>
    <n v="211"/>
    <x v="3"/>
    <x v="1"/>
  </r>
  <r>
    <s v="PED-00778"/>
    <d v="2024-10-04T00:00:00"/>
    <x v="0"/>
    <x v="0"/>
    <n v="40"/>
    <x v="3"/>
    <x v="7"/>
    <s v="SKU-ALI-9071"/>
    <x v="1"/>
    <x v="4"/>
    <x v="2"/>
    <s v="FCA"/>
    <n v="454"/>
    <s v="Litros"/>
    <n v="118.66"/>
    <n v="53871.64"/>
    <n v="3726.07"/>
    <n v="6.916570574053435E-2"/>
    <n v="27"/>
    <d v="2024-10-31T00:00:00"/>
    <d v="2024-11-05T00:00:00"/>
    <n v="5"/>
    <x v="2"/>
    <b v="0"/>
    <n v="312"/>
    <n v="202"/>
    <x v="4"/>
    <x v="1"/>
  </r>
  <r>
    <s v="PED-00779"/>
    <d v="2023-09-06T00:00:00"/>
    <x v="1"/>
    <x v="3"/>
    <n v="36"/>
    <x v="2"/>
    <x v="2"/>
    <s v="SKU-AUT-1108"/>
    <x v="5"/>
    <x v="4"/>
    <x v="4"/>
    <s v="FOB"/>
    <n v="664"/>
    <s v="Litros"/>
    <n v="829.27"/>
    <n v="550635.28"/>
    <n v="40931.43"/>
    <n v="7.4334920929875758E-2"/>
    <n v="26"/>
    <d v="2023-10-02T00:00:00"/>
    <d v="2023-10-05T00:00:00"/>
    <n v="3"/>
    <x v="1"/>
    <b v="0"/>
    <n v="39"/>
    <n v="489"/>
    <x v="3"/>
    <x v="1"/>
  </r>
  <r>
    <s v="PED-00780"/>
    <d v="2023-04-15T00:00:00"/>
    <x v="1"/>
    <x v="1"/>
    <n v="15"/>
    <x v="0"/>
    <x v="1"/>
    <s v="SKU-FAR-9871"/>
    <x v="2"/>
    <x v="0"/>
    <x v="3"/>
    <s v="EXW"/>
    <n v="831"/>
    <s v="Palés"/>
    <n v="220.31"/>
    <n v="183077.61"/>
    <n v="4977.07"/>
    <n v="2.718557446757143E-2"/>
    <n v="2"/>
    <d v="2023-04-17T00:00:00"/>
    <d v="2023-04-18T00:00:00"/>
    <n v="1"/>
    <x v="1"/>
    <b v="0"/>
    <n v="485"/>
    <n v="213"/>
    <x v="3"/>
    <x v="1"/>
  </r>
  <r>
    <s v="PED-00781"/>
    <d v="2024-12-14T00:00:00"/>
    <x v="0"/>
    <x v="11"/>
    <n v="50"/>
    <x v="8"/>
    <x v="0"/>
    <s v="SKU-MAQ-1692"/>
    <x v="2"/>
    <x v="0"/>
    <x v="3"/>
    <s v="CIF"/>
    <n v="518"/>
    <s v="KG"/>
    <n v="2141.92"/>
    <n v="1109514.56"/>
    <n v="57601.53"/>
    <n v="5.1915974856607559E-2"/>
    <n v="5"/>
    <d v="2024-12-19T00:00:00"/>
    <d v="2024-12-31T00:00:00"/>
    <n v="12"/>
    <x v="2"/>
    <b v="0"/>
    <n v="307"/>
    <n v="108"/>
    <x v="2"/>
    <x v="1"/>
  </r>
  <r>
    <s v="PED-00782"/>
    <d v="2023-11-05T00:00:00"/>
    <x v="1"/>
    <x v="6"/>
    <n v="45"/>
    <x v="0"/>
    <x v="6"/>
    <s v="SKU-CON-8901"/>
    <x v="4"/>
    <x v="4"/>
    <x v="4"/>
    <s v="DDP"/>
    <n v="804"/>
    <s v="Cajas"/>
    <n v="254.76"/>
    <n v="204827.04"/>
    <n v="7593.09"/>
    <n v="3.7070740269448801E-2"/>
    <n v="29"/>
    <d v="2023-12-04T00:00:00"/>
    <d v="2023-11-29T00:00:00"/>
    <n v="-5"/>
    <x v="0"/>
    <b v="1"/>
    <n v="209"/>
    <n v="455"/>
    <x v="2"/>
    <x v="1"/>
  </r>
  <r>
    <s v="PED-00783"/>
    <d v="2024-12-01T00:00:00"/>
    <x v="0"/>
    <x v="11"/>
    <n v="49"/>
    <x v="3"/>
    <x v="7"/>
    <s v="SKU-ALI-7081"/>
    <x v="5"/>
    <x v="5"/>
    <x v="2"/>
    <s v="FCA"/>
    <n v="278"/>
    <s v="Palés"/>
    <n v="93.25"/>
    <n v="25923.5"/>
    <n v="591.66999999999996"/>
    <n v="2.2823692788396625E-2"/>
    <n v="5"/>
    <d v="2024-12-06T00:00:00"/>
    <d v="2024-12-18T00:00:00"/>
    <n v="12"/>
    <x v="1"/>
    <b v="0"/>
    <n v="271"/>
    <n v="283"/>
    <x v="1"/>
    <x v="1"/>
  </r>
  <r>
    <s v="PED-00784"/>
    <d v="2024-09-06T00:00:00"/>
    <x v="0"/>
    <x v="3"/>
    <n v="36"/>
    <x v="5"/>
    <x v="4"/>
    <s v="SKU-TEX-6167"/>
    <x v="0"/>
    <x v="1"/>
    <x v="3"/>
    <s v="FCA"/>
    <n v="762"/>
    <s v="Litros"/>
    <n v="80.290000000000006"/>
    <n v="61180.98"/>
    <n v="3677.76"/>
    <n v="6.0112799762279061E-2"/>
    <n v="6"/>
    <d v="2024-09-12T00:00:00"/>
    <d v="2024-09-14T00:00:00"/>
    <n v="2"/>
    <x v="1"/>
    <b v="0"/>
    <n v="135"/>
    <n v="428"/>
    <x v="2"/>
    <x v="1"/>
  </r>
  <r>
    <s v="PED-00785"/>
    <d v="2023-05-04T00:00:00"/>
    <x v="1"/>
    <x v="5"/>
    <n v="18"/>
    <x v="7"/>
    <x v="6"/>
    <s v="SKU-CON-9066"/>
    <x v="0"/>
    <x v="3"/>
    <x v="1"/>
    <s v="FOB"/>
    <n v="424"/>
    <s v="Cajas"/>
    <n v="278.3"/>
    <n v="117999.2"/>
    <n v="8468.36"/>
    <n v="7.1766249262706874E-2"/>
    <n v="19"/>
    <d v="2023-05-23T00:00:00"/>
    <d v="2023-05-23T00:00:00"/>
    <n v="0"/>
    <x v="0"/>
    <b v="1"/>
    <n v="86"/>
    <n v="424"/>
    <x v="0"/>
    <x v="0"/>
  </r>
  <r>
    <s v="PED-00786"/>
    <d v="2024-08-02T00:00:00"/>
    <x v="0"/>
    <x v="4"/>
    <n v="31"/>
    <x v="4"/>
    <x v="7"/>
    <s v="SKU-ALI-5501"/>
    <x v="0"/>
    <x v="4"/>
    <x v="4"/>
    <s v="FOB"/>
    <n v="254"/>
    <s v="Cajas"/>
    <n v="85.24"/>
    <n v="21650.959999999999"/>
    <n v="644.64"/>
    <n v="2.977419938884927E-2"/>
    <n v="8"/>
    <d v="2024-08-10T00:00:00"/>
    <d v="2024-08-09T00:00:00"/>
    <n v="-1"/>
    <x v="1"/>
    <b v="0"/>
    <n v="59"/>
    <n v="93"/>
    <x v="3"/>
    <x v="1"/>
  </r>
  <r>
    <s v="PED-00787"/>
    <d v="2023-02-12T00:00:00"/>
    <x v="1"/>
    <x v="9"/>
    <n v="7"/>
    <x v="4"/>
    <x v="2"/>
    <s v="SKU-AUT-9041"/>
    <x v="5"/>
    <x v="0"/>
    <x v="4"/>
    <s v="DDP"/>
    <n v="684"/>
    <s v="KG"/>
    <n v="864.07"/>
    <n v="591023.88"/>
    <n v="40629.83"/>
    <n v="6.8744819583262867E-2"/>
    <n v="16"/>
    <d v="2023-02-28T00:00:00"/>
    <d v="2023-03-01T00:00:00"/>
    <n v="1"/>
    <x v="1"/>
    <b v="0"/>
    <n v="163"/>
    <n v="224"/>
    <x v="3"/>
    <x v="1"/>
  </r>
  <r>
    <s v="PED-00788"/>
    <d v="2023-12-22T00:00:00"/>
    <x v="1"/>
    <x v="11"/>
    <n v="51"/>
    <x v="3"/>
    <x v="6"/>
    <s v="SKU-CON-3996"/>
    <x v="4"/>
    <x v="1"/>
    <x v="0"/>
    <s v="CIF"/>
    <n v="69"/>
    <s v="Litros"/>
    <n v="201.77"/>
    <n v="13922.13"/>
    <n v="991.31"/>
    <n v="7.1203903425697074E-2"/>
    <n v="13"/>
    <d v="2024-01-04T00:00:00"/>
    <d v="2024-01-16T00:00:00"/>
    <n v="12"/>
    <x v="1"/>
    <b v="0"/>
    <n v="2"/>
    <n v="224"/>
    <x v="0"/>
    <x v="0"/>
  </r>
  <r>
    <s v="PED-00789"/>
    <d v="2024-06-29T00:00:00"/>
    <x v="0"/>
    <x v="10"/>
    <n v="26"/>
    <x v="1"/>
    <x v="6"/>
    <s v="SKU-CON-9374"/>
    <x v="4"/>
    <x v="1"/>
    <x v="2"/>
    <s v="CIF"/>
    <n v="15"/>
    <s v="Unidades"/>
    <n v="294.67"/>
    <n v="4420.05"/>
    <n v="330.89"/>
    <n v="7.4861144104704694E-2"/>
    <n v="1"/>
    <d v="2024-06-30T00:00:00"/>
    <d v="2024-06-29T00:00:00"/>
    <n v="-1"/>
    <x v="0"/>
    <b v="1"/>
    <n v="14"/>
    <n v="238"/>
    <x v="0"/>
    <x v="0"/>
  </r>
  <r>
    <s v="PED-00790"/>
    <d v="2024-03-14T00:00:00"/>
    <x v="0"/>
    <x v="8"/>
    <n v="11"/>
    <x v="9"/>
    <x v="1"/>
    <s v="SKU-FAR-5591"/>
    <x v="1"/>
    <x v="0"/>
    <x v="1"/>
    <s v="FCA"/>
    <n v="718"/>
    <s v="KG"/>
    <n v="251.55"/>
    <n v="180612.9"/>
    <n v="6487.09"/>
    <n v="3.5917091193375446E-2"/>
    <n v="22"/>
    <d v="2024-04-05T00:00:00"/>
    <d v="2024-04-07T00:00:00"/>
    <n v="2"/>
    <x v="1"/>
    <b v="0"/>
    <n v="101"/>
    <n v="117"/>
    <x v="4"/>
    <x v="1"/>
  </r>
  <r>
    <s v="PED-00791"/>
    <d v="2024-11-08T00:00:00"/>
    <x v="0"/>
    <x v="6"/>
    <n v="45"/>
    <x v="0"/>
    <x v="3"/>
    <s v="SKU-QUÍ-7518"/>
    <x v="5"/>
    <x v="1"/>
    <x v="1"/>
    <s v="DDP"/>
    <n v="991"/>
    <s v="KG"/>
    <n v="91.99"/>
    <n v="91162.09"/>
    <n v="6767.62"/>
    <n v="7.4237218563111051E-2"/>
    <n v="20"/>
    <d v="2024-11-28T00:00:00"/>
    <d v="2024-11-28T00:00:00"/>
    <n v="0"/>
    <x v="0"/>
    <b v="1"/>
    <n v="254"/>
    <n v="419"/>
    <x v="2"/>
    <x v="1"/>
  </r>
  <r>
    <s v="PED-00792"/>
    <d v="2024-01-15T00:00:00"/>
    <x v="0"/>
    <x v="2"/>
    <n v="3"/>
    <x v="5"/>
    <x v="0"/>
    <s v="SKU-MAQ-4638"/>
    <x v="5"/>
    <x v="1"/>
    <x v="0"/>
    <s v="FCA"/>
    <n v="579"/>
    <s v="Unidades"/>
    <n v="2085.5500000000002"/>
    <n v="1207533.45"/>
    <n v="47383.33"/>
    <n v="3.923976598743497E-2"/>
    <n v="17"/>
    <d v="2024-02-01T00:00:00"/>
    <d v="2024-02-01T00:00:00"/>
    <n v="0"/>
    <x v="0"/>
    <b v="1"/>
    <n v="224"/>
    <n v="90"/>
    <x v="0"/>
    <x v="0"/>
  </r>
  <r>
    <s v="PED-00793"/>
    <d v="2023-03-12T00:00:00"/>
    <x v="1"/>
    <x v="8"/>
    <n v="11"/>
    <x v="0"/>
    <x v="1"/>
    <s v="SKU-FAR-3101"/>
    <x v="4"/>
    <x v="0"/>
    <x v="3"/>
    <s v="DAP"/>
    <n v="826"/>
    <s v="Unidades"/>
    <n v="216.89"/>
    <n v="179151.14"/>
    <n v="9520.14"/>
    <n v="5.3140270276817655E-2"/>
    <n v="7"/>
    <d v="2023-03-19T00:00:00"/>
    <d v="2023-03-19T00:00:00"/>
    <n v="0"/>
    <x v="0"/>
    <b v="1"/>
    <n v="209"/>
    <n v="339"/>
    <x v="1"/>
    <x v="1"/>
  </r>
  <r>
    <s v="PED-00794"/>
    <d v="2024-06-02T00:00:00"/>
    <x v="0"/>
    <x v="10"/>
    <n v="23"/>
    <x v="2"/>
    <x v="5"/>
    <s v="SKU-ELE-1887"/>
    <x v="3"/>
    <x v="2"/>
    <x v="3"/>
    <s v="CIF"/>
    <n v="416"/>
    <s v="KG"/>
    <n v="377.5"/>
    <n v="157040"/>
    <n v="3616.7"/>
    <n v="2.3030438104941413E-2"/>
    <n v="25"/>
    <d v="2024-06-27T00:00:00"/>
    <d v="2024-06-29T00:00:00"/>
    <n v="2"/>
    <x v="1"/>
    <b v="0"/>
    <n v="22"/>
    <n v="288"/>
    <x v="1"/>
    <x v="1"/>
  </r>
  <r>
    <s v="PED-00795"/>
    <d v="2024-10-25T00:00:00"/>
    <x v="0"/>
    <x v="0"/>
    <n v="43"/>
    <x v="4"/>
    <x v="0"/>
    <s v="SKU-MAQ-9613"/>
    <x v="3"/>
    <x v="4"/>
    <x v="1"/>
    <s v="DDP"/>
    <n v="226"/>
    <s v="Cajas"/>
    <n v="1709.66"/>
    <n v="386383.16"/>
    <n v="8744.9599999999991"/>
    <n v="2.2632870438763428E-2"/>
    <n v="13"/>
    <d v="2024-11-07T00:00:00"/>
    <d v="2024-11-09T00:00:00"/>
    <n v="2"/>
    <x v="1"/>
    <b v="0"/>
    <n v="234"/>
    <n v="280"/>
    <x v="3"/>
    <x v="1"/>
  </r>
  <r>
    <s v="PED-00796"/>
    <d v="2023-12-16T00:00:00"/>
    <x v="1"/>
    <x v="11"/>
    <n v="50"/>
    <x v="7"/>
    <x v="1"/>
    <s v="SKU-FAR-7933"/>
    <x v="1"/>
    <x v="5"/>
    <x v="2"/>
    <s v="DDP"/>
    <n v="939"/>
    <s v="Palés"/>
    <n v="206.75"/>
    <n v="194138.25"/>
    <n v="12273.88"/>
    <n v="6.3222368595575576E-2"/>
    <n v="4"/>
    <d v="2023-12-20T00:00:00"/>
    <d v="2024-01-01T00:00:00"/>
    <n v="12"/>
    <x v="2"/>
    <b v="0"/>
    <n v="130"/>
    <n v="491"/>
    <x v="0"/>
    <x v="0"/>
  </r>
  <r>
    <s v="PED-00797"/>
    <d v="2023-01-13T00:00:00"/>
    <x v="1"/>
    <x v="2"/>
    <n v="2"/>
    <x v="2"/>
    <x v="4"/>
    <s v="SKU-TEX-8836"/>
    <x v="3"/>
    <x v="3"/>
    <x v="3"/>
    <s v="FCA"/>
    <n v="35"/>
    <s v="Palés"/>
    <n v="84.13"/>
    <n v="3302.8089"/>
    <n v="142.36009999999999"/>
    <n v="4.3102735977246516E-2"/>
    <n v="4"/>
    <d v="2023-01-17T00:00:00"/>
    <d v="2023-01-17T00:00:00"/>
    <n v="0"/>
    <x v="0"/>
    <b v="1"/>
    <n v="157"/>
    <n v="490"/>
    <x v="0"/>
    <x v="0"/>
  </r>
  <r>
    <s v="PED-00798"/>
    <d v="2024-03-06T00:00:00"/>
    <x v="0"/>
    <x v="8"/>
    <n v="10"/>
    <x v="7"/>
    <x v="0"/>
    <s v="SKU-MAQ-9859"/>
    <x v="3"/>
    <x v="5"/>
    <x v="4"/>
    <s v="FOB"/>
    <n v="824"/>
    <s v="KG"/>
    <n v="1294.79"/>
    <n v="1066906.96"/>
    <n v="37744.550000000003"/>
    <n v="3.5377545948336489E-2"/>
    <n v="6"/>
    <d v="2024-03-12T00:00:00"/>
    <d v="2024-03-15T00:00:00"/>
    <n v="3"/>
    <x v="2"/>
    <b v="0"/>
    <n v="172"/>
    <n v="18"/>
    <x v="0"/>
    <x v="0"/>
  </r>
  <r>
    <s v="PED-00799"/>
    <d v="2024-05-16T00:00:00"/>
    <x v="0"/>
    <x v="5"/>
    <n v="20"/>
    <x v="0"/>
    <x v="0"/>
    <s v="SKU-MAQ-1533"/>
    <x v="3"/>
    <x v="2"/>
    <x v="0"/>
    <s v="DDP"/>
    <n v="14"/>
    <s v="Cajas"/>
    <n v="2041.76"/>
    <n v="28584.639999999999"/>
    <n v="898.27"/>
    <n v="3.1424919117400113E-2"/>
    <n v="28"/>
    <d v="2024-06-13T00:00:00"/>
    <d v="2024-06-13T00:00:00"/>
    <n v="0"/>
    <x v="0"/>
    <b v="1"/>
    <n v="16"/>
    <n v="174"/>
    <x v="0"/>
    <x v="0"/>
  </r>
  <r>
    <s v="PED-00800"/>
    <d v="2023-04-19T00:00:00"/>
    <x v="1"/>
    <x v="1"/>
    <n v="16"/>
    <x v="5"/>
    <x v="7"/>
    <s v="SKU-ALI-9232"/>
    <x v="2"/>
    <x v="2"/>
    <x v="2"/>
    <s v="FCA"/>
    <n v="995"/>
    <s v="Unidades"/>
    <n v="91.69"/>
    <n v="91231.55"/>
    <n v="5491.88"/>
    <n v="6.0197157671879956E-2"/>
    <n v="19"/>
    <d v="2023-05-08T00:00:00"/>
    <d v="2023-05-08T00:00:00"/>
    <n v="0"/>
    <x v="0"/>
    <b v="1"/>
    <n v="369"/>
    <n v="468"/>
    <x v="0"/>
    <x v="0"/>
  </r>
  <r>
    <s v="PED-00801"/>
    <d v="2024-03-19T00:00:00"/>
    <x v="0"/>
    <x v="8"/>
    <n v="12"/>
    <x v="4"/>
    <x v="4"/>
    <s v="SKU-TEX-6689"/>
    <x v="1"/>
    <x v="1"/>
    <x v="3"/>
    <s v="EXW"/>
    <n v="541"/>
    <s v="Metros"/>
    <n v="44.62"/>
    <n v="24139.42"/>
    <n v="483.37"/>
    <n v="2.0024093370926064E-2"/>
    <n v="29"/>
    <d v="2024-04-17T00:00:00"/>
    <d v="2024-04-17T00:00:00"/>
    <n v="0"/>
    <x v="0"/>
    <b v="1"/>
    <n v="441"/>
    <n v="105"/>
    <x v="1"/>
    <x v="1"/>
  </r>
  <r>
    <s v="PED-00802"/>
    <d v="2024-01-06T00:00:00"/>
    <x v="0"/>
    <x v="2"/>
    <n v="1"/>
    <x v="0"/>
    <x v="5"/>
    <s v="SKU-ELE-7450"/>
    <x v="4"/>
    <x v="5"/>
    <x v="1"/>
    <s v="FOB"/>
    <n v="399"/>
    <s v="KG"/>
    <n v="738.74"/>
    <n v="294757.26"/>
    <n v="20147.68"/>
    <n v="6.8353464813725034E-2"/>
    <n v="12"/>
    <d v="2024-01-18T00:00:00"/>
    <d v="2024-01-18T00:00:00"/>
    <n v="0"/>
    <x v="0"/>
    <b v="1"/>
    <n v="313"/>
    <n v="288"/>
    <x v="0"/>
    <x v="0"/>
  </r>
  <r>
    <s v="PED-00803"/>
    <d v="2024-10-12T00:00:00"/>
    <x v="0"/>
    <x v="0"/>
    <n v="41"/>
    <x v="4"/>
    <x v="3"/>
    <s v="SKU-QUÍ-3863"/>
    <x v="3"/>
    <x v="2"/>
    <x v="0"/>
    <s v="FOB"/>
    <n v="719"/>
    <s v="Litros"/>
    <n v="133.21"/>
    <n v="95777.99"/>
    <n v="2370.98"/>
    <n v="2.4754956749457782E-2"/>
    <n v="22"/>
    <d v="2024-11-03T00:00:00"/>
    <d v="2024-10-31T00:00:00"/>
    <n v="-3"/>
    <x v="0"/>
    <b v="1"/>
    <n v="479"/>
    <n v="247"/>
    <x v="0"/>
    <x v="0"/>
  </r>
  <r>
    <s v="PED-00804"/>
    <d v="2024-04-15T00:00:00"/>
    <x v="0"/>
    <x v="1"/>
    <n v="16"/>
    <x v="3"/>
    <x v="6"/>
    <s v="SKU-CON-8490"/>
    <x v="0"/>
    <x v="5"/>
    <x v="3"/>
    <s v="CIF"/>
    <n v="580"/>
    <s v="Cajas"/>
    <n v="186.54"/>
    <n v="108193.2"/>
    <n v="3406.94"/>
    <n v="3.1489409685636439E-2"/>
    <n v="7"/>
    <d v="2024-04-22T00:00:00"/>
    <d v="2024-04-24T00:00:00"/>
    <n v="2"/>
    <x v="1"/>
    <b v="0"/>
    <n v="365"/>
    <n v="322"/>
    <x v="3"/>
    <x v="1"/>
  </r>
  <r>
    <s v="PED-00805"/>
    <d v="2024-12-25T00:00:00"/>
    <x v="0"/>
    <x v="11"/>
    <n v="52"/>
    <x v="8"/>
    <x v="2"/>
    <s v="SKU-AUT-2972"/>
    <x v="2"/>
    <x v="2"/>
    <x v="1"/>
    <s v="DAP"/>
    <n v="457"/>
    <s v="Litros"/>
    <n v="860.42"/>
    <n v="393211.94"/>
    <n v="16976.599999999999"/>
    <n v="4.3174172177986248E-2"/>
    <n v="27"/>
    <d v="2025-01-21T00:00:00"/>
    <d v="2025-01-22T00:00:00"/>
    <n v="1"/>
    <x v="2"/>
    <b v="0"/>
    <n v="184"/>
    <n v="141"/>
    <x v="1"/>
    <x v="1"/>
  </r>
  <r>
    <s v="PED-00806"/>
    <d v="2023-06-06T00:00:00"/>
    <x v="1"/>
    <x v="10"/>
    <n v="23"/>
    <x v="8"/>
    <x v="1"/>
    <s v="SKU-FAR-9490"/>
    <x v="3"/>
    <x v="3"/>
    <x v="3"/>
    <s v="CIF"/>
    <n v="763"/>
    <s v="Litros"/>
    <n v="277.26"/>
    <n v="211549.38"/>
    <n v="10385.280000000001"/>
    <n v="4.9091517072751528E-2"/>
    <n v="10"/>
    <d v="2023-06-16T00:00:00"/>
    <d v="2023-06-11T00:00:00"/>
    <n v="-5"/>
    <x v="0"/>
    <b v="1"/>
    <n v="390"/>
    <n v="462"/>
    <x v="0"/>
    <x v="0"/>
  </r>
  <r>
    <s v="PED-00807"/>
    <d v="2024-03-21T00:00:00"/>
    <x v="0"/>
    <x v="8"/>
    <n v="12"/>
    <x v="7"/>
    <x v="7"/>
    <s v="SKU-ALI-8537"/>
    <x v="2"/>
    <x v="2"/>
    <x v="0"/>
    <s v="EXW"/>
    <n v="155"/>
    <s v="KG"/>
    <n v="75.510000000000005"/>
    <n v="11704.05"/>
    <n v="483.37"/>
    <n v="4.1299379274695514E-2"/>
    <n v="26"/>
    <d v="2024-04-16T00:00:00"/>
    <d v="2024-04-16T00:00:00"/>
    <n v="0"/>
    <x v="0"/>
    <b v="1"/>
    <n v="422"/>
    <n v="416"/>
    <x v="0"/>
    <x v="0"/>
  </r>
  <r>
    <s v="PED-00808"/>
    <d v="2023-06-30T00:00:00"/>
    <x v="1"/>
    <x v="10"/>
    <n v="26"/>
    <x v="0"/>
    <x v="1"/>
    <s v="SKU-FAR-6171"/>
    <x v="1"/>
    <x v="5"/>
    <x v="4"/>
    <s v="FCA"/>
    <n v="397"/>
    <s v="Cajas"/>
    <n v="170.83"/>
    <n v="67819.509999999995"/>
    <n v="2661.42"/>
    <n v="3.9242689898526258E-2"/>
    <n v="19"/>
    <d v="2023-07-19T00:00:00"/>
    <d v="2023-07-31T00:00:00"/>
    <n v="12"/>
    <x v="1"/>
    <b v="0"/>
    <n v="333"/>
    <n v="297"/>
    <x v="1"/>
    <x v="1"/>
  </r>
  <r>
    <s v="PED-00809"/>
    <d v="2024-06-18T00:00:00"/>
    <x v="0"/>
    <x v="10"/>
    <n v="25"/>
    <x v="6"/>
    <x v="5"/>
    <s v="SKU-ELE-1137"/>
    <x v="0"/>
    <x v="1"/>
    <x v="4"/>
    <s v="FOB"/>
    <n v="794"/>
    <s v="Litros"/>
    <n v="401.63"/>
    <n v="318894.21999999997"/>
    <n v="24821.119999999999"/>
    <n v="7.7834963581340552E-2"/>
    <n v="7"/>
    <d v="2024-06-25T00:00:00"/>
    <d v="2024-06-25T00:00:00"/>
    <n v="0"/>
    <x v="0"/>
    <b v="1"/>
    <n v="441"/>
    <n v="469"/>
    <x v="3"/>
    <x v="1"/>
  </r>
  <r>
    <s v="PED-00810"/>
    <d v="2024-10-28T00:00:00"/>
    <x v="0"/>
    <x v="0"/>
    <n v="44"/>
    <x v="4"/>
    <x v="6"/>
    <s v="SKU-CON-1193"/>
    <x v="0"/>
    <x v="5"/>
    <x v="1"/>
    <s v="FOB"/>
    <n v="258"/>
    <s v="Cajas"/>
    <n v="187.66"/>
    <n v="48416.28"/>
    <n v="2832.1"/>
    <n v="5.8494787290555988E-2"/>
    <n v="3"/>
    <d v="2024-10-31T00:00:00"/>
    <d v="2024-10-31T00:00:00"/>
    <n v="0"/>
    <x v="0"/>
    <b v="1"/>
    <n v="183"/>
    <n v="192"/>
    <x v="2"/>
    <x v="1"/>
  </r>
  <r>
    <s v="PED-00811"/>
    <d v="2023-10-04T00:00:00"/>
    <x v="1"/>
    <x v="0"/>
    <n v="40"/>
    <x v="4"/>
    <x v="5"/>
    <s v="SKU-ELE-4452"/>
    <x v="0"/>
    <x v="0"/>
    <x v="4"/>
    <s v="DDP"/>
    <n v="535"/>
    <s v="Palés"/>
    <n v="662.02"/>
    <n v="354180.7"/>
    <n v="7581.58"/>
    <n v="2.1405965937726139E-2"/>
    <n v="13"/>
    <d v="2023-10-17T00:00:00"/>
    <d v="2023-10-14T00:00:00"/>
    <n v="-3"/>
    <x v="0"/>
    <b v="1"/>
    <n v="142"/>
    <n v="350"/>
    <x v="4"/>
    <x v="1"/>
  </r>
  <r>
    <s v="PED-00812"/>
    <d v="2024-09-22T00:00:00"/>
    <x v="0"/>
    <x v="3"/>
    <n v="39"/>
    <x v="6"/>
    <x v="0"/>
    <s v="SKU-MAQ-7216"/>
    <x v="3"/>
    <x v="5"/>
    <x v="0"/>
    <s v="DAP"/>
    <n v="471"/>
    <s v="Metros"/>
    <n v="1615.95"/>
    <n v="761112.45"/>
    <n v="34866.980000000003"/>
    <n v="4.5810550070492222E-2"/>
    <n v="13"/>
    <d v="2024-10-05T00:00:00"/>
    <d v="2024-10-05T00:00:00"/>
    <n v="0"/>
    <x v="0"/>
    <b v="1"/>
    <n v="43"/>
    <n v="302"/>
    <x v="1"/>
    <x v="1"/>
  </r>
  <r>
    <s v="PED-00813"/>
    <d v="2024-07-05T00:00:00"/>
    <x v="0"/>
    <x v="7"/>
    <n v="27"/>
    <x v="1"/>
    <x v="2"/>
    <s v="SKU-AUT-2650"/>
    <x v="2"/>
    <x v="3"/>
    <x v="1"/>
    <s v="DAP"/>
    <n v="22"/>
    <s v="Litros"/>
    <n v="705.59"/>
    <n v="15522.98"/>
    <n v="1125.42"/>
    <n v="7.2500254461450059E-2"/>
    <n v="18"/>
    <d v="2024-07-23T00:00:00"/>
    <d v="2024-07-18T00:00:00"/>
    <n v="-5"/>
    <x v="0"/>
    <b v="1"/>
    <n v="11"/>
    <n v="290"/>
    <x v="4"/>
    <x v="1"/>
  </r>
  <r>
    <s v="PED-00814"/>
    <d v="2024-05-10T00:00:00"/>
    <x v="0"/>
    <x v="5"/>
    <n v="19"/>
    <x v="0"/>
    <x v="5"/>
    <s v="SKU-ELE-6331"/>
    <x v="0"/>
    <x v="4"/>
    <x v="3"/>
    <s v="DDP"/>
    <n v="912"/>
    <s v="Litros"/>
    <n v="416.47"/>
    <n v="379820.64"/>
    <n v="14466.37"/>
    <n v="3.8087371976414972E-2"/>
    <n v="28"/>
    <d v="2024-06-07T00:00:00"/>
    <d v="2024-06-08T00:00:00"/>
    <n v="1"/>
    <x v="1"/>
    <b v="0"/>
    <n v="7"/>
    <n v="372"/>
    <x v="0"/>
    <x v="0"/>
  </r>
  <r>
    <s v="PED-00815"/>
    <d v="2024-04-21T00:00:00"/>
    <x v="0"/>
    <x v="1"/>
    <n v="17"/>
    <x v="6"/>
    <x v="1"/>
    <s v="SKU-FAR-6924"/>
    <x v="5"/>
    <x v="3"/>
    <x v="2"/>
    <s v="EXW"/>
    <n v="393"/>
    <s v="Cajas"/>
    <n v="193.24"/>
    <n v="75943.320000000007"/>
    <n v="1949.72"/>
    <n v="2.5673357446053185E-2"/>
    <n v="26"/>
    <d v="2024-05-17T00:00:00"/>
    <d v="2024-05-14T00:00:00"/>
    <n v="-3"/>
    <x v="0"/>
    <b v="1"/>
    <n v="79"/>
    <n v="467"/>
    <x v="3"/>
    <x v="1"/>
  </r>
  <r>
    <s v="PED-00816"/>
    <d v="2024-03-22T00:00:00"/>
    <x v="0"/>
    <x v="8"/>
    <n v="12"/>
    <x v="8"/>
    <x v="4"/>
    <s v="SKU-TEX-5254"/>
    <x v="5"/>
    <x v="3"/>
    <x v="3"/>
    <s v="DAP"/>
    <n v="565"/>
    <s v="Metros"/>
    <n v="87.12"/>
    <n v="49222.8"/>
    <n v="3224.25"/>
    <n v="6.5503181452497616E-2"/>
    <n v="20"/>
    <d v="2024-04-11T00:00:00"/>
    <d v="2024-04-08T00:00:00"/>
    <n v="-3"/>
    <x v="0"/>
    <b v="1"/>
    <n v="296"/>
    <n v="415"/>
    <x v="3"/>
    <x v="1"/>
  </r>
  <r>
    <s v="PED-00817"/>
    <d v="2024-08-29T00:00:00"/>
    <x v="0"/>
    <x v="4"/>
    <n v="35"/>
    <x v="4"/>
    <x v="4"/>
    <s v="SKU-TEX-4066"/>
    <x v="2"/>
    <x v="2"/>
    <x v="0"/>
    <s v="FOB"/>
    <n v="896"/>
    <s v="Palés"/>
    <n v="58.47"/>
    <n v="52389.120000000003"/>
    <n v="2952.69"/>
    <n v="5.6360748185882867E-2"/>
    <n v="28"/>
    <d v="2024-09-26T00:00:00"/>
    <d v="2024-09-29T00:00:00"/>
    <n v="3"/>
    <x v="1"/>
    <b v="0"/>
    <n v="161"/>
    <n v="438"/>
    <x v="2"/>
    <x v="1"/>
  </r>
  <r>
    <s v="PED-00818"/>
    <d v="2023-10-02T00:00:00"/>
    <x v="1"/>
    <x v="0"/>
    <n v="40"/>
    <x v="8"/>
    <x v="0"/>
    <s v="SKU-MAQ-9987"/>
    <x v="3"/>
    <x v="3"/>
    <x v="1"/>
    <s v="EXW"/>
    <n v="408"/>
    <s v="Litros"/>
    <n v="2235.75"/>
    <n v="912186"/>
    <n v="49457.59"/>
    <n v="5.4218755823921869E-2"/>
    <n v="8"/>
    <d v="2023-10-10T00:00:00"/>
    <d v="2023-10-10T00:00:00"/>
    <n v="0"/>
    <x v="0"/>
    <b v="1"/>
    <n v="301"/>
    <n v="437"/>
    <x v="0"/>
    <x v="0"/>
  </r>
  <r>
    <s v="PED-00819"/>
    <d v="2023-11-27T00:00:00"/>
    <x v="1"/>
    <x v="6"/>
    <n v="48"/>
    <x v="0"/>
    <x v="3"/>
    <s v="SKU-QUÍ-5306"/>
    <x v="3"/>
    <x v="5"/>
    <x v="3"/>
    <s v="CIF"/>
    <n v="28"/>
    <s v="KG"/>
    <n v="130.58000000000001"/>
    <n v="3656.24"/>
    <n v="142.36009999999999"/>
    <n v="3.8936202218672736E-2"/>
    <n v="29"/>
    <d v="2023-12-26T00:00:00"/>
    <d v="2023-12-23T00:00:00"/>
    <n v="-3"/>
    <x v="0"/>
    <b v="1"/>
    <n v="215"/>
    <n v="331"/>
    <x v="2"/>
    <x v="1"/>
  </r>
  <r>
    <s v="PED-00820"/>
    <d v="2023-09-09T00:00:00"/>
    <x v="1"/>
    <x v="3"/>
    <n v="36"/>
    <x v="5"/>
    <x v="1"/>
    <s v="SKU-FAR-4885"/>
    <x v="1"/>
    <x v="4"/>
    <x v="1"/>
    <s v="CIF"/>
    <n v="584"/>
    <s v="Cajas"/>
    <n v="168.67"/>
    <n v="98503.28"/>
    <n v="2800.44"/>
    <n v="2.8429916242382995E-2"/>
    <n v="9"/>
    <d v="2023-09-18T00:00:00"/>
    <d v="2023-09-26T00:00:00"/>
    <n v="8"/>
    <x v="1"/>
    <b v="0"/>
    <n v="247"/>
    <n v="434"/>
    <x v="1"/>
    <x v="1"/>
  </r>
  <r>
    <s v="PED-00821"/>
    <d v="2023-03-30T00:00:00"/>
    <x v="1"/>
    <x v="8"/>
    <n v="13"/>
    <x v="5"/>
    <x v="1"/>
    <s v="SKU-FAR-5413"/>
    <x v="1"/>
    <x v="1"/>
    <x v="4"/>
    <s v="EXW"/>
    <n v="500"/>
    <s v="Cajas"/>
    <n v="282.58"/>
    <n v="141290"/>
    <n v="8103.4"/>
    <n v="5.735296199306391E-2"/>
    <n v="7"/>
    <d v="2023-04-06T00:00:00"/>
    <d v="2023-04-09T00:00:00"/>
    <n v="3"/>
    <x v="2"/>
    <b v="0"/>
    <n v="28"/>
    <n v="207"/>
    <x v="3"/>
    <x v="1"/>
  </r>
  <r>
    <s v="PED-00822"/>
    <d v="2023-10-13T00:00:00"/>
    <x v="1"/>
    <x v="0"/>
    <n v="41"/>
    <x v="7"/>
    <x v="5"/>
    <s v="SKU-ELE-8722"/>
    <x v="0"/>
    <x v="3"/>
    <x v="2"/>
    <s v="FOB"/>
    <n v="760"/>
    <s v="Litros"/>
    <n v="534.14"/>
    <n v="405946.4"/>
    <n v="13180.85"/>
    <n v="3.2469434388382311E-2"/>
    <n v="1"/>
    <d v="2023-10-14T00:00:00"/>
    <d v="2023-10-17T00:00:00"/>
    <n v="3"/>
    <x v="1"/>
    <b v="0"/>
    <n v="271"/>
    <n v="442"/>
    <x v="0"/>
    <x v="0"/>
  </r>
  <r>
    <s v="PED-00823"/>
    <d v="2024-04-06T00:00:00"/>
    <x v="0"/>
    <x v="1"/>
    <n v="14"/>
    <x v="8"/>
    <x v="2"/>
    <s v="SKU-AUT-6621"/>
    <x v="4"/>
    <x v="5"/>
    <x v="0"/>
    <s v="CIF"/>
    <n v="428"/>
    <s v="Palés"/>
    <n v="1014.19"/>
    <n v="434073.32"/>
    <n v="21809.67"/>
    <n v="5.0244207591473251E-2"/>
    <n v="3"/>
    <d v="2024-04-09T00:00:00"/>
    <d v="2024-04-09T00:00:00"/>
    <n v="0"/>
    <x v="0"/>
    <b v="1"/>
    <n v="132"/>
    <n v="455"/>
    <x v="2"/>
    <x v="1"/>
  </r>
  <r>
    <s v="PED-00824"/>
    <d v="2023-09-07T00:00:00"/>
    <x v="1"/>
    <x v="3"/>
    <n v="36"/>
    <x v="8"/>
    <x v="1"/>
    <s v="SKU-FAR-6995"/>
    <x v="1"/>
    <x v="2"/>
    <x v="3"/>
    <s v="FCA"/>
    <n v="346"/>
    <s v="Litros"/>
    <n v="297.39"/>
    <n v="102896.94"/>
    <n v="5421.94"/>
    <n v="5.2692917787448293E-2"/>
    <n v="13"/>
    <d v="2023-09-20T00:00:00"/>
    <d v="2023-09-28T00:00:00"/>
    <n v="8"/>
    <x v="1"/>
    <b v="0"/>
    <n v="4"/>
    <n v="247"/>
    <x v="2"/>
    <x v="1"/>
  </r>
  <r>
    <s v="PED-00825"/>
    <d v="2024-04-20T00:00:00"/>
    <x v="0"/>
    <x v="1"/>
    <n v="16"/>
    <x v="8"/>
    <x v="7"/>
    <s v="SKU-ALI-4013"/>
    <x v="3"/>
    <x v="2"/>
    <x v="2"/>
    <s v="FOB"/>
    <n v="428"/>
    <s v="Unidades"/>
    <n v="59.21"/>
    <n v="25341.88"/>
    <n v="937.91"/>
    <n v="3.7010277059160566E-2"/>
    <n v="28"/>
    <d v="2024-05-18T00:00:00"/>
    <d v="2024-05-17T00:00:00"/>
    <n v="-1"/>
    <x v="0"/>
    <b v="1"/>
    <n v="243"/>
    <n v="141"/>
    <x v="0"/>
    <x v="0"/>
  </r>
  <r>
    <s v="PED-00826"/>
    <d v="2024-08-06T00:00:00"/>
    <x v="0"/>
    <x v="4"/>
    <n v="32"/>
    <x v="1"/>
    <x v="3"/>
    <s v="SKU-QUÍ-9171"/>
    <x v="4"/>
    <x v="1"/>
    <x v="0"/>
    <s v="DDP"/>
    <n v="924"/>
    <s v="Litros"/>
    <n v="93.28"/>
    <n v="86190.720000000001"/>
    <n v="6628.54"/>
    <n v="7.690549516235623E-2"/>
    <n v="25"/>
    <d v="2024-08-31T00:00:00"/>
    <d v="2024-08-31T00:00:00"/>
    <n v="0"/>
    <x v="0"/>
    <b v="1"/>
    <n v="29"/>
    <n v="401"/>
    <x v="1"/>
    <x v="1"/>
  </r>
  <r>
    <s v="PED-00827"/>
    <d v="2024-09-16T00:00:00"/>
    <x v="0"/>
    <x v="3"/>
    <n v="38"/>
    <x v="8"/>
    <x v="5"/>
    <s v="SKU-ELE-7945"/>
    <x v="1"/>
    <x v="1"/>
    <x v="0"/>
    <s v="DAP"/>
    <n v="925"/>
    <s v="Metros"/>
    <n v="638.17999999999995"/>
    <n v="590316.5"/>
    <n v="41645.56"/>
    <n v="7.0547850178675334E-2"/>
    <n v="28"/>
    <d v="2024-10-14T00:00:00"/>
    <d v="2024-10-15T00:00:00"/>
    <n v="1"/>
    <x v="2"/>
    <b v="0"/>
    <n v="116"/>
    <n v="383"/>
    <x v="3"/>
    <x v="1"/>
  </r>
  <r>
    <s v="PED-00828"/>
    <d v="2024-11-15T00:00:00"/>
    <x v="0"/>
    <x v="6"/>
    <n v="46"/>
    <x v="5"/>
    <x v="7"/>
    <s v="SKU-ALI-4449"/>
    <x v="2"/>
    <x v="5"/>
    <x v="4"/>
    <s v="EXW"/>
    <n v="621"/>
    <s v="Metros"/>
    <n v="74.040000000000006"/>
    <n v="45978.84"/>
    <n v="2912.41"/>
    <n v="6.3342398372816716E-2"/>
    <n v="17"/>
    <d v="2024-12-02T00:00:00"/>
    <d v="2024-12-07T00:00:00"/>
    <n v="5"/>
    <x v="1"/>
    <b v="0"/>
    <n v="177"/>
    <n v="310"/>
    <x v="1"/>
    <x v="1"/>
  </r>
  <r>
    <s v="PED-00829"/>
    <d v="2024-01-24T00:00:00"/>
    <x v="0"/>
    <x v="2"/>
    <n v="4"/>
    <x v="1"/>
    <x v="0"/>
    <s v="SKU-MAQ-7866"/>
    <x v="5"/>
    <x v="1"/>
    <x v="1"/>
    <s v="DAP"/>
    <n v="684"/>
    <s v="Unidades"/>
    <n v="1271.1600000000001"/>
    <n v="869473.44"/>
    <n v="21458.28"/>
    <n v="2.4679626786529556E-2"/>
    <n v="25"/>
    <d v="2024-02-18T00:00:00"/>
    <d v="2024-02-18T00:00:00"/>
    <n v="0"/>
    <x v="0"/>
    <b v="1"/>
    <n v="497"/>
    <n v="221"/>
    <x v="1"/>
    <x v="1"/>
  </r>
  <r>
    <s v="PED-00830"/>
    <d v="2023-12-11T00:00:00"/>
    <x v="1"/>
    <x v="11"/>
    <n v="50"/>
    <x v="7"/>
    <x v="4"/>
    <s v="SKU-TEX-7099"/>
    <x v="1"/>
    <x v="1"/>
    <x v="1"/>
    <s v="DDP"/>
    <n v="937"/>
    <s v="Metros"/>
    <n v="43.89"/>
    <n v="41124.93"/>
    <n v="1084.3699999999999"/>
    <n v="2.6367704455667156E-2"/>
    <n v="24"/>
    <d v="2024-01-04T00:00:00"/>
    <d v="2024-01-01T00:00:00"/>
    <n v="-3"/>
    <x v="0"/>
    <b v="1"/>
    <n v="260"/>
    <n v="224"/>
    <x v="0"/>
    <x v="0"/>
  </r>
  <r>
    <s v="PED-00831"/>
    <d v="2023-01-30T00:00:00"/>
    <x v="1"/>
    <x v="2"/>
    <n v="5"/>
    <x v="3"/>
    <x v="0"/>
    <s v="SKU-MAQ-6981"/>
    <x v="1"/>
    <x v="2"/>
    <x v="2"/>
    <s v="CIF"/>
    <n v="131"/>
    <s v="Metros"/>
    <n v="1076.22"/>
    <n v="140984.82"/>
    <n v="6988.18"/>
    <n v="4.9566896634687337E-2"/>
    <n v="1"/>
    <d v="2023-01-31T00:00:00"/>
    <d v="2023-02-01T00:00:00"/>
    <n v="1"/>
    <x v="1"/>
    <b v="0"/>
    <n v="234"/>
    <n v="353"/>
    <x v="2"/>
    <x v="1"/>
  </r>
  <r>
    <s v="PED-00832"/>
    <d v="2024-05-21T00:00:00"/>
    <x v="0"/>
    <x v="5"/>
    <n v="21"/>
    <x v="2"/>
    <x v="4"/>
    <s v="SKU-TEX-7563"/>
    <x v="2"/>
    <x v="5"/>
    <x v="4"/>
    <s v="FCA"/>
    <n v="441"/>
    <s v="KG"/>
    <n v="79.180000000000007"/>
    <n v="34918.379999999997"/>
    <n v="1035.08"/>
    <n v="2.9642841391840057E-2"/>
    <n v="6"/>
    <d v="2024-05-27T00:00:00"/>
    <d v="2024-05-27T00:00:00"/>
    <n v="0"/>
    <x v="0"/>
    <b v="1"/>
    <n v="140"/>
    <n v="183"/>
    <x v="1"/>
    <x v="1"/>
  </r>
  <r>
    <s v="PED-00833"/>
    <d v="2023-11-29T00:00:00"/>
    <x v="1"/>
    <x v="6"/>
    <n v="48"/>
    <x v="7"/>
    <x v="0"/>
    <s v="SKU-MAQ-5581"/>
    <x v="3"/>
    <x v="4"/>
    <x v="0"/>
    <s v="FOB"/>
    <n v="53"/>
    <s v="Cajas"/>
    <n v="1211.32"/>
    <n v="64199.96"/>
    <n v="5052.28"/>
    <n v="7.8695999187538432E-2"/>
    <n v="21"/>
    <d v="2023-12-20T00:00:00"/>
    <d v="2023-12-19T00:00:00"/>
    <n v="-1"/>
    <x v="0"/>
    <b v="1"/>
    <n v="482"/>
    <n v="363"/>
    <x v="0"/>
    <x v="0"/>
  </r>
  <r>
    <s v="PED-00834"/>
    <d v="2023-07-06T00:00:00"/>
    <x v="1"/>
    <x v="7"/>
    <n v="27"/>
    <x v="9"/>
    <x v="1"/>
    <s v="SKU-FAR-8384"/>
    <x v="0"/>
    <x v="1"/>
    <x v="4"/>
    <s v="FOB"/>
    <n v="881"/>
    <s v="Metros"/>
    <n v="214.84"/>
    <n v="189274.04"/>
    <n v="5585.71"/>
    <n v="2.9511231439874164E-2"/>
    <n v="6"/>
    <d v="2023-07-12T00:00:00"/>
    <d v="2023-07-12T00:00:00"/>
    <n v="0"/>
    <x v="0"/>
    <b v="1"/>
    <n v="304"/>
    <n v="304"/>
    <x v="3"/>
    <x v="1"/>
  </r>
  <r>
    <s v="PED-00835"/>
    <d v="2024-05-14T00:00:00"/>
    <x v="0"/>
    <x v="5"/>
    <n v="20"/>
    <x v="1"/>
    <x v="7"/>
    <s v="SKU-ALI-3947"/>
    <x v="2"/>
    <x v="5"/>
    <x v="4"/>
    <s v="DDP"/>
    <n v="929"/>
    <s v="Cajas"/>
    <n v="94.78"/>
    <n v="88050.62"/>
    <n v="4336.32"/>
    <n v="4.9248034823604875E-2"/>
    <n v="26"/>
    <d v="2024-06-09T00:00:00"/>
    <d v="2024-06-17T00:00:00"/>
    <n v="8"/>
    <x v="2"/>
    <b v="0"/>
    <n v="344"/>
    <n v="481"/>
    <x v="1"/>
    <x v="1"/>
  </r>
  <r>
    <s v="PED-00836"/>
    <d v="2023-08-06T00:00:00"/>
    <x v="1"/>
    <x v="4"/>
    <n v="32"/>
    <x v="5"/>
    <x v="4"/>
    <s v="SKU-TEX-3148"/>
    <x v="0"/>
    <x v="3"/>
    <x v="2"/>
    <s v="EXW"/>
    <n v="326"/>
    <s v="Palés"/>
    <n v="62.56"/>
    <n v="20394.560000000001"/>
    <n v="853.46"/>
    <n v="4.1847433825490721E-2"/>
    <n v="12"/>
    <d v="2023-08-18T00:00:00"/>
    <d v="2023-08-18T00:00:00"/>
    <n v="0"/>
    <x v="0"/>
    <b v="1"/>
    <n v="49"/>
    <n v="187"/>
    <x v="0"/>
    <x v="0"/>
  </r>
  <r>
    <s v="PED-00837"/>
    <d v="2023-12-30T00:00:00"/>
    <x v="1"/>
    <x v="11"/>
    <n v="52"/>
    <x v="5"/>
    <x v="5"/>
    <s v="SKU-ELE-4744"/>
    <x v="1"/>
    <x v="2"/>
    <x v="1"/>
    <s v="DAP"/>
    <n v="390"/>
    <s v="Litros"/>
    <n v="360.84"/>
    <n v="140727.6"/>
    <n v="8213.31"/>
    <n v="5.8363178225166915E-2"/>
    <n v="13"/>
    <d v="2024-01-12T00:00:00"/>
    <d v="2024-01-24T00:00:00"/>
    <n v="12"/>
    <x v="1"/>
    <b v="0"/>
    <n v="269"/>
    <n v="112"/>
    <x v="4"/>
    <x v="1"/>
  </r>
  <r>
    <s v="PED-00838"/>
    <d v="2023-09-22T00:00:00"/>
    <x v="1"/>
    <x v="3"/>
    <n v="38"/>
    <x v="0"/>
    <x v="7"/>
    <s v="SKU-ALI-2636"/>
    <x v="3"/>
    <x v="4"/>
    <x v="4"/>
    <s v="FCA"/>
    <n v="154"/>
    <s v="KG"/>
    <n v="106.14"/>
    <n v="16345.56"/>
    <n v="453.46"/>
    <n v="2.7742090206759513E-2"/>
    <n v="13"/>
    <d v="2023-10-05T00:00:00"/>
    <d v="2023-10-05T00:00:00"/>
    <n v="0"/>
    <x v="0"/>
    <b v="1"/>
    <n v="107"/>
    <n v="180"/>
    <x v="0"/>
    <x v="0"/>
  </r>
  <r>
    <s v="PED-00839"/>
    <d v="2023-12-15T00:00:00"/>
    <x v="1"/>
    <x v="11"/>
    <n v="50"/>
    <x v="4"/>
    <x v="5"/>
    <s v="SKU-ELE-5422"/>
    <x v="4"/>
    <x v="2"/>
    <x v="4"/>
    <s v="CIF"/>
    <n v="336"/>
    <s v="Unidades"/>
    <n v="354.21"/>
    <n v="119014.56"/>
    <n v="5453.13"/>
    <n v="4.5819015757399766E-2"/>
    <n v="29"/>
    <d v="2024-01-13T00:00:00"/>
    <d v="2024-01-13T00:00:00"/>
    <n v="0"/>
    <x v="0"/>
    <b v="1"/>
    <n v="45"/>
    <n v="198"/>
    <x v="0"/>
    <x v="0"/>
  </r>
  <r>
    <s v="PED-00840"/>
    <d v="2023-10-14T00:00:00"/>
    <x v="1"/>
    <x v="0"/>
    <n v="41"/>
    <x v="8"/>
    <x v="7"/>
    <s v="SKU-ALI-4863"/>
    <x v="1"/>
    <x v="2"/>
    <x v="4"/>
    <s v="EXW"/>
    <n v="372"/>
    <s v="Palés"/>
    <n v="104.76"/>
    <n v="38970.720000000001"/>
    <n v="1421.74"/>
    <n v="3.6482261554315651E-2"/>
    <n v="15"/>
    <d v="2023-10-29T00:00:00"/>
    <d v="2023-11-03T00:00:00"/>
    <n v="5"/>
    <x v="1"/>
    <b v="0"/>
    <n v="473"/>
    <n v="389"/>
    <x v="3"/>
    <x v="1"/>
  </r>
  <r>
    <s v="PED-00841"/>
    <d v="2024-09-02T00:00:00"/>
    <x v="0"/>
    <x v="3"/>
    <n v="36"/>
    <x v="5"/>
    <x v="7"/>
    <s v="SKU-ALI-8081"/>
    <x v="2"/>
    <x v="0"/>
    <x v="3"/>
    <s v="FCA"/>
    <n v="59"/>
    <s v="KG"/>
    <n v="113.17"/>
    <n v="6677.03"/>
    <n v="489.19"/>
    <n v="7.3264610163500846E-2"/>
    <n v="21"/>
    <d v="2024-09-23T00:00:00"/>
    <d v="2024-10-05T00:00:00"/>
    <n v="12"/>
    <x v="2"/>
    <b v="0"/>
    <n v="81"/>
    <n v="69"/>
    <x v="2"/>
    <x v="1"/>
  </r>
  <r>
    <s v="PED-00842"/>
    <d v="2024-12-19T00:00:00"/>
    <x v="0"/>
    <x v="11"/>
    <n v="51"/>
    <x v="8"/>
    <x v="0"/>
    <s v="SKU-MAQ-7240"/>
    <x v="4"/>
    <x v="5"/>
    <x v="4"/>
    <s v="FCA"/>
    <n v="74"/>
    <s v="KG"/>
    <n v="1569.41"/>
    <n v="116136.34"/>
    <n v="2605.54"/>
    <n v="2.2435182648256353E-2"/>
    <n v="16"/>
    <d v="2025-01-04T00:00:00"/>
    <d v="2024-12-30T00:00:00"/>
    <n v="-5"/>
    <x v="0"/>
    <b v="1"/>
    <n v="125"/>
    <n v="85"/>
    <x v="0"/>
    <x v="0"/>
  </r>
  <r>
    <s v="PED-00843"/>
    <d v="2023-10-10T00:00:00"/>
    <x v="1"/>
    <x v="0"/>
    <n v="41"/>
    <x v="6"/>
    <x v="4"/>
    <s v="SKU-TEX-4212"/>
    <x v="5"/>
    <x v="3"/>
    <x v="4"/>
    <s v="DDP"/>
    <n v="364"/>
    <s v="Unidades"/>
    <n v="67.709999999999994"/>
    <n v="24646.44"/>
    <n v="1844.14"/>
    <n v="7.4823787938542038E-2"/>
    <n v="22"/>
    <d v="2023-11-01T00:00:00"/>
    <d v="2023-11-06T00:00:00"/>
    <n v="5"/>
    <x v="2"/>
    <b v="0"/>
    <n v="83"/>
    <n v="391"/>
    <x v="1"/>
    <x v="1"/>
  </r>
  <r>
    <s v="PED-00844"/>
    <d v="2024-07-23T00:00:00"/>
    <x v="0"/>
    <x v="7"/>
    <n v="30"/>
    <x v="4"/>
    <x v="4"/>
    <s v="SKU-TEX-3389"/>
    <x v="4"/>
    <x v="1"/>
    <x v="0"/>
    <s v="DDP"/>
    <n v="809"/>
    <s v="Unidades"/>
    <n v="64.900000000000006"/>
    <n v="52504.1"/>
    <n v="3674.22"/>
    <n v="6.9979677777544991E-2"/>
    <n v="21"/>
    <d v="2024-08-13T00:00:00"/>
    <d v="2024-08-13T00:00:00"/>
    <n v="0"/>
    <x v="0"/>
    <b v="1"/>
    <n v="289"/>
    <n v="484"/>
    <x v="4"/>
    <x v="1"/>
  </r>
  <r>
    <s v="PED-00845"/>
    <d v="2023-01-11T00:00:00"/>
    <x v="1"/>
    <x v="2"/>
    <n v="2"/>
    <x v="6"/>
    <x v="2"/>
    <s v="SKU-AUT-3450"/>
    <x v="2"/>
    <x v="3"/>
    <x v="3"/>
    <s v="FOB"/>
    <n v="173"/>
    <s v="Cajas"/>
    <n v="809.09"/>
    <n v="139972.57"/>
    <n v="5298.56"/>
    <n v="3.7854273876660266E-2"/>
    <n v="11"/>
    <d v="2023-01-22T00:00:00"/>
    <d v="2023-01-19T00:00:00"/>
    <n v="-3"/>
    <x v="0"/>
    <b v="1"/>
    <n v="70"/>
    <n v="398"/>
    <x v="4"/>
    <x v="1"/>
  </r>
  <r>
    <s v="PED-00846"/>
    <d v="2024-06-13T00:00:00"/>
    <x v="0"/>
    <x v="10"/>
    <n v="24"/>
    <x v="8"/>
    <x v="7"/>
    <s v="SKU-ALI-8749"/>
    <x v="4"/>
    <x v="5"/>
    <x v="4"/>
    <s v="CIF"/>
    <n v="150"/>
    <s v="Litros"/>
    <n v="112.8"/>
    <n v="16920"/>
    <n v="1139.69"/>
    <n v="6.7357565011820331E-2"/>
    <n v="28"/>
    <d v="2024-07-11T00:00:00"/>
    <d v="2024-07-10T00:00:00"/>
    <n v="-1"/>
    <x v="0"/>
    <b v="1"/>
    <n v="174"/>
    <n v="409"/>
    <x v="4"/>
    <x v="1"/>
  </r>
  <r>
    <s v="PED-00847"/>
    <d v="2023-07-15T00:00:00"/>
    <x v="1"/>
    <x v="7"/>
    <n v="28"/>
    <x v="1"/>
    <x v="1"/>
    <s v="SKU-FAR-1159"/>
    <x v="2"/>
    <x v="2"/>
    <x v="4"/>
    <s v="EXW"/>
    <n v="975"/>
    <s v="Palés"/>
    <n v="283.02999999999997"/>
    <n v="275954.25"/>
    <n v="6035.9"/>
    <n v="2.1872828557632288E-2"/>
    <n v="5"/>
    <d v="2023-07-20T00:00:00"/>
    <d v="2023-07-22T00:00:00"/>
    <n v="2"/>
    <x v="2"/>
    <b v="0"/>
    <n v="315"/>
    <n v="38"/>
    <x v="2"/>
    <x v="1"/>
  </r>
  <r>
    <s v="PED-00848"/>
    <d v="2023-03-29T00:00:00"/>
    <x v="1"/>
    <x v="8"/>
    <n v="13"/>
    <x v="9"/>
    <x v="1"/>
    <s v="SKU-FAR-3893"/>
    <x v="1"/>
    <x v="0"/>
    <x v="2"/>
    <s v="FOB"/>
    <n v="835"/>
    <s v="Litros"/>
    <n v="193.73"/>
    <n v="161764.54999999999"/>
    <n v="12619.57"/>
    <n v="7.8011962447891089E-2"/>
    <n v="4"/>
    <d v="2023-04-02T00:00:00"/>
    <d v="2023-04-07T00:00:00"/>
    <n v="5"/>
    <x v="1"/>
    <b v="0"/>
    <n v="329"/>
    <n v="130"/>
    <x v="0"/>
    <x v="0"/>
  </r>
  <r>
    <s v="PED-00849"/>
    <d v="2023-09-05T00:00:00"/>
    <x v="1"/>
    <x v="3"/>
    <n v="36"/>
    <x v="4"/>
    <x v="5"/>
    <s v="SKU-ELE-7906"/>
    <x v="3"/>
    <x v="5"/>
    <x v="2"/>
    <s v="CIF"/>
    <n v="137"/>
    <s v="Palés"/>
    <n v="596.03"/>
    <n v="81656.11"/>
    <n v="4213.1000000000004"/>
    <n v="5.1595649119214722E-2"/>
    <n v="3"/>
    <d v="2023-09-08T00:00:00"/>
    <d v="2023-09-08T00:00:00"/>
    <n v="0"/>
    <x v="0"/>
    <b v="1"/>
    <n v="462"/>
    <n v="440"/>
    <x v="2"/>
    <x v="1"/>
  </r>
  <r>
    <s v="PED-00850"/>
    <d v="2024-02-21T00:00:00"/>
    <x v="0"/>
    <x v="9"/>
    <n v="8"/>
    <x v="1"/>
    <x v="5"/>
    <s v="SKU-ELE-9185"/>
    <x v="5"/>
    <x v="4"/>
    <x v="3"/>
    <s v="DAP"/>
    <n v="407"/>
    <s v="KG"/>
    <n v="720.76"/>
    <n v="293349.32"/>
    <n v="11205.02"/>
    <n v="3.8196850089851922E-2"/>
    <n v="19"/>
    <d v="2024-03-11T00:00:00"/>
    <d v="2024-03-10T00:00:00"/>
    <n v="-1"/>
    <x v="0"/>
    <b v="1"/>
    <n v="336"/>
    <n v="9"/>
    <x v="1"/>
    <x v="1"/>
  </r>
  <r>
    <s v="PED-00851"/>
    <d v="2024-05-15T00:00:00"/>
    <x v="0"/>
    <x v="5"/>
    <n v="20"/>
    <x v="5"/>
    <x v="0"/>
    <s v="SKU-MAQ-3203"/>
    <x v="3"/>
    <x v="4"/>
    <x v="0"/>
    <s v="DAP"/>
    <n v="942"/>
    <s v="Metros"/>
    <n v="2204.4699999999998"/>
    <n v="1639255.3774000001"/>
    <n v="86708.87"/>
    <n v="5.2895278670689931E-2"/>
    <n v="20"/>
    <d v="2024-06-04T00:00:00"/>
    <d v="2024-06-05T00:00:00"/>
    <n v="1"/>
    <x v="2"/>
    <b v="0"/>
    <n v="394"/>
    <n v="2"/>
    <x v="0"/>
    <x v="0"/>
  </r>
  <r>
    <s v="PED-00852"/>
    <d v="2024-07-22T00:00:00"/>
    <x v="0"/>
    <x v="7"/>
    <n v="30"/>
    <x v="9"/>
    <x v="7"/>
    <s v="SKU-ALI-9470"/>
    <x v="3"/>
    <x v="5"/>
    <x v="3"/>
    <s v="FOB"/>
    <n v="889"/>
    <s v="Metros"/>
    <n v="88.57"/>
    <n v="78738.73"/>
    <n v="1888.49"/>
    <n v="2.3984257810609848E-2"/>
    <n v="25"/>
    <d v="2024-08-16T00:00:00"/>
    <d v="2024-08-16T00:00:00"/>
    <n v="0"/>
    <x v="2"/>
    <b v="0"/>
    <n v="353"/>
    <n v="477"/>
    <x v="4"/>
    <x v="1"/>
  </r>
  <r>
    <s v="PED-00853"/>
    <d v="2023-09-04T00:00:00"/>
    <x v="1"/>
    <x v="3"/>
    <n v="36"/>
    <x v="3"/>
    <x v="5"/>
    <s v="SKU-ELE-9748"/>
    <x v="3"/>
    <x v="1"/>
    <x v="3"/>
    <s v="EXW"/>
    <n v="472"/>
    <s v="Unidades"/>
    <n v="531.13"/>
    <n v="250693.36"/>
    <n v="19895.27"/>
    <n v="7.9360977091694818E-2"/>
    <n v="18"/>
    <d v="2023-09-22T00:00:00"/>
    <d v="2023-09-25T00:00:00"/>
    <n v="3"/>
    <x v="1"/>
    <b v="0"/>
    <n v="90"/>
    <n v="301"/>
    <x v="0"/>
    <x v="0"/>
  </r>
  <r>
    <s v="PED-00854"/>
    <d v="2024-12-08T00:00:00"/>
    <x v="0"/>
    <x v="11"/>
    <n v="50"/>
    <x v="5"/>
    <x v="5"/>
    <s v="SKU-ELE-6172"/>
    <x v="2"/>
    <x v="3"/>
    <x v="2"/>
    <s v="CIF"/>
    <n v="760"/>
    <s v="Unidades"/>
    <n v="461.48"/>
    <n v="350724.8"/>
    <n v="7841.34"/>
    <n v="2.2357529322135191E-2"/>
    <n v="15"/>
    <d v="2024-12-23T00:00:00"/>
    <d v="2024-12-23T00:00:00"/>
    <n v="0"/>
    <x v="0"/>
    <b v="1"/>
    <n v="468"/>
    <n v="149"/>
    <x v="1"/>
    <x v="1"/>
  </r>
  <r>
    <s v="PED-00855"/>
    <d v="2024-05-02T00:00:00"/>
    <x v="0"/>
    <x v="5"/>
    <n v="18"/>
    <x v="2"/>
    <x v="3"/>
    <s v="SKU-QUÍ-8972"/>
    <x v="2"/>
    <x v="3"/>
    <x v="2"/>
    <s v="DAP"/>
    <n v="845"/>
    <s v="KG"/>
    <n v="176.05"/>
    <n v="148762.25"/>
    <n v="8820.77"/>
    <n v="5.9294411048501888E-2"/>
    <n v="9"/>
    <d v="2024-05-11T00:00:00"/>
    <d v="2024-05-10T00:00:00"/>
    <n v="-1"/>
    <x v="0"/>
    <b v="1"/>
    <n v="350"/>
    <n v="66"/>
    <x v="0"/>
    <x v="0"/>
  </r>
  <r>
    <s v="PED-00856"/>
    <d v="2024-10-23T00:00:00"/>
    <x v="0"/>
    <x v="0"/>
    <n v="43"/>
    <x v="7"/>
    <x v="7"/>
    <s v="SKU-ALI-5915"/>
    <x v="5"/>
    <x v="1"/>
    <x v="0"/>
    <s v="DAP"/>
    <n v="817"/>
    <s v="KG"/>
    <n v="65.14"/>
    <n v="53219.38"/>
    <n v="2478.12"/>
    <n v="4.6564240319973665E-2"/>
    <n v="17"/>
    <d v="2024-11-09T00:00:00"/>
    <d v="2024-11-06T00:00:00"/>
    <n v="-3"/>
    <x v="0"/>
    <b v="1"/>
    <n v="433"/>
    <n v="192"/>
    <x v="4"/>
    <x v="1"/>
  </r>
  <r>
    <s v="PED-00857"/>
    <d v="2024-12-29T00:00:00"/>
    <x v="0"/>
    <x v="11"/>
    <n v="53"/>
    <x v="4"/>
    <x v="6"/>
    <s v="SKU-CON-5111"/>
    <x v="2"/>
    <x v="0"/>
    <x v="4"/>
    <s v="EXW"/>
    <n v="196"/>
    <s v="Palés"/>
    <n v="232.77"/>
    <n v="45622.92"/>
    <n v="3510"/>
    <n v="7.6935014242841104E-2"/>
    <n v="14"/>
    <d v="2025-01-12T00:00:00"/>
    <d v="2025-01-20T00:00:00"/>
    <n v="8"/>
    <x v="2"/>
    <b v="0"/>
    <n v="248"/>
    <n v="96"/>
    <x v="1"/>
    <x v="1"/>
  </r>
  <r>
    <s v="PED-00858"/>
    <d v="2024-05-17T00:00:00"/>
    <x v="0"/>
    <x v="5"/>
    <n v="20"/>
    <x v="2"/>
    <x v="0"/>
    <s v="SKU-MAQ-1781"/>
    <x v="0"/>
    <x v="2"/>
    <x v="0"/>
    <s v="FOB"/>
    <n v="729"/>
    <s v="KG"/>
    <n v="1389.06"/>
    <n v="1012624.74"/>
    <n v="35198.82"/>
    <n v="3.4759984236608719E-2"/>
    <n v="15"/>
    <d v="2024-06-01T00:00:00"/>
    <d v="2024-05-29T00:00:00"/>
    <n v="-3"/>
    <x v="0"/>
    <b v="1"/>
    <n v="131"/>
    <n v="18"/>
    <x v="0"/>
    <x v="0"/>
  </r>
  <r>
    <s v="PED-00859"/>
    <d v="2024-04-03T00:00:00"/>
    <x v="0"/>
    <x v="1"/>
    <n v="14"/>
    <x v="8"/>
    <x v="5"/>
    <s v="SKU-ELE-7527"/>
    <x v="2"/>
    <x v="2"/>
    <x v="4"/>
    <s v="DDP"/>
    <n v="741"/>
    <s v="Palés"/>
    <n v="461.6"/>
    <n v="342045.6"/>
    <n v="17760.79"/>
    <n v="5.1925211141438457E-2"/>
    <n v="1"/>
    <d v="2024-04-04T00:00:00"/>
    <d v="2024-04-03T00:00:00"/>
    <n v="-1"/>
    <x v="1"/>
    <b v="0"/>
    <n v="168"/>
    <n v="483"/>
    <x v="0"/>
    <x v="0"/>
  </r>
  <r>
    <s v="PED-00860"/>
    <d v="2023-01-18T00:00:00"/>
    <x v="1"/>
    <x v="2"/>
    <n v="3"/>
    <x v="4"/>
    <x v="0"/>
    <s v="SKU-MAQ-2621"/>
    <x v="2"/>
    <x v="4"/>
    <x v="1"/>
    <s v="FCA"/>
    <n v="921"/>
    <s v="Litros"/>
    <n v="1535.96"/>
    <n v="1414619.16"/>
    <n v="69233.399999999994"/>
    <n v="4.8941370198888015E-2"/>
    <n v="21"/>
    <d v="2023-02-08T00:00:00"/>
    <d v="2023-02-05T00:00:00"/>
    <n v="-3"/>
    <x v="0"/>
    <b v="1"/>
    <n v="442"/>
    <n v="317"/>
    <x v="0"/>
    <x v="0"/>
  </r>
  <r>
    <s v="PED-00861"/>
    <d v="2023-04-06T00:00:00"/>
    <x v="1"/>
    <x v="1"/>
    <n v="14"/>
    <x v="7"/>
    <x v="4"/>
    <s v="SKU-TEX-3676"/>
    <x v="2"/>
    <x v="0"/>
    <x v="2"/>
    <s v="CIF"/>
    <n v="199"/>
    <s v="Unidades"/>
    <n v="89.94"/>
    <n v="17898.060000000001"/>
    <n v="1112.76"/>
    <n v="6.2172101333887578E-2"/>
    <n v="22"/>
    <d v="2023-04-28T00:00:00"/>
    <d v="2023-04-28T00:00:00"/>
    <n v="0"/>
    <x v="0"/>
    <b v="1"/>
    <n v="59"/>
    <n v="97"/>
    <x v="3"/>
    <x v="1"/>
  </r>
  <r>
    <s v="PED-00862"/>
    <d v="2023-10-29T00:00:00"/>
    <x v="1"/>
    <x v="0"/>
    <n v="44"/>
    <x v="4"/>
    <x v="0"/>
    <s v="SKU-MAQ-1983"/>
    <x v="1"/>
    <x v="1"/>
    <x v="1"/>
    <s v="DAP"/>
    <n v="397"/>
    <s v="Unidades"/>
    <n v="1115.96"/>
    <n v="443036.12"/>
    <n v="10668.58"/>
    <n v="2.4080609951170572E-2"/>
    <n v="22"/>
    <d v="2023-11-20T00:00:00"/>
    <d v="2023-11-17T00:00:00"/>
    <n v="-3"/>
    <x v="0"/>
    <b v="1"/>
    <n v="368"/>
    <n v="56"/>
    <x v="0"/>
    <x v="0"/>
  </r>
  <r>
    <s v="PED-00863"/>
    <d v="2023-08-15T00:00:00"/>
    <x v="1"/>
    <x v="4"/>
    <n v="33"/>
    <x v="1"/>
    <x v="6"/>
    <s v="SKU-CON-4530"/>
    <x v="5"/>
    <x v="5"/>
    <x v="1"/>
    <s v="FCA"/>
    <n v="438"/>
    <s v="Metros"/>
    <n v="232.57"/>
    <n v="101865.66"/>
    <n v="3221.74"/>
    <n v="3.1627341343491024E-2"/>
    <n v="3"/>
    <d v="2023-08-18T00:00:00"/>
    <d v="2023-08-23T00:00:00"/>
    <n v="5"/>
    <x v="1"/>
    <b v="0"/>
    <n v="336"/>
    <n v="350"/>
    <x v="3"/>
    <x v="1"/>
  </r>
  <r>
    <s v="PED-00864"/>
    <d v="2024-02-19T00:00:00"/>
    <x v="0"/>
    <x v="9"/>
    <n v="8"/>
    <x v="6"/>
    <x v="1"/>
    <s v="SKU-FAR-5166"/>
    <x v="0"/>
    <x v="3"/>
    <x v="2"/>
    <s v="FCA"/>
    <n v="867"/>
    <s v="Metros"/>
    <n v="153.21"/>
    <n v="132833.07"/>
    <n v="4366.74"/>
    <n v="3.2873892021015545E-2"/>
    <n v="16"/>
    <d v="2024-03-06T00:00:00"/>
    <d v="2024-03-09T00:00:00"/>
    <n v="3"/>
    <x v="2"/>
    <b v="0"/>
    <n v="240"/>
    <n v="106"/>
    <x v="4"/>
    <x v="1"/>
  </r>
  <r>
    <s v="PED-00865"/>
    <d v="2024-12-09T00:00:00"/>
    <x v="0"/>
    <x v="11"/>
    <n v="50"/>
    <x v="0"/>
    <x v="6"/>
    <s v="SKU-CON-8807"/>
    <x v="2"/>
    <x v="5"/>
    <x v="1"/>
    <s v="DDP"/>
    <n v="293"/>
    <s v="Unidades"/>
    <n v="164.72"/>
    <n v="48262.96"/>
    <n v="3102.78"/>
    <n v="6.4289053137229879E-2"/>
    <n v="23"/>
    <d v="2025-01-01T00:00:00"/>
    <d v="2024-12-29T00:00:00"/>
    <n v="-3"/>
    <x v="0"/>
    <b v="1"/>
    <n v="189"/>
    <n v="87"/>
    <x v="0"/>
    <x v="0"/>
  </r>
  <r>
    <s v="PED-00866"/>
    <d v="2023-09-07T00:00:00"/>
    <x v="1"/>
    <x v="3"/>
    <n v="36"/>
    <x v="1"/>
    <x v="1"/>
    <s v="SKU-FAR-2577"/>
    <x v="5"/>
    <x v="3"/>
    <x v="3"/>
    <s v="FCA"/>
    <n v="873"/>
    <s v="Litros"/>
    <n v="210.33"/>
    <n v="183618.09"/>
    <n v="5756.12"/>
    <n v="3.1348327389746841E-2"/>
    <n v="25"/>
    <d v="2023-10-02T00:00:00"/>
    <d v="2023-10-05T00:00:00"/>
    <n v="3"/>
    <x v="2"/>
    <b v="0"/>
    <n v="495"/>
    <n v="459"/>
    <x v="0"/>
    <x v="0"/>
  </r>
  <r>
    <s v="PED-00867"/>
    <d v="2023-11-10T00:00:00"/>
    <x v="1"/>
    <x v="6"/>
    <n v="45"/>
    <x v="7"/>
    <x v="0"/>
    <s v="SKU-MAQ-8370"/>
    <x v="4"/>
    <x v="5"/>
    <x v="4"/>
    <s v="EXW"/>
    <n v="246"/>
    <s v="Litros"/>
    <n v="1662.55"/>
    <n v="408987.3"/>
    <n v="22252.799999999999"/>
    <n v="5.4409513449439631E-2"/>
    <n v="11"/>
    <d v="2023-11-21T00:00:00"/>
    <d v="2023-11-21T00:00:00"/>
    <n v="0"/>
    <x v="0"/>
    <b v="1"/>
    <n v="339"/>
    <n v="140"/>
    <x v="0"/>
    <x v="0"/>
  </r>
  <r>
    <s v="PED-00868"/>
    <d v="2024-11-10T00:00:00"/>
    <x v="0"/>
    <x v="6"/>
    <n v="46"/>
    <x v="4"/>
    <x v="1"/>
    <s v="SKU-FAR-6483"/>
    <x v="1"/>
    <x v="1"/>
    <x v="0"/>
    <s v="FOB"/>
    <n v="203"/>
    <s v="Cajas"/>
    <n v="181.41"/>
    <n v="36826.230000000003"/>
    <n v="1212.1199999999999"/>
    <n v="3.2914582893768918E-2"/>
    <n v="12"/>
    <d v="2024-11-22T00:00:00"/>
    <d v="2024-11-17T00:00:00"/>
    <n v="-5"/>
    <x v="0"/>
    <b v="1"/>
    <n v="280"/>
    <n v="143"/>
    <x v="0"/>
    <x v="0"/>
  </r>
  <r>
    <s v="PED-00869"/>
    <d v="2024-08-18T00:00:00"/>
    <x v="0"/>
    <x v="4"/>
    <n v="34"/>
    <x v="1"/>
    <x v="4"/>
    <s v="SKU-TEX-5256"/>
    <x v="2"/>
    <x v="1"/>
    <x v="2"/>
    <s v="CIF"/>
    <n v="296"/>
    <s v="Palés"/>
    <n v="57.19"/>
    <n v="16928.240000000002"/>
    <n v="1213.71"/>
    <n v="7.1697353062102134E-2"/>
    <n v="10"/>
    <d v="2024-08-28T00:00:00"/>
    <d v="2024-08-28T00:00:00"/>
    <n v="0"/>
    <x v="2"/>
    <b v="0"/>
    <n v="231"/>
    <n v="399"/>
    <x v="1"/>
    <x v="1"/>
  </r>
  <r>
    <s v="PED-00870"/>
    <d v="2024-01-13T00:00:00"/>
    <x v="0"/>
    <x v="2"/>
    <n v="2"/>
    <x v="6"/>
    <x v="7"/>
    <s v="SKU-ALI-6914"/>
    <x v="0"/>
    <x v="0"/>
    <x v="3"/>
    <s v="EXW"/>
    <n v="780"/>
    <s v="Metros"/>
    <n v="61.57"/>
    <n v="48024.6"/>
    <n v="3675.38"/>
    <n v="7.653119442952154E-2"/>
    <n v="16"/>
    <d v="2024-01-29T00:00:00"/>
    <d v="2024-01-24T00:00:00"/>
    <n v="-5"/>
    <x v="0"/>
    <b v="1"/>
    <n v="470"/>
    <n v="370"/>
    <x v="4"/>
    <x v="1"/>
  </r>
  <r>
    <s v="PED-00871"/>
    <d v="2024-04-29T00:00:00"/>
    <x v="0"/>
    <x v="1"/>
    <n v="18"/>
    <x v="2"/>
    <x v="1"/>
    <s v="SKU-FAR-6903"/>
    <x v="1"/>
    <x v="5"/>
    <x v="0"/>
    <s v="FOB"/>
    <n v="767"/>
    <s v="Palés"/>
    <n v="188.52"/>
    <n v="144594.84"/>
    <n v="7390.18"/>
    <n v="5.1109569331796355E-2"/>
    <n v="8"/>
    <d v="2024-05-07T00:00:00"/>
    <d v="2024-05-07T00:00:00"/>
    <n v="0"/>
    <x v="0"/>
    <b v="1"/>
    <n v="462"/>
    <n v="374"/>
    <x v="1"/>
    <x v="1"/>
  </r>
  <r>
    <s v="PED-00872"/>
    <d v="2024-07-20T00:00:00"/>
    <x v="0"/>
    <x v="7"/>
    <n v="29"/>
    <x v="1"/>
    <x v="1"/>
    <s v="SKU-FAR-5222"/>
    <x v="0"/>
    <x v="5"/>
    <x v="0"/>
    <s v="EXW"/>
    <n v="145"/>
    <s v="Metros"/>
    <n v="294.64999999999998"/>
    <n v="42724.25"/>
    <n v="1757.61"/>
    <n v="4.1138463518961714E-2"/>
    <n v="6"/>
    <d v="2024-07-26T00:00:00"/>
    <d v="2024-07-26T00:00:00"/>
    <n v="0"/>
    <x v="0"/>
    <b v="1"/>
    <n v="288"/>
    <n v="51"/>
    <x v="0"/>
    <x v="0"/>
  </r>
  <r>
    <s v="PED-00873"/>
    <d v="2024-06-27T00:00:00"/>
    <x v="0"/>
    <x v="10"/>
    <n v="26"/>
    <x v="8"/>
    <x v="0"/>
    <s v="SKU-MAQ-6638"/>
    <x v="1"/>
    <x v="0"/>
    <x v="0"/>
    <s v="DAP"/>
    <n v="801"/>
    <s v="Cajas"/>
    <n v="2183.65"/>
    <n v="1639255.3774000001"/>
    <n v="59545.55"/>
    <n v="3.6324755020443709E-2"/>
    <n v="12"/>
    <d v="2024-07-09T00:00:00"/>
    <d v="2024-07-08T00:00:00"/>
    <n v="-1"/>
    <x v="0"/>
    <b v="1"/>
    <n v="274"/>
    <n v="211"/>
    <x v="4"/>
    <x v="1"/>
  </r>
  <r>
    <s v="PED-00874"/>
    <d v="2023-12-19T00:00:00"/>
    <x v="1"/>
    <x v="11"/>
    <n v="51"/>
    <x v="2"/>
    <x v="4"/>
    <s v="SKU-TEX-1324"/>
    <x v="4"/>
    <x v="0"/>
    <x v="1"/>
    <s v="DAP"/>
    <n v="792"/>
    <s v="Unidades"/>
    <n v="58.07"/>
    <n v="45991.44"/>
    <n v="1057.2"/>
    <n v="2.2986886255355343E-2"/>
    <n v="24"/>
    <d v="2024-01-12T00:00:00"/>
    <d v="2024-01-11T00:00:00"/>
    <n v="-1"/>
    <x v="0"/>
    <b v="1"/>
    <n v="312"/>
    <n v="40"/>
    <x v="1"/>
    <x v="1"/>
  </r>
  <r>
    <s v="PED-00875"/>
    <d v="2024-03-11T00:00:00"/>
    <x v="0"/>
    <x v="8"/>
    <n v="11"/>
    <x v="7"/>
    <x v="2"/>
    <s v="SKU-AUT-7746"/>
    <x v="5"/>
    <x v="1"/>
    <x v="1"/>
    <s v="DDP"/>
    <n v="180"/>
    <s v="Palés"/>
    <n v="925.35"/>
    <n v="166563"/>
    <n v="6014.59"/>
    <n v="3.6110000420261405E-2"/>
    <n v="28"/>
    <d v="2024-04-08T00:00:00"/>
    <d v="2024-04-11T00:00:00"/>
    <n v="3"/>
    <x v="1"/>
    <b v="0"/>
    <n v="14"/>
    <n v="303"/>
    <x v="2"/>
    <x v="1"/>
  </r>
  <r>
    <s v="PED-00876"/>
    <d v="2024-07-17T00:00:00"/>
    <x v="0"/>
    <x v="7"/>
    <n v="29"/>
    <x v="2"/>
    <x v="2"/>
    <s v="SKU-AUT-2986"/>
    <x v="1"/>
    <x v="1"/>
    <x v="1"/>
    <s v="EXW"/>
    <n v="168"/>
    <s v="Metros"/>
    <n v="1142.1400000000001"/>
    <n v="191879.52"/>
    <n v="11369.66"/>
    <n v="5.9254161152790044E-2"/>
    <n v="21"/>
    <d v="2024-08-07T00:00:00"/>
    <d v="2024-08-07T00:00:00"/>
    <n v="0"/>
    <x v="0"/>
    <b v="1"/>
    <n v="40"/>
    <n v="90"/>
    <x v="0"/>
    <x v="0"/>
  </r>
  <r>
    <s v="PED-00877"/>
    <d v="2023-12-05T00:00:00"/>
    <x v="1"/>
    <x v="11"/>
    <n v="49"/>
    <x v="4"/>
    <x v="2"/>
    <s v="SKU-AUT-6752"/>
    <x v="3"/>
    <x v="4"/>
    <x v="1"/>
    <s v="FCA"/>
    <n v="210"/>
    <s v="Palés"/>
    <n v="563.96"/>
    <n v="118431.6"/>
    <n v="6160.46"/>
    <n v="5.2017029238818013E-2"/>
    <n v="8"/>
    <d v="2023-12-13T00:00:00"/>
    <d v="2023-12-16T00:00:00"/>
    <n v="3"/>
    <x v="1"/>
    <b v="0"/>
    <n v="452"/>
    <n v="38"/>
    <x v="0"/>
    <x v="0"/>
  </r>
  <r>
    <s v="PED-00878"/>
    <d v="2023-12-27T00:00:00"/>
    <x v="1"/>
    <x v="11"/>
    <n v="52"/>
    <x v="9"/>
    <x v="2"/>
    <s v="SKU-AUT-4259"/>
    <x v="4"/>
    <x v="5"/>
    <x v="3"/>
    <s v="DAP"/>
    <n v="496"/>
    <s v="Unidades"/>
    <n v="1078.8399999999999"/>
    <n v="535104.64"/>
    <n v="41011.74"/>
    <n v="7.6642467536816722E-2"/>
    <n v="26"/>
    <d v="2024-01-22T00:00:00"/>
    <d v="2024-01-22T00:00:00"/>
    <n v="0"/>
    <x v="0"/>
    <b v="1"/>
    <n v="207"/>
    <n v="12"/>
    <x v="0"/>
    <x v="0"/>
  </r>
  <r>
    <s v="PED-00879"/>
    <d v="2024-12-20T00:00:00"/>
    <x v="0"/>
    <x v="11"/>
    <n v="51"/>
    <x v="9"/>
    <x v="7"/>
    <s v="SKU-ALI-9821"/>
    <x v="3"/>
    <x v="1"/>
    <x v="1"/>
    <s v="FOB"/>
    <n v="566"/>
    <s v="KG"/>
    <n v="116.7"/>
    <n v="66052.2"/>
    <n v="2891.54"/>
    <n v="4.3776588819146069E-2"/>
    <n v="28"/>
    <d v="2025-01-17T00:00:00"/>
    <d v="2025-01-14T00:00:00"/>
    <n v="-3"/>
    <x v="0"/>
    <b v="1"/>
    <n v="59"/>
    <n v="387"/>
    <x v="0"/>
    <x v="0"/>
  </r>
  <r>
    <s v="PED-00880"/>
    <d v="2024-04-09T00:00:00"/>
    <x v="0"/>
    <x v="1"/>
    <n v="15"/>
    <x v="3"/>
    <x v="6"/>
    <s v="SKU-CON-3859"/>
    <x v="4"/>
    <x v="1"/>
    <x v="2"/>
    <s v="DDP"/>
    <n v="971"/>
    <s v="Metros"/>
    <n v="154.61000000000001"/>
    <n v="150126.31"/>
    <n v="9252.5499999999993"/>
    <n v="6.1631768608713555E-2"/>
    <n v="4"/>
    <d v="2024-04-13T00:00:00"/>
    <d v="2024-04-15T00:00:00"/>
    <n v="2"/>
    <x v="1"/>
    <b v="0"/>
    <n v="364"/>
    <n v="95"/>
    <x v="4"/>
    <x v="1"/>
  </r>
  <r>
    <s v="PED-00881"/>
    <d v="2023-10-05T00:00:00"/>
    <x v="1"/>
    <x v="0"/>
    <n v="40"/>
    <x v="8"/>
    <x v="0"/>
    <s v="SKU-MAQ-5663"/>
    <x v="3"/>
    <x v="5"/>
    <x v="0"/>
    <s v="FCA"/>
    <n v="785"/>
    <s v="KG"/>
    <n v="1243.74"/>
    <n v="976335.9"/>
    <n v="48191.32"/>
    <n v="4.9359364948067565E-2"/>
    <n v="26"/>
    <d v="2023-10-31T00:00:00"/>
    <d v="2023-10-31T00:00:00"/>
    <n v="0"/>
    <x v="0"/>
    <b v="1"/>
    <n v="239"/>
    <n v="108"/>
    <x v="0"/>
    <x v="0"/>
  </r>
  <r>
    <s v="PED-00882"/>
    <d v="2023-11-10T00:00:00"/>
    <x v="1"/>
    <x v="6"/>
    <n v="45"/>
    <x v="4"/>
    <x v="0"/>
    <s v="SKU-MAQ-6818"/>
    <x v="3"/>
    <x v="0"/>
    <x v="3"/>
    <s v="CIF"/>
    <n v="592"/>
    <s v="Cajas"/>
    <n v="2202.9"/>
    <n v="1304116.8"/>
    <n v="66189.89"/>
    <n v="5.0754571983122984E-2"/>
    <n v="8"/>
    <d v="2023-11-18T00:00:00"/>
    <d v="2023-11-15T00:00:00"/>
    <n v="-3"/>
    <x v="0"/>
    <b v="1"/>
    <n v="95"/>
    <n v="103"/>
    <x v="1"/>
    <x v="1"/>
  </r>
  <r>
    <s v="PED-00883"/>
    <d v="2023-09-15T00:00:00"/>
    <x v="1"/>
    <x v="3"/>
    <n v="37"/>
    <x v="7"/>
    <x v="3"/>
    <s v="SKU-QUÍ-6326"/>
    <x v="0"/>
    <x v="5"/>
    <x v="1"/>
    <s v="EXW"/>
    <n v="513"/>
    <s v="Litros"/>
    <n v="135.6"/>
    <n v="69562.8"/>
    <n v="2508.88"/>
    <n v="3.6066403307514934E-2"/>
    <n v="26"/>
    <d v="2023-10-11T00:00:00"/>
    <d v="2023-10-11T00:00:00"/>
    <n v="0"/>
    <x v="0"/>
    <b v="1"/>
    <n v="277"/>
    <n v="353"/>
    <x v="3"/>
    <x v="1"/>
  </r>
  <r>
    <s v="PED-00884"/>
    <d v="2023-08-25T00:00:00"/>
    <x v="1"/>
    <x v="4"/>
    <n v="34"/>
    <x v="5"/>
    <x v="4"/>
    <s v="SKU-TEX-9363"/>
    <x v="1"/>
    <x v="2"/>
    <x v="0"/>
    <s v="DAP"/>
    <n v="885"/>
    <s v="Palés"/>
    <n v="42.68"/>
    <n v="37771.800000000003"/>
    <n v="1786.49"/>
    <n v="4.7296925219343526E-2"/>
    <n v="28"/>
    <d v="2023-09-22T00:00:00"/>
    <d v="2023-09-25T00:00:00"/>
    <n v="3"/>
    <x v="2"/>
    <b v="0"/>
    <n v="426"/>
    <n v="230"/>
    <x v="1"/>
    <x v="1"/>
  </r>
  <r>
    <s v="PED-00885"/>
    <d v="2023-05-04T00:00:00"/>
    <x v="1"/>
    <x v="5"/>
    <n v="18"/>
    <x v="9"/>
    <x v="2"/>
    <s v="SKU-AUT-8987"/>
    <x v="1"/>
    <x v="5"/>
    <x v="3"/>
    <s v="FCA"/>
    <n v="380"/>
    <s v="Metros"/>
    <n v="724.88"/>
    <n v="275454.40000000002"/>
    <n v="13289.88"/>
    <n v="4.8247114585935086E-2"/>
    <n v="18"/>
    <d v="2023-05-22T00:00:00"/>
    <d v="2023-05-22T00:00:00"/>
    <n v="0"/>
    <x v="0"/>
    <b v="1"/>
    <n v="159"/>
    <n v="42"/>
    <x v="2"/>
    <x v="1"/>
  </r>
  <r>
    <s v="PED-00886"/>
    <d v="2023-07-17T00:00:00"/>
    <x v="1"/>
    <x v="7"/>
    <n v="29"/>
    <x v="7"/>
    <x v="7"/>
    <s v="SKU-ALI-8322"/>
    <x v="4"/>
    <x v="2"/>
    <x v="0"/>
    <s v="FOB"/>
    <n v="112"/>
    <s v="Palés"/>
    <n v="84.8"/>
    <n v="9497.6"/>
    <n v="592.64"/>
    <n v="6.2398921832884091E-2"/>
    <n v="28"/>
    <d v="2023-08-14T00:00:00"/>
    <d v="2023-08-26T00:00:00"/>
    <n v="12"/>
    <x v="2"/>
    <b v="0"/>
    <n v="396"/>
    <n v="208"/>
    <x v="4"/>
    <x v="1"/>
  </r>
  <r>
    <s v="PED-00887"/>
    <d v="2023-11-20T00:00:00"/>
    <x v="1"/>
    <x v="6"/>
    <n v="47"/>
    <x v="2"/>
    <x v="4"/>
    <s v="SKU-TEX-2284"/>
    <x v="5"/>
    <x v="5"/>
    <x v="3"/>
    <s v="EXW"/>
    <n v="134"/>
    <s v="Cajas"/>
    <n v="75.260000000000005"/>
    <n v="10084.84"/>
    <n v="770.87"/>
    <n v="7.6438495801619058E-2"/>
    <n v="28"/>
    <d v="2023-12-18T00:00:00"/>
    <d v="2023-12-30T00:00:00"/>
    <n v="12"/>
    <x v="2"/>
    <b v="0"/>
    <n v="421"/>
    <n v="87"/>
    <x v="2"/>
    <x v="1"/>
  </r>
  <r>
    <s v="PED-00888"/>
    <d v="2023-05-03T00:00:00"/>
    <x v="1"/>
    <x v="5"/>
    <n v="18"/>
    <x v="1"/>
    <x v="2"/>
    <s v="SKU-AUT-7243"/>
    <x v="0"/>
    <x v="2"/>
    <x v="4"/>
    <s v="FOB"/>
    <n v="322"/>
    <s v="Cajas"/>
    <n v="1029.22"/>
    <n v="331408.84000000003"/>
    <n v="13176.58"/>
    <n v="3.9759289462526104E-2"/>
    <n v="5"/>
    <d v="2023-05-08T00:00:00"/>
    <d v="2023-05-20T00:00:00"/>
    <n v="12"/>
    <x v="2"/>
    <b v="0"/>
    <n v="281"/>
    <n v="92"/>
    <x v="1"/>
    <x v="1"/>
  </r>
  <r>
    <s v="PED-00889"/>
    <d v="2024-07-02T00:00:00"/>
    <x v="0"/>
    <x v="7"/>
    <n v="27"/>
    <x v="9"/>
    <x v="7"/>
    <s v="SKU-ALI-5694"/>
    <x v="1"/>
    <x v="2"/>
    <x v="3"/>
    <s v="DDP"/>
    <n v="985"/>
    <s v="Palés"/>
    <n v="119.71"/>
    <n v="117914.35"/>
    <n v="2656.85"/>
    <n v="2.2532032784813721E-2"/>
    <n v="9"/>
    <d v="2024-07-11T00:00:00"/>
    <d v="2024-07-11T00:00:00"/>
    <n v="0"/>
    <x v="0"/>
    <b v="1"/>
    <n v="499"/>
    <n v="173"/>
    <x v="0"/>
    <x v="0"/>
  </r>
  <r>
    <s v="PED-00890"/>
    <d v="2024-12-07T00:00:00"/>
    <x v="0"/>
    <x v="11"/>
    <n v="49"/>
    <x v="4"/>
    <x v="4"/>
    <s v="SKU-TEX-8598"/>
    <x v="1"/>
    <x v="5"/>
    <x v="1"/>
    <s v="DAP"/>
    <n v="807"/>
    <s v="Metros"/>
    <n v="55.8"/>
    <n v="45030.6"/>
    <n v="2241.52"/>
    <n v="4.9777706714989364E-2"/>
    <n v="4"/>
    <d v="2024-12-11T00:00:00"/>
    <d v="2024-12-08T00:00:00"/>
    <n v="-3"/>
    <x v="0"/>
    <b v="1"/>
    <n v="208"/>
    <n v="475"/>
    <x v="2"/>
    <x v="1"/>
  </r>
  <r>
    <s v="PED-00891"/>
    <d v="2023-07-09T00:00:00"/>
    <x v="1"/>
    <x v="7"/>
    <n v="28"/>
    <x v="9"/>
    <x v="0"/>
    <s v="SKU-MAQ-3373"/>
    <x v="0"/>
    <x v="4"/>
    <x v="0"/>
    <s v="DAP"/>
    <n v="467"/>
    <s v="Unidades"/>
    <n v="1695.86"/>
    <n v="791966.62"/>
    <n v="41711.040000000001"/>
    <n v="5.2667674301727516E-2"/>
    <n v="27"/>
    <d v="2023-08-05T00:00:00"/>
    <d v="2023-08-17T00:00:00"/>
    <n v="12"/>
    <x v="1"/>
    <b v="0"/>
    <n v="132"/>
    <n v="125"/>
    <x v="1"/>
    <x v="1"/>
  </r>
  <r>
    <s v="PED-00892"/>
    <d v="2023-07-16T00:00:00"/>
    <x v="1"/>
    <x v="7"/>
    <n v="29"/>
    <x v="6"/>
    <x v="0"/>
    <s v="SKU-MAQ-3745"/>
    <x v="2"/>
    <x v="1"/>
    <x v="0"/>
    <s v="DDP"/>
    <n v="239"/>
    <s v="Unidades"/>
    <n v="1689.99"/>
    <n v="403907.61"/>
    <n v="12160.22"/>
    <n v="3.0106439440445304E-2"/>
    <n v="22"/>
    <d v="2023-08-07T00:00:00"/>
    <d v="2023-08-07T00:00:00"/>
    <n v="0"/>
    <x v="0"/>
    <b v="1"/>
    <n v="380"/>
    <n v="108"/>
    <x v="2"/>
    <x v="1"/>
  </r>
  <r>
    <s v="PED-00893"/>
    <d v="2023-08-10T00:00:00"/>
    <x v="1"/>
    <x v="4"/>
    <n v="32"/>
    <x v="6"/>
    <x v="6"/>
    <s v="SKU-CON-6527"/>
    <x v="0"/>
    <x v="3"/>
    <x v="0"/>
    <s v="FOB"/>
    <n v="667"/>
    <s v="Litros"/>
    <n v="204.9"/>
    <n v="136668.29999999999"/>
    <n v="8969.25"/>
    <n v="6.5627874203454645E-2"/>
    <n v="17"/>
    <d v="2023-08-27T00:00:00"/>
    <d v="2023-09-04T00:00:00"/>
    <n v="8"/>
    <x v="1"/>
    <b v="0"/>
    <n v="432"/>
    <n v="46"/>
    <x v="0"/>
    <x v="0"/>
  </r>
  <r>
    <s v="PED-00894"/>
    <d v="2024-05-10T00:00:00"/>
    <x v="0"/>
    <x v="5"/>
    <n v="19"/>
    <x v="6"/>
    <x v="5"/>
    <s v="SKU-ELE-7911"/>
    <x v="1"/>
    <x v="1"/>
    <x v="2"/>
    <s v="EXW"/>
    <n v="891"/>
    <s v="Palés"/>
    <n v="417.66"/>
    <n v="372135.06"/>
    <n v="29434.3"/>
    <n v="7.9095745507021031E-2"/>
    <n v="9"/>
    <d v="2024-05-19T00:00:00"/>
    <d v="2024-05-16T00:00:00"/>
    <n v="-3"/>
    <x v="0"/>
    <b v="1"/>
    <n v="96"/>
    <n v="213"/>
    <x v="0"/>
    <x v="0"/>
  </r>
  <r>
    <s v="PED-00895"/>
    <d v="2023-10-11T00:00:00"/>
    <x v="1"/>
    <x v="0"/>
    <n v="41"/>
    <x v="8"/>
    <x v="6"/>
    <s v="SKU-CON-7631"/>
    <x v="5"/>
    <x v="2"/>
    <x v="2"/>
    <s v="FOB"/>
    <n v="206"/>
    <s v="Palés"/>
    <n v="296.39"/>
    <n v="61056.34"/>
    <n v="4685.8599999999997"/>
    <n v="7.6746493484542308E-2"/>
    <n v="1"/>
    <d v="2023-10-12T00:00:00"/>
    <d v="2023-10-24T00:00:00"/>
    <n v="12"/>
    <x v="2"/>
    <b v="0"/>
    <n v="218"/>
    <n v="91"/>
    <x v="0"/>
    <x v="0"/>
  </r>
  <r>
    <s v="PED-00896"/>
    <d v="2024-08-26T00:00:00"/>
    <x v="0"/>
    <x v="4"/>
    <n v="35"/>
    <x v="9"/>
    <x v="1"/>
    <s v="SKU-FAR-2168"/>
    <x v="2"/>
    <x v="5"/>
    <x v="1"/>
    <s v="EXW"/>
    <n v="894"/>
    <s v="Metros"/>
    <n v="276.52999999999997"/>
    <n v="247217.82"/>
    <n v="7868.04"/>
    <n v="3.1826346498808215E-2"/>
    <n v="21"/>
    <d v="2024-09-16T00:00:00"/>
    <d v="2024-09-17T00:00:00"/>
    <n v="1"/>
    <x v="2"/>
    <b v="0"/>
    <n v="388"/>
    <n v="180"/>
    <x v="0"/>
    <x v="0"/>
  </r>
  <r>
    <s v="PED-00897"/>
    <d v="2024-06-21T00:00:00"/>
    <x v="0"/>
    <x v="10"/>
    <n v="25"/>
    <x v="3"/>
    <x v="6"/>
    <s v="SKU-CON-2296"/>
    <x v="3"/>
    <x v="5"/>
    <x v="4"/>
    <s v="FCA"/>
    <n v="742"/>
    <s v="Palés"/>
    <n v="219.73"/>
    <n v="163039.66"/>
    <n v="11823.93"/>
    <n v="7.252180236391563E-2"/>
    <n v="20"/>
    <d v="2024-07-11T00:00:00"/>
    <d v="2024-07-10T00:00:00"/>
    <n v="-1"/>
    <x v="1"/>
    <b v="0"/>
    <n v="484"/>
    <n v="408"/>
    <x v="4"/>
    <x v="1"/>
  </r>
  <r>
    <s v="PED-00898"/>
    <d v="2024-09-03T00:00:00"/>
    <x v="0"/>
    <x v="3"/>
    <n v="36"/>
    <x v="7"/>
    <x v="2"/>
    <s v="SKU-AUT-3654"/>
    <x v="0"/>
    <x v="5"/>
    <x v="2"/>
    <s v="DDP"/>
    <n v="432"/>
    <s v="Metros"/>
    <n v="946.08"/>
    <n v="408706.56"/>
    <n v="25450"/>
    <n v="6.2269614659475982E-2"/>
    <n v="13"/>
    <d v="2024-09-16T00:00:00"/>
    <d v="2024-09-15T00:00:00"/>
    <n v="-1"/>
    <x v="0"/>
    <b v="1"/>
    <n v="70"/>
    <n v="40"/>
    <x v="1"/>
    <x v="1"/>
  </r>
  <r>
    <s v="PED-00899"/>
    <d v="2023-10-17T00:00:00"/>
    <x v="1"/>
    <x v="0"/>
    <n v="42"/>
    <x v="6"/>
    <x v="3"/>
    <s v="SKU-QUÍ-6629"/>
    <x v="3"/>
    <x v="5"/>
    <x v="3"/>
    <s v="CIF"/>
    <n v="581"/>
    <s v="Palés"/>
    <n v="105.82"/>
    <n v="61481.42"/>
    <n v="2903.82"/>
    <n v="4.7230854459770127E-2"/>
    <n v="28"/>
    <d v="2023-11-14T00:00:00"/>
    <d v="2023-11-14T00:00:00"/>
    <n v="0"/>
    <x v="0"/>
    <b v="1"/>
    <n v="431"/>
    <n v="258"/>
    <x v="3"/>
    <x v="1"/>
  </r>
  <r>
    <s v="PED-00900"/>
    <d v="2023-04-13T00:00:00"/>
    <x v="1"/>
    <x v="1"/>
    <n v="15"/>
    <x v="2"/>
    <x v="4"/>
    <s v="SKU-TEX-4739"/>
    <x v="2"/>
    <x v="4"/>
    <x v="1"/>
    <s v="EXW"/>
    <n v="619"/>
    <s v="Cajas"/>
    <n v="68.099999999999994"/>
    <n v="42153.9"/>
    <n v="2210.41"/>
    <n v="5.2436666595498872E-2"/>
    <n v="16"/>
    <d v="2023-04-29T00:00:00"/>
    <d v="2023-04-28T00:00:00"/>
    <n v="-1"/>
    <x v="0"/>
    <b v="1"/>
    <n v="273"/>
    <n v="120"/>
    <x v="0"/>
    <x v="0"/>
  </r>
  <r>
    <s v="PED-00901"/>
    <d v="2023-07-18T00:00:00"/>
    <x v="1"/>
    <x v="7"/>
    <n v="29"/>
    <x v="4"/>
    <x v="3"/>
    <s v="SKU-QUÍ-6136"/>
    <x v="2"/>
    <x v="3"/>
    <x v="4"/>
    <s v="DAP"/>
    <n v="180"/>
    <s v="KG"/>
    <n v="150.72"/>
    <n v="27129.599999999999"/>
    <n v="1925.55"/>
    <n v="7.097598195329087E-2"/>
    <n v="29"/>
    <d v="2023-08-16T00:00:00"/>
    <d v="2023-08-13T00:00:00"/>
    <n v="-3"/>
    <x v="0"/>
    <b v="1"/>
    <n v="350"/>
    <n v="76"/>
    <x v="0"/>
    <x v="0"/>
  </r>
  <r>
    <s v="PED-00902"/>
    <d v="2023-10-31T00:00:00"/>
    <x v="1"/>
    <x v="0"/>
    <n v="44"/>
    <x v="8"/>
    <x v="5"/>
    <s v="SKU-ELE-6191"/>
    <x v="2"/>
    <x v="0"/>
    <x v="3"/>
    <s v="FCA"/>
    <n v="391"/>
    <s v="Palés"/>
    <n v="556.07000000000005"/>
    <n v="217423.37"/>
    <n v="10612.02"/>
    <n v="4.8808092708709283E-2"/>
    <n v="13"/>
    <d v="2023-11-13T00:00:00"/>
    <d v="2023-11-18T00:00:00"/>
    <n v="5"/>
    <x v="2"/>
    <b v="0"/>
    <n v="133"/>
    <n v="94"/>
    <x v="0"/>
    <x v="0"/>
  </r>
  <r>
    <s v="PED-00903"/>
    <d v="2023-08-21T00:00:00"/>
    <x v="1"/>
    <x v="4"/>
    <n v="34"/>
    <x v="0"/>
    <x v="1"/>
    <s v="SKU-FAR-5773"/>
    <x v="4"/>
    <x v="2"/>
    <x v="0"/>
    <s v="DAP"/>
    <n v="182"/>
    <s v="KG"/>
    <n v="298.45"/>
    <n v="54317.9"/>
    <n v="2302.67"/>
    <n v="4.2392470990226055E-2"/>
    <n v="14"/>
    <d v="2023-09-04T00:00:00"/>
    <d v="2023-09-07T00:00:00"/>
    <n v="3"/>
    <x v="1"/>
    <b v="0"/>
    <n v="65"/>
    <n v="268"/>
    <x v="0"/>
    <x v="0"/>
  </r>
  <r>
    <s v="PED-00904"/>
    <d v="2024-01-05T00:00:00"/>
    <x v="0"/>
    <x v="2"/>
    <n v="1"/>
    <x v="6"/>
    <x v="4"/>
    <s v="SKU-TEX-5382"/>
    <x v="0"/>
    <x v="3"/>
    <x v="2"/>
    <s v="FCA"/>
    <n v="672"/>
    <s v="Unidades"/>
    <n v="71.34"/>
    <n v="47940.480000000003"/>
    <n v="2377.6"/>
    <n v="4.9594830923678689E-2"/>
    <n v="3"/>
    <d v="2024-01-08T00:00:00"/>
    <d v="2024-01-05T00:00:00"/>
    <n v="-3"/>
    <x v="0"/>
    <b v="1"/>
    <n v="126"/>
    <n v="360"/>
    <x v="0"/>
    <x v="0"/>
  </r>
  <r>
    <s v="PED-00905"/>
    <d v="2023-07-03T00:00:00"/>
    <x v="1"/>
    <x v="7"/>
    <n v="27"/>
    <x v="7"/>
    <x v="7"/>
    <s v="SKU-ALI-7479"/>
    <x v="5"/>
    <x v="1"/>
    <x v="3"/>
    <s v="DAP"/>
    <n v="462"/>
    <s v="Litros"/>
    <n v="79.739999999999995"/>
    <n v="36839.879999999997"/>
    <n v="2016.9"/>
    <n v="5.4747735334642791E-2"/>
    <n v="29"/>
    <d v="2023-08-01T00:00:00"/>
    <d v="2023-08-09T00:00:00"/>
    <n v="8"/>
    <x v="1"/>
    <b v="0"/>
    <n v="204"/>
    <n v="17"/>
    <x v="3"/>
    <x v="1"/>
  </r>
  <r>
    <s v="PED-00906"/>
    <d v="2023-11-06T00:00:00"/>
    <x v="1"/>
    <x v="6"/>
    <n v="45"/>
    <x v="2"/>
    <x v="2"/>
    <s v="SKU-AUT-5444"/>
    <x v="5"/>
    <x v="0"/>
    <x v="4"/>
    <s v="FOB"/>
    <n v="359"/>
    <s v="Unidades"/>
    <n v="1054.18"/>
    <n v="378450.62"/>
    <n v="11862.41"/>
    <n v="3.1344670541165978E-2"/>
    <n v="6"/>
    <d v="2023-11-12T00:00:00"/>
    <d v="2023-11-09T00:00:00"/>
    <n v="-3"/>
    <x v="0"/>
    <b v="1"/>
    <n v="297"/>
    <n v="292"/>
    <x v="3"/>
    <x v="1"/>
  </r>
  <r>
    <s v="PED-00907"/>
    <d v="2023-01-15T00:00:00"/>
    <x v="1"/>
    <x v="2"/>
    <n v="3"/>
    <x v="4"/>
    <x v="1"/>
    <s v="SKU-FAR-8289"/>
    <x v="3"/>
    <x v="0"/>
    <x v="1"/>
    <s v="FOB"/>
    <n v="911"/>
    <s v="Palés"/>
    <n v="167.27"/>
    <n v="152382.97"/>
    <n v="11284.64"/>
    <n v="7.405446947254013E-2"/>
    <n v="18"/>
    <d v="2023-02-02T00:00:00"/>
    <d v="2023-02-04T00:00:00"/>
    <n v="2"/>
    <x v="1"/>
    <b v="0"/>
    <n v="116"/>
    <n v="170"/>
    <x v="4"/>
    <x v="1"/>
  </r>
  <r>
    <s v="PED-00908"/>
    <d v="2024-12-26T00:00:00"/>
    <x v="0"/>
    <x v="11"/>
    <n v="52"/>
    <x v="1"/>
    <x v="0"/>
    <s v="SKU-MAQ-6950"/>
    <x v="3"/>
    <x v="5"/>
    <x v="3"/>
    <s v="FOB"/>
    <n v="961"/>
    <s v="Metros"/>
    <n v="1511.42"/>
    <n v="1452474.62"/>
    <n v="87803.86"/>
    <n v="6.0451218073607371E-2"/>
    <n v="19"/>
    <d v="2025-01-14T00:00:00"/>
    <d v="2025-01-17T00:00:00"/>
    <n v="3"/>
    <x v="2"/>
    <b v="0"/>
    <n v="435"/>
    <n v="161"/>
    <x v="4"/>
    <x v="1"/>
  </r>
  <r>
    <s v="PED-00909"/>
    <d v="2024-06-30T00:00:00"/>
    <x v="0"/>
    <x v="10"/>
    <n v="27"/>
    <x v="5"/>
    <x v="5"/>
    <s v="SKU-ELE-9535"/>
    <x v="3"/>
    <x v="3"/>
    <x v="1"/>
    <s v="FCA"/>
    <n v="643"/>
    <s v="Unidades"/>
    <n v="488.78"/>
    <n v="314285.53999999998"/>
    <n v="18227.349999999999"/>
    <n v="5.7996145797862671E-2"/>
    <n v="5"/>
    <d v="2024-07-05T00:00:00"/>
    <d v="2024-07-06T00:00:00"/>
    <n v="1"/>
    <x v="2"/>
    <b v="0"/>
    <n v="266"/>
    <n v="464"/>
    <x v="2"/>
    <x v="1"/>
  </r>
  <r>
    <s v="PED-00910"/>
    <d v="2023-05-10T00:00:00"/>
    <x v="1"/>
    <x v="5"/>
    <n v="19"/>
    <x v="2"/>
    <x v="1"/>
    <s v="SKU-FAR-8377"/>
    <x v="0"/>
    <x v="1"/>
    <x v="0"/>
    <s v="FCA"/>
    <n v="503"/>
    <s v="Cajas"/>
    <n v="209.09"/>
    <n v="105172.27"/>
    <n v="2731.3"/>
    <n v="2.5969773211132554E-2"/>
    <n v="15"/>
    <d v="2023-05-25T00:00:00"/>
    <d v="2023-05-24T00:00:00"/>
    <n v="-1"/>
    <x v="0"/>
    <b v="1"/>
    <n v="281"/>
    <n v="310"/>
    <x v="0"/>
    <x v="0"/>
  </r>
  <r>
    <s v="PED-00911"/>
    <d v="2023-10-08T00:00:00"/>
    <x v="1"/>
    <x v="0"/>
    <n v="41"/>
    <x v="3"/>
    <x v="2"/>
    <s v="SKU-AUT-7782"/>
    <x v="1"/>
    <x v="5"/>
    <x v="4"/>
    <s v="DAP"/>
    <n v="629"/>
    <s v="KG"/>
    <n v="1060.3399999999999"/>
    <n v="666953.86"/>
    <n v="37516.449999999997"/>
    <n v="5.6250442871715288E-2"/>
    <n v="25"/>
    <d v="2023-11-02T00:00:00"/>
    <d v="2023-11-05T00:00:00"/>
    <n v="3"/>
    <x v="2"/>
    <b v="0"/>
    <n v="148"/>
    <n v="51"/>
    <x v="3"/>
    <x v="1"/>
  </r>
  <r>
    <s v="PED-00912"/>
    <d v="2023-02-16T00:00:00"/>
    <x v="1"/>
    <x v="9"/>
    <n v="7"/>
    <x v="2"/>
    <x v="6"/>
    <s v="SKU-CON-3741"/>
    <x v="3"/>
    <x v="5"/>
    <x v="4"/>
    <s v="EXW"/>
    <n v="13"/>
    <s v="Metros"/>
    <n v="217.47"/>
    <n v="3302.8089"/>
    <n v="142.36009999999999"/>
    <n v="4.3102735977246516E-2"/>
    <n v="2"/>
    <d v="2023-02-18T00:00:00"/>
    <d v="2023-02-17T00:00:00"/>
    <n v="-1"/>
    <x v="0"/>
    <b v="1"/>
    <n v="193"/>
    <n v="468"/>
    <x v="1"/>
    <x v="1"/>
  </r>
  <r>
    <s v="PED-00913"/>
    <d v="2023-02-25T00:00:00"/>
    <x v="1"/>
    <x v="9"/>
    <n v="8"/>
    <x v="2"/>
    <x v="1"/>
    <s v="SKU-FAR-4012"/>
    <x v="2"/>
    <x v="4"/>
    <x v="2"/>
    <s v="FCA"/>
    <n v="102"/>
    <s v="Metros"/>
    <n v="267.04000000000002"/>
    <n v="27238.080000000002"/>
    <n v="673.38"/>
    <n v="2.4722006837486342E-2"/>
    <n v="10"/>
    <d v="2023-03-07T00:00:00"/>
    <d v="2023-03-07T00:00:00"/>
    <n v="0"/>
    <x v="0"/>
    <b v="1"/>
    <n v="167"/>
    <n v="35"/>
    <x v="4"/>
    <x v="1"/>
  </r>
  <r>
    <s v="PED-00914"/>
    <d v="2024-07-20T00:00:00"/>
    <x v="0"/>
    <x v="7"/>
    <n v="29"/>
    <x v="3"/>
    <x v="6"/>
    <s v="SKU-CON-1378"/>
    <x v="3"/>
    <x v="2"/>
    <x v="4"/>
    <s v="DAP"/>
    <n v="928"/>
    <s v="Palés"/>
    <n v="232.24"/>
    <n v="215518.72"/>
    <n v="11129.1"/>
    <n v="5.1638669717414806E-2"/>
    <n v="24"/>
    <d v="2024-08-13T00:00:00"/>
    <d v="2024-08-16T00:00:00"/>
    <n v="3"/>
    <x v="2"/>
    <b v="0"/>
    <n v="311"/>
    <n v="437"/>
    <x v="1"/>
    <x v="1"/>
  </r>
  <r>
    <s v="PED-00915"/>
    <d v="2023-10-27T00:00:00"/>
    <x v="1"/>
    <x v="0"/>
    <n v="43"/>
    <x v="1"/>
    <x v="2"/>
    <s v="SKU-AUT-3048"/>
    <x v="2"/>
    <x v="0"/>
    <x v="3"/>
    <s v="EXW"/>
    <n v="15"/>
    <s v="Cajas"/>
    <n v="778.92"/>
    <n v="11683.8"/>
    <n v="516.04"/>
    <n v="4.4167137403926804E-2"/>
    <n v="18"/>
    <d v="2023-11-14T00:00:00"/>
    <d v="2023-11-26T00:00:00"/>
    <n v="12"/>
    <x v="2"/>
    <b v="0"/>
    <n v="373"/>
    <n v="186"/>
    <x v="2"/>
    <x v="1"/>
  </r>
  <r>
    <s v="PED-00916"/>
    <d v="2024-12-15T00:00:00"/>
    <x v="0"/>
    <x v="11"/>
    <n v="51"/>
    <x v="8"/>
    <x v="0"/>
    <s v="SKU-MAQ-4844"/>
    <x v="4"/>
    <x v="1"/>
    <x v="3"/>
    <s v="FOB"/>
    <n v="297"/>
    <s v="KG"/>
    <n v="2021.97"/>
    <n v="600525.09"/>
    <n v="33226.22"/>
    <n v="5.5328612498105618E-2"/>
    <n v="27"/>
    <d v="2025-01-11T00:00:00"/>
    <d v="2025-01-10T00:00:00"/>
    <n v="-1"/>
    <x v="0"/>
    <b v="1"/>
    <n v="178"/>
    <n v="369"/>
    <x v="4"/>
    <x v="1"/>
  </r>
  <r>
    <s v="PED-00917"/>
    <d v="2023-05-10T00:00:00"/>
    <x v="1"/>
    <x v="5"/>
    <n v="19"/>
    <x v="9"/>
    <x v="4"/>
    <s v="SKU-TEX-5122"/>
    <x v="1"/>
    <x v="0"/>
    <x v="3"/>
    <s v="FCA"/>
    <n v="627"/>
    <s v="Cajas"/>
    <n v="53.44"/>
    <n v="33506.879999999997"/>
    <n v="849.51"/>
    <n v="2.535330057588173E-2"/>
    <n v="13"/>
    <d v="2023-05-23T00:00:00"/>
    <d v="2023-05-24T00:00:00"/>
    <n v="1"/>
    <x v="2"/>
    <b v="0"/>
    <n v="147"/>
    <n v="247"/>
    <x v="0"/>
    <x v="0"/>
  </r>
  <r>
    <s v="PED-00918"/>
    <d v="2024-10-15T00:00:00"/>
    <x v="0"/>
    <x v="0"/>
    <n v="42"/>
    <x v="4"/>
    <x v="7"/>
    <s v="SKU-ALI-2311"/>
    <x v="1"/>
    <x v="3"/>
    <x v="0"/>
    <s v="CIF"/>
    <n v="155"/>
    <s v="Unidades"/>
    <n v="70.36"/>
    <n v="10905.8"/>
    <n v="500.13"/>
    <n v="4.5859084157054045E-2"/>
    <n v="5"/>
    <d v="2024-10-20T00:00:00"/>
    <d v="2024-11-01T00:00:00"/>
    <n v="12"/>
    <x v="2"/>
    <b v="0"/>
    <n v="464"/>
    <n v="51"/>
    <x v="3"/>
    <x v="1"/>
  </r>
  <r>
    <s v="PED-00919"/>
    <d v="2024-05-17T00:00:00"/>
    <x v="0"/>
    <x v="5"/>
    <n v="20"/>
    <x v="2"/>
    <x v="0"/>
    <s v="SKU-MAQ-4450"/>
    <x v="0"/>
    <x v="2"/>
    <x v="4"/>
    <s v="FOB"/>
    <n v="792"/>
    <s v="Palés"/>
    <n v="1655.4"/>
    <n v="1311076.8"/>
    <n v="39971.06"/>
    <n v="3.0487199529424972E-2"/>
    <n v="23"/>
    <d v="2024-06-09T00:00:00"/>
    <d v="2024-06-04T00:00:00"/>
    <n v="-5"/>
    <x v="0"/>
    <b v="1"/>
    <n v="463"/>
    <n v="487"/>
    <x v="4"/>
    <x v="1"/>
  </r>
  <r>
    <s v="PED-00920"/>
    <d v="2023-04-16T00:00:00"/>
    <x v="1"/>
    <x v="1"/>
    <n v="16"/>
    <x v="2"/>
    <x v="6"/>
    <s v="SKU-CON-3734"/>
    <x v="0"/>
    <x v="5"/>
    <x v="4"/>
    <s v="DDP"/>
    <n v="433"/>
    <s v="Metros"/>
    <n v="181.74"/>
    <n v="78693.42"/>
    <n v="6234.57"/>
    <n v="7.9226064898437504E-2"/>
    <n v="24"/>
    <d v="2023-05-10T00:00:00"/>
    <d v="2023-05-10T00:00:00"/>
    <n v="0"/>
    <x v="0"/>
    <b v="1"/>
    <n v="56"/>
    <n v="18"/>
    <x v="0"/>
    <x v="0"/>
  </r>
  <r>
    <s v="PED-00921"/>
    <d v="2023-01-13T00:00:00"/>
    <x v="1"/>
    <x v="2"/>
    <n v="2"/>
    <x v="3"/>
    <x v="6"/>
    <s v="SKU-CON-7505"/>
    <x v="5"/>
    <x v="2"/>
    <x v="3"/>
    <s v="EXW"/>
    <n v="899"/>
    <s v="Metros"/>
    <n v="141.44999999999999"/>
    <n v="127163.55"/>
    <n v="6824.74"/>
    <n v="5.3668995557296095E-2"/>
    <n v="1"/>
    <d v="2023-01-14T00:00:00"/>
    <d v="2023-01-14T00:00:00"/>
    <n v="0"/>
    <x v="0"/>
    <b v="1"/>
    <n v="489"/>
    <n v="395"/>
    <x v="2"/>
    <x v="1"/>
  </r>
  <r>
    <s v="PED-00922"/>
    <d v="2024-08-10T00:00:00"/>
    <x v="0"/>
    <x v="4"/>
    <n v="32"/>
    <x v="7"/>
    <x v="7"/>
    <s v="SKU-ALI-2687"/>
    <x v="4"/>
    <x v="5"/>
    <x v="2"/>
    <s v="CIF"/>
    <n v="617"/>
    <s v="Unidades"/>
    <n v="97.49"/>
    <n v="60151.33"/>
    <n v="3684.04"/>
    <n v="6.124619355881241E-2"/>
    <n v="22"/>
    <d v="2024-09-01T00:00:00"/>
    <d v="2024-09-02T00:00:00"/>
    <n v="1"/>
    <x v="2"/>
    <b v="0"/>
    <n v="4"/>
    <n v="91"/>
    <x v="1"/>
    <x v="1"/>
  </r>
  <r>
    <s v="PED-00923"/>
    <d v="2023-10-19T00:00:00"/>
    <x v="1"/>
    <x v="0"/>
    <n v="42"/>
    <x v="2"/>
    <x v="4"/>
    <s v="SKU-TEX-2565"/>
    <x v="0"/>
    <x v="2"/>
    <x v="2"/>
    <s v="FOB"/>
    <n v="466"/>
    <s v="Metros"/>
    <n v="66.53"/>
    <n v="31002.98"/>
    <n v="1225.4000000000001"/>
    <n v="3.9525232735691862E-2"/>
    <n v="1"/>
    <d v="2023-10-20T00:00:00"/>
    <d v="2023-10-22T00:00:00"/>
    <n v="2"/>
    <x v="1"/>
    <b v="0"/>
    <n v="13"/>
    <n v="138"/>
    <x v="1"/>
    <x v="1"/>
  </r>
  <r>
    <s v="PED-00924"/>
    <d v="2024-04-25T00:00:00"/>
    <x v="0"/>
    <x v="1"/>
    <n v="17"/>
    <x v="2"/>
    <x v="1"/>
    <s v="SKU-FAR-2045"/>
    <x v="2"/>
    <x v="5"/>
    <x v="4"/>
    <s v="FCA"/>
    <n v="750"/>
    <s v="Litros"/>
    <n v="211.28"/>
    <n v="158460"/>
    <n v="4069.94"/>
    <n v="2.568433674113341E-2"/>
    <n v="18"/>
    <d v="2024-05-13T00:00:00"/>
    <d v="2024-05-08T00:00:00"/>
    <n v="-5"/>
    <x v="0"/>
    <b v="1"/>
    <n v="279"/>
    <n v="303"/>
    <x v="2"/>
    <x v="1"/>
  </r>
  <r>
    <s v="PED-00925"/>
    <d v="2024-05-05T00:00:00"/>
    <x v="0"/>
    <x v="5"/>
    <n v="19"/>
    <x v="3"/>
    <x v="7"/>
    <s v="SKU-ALI-8752"/>
    <x v="4"/>
    <x v="0"/>
    <x v="4"/>
    <s v="CIF"/>
    <n v="211"/>
    <s v="Palés"/>
    <n v="117.89"/>
    <n v="24874.79"/>
    <n v="1953.97"/>
    <n v="7.8552220943372789E-2"/>
    <n v="15"/>
    <d v="2024-05-20T00:00:00"/>
    <d v="2024-05-20T00:00:00"/>
    <n v="0"/>
    <x v="1"/>
    <b v="0"/>
    <n v="498"/>
    <n v="356"/>
    <x v="0"/>
    <x v="0"/>
  </r>
  <r>
    <s v="PED-00926"/>
    <d v="2024-03-27T00:00:00"/>
    <x v="0"/>
    <x v="8"/>
    <n v="13"/>
    <x v="7"/>
    <x v="5"/>
    <s v="SKU-ELE-9985"/>
    <x v="1"/>
    <x v="0"/>
    <x v="1"/>
    <s v="DAP"/>
    <n v="221"/>
    <s v="Unidades"/>
    <n v="578.48"/>
    <n v="127844.08"/>
    <n v="4752.67"/>
    <n v="3.7175518803842934E-2"/>
    <n v="17"/>
    <d v="2024-04-13T00:00:00"/>
    <d v="2024-04-14T00:00:00"/>
    <n v="1"/>
    <x v="2"/>
    <b v="0"/>
    <n v="323"/>
    <n v="219"/>
    <x v="0"/>
    <x v="0"/>
  </r>
  <r>
    <s v="PED-00927"/>
    <d v="2023-12-15T00:00:00"/>
    <x v="1"/>
    <x v="11"/>
    <n v="50"/>
    <x v="3"/>
    <x v="5"/>
    <s v="SKU-ELE-1881"/>
    <x v="2"/>
    <x v="0"/>
    <x v="4"/>
    <s v="EXW"/>
    <n v="15"/>
    <s v="Palés"/>
    <n v="695.37"/>
    <n v="10430.549999999999"/>
    <n v="473.84"/>
    <n v="4.542809343706708E-2"/>
    <n v="11"/>
    <d v="2023-12-26T00:00:00"/>
    <d v="2024-01-07T00:00:00"/>
    <n v="12"/>
    <x v="1"/>
    <b v="0"/>
    <n v="435"/>
    <n v="98"/>
    <x v="3"/>
    <x v="1"/>
  </r>
  <r>
    <s v="PED-00928"/>
    <d v="2023-07-08T00:00:00"/>
    <x v="1"/>
    <x v="7"/>
    <n v="27"/>
    <x v="8"/>
    <x v="2"/>
    <s v="SKU-AUT-1431"/>
    <x v="4"/>
    <x v="0"/>
    <x v="3"/>
    <s v="DDP"/>
    <n v="633"/>
    <s v="KG"/>
    <n v="649.25"/>
    <n v="410975.25"/>
    <n v="24244.18"/>
    <n v="5.8991824933496605E-2"/>
    <n v="21"/>
    <d v="2023-07-29T00:00:00"/>
    <d v="2023-07-29T00:00:00"/>
    <n v="0"/>
    <x v="0"/>
    <b v="1"/>
    <n v="303"/>
    <n v="235"/>
    <x v="0"/>
    <x v="0"/>
  </r>
  <r>
    <s v="PED-00929"/>
    <d v="2023-02-22T00:00:00"/>
    <x v="1"/>
    <x v="9"/>
    <n v="8"/>
    <x v="2"/>
    <x v="0"/>
    <s v="SKU-MAQ-7504"/>
    <x v="1"/>
    <x v="2"/>
    <x v="0"/>
    <s v="DAP"/>
    <n v="385"/>
    <s v="Palés"/>
    <n v="1733.05"/>
    <n v="667224.25"/>
    <n v="14333.2"/>
    <n v="2.1481833131814381E-2"/>
    <n v="26"/>
    <d v="2023-03-20T00:00:00"/>
    <d v="2023-03-20T00:00:00"/>
    <n v="0"/>
    <x v="0"/>
    <b v="1"/>
    <n v="215"/>
    <n v="206"/>
    <x v="0"/>
    <x v="0"/>
  </r>
  <r>
    <s v="PED-00930"/>
    <d v="2023-09-16T00:00:00"/>
    <x v="1"/>
    <x v="3"/>
    <n v="37"/>
    <x v="6"/>
    <x v="6"/>
    <s v="SKU-CON-9584"/>
    <x v="0"/>
    <x v="5"/>
    <x v="4"/>
    <s v="CIF"/>
    <n v="900"/>
    <s v="Palés"/>
    <n v="278.88"/>
    <n v="250992"/>
    <n v="17221.95"/>
    <n v="6.8615533562822725E-2"/>
    <n v="25"/>
    <d v="2023-10-11T00:00:00"/>
    <d v="2023-10-11T00:00:00"/>
    <n v="0"/>
    <x v="0"/>
    <b v="1"/>
    <n v="174"/>
    <n v="143"/>
    <x v="3"/>
    <x v="1"/>
  </r>
  <r>
    <s v="PED-00931"/>
    <d v="2024-05-04T00:00:00"/>
    <x v="0"/>
    <x v="5"/>
    <n v="18"/>
    <x v="4"/>
    <x v="4"/>
    <s v="SKU-TEX-2363"/>
    <x v="2"/>
    <x v="0"/>
    <x v="4"/>
    <s v="FOB"/>
    <n v="456"/>
    <s v="KG"/>
    <n v="69.989999999999995"/>
    <n v="31915.439999999999"/>
    <n v="1665.82"/>
    <n v="5.2194799758361471E-2"/>
    <n v="22"/>
    <d v="2024-05-26T00:00:00"/>
    <d v="2024-06-07T00:00:00"/>
    <n v="12"/>
    <x v="1"/>
    <b v="0"/>
    <n v="315"/>
    <n v="492"/>
    <x v="0"/>
    <x v="0"/>
  </r>
  <r>
    <s v="PED-00932"/>
    <d v="2023-04-27T00:00:00"/>
    <x v="1"/>
    <x v="1"/>
    <n v="17"/>
    <x v="7"/>
    <x v="2"/>
    <s v="SKU-AUT-2702"/>
    <x v="2"/>
    <x v="2"/>
    <x v="3"/>
    <s v="EXW"/>
    <n v="844"/>
    <s v="Unidades"/>
    <n v="1019.53"/>
    <n v="860483.32"/>
    <n v="31573.74"/>
    <n v="3.6693029680110477E-2"/>
    <n v="27"/>
    <d v="2023-05-24T00:00:00"/>
    <d v="2023-05-24T00:00:00"/>
    <n v="0"/>
    <x v="0"/>
    <b v="1"/>
    <n v="456"/>
    <n v="198"/>
    <x v="0"/>
    <x v="0"/>
  </r>
  <r>
    <s v="PED-00933"/>
    <d v="2023-03-08T00:00:00"/>
    <x v="1"/>
    <x v="8"/>
    <n v="10"/>
    <x v="6"/>
    <x v="0"/>
    <s v="SKU-MAQ-5300"/>
    <x v="1"/>
    <x v="5"/>
    <x v="1"/>
    <s v="FCA"/>
    <n v="115"/>
    <s v="Palés"/>
    <n v="1496.45"/>
    <n v="172091.75"/>
    <n v="4077.97"/>
    <n v="2.3696487484147263E-2"/>
    <n v="27"/>
    <d v="2023-04-04T00:00:00"/>
    <d v="2023-04-05T00:00:00"/>
    <n v="1"/>
    <x v="2"/>
    <b v="0"/>
    <n v="2"/>
    <n v="302"/>
    <x v="0"/>
    <x v="0"/>
  </r>
  <r>
    <s v="PED-00934"/>
    <d v="2024-02-15T00:00:00"/>
    <x v="0"/>
    <x v="9"/>
    <n v="7"/>
    <x v="3"/>
    <x v="0"/>
    <s v="SKU-MAQ-3544"/>
    <x v="2"/>
    <x v="2"/>
    <x v="4"/>
    <s v="DDP"/>
    <n v="660"/>
    <s v="Cajas"/>
    <n v="1160.94"/>
    <n v="766220.4"/>
    <n v="22794.98"/>
    <n v="2.9749899637232315E-2"/>
    <n v="17"/>
    <d v="2024-03-03T00:00:00"/>
    <d v="2024-02-29T00:00:00"/>
    <n v="-3"/>
    <x v="0"/>
    <b v="1"/>
    <n v="374"/>
    <n v="322"/>
    <x v="0"/>
    <x v="0"/>
  </r>
  <r>
    <s v="PED-00935"/>
    <d v="2024-05-18T00:00:00"/>
    <x v="0"/>
    <x v="5"/>
    <n v="20"/>
    <x v="2"/>
    <x v="2"/>
    <s v="SKU-AUT-2381"/>
    <x v="0"/>
    <x v="4"/>
    <x v="2"/>
    <s v="FOB"/>
    <n v="820"/>
    <s v="Palés"/>
    <n v="853.06"/>
    <n v="699509.2"/>
    <n v="51555.25"/>
    <n v="7.3702032796709463E-2"/>
    <n v="13"/>
    <d v="2024-05-31T00:00:00"/>
    <d v="2024-05-31T00:00:00"/>
    <n v="0"/>
    <x v="0"/>
    <b v="1"/>
    <n v="136"/>
    <n v="286"/>
    <x v="0"/>
    <x v="0"/>
  </r>
  <r>
    <s v="PED-00936"/>
    <d v="2023-03-17T00:00:00"/>
    <x v="1"/>
    <x v="8"/>
    <n v="11"/>
    <x v="3"/>
    <x v="3"/>
    <s v="SKU-QUÍ-7387"/>
    <x v="0"/>
    <x v="0"/>
    <x v="2"/>
    <s v="DDP"/>
    <n v="410"/>
    <s v="Unidades"/>
    <n v="121.87"/>
    <n v="49966.7"/>
    <n v="3056.04"/>
    <n v="6.1161533581365189E-2"/>
    <n v="1"/>
    <d v="2023-03-18T00:00:00"/>
    <d v="2023-03-18T00:00:00"/>
    <n v="0"/>
    <x v="0"/>
    <b v="1"/>
    <n v="465"/>
    <n v="331"/>
    <x v="0"/>
    <x v="0"/>
  </r>
  <r>
    <s v="PED-00937"/>
    <d v="2024-08-13T00:00:00"/>
    <x v="0"/>
    <x v="4"/>
    <n v="33"/>
    <x v="9"/>
    <x v="0"/>
    <s v="SKU-MAQ-6068"/>
    <x v="0"/>
    <x v="3"/>
    <x v="2"/>
    <s v="FCA"/>
    <n v="105"/>
    <s v="Metros"/>
    <n v="2090.4699999999998"/>
    <n v="219499.35"/>
    <n v="7681.18"/>
    <n v="3.4994089959719699E-2"/>
    <n v="2"/>
    <d v="2024-08-15T00:00:00"/>
    <d v="2024-08-14T00:00:00"/>
    <n v="-1"/>
    <x v="0"/>
    <b v="1"/>
    <n v="99"/>
    <n v="263"/>
    <x v="0"/>
    <x v="0"/>
  </r>
  <r>
    <s v="PED-00938"/>
    <d v="2024-10-06T00:00:00"/>
    <x v="0"/>
    <x v="0"/>
    <n v="41"/>
    <x v="9"/>
    <x v="3"/>
    <s v="SKU-QUÍ-4757"/>
    <x v="1"/>
    <x v="2"/>
    <x v="0"/>
    <s v="EXW"/>
    <n v="397"/>
    <s v="KG"/>
    <n v="107.42"/>
    <n v="42645.74"/>
    <n v="1020.77"/>
    <n v="2.3936036753026212E-2"/>
    <n v="9"/>
    <d v="2024-10-15T00:00:00"/>
    <d v="2024-10-16T00:00:00"/>
    <n v="1"/>
    <x v="1"/>
    <b v="0"/>
    <n v="82"/>
    <n v="216"/>
    <x v="1"/>
    <x v="1"/>
  </r>
  <r>
    <s v="PED-00939"/>
    <d v="2024-12-03T00:00:00"/>
    <x v="0"/>
    <x v="11"/>
    <n v="49"/>
    <x v="8"/>
    <x v="5"/>
    <s v="SKU-ELE-5053"/>
    <x v="3"/>
    <x v="0"/>
    <x v="0"/>
    <s v="CIF"/>
    <n v="968"/>
    <s v="Metros"/>
    <n v="736.69"/>
    <n v="713115.92"/>
    <n v="43811.64"/>
    <n v="6.1436911967972886E-2"/>
    <n v="3"/>
    <d v="2024-12-06T00:00:00"/>
    <d v="2024-12-14T00:00:00"/>
    <n v="8"/>
    <x v="2"/>
    <b v="0"/>
    <n v="279"/>
    <n v="188"/>
    <x v="0"/>
    <x v="0"/>
  </r>
  <r>
    <s v="PED-00940"/>
    <d v="2023-02-24T00:00:00"/>
    <x v="1"/>
    <x v="9"/>
    <n v="8"/>
    <x v="2"/>
    <x v="5"/>
    <s v="SKU-ELE-5655"/>
    <x v="3"/>
    <x v="1"/>
    <x v="4"/>
    <s v="DDP"/>
    <n v="461"/>
    <s v="Unidades"/>
    <n v="733.26"/>
    <n v="338032.86"/>
    <n v="18370.21"/>
    <n v="5.4344450418222653E-2"/>
    <n v="1"/>
    <d v="2023-02-25T00:00:00"/>
    <d v="2023-03-09T00:00:00"/>
    <n v="12"/>
    <x v="2"/>
    <b v="0"/>
    <n v="131"/>
    <n v="43"/>
    <x v="3"/>
    <x v="1"/>
  </r>
  <r>
    <s v="PED-00941"/>
    <d v="2023-06-05T00:00:00"/>
    <x v="1"/>
    <x v="10"/>
    <n v="23"/>
    <x v="2"/>
    <x v="0"/>
    <s v="SKU-MAQ-8260"/>
    <x v="2"/>
    <x v="5"/>
    <x v="4"/>
    <s v="EXW"/>
    <n v="858"/>
    <s v="Litros"/>
    <n v="1347.16"/>
    <n v="1155863.28"/>
    <n v="51171.42"/>
    <n v="4.427117020275962E-2"/>
    <n v="21"/>
    <d v="2023-06-26T00:00:00"/>
    <d v="2023-06-26T00:00:00"/>
    <n v="0"/>
    <x v="0"/>
    <b v="1"/>
    <n v="392"/>
    <n v="433"/>
    <x v="0"/>
    <x v="0"/>
  </r>
  <r>
    <s v="PED-00942"/>
    <d v="2023-06-02T00:00:00"/>
    <x v="1"/>
    <x v="10"/>
    <n v="22"/>
    <x v="6"/>
    <x v="5"/>
    <s v="SKU-ELE-3071"/>
    <x v="0"/>
    <x v="4"/>
    <x v="4"/>
    <s v="DDP"/>
    <n v="818"/>
    <s v="Metros"/>
    <n v="489.22"/>
    <n v="400181.96"/>
    <n v="16734.28"/>
    <n v="4.1816677593362772E-2"/>
    <n v="16"/>
    <d v="2023-06-18T00:00:00"/>
    <d v="2023-06-19T00:00:00"/>
    <n v="1"/>
    <x v="1"/>
    <b v="0"/>
    <n v="480"/>
    <n v="290"/>
    <x v="2"/>
    <x v="1"/>
  </r>
  <r>
    <s v="PED-00943"/>
    <d v="2024-07-30T00:00:00"/>
    <x v="0"/>
    <x v="7"/>
    <n v="31"/>
    <x v="0"/>
    <x v="4"/>
    <s v="SKU-TEX-3150"/>
    <x v="2"/>
    <x v="0"/>
    <x v="0"/>
    <s v="FOB"/>
    <n v="988"/>
    <s v="Palés"/>
    <n v="84.99"/>
    <n v="83970.12"/>
    <n v="2771.76"/>
    <n v="3.3008884588946644E-2"/>
    <n v="23"/>
    <d v="2024-08-22T00:00:00"/>
    <d v="2024-08-22T00:00:00"/>
    <n v="0"/>
    <x v="0"/>
    <b v="1"/>
    <n v="0"/>
    <n v="459"/>
    <x v="0"/>
    <x v="0"/>
  </r>
  <r>
    <s v="PED-00944"/>
    <d v="2023-11-08T00:00:00"/>
    <x v="1"/>
    <x v="6"/>
    <n v="45"/>
    <x v="2"/>
    <x v="3"/>
    <s v="SKU-QUÍ-9630"/>
    <x v="1"/>
    <x v="1"/>
    <x v="4"/>
    <s v="DDP"/>
    <n v="910"/>
    <s v="Palés"/>
    <n v="176.8"/>
    <n v="160888"/>
    <n v="9681.7000000000007"/>
    <n v="6.0176644622345982E-2"/>
    <n v="6"/>
    <d v="2023-11-14T00:00:00"/>
    <d v="2023-11-14T00:00:00"/>
    <n v="0"/>
    <x v="0"/>
    <b v="1"/>
    <n v="115"/>
    <n v="188"/>
    <x v="4"/>
    <x v="1"/>
  </r>
  <r>
    <s v="PED-00945"/>
    <d v="2023-03-29T00:00:00"/>
    <x v="1"/>
    <x v="8"/>
    <n v="13"/>
    <x v="8"/>
    <x v="3"/>
    <s v="SKU-QUÍ-3795"/>
    <x v="2"/>
    <x v="2"/>
    <x v="3"/>
    <s v="FOB"/>
    <n v="425"/>
    <s v="KG"/>
    <n v="126.57"/>
    <n v="53792.25"/>
    <n v="4208.71"/>
    <n v="7.8240081052567981E-2"/>
    <n v="28"/>
    <d v="2023-04-26T00:00:00"/>
    <d v="2023-04-26T00:00:00"/>
    <n v="0"/>
    <x v="0"/>
    <b v="1"/>
    <n v="498"/>
    <n v="468"/>
    <x v="1"/>
    <x v="1"/>
  </r>
  <r>
    <s v="PED-00946"/>
    <d v="2023-09-12T00:00:00"/>
    <x v="1"/>
    <x v="3"/>
    <n v="37"/>
    <x v="7"/>
    <x v="0"/>
    <s v="SKU-MAQ-1468"/>
    <x v="5"/>
    <x v="2"/>
    <x v="1"/>
    <s v="FOB"/>
    <n v="735"/>
    <s v="Palés"/>
    <n v="1435.2"/>
    <n v="1054872"/>
    <n v="32218.87"/>
    <n v="3.0542918951304045E-2"/>
    <n v="17"/>
    <d v="2023-09-29T00:00:00"/>
    <d v="2023-09-30T00:00:00"/>
    <n v="1"/>
    <x v="1"/>
    <b v="0"/>
    <n v="418"/>
    <n v="473"/>
    <x v="0"/>
    <x v="0"/>
  </r>
  <r>
    <s v="PED-00947"/>
    <d v="2023-05-02T00:00:00"/>
    <x v="1"/>
    <x v="5"/>
    <n v="18"/>
    <x v="7"/>
    <x v="5"/>
    <s v="SKU-ELE-1575"/>
    <x v="3"/>
    <x v="1"/>
    <x v="2"/>
    <s v="EXW"/>
    <n v="513"/>
    <s v="Cajas"/>
    <n v="560.44000000000005"/>
    <n v="287505.71999999997"/>
    <n v="16050.58"/>
    <n v="5.5826993633378848E-2"/>
    <n v="5"/>
    <d v="2023-05-07T00:00:00"/>
    <d v="2023-05-04T00:00:00"/>
    <n v="-3"/>
    <x v="0"/>
    <b v="1"/>
    <n v="201"/>
    <n v="438"/>
    <x v="0"/>
    <x v="0"/>
  </r>
  <r>
    <s v="PED-00948"/>
    <d v="2024-07-25T00:00:00"/>
    <x v="0"/>
    <x v="7"/>
    <n v="30"/>
    <x v="3"/>
    <x v="7"/>
    <s v="SKU-ALI-6846"/>
    <x v="2"/>
    <x v="4"/>
    <x v="2"/>
    <s v="DAP"/>
    <n v="463"/>
    <s v="Cajas"/>
    <n v="100.02"/>
    <n v="46309.26"/>
    <n v="2104.81"/>
    <n v="4.5451168945476558E-2"/>
    <n v="5"/>
    <d v="2024-07-30T00:00:00"/>
    <d v="2024-08-07T00:00:00"/>
    <n v="8"/>
    <x v="1"/>
    <b v="0"/>
    <n v="139"/>
    <n v="193"/>
    <x v="3"/>
    <x v="1"/>
  </r>
  <r>
    <s v="PED-00949"/>
    <d v="2024-03-02T00:00:00"/>
    <x v="0"/>
    <x v="8"/>
    <n v="9"/>
    <x v="6"/>
    <x v="6"/>
    <s v="SKU-CON-6328"/>
    <x v="2"/>
    <x v="1"/>
    <x v="3"/>
    <s v="FCA"/>
    <n v="300"/>
    <s v="Metros"/>
    <n v="183.76"/>
    <n v="55128"/>
    <n v="2580.06"/>
    <n v="4.6801262516325638E-2"/>
    <n v="6"/>
    <d v="2024-03-08T00:00:00"/>
    <d v="2024-03-08T00:00:00"/>
    <n v="0"/>
    <x v="0"/>
    <b v="1"/>
    <n v="145"/>
    <n v="269"/>
    <x v="1"/>
    <x v="1"/>
  </r>
  <r>
    <s v="PED-00950"/>
    <d v="2024-09-12T00:00:00"/>
    <x v="0"/>
    <x v="3"/>
    <n v="37"/>
    <x v="1"/>
    <x v="2"/>
    <s v="SKU-AUT-8801"/>
    <x v="4"/>
    <x v="5"/>
    <x v="4"/>
    <s v="DDP"/>
    <n v="543"/>
    <s v="Unidades"/>
    <n v="1031.3399999999999"/>
    <n v="560017.62"/>
    <n v="19739.97"/>
    <n v="3.5248837349081984E-2"/>
    <n v="3"/>
    <d v="2024-09-15T00:00:00"/>
    <d v="2024-09-15T00:00:00"/>
    <n v="0"/>
    <x v="0"/>
    <b v="1"/>
    <n v="461"/>
    <n v="365"/>
    <x v="4"/>
    <x v="1"/>
  </r>
  <r>
    <s v="PED-00951"/>
    <d v="2024-09-02T00:00:00"/>
    <x v="0"/>
    <x v="3"/>
    <n v="36"/>
    <x v="5"/>
    <x v="2"/>
    <s v="SKU-AUT-8654"/>
    <x v="2"/>
    <x v="2"/>
    <x v="0"/>
    <s v="CIF"/>
    <n v="202"/>
    <s v="KG"/>
    <n v="593.05999999999995"/>
    <n v="119798.12"/>
    <n v="8326.94"/>
    <n v="6.9508102464379246E-2"/>
    <n v="21"/>
    <d v="2024-09-23T00:00:00"/>
    <d v="2024-09-23T00:00:00"/>
    <n v="0"/>
    <x v="0"/>
    <b v="1"/>
    <n v="265"/>
    <n v="259"/>
    <x v="0"/>
    <x v="0"/>
  </r>
  <r>
    <s v="PED-00952"/>
    <d v="2024-09-25T00:00:00"/>
    <x v="0"/>
    <x v="3"/>
    <n v="39"/>
    <x v="3"/>
    <x v="3"/>
    <s v="SKU-QUÍ-9856"/>
    <x v="5"/>
    <x v="1"/>
    <x v="4"/>
    <s v="FOB"/>
    <n v="989"/>
    <s v="Litros"/>
    <n v="88.73"/>
    <n v="87753.97"/>
    <n v="4310.07"/>
    <n v="4.9115384751253988E-2"/>
    <n v="23"/>
    <d v="2024-10-18T00:00:00"/>
    <d v="2024-10-18T00:00:00"/>
    <n v="0"/>
    <x v="0"/>
    <b v="1"/>
    <n v="201"/>
    <n v="400"/>
    <x v="3"/>
    <x v="1"/>
  </r>
  <r>
    <s v="PED-00953"/>
    <d v="2023-08-20T00:00:00"/>
    <x v="1"/>
    <x v="4"/>
    <n v="34"/>
    <x v="2"/>
    <x v="0"/>
    <s v="SKU-MAQ-5463"/>
    <x v="3"/>
    <x v="3"/>
    <x v="4"/>
    <s v="DAP"/>
    <n v="159"/>
    <s v="Metros"/>
    <n v="1513.55"/>
    <n v="240654.45"/>
    <n v="12659.47"/>
    <n v="5.2604346190149399E-2"/>
    <n v="5"/>
    <d v="2023-08-25T00:00:00"/>
    <d v="2023-08-30T00:00:00"/>
    <n v="5"/>
    <x v="1"/>
    <b v="0"/>
    <n v="401"/>
    <n v="238"/>
    <x v="0"/>
    <x v="0"/>
  </r>
  <r>
    <s v="PED-00954"/>
    <d v="2024-06-19T00:00:00"/>
    <x v="0"/>
    <x v="10"/>
    <n v="25"/>
    <x v="3"/>
    <x v="0"/>
    <s v="SKU-MAQ-9987"/>
    <x v="4"/>
    <x v="3"/>
    <x v="2"/>
    <s v="FOB"/>
    <n v="889"/>
    <s v="Unidades"/>
    <n v="1474.17"/>
    <n v="1310537.1299999999"/>
    <n v="50174.77"/>
    <n v="3.8285653150475787E-2"/>
    <n v="21"/>
    <d v="2024-07-10T00:00:00"/>
    <d v="2024-07-11T00:00:00"/>
    <n v="1"/>
    <x v="1"/>
    <b v="0"/>
    <n v="151"/>
    <n v="111"/>
    <x v="3"/>
    <x v="1"/>
  </r>
  <r>
    <s v="PED-00955"/>
    <d v="2024-01-25T00:00:00"/>
    <x v="0"/>
    <x v="2"/>
    <n v="4"/>
    <x v="1"/>
    <x v="4"/>
    <s v="SKU-TEX-8288"/>
    <x v="1"/>
    <x v="1"/>
    <x v="2"/>
    <s v="DAP"/>
    <n v="768"/>
    <s v="KG"/>
    <n v="57.15"/>
    <n v="43891.199999999997"/>
    <n v="1356.61"/>
    <n v="3.0908473680373288E-2"/>
    <n v="5"/>
    <d v="2024-01-30T00:00:00"/>
    <d v="2024-02-04T00:00:00"/>
    <n v="5"/>
    <x v="2"/>
    <b v="0"/>
    <n v="384"/>
    <n v="68"/>
    <x v="3"/>
    <x v="1"/>
  </r>
  <r>
    <s v="PED-00956"/>
    <d v="2024-04-06T00:00:00"/>
    <x v="0"/>
    <x v="1"/>
    <n v="14"/>
    <x v="5"/>
    <x v="1"/>
    <s v="SKU-FAR-3213"/>
    <x v="1"/>
    <x v="5"/>
    <x v="0"/>
    <s v="DAP"/>
    <n v="788"/>
    <s v="KG"/>
    <n v="218.56"/>
    <n v="172225.28"/>
    <n v="4332.26"/>
    <n v="2.5154611448447058E-2"/>
    <n v="10"/>
    <d v="2024-04-16T00:00:00"/>
    <d v="2024-04-18T00:00:00"/>
    <n v="2"/>
    <x v="1"/>
    <b v="0"/>
    <n v="221"/>
    <n v="407"/>
    <x v="1"/>
    <x v="1"/>
  </r>
  <r>
    <s v="PED-00957"/>
    <d v="2024-03-29T00:00:00"/>
    <x v="0"/>
    <x v="8"/>
    <n v="13"/>
    <x v="1"/>
    <x v="6"/>
    <s v="SKU-CON-9835"/>
    <x v="3"/>
    <x v="2"/>
    <x v="2"/>
    <s v="CIF"/>
    <n v="982"/>
    <s v="Metros"/>
    <n v="191.32"/>
    <n v="187876.24"/>
    <n v="11807.49"/>
    <n v="6.2847170030654223E-2"/>
    <n v="10"/>
    <d v="2024-04-08T00:00:00"/>
    <d v="2024-04-09T00:00:00"/>
    <n v="1"/>
    <x v="1"/>
    <b v="0"/>
    <n v="78"/>
    <n v="48"/>
    <x v="1"/>
    <x v="1"/>
  </r>
  <r>
    <s v="PED-00958"/>
    <d v="2023-11-01T00:00:00"/>
    <x v="1"/>
    <x v="6"/>
    <n v="44"/>
    <x v="1"/>
    <x v="1"/>
    <s v="SKU-FAR-3900"/>
    <x v="1"/>
    <x v="3"/>
    <x v="4"/>
    <s v="DAP"/>
    <n v="772"/>
    <s v="Unidades"/>
    <n v="170.76"/>
    <n v="131826.72"/>
    <n v="4188.67"/>
    <n v="3.1774059158871583E-2"/>
    <n v="19"/>
    <d v="2023-11-20T00:00:00"/>
    <d v="2023-11-20T00:00:00"/>
    <n v="0"/>
    <x v="0"/>
    <b v="1"/>
    <n v="199"/>
    <n v="310"/>
    <x v="0"/>
    <x v="0"/>
  </r>
  <r>
    <s v="PED-00959"/>
    <d v="2024-08-25T00:00:00"/>
    <x v="0"/>
    <x v="4"/>
    <n v="35"/>
    <x v="9"/>
    <x v="3"/>
    <s v="SKU-QUÍ-8480"/>
    <x v="5"/>
    <x v="1"/>
    <x v="3"/>
    <s v="CIF"/>
    <n v="524"/>
    <s v="Unidades"/>
    <n v="113.71"/>
    <n v="59584.04"/>
    <n v="3658.73"/>
    <n v="6.140453047493926E-2"/>
    <n v="17"/>
    <d v="2024-09-11T00:00:00"/>
    <d v="2024-09-06T00:00:00"/>
    <n v="-5"/>
    <x v="0"/>
    <b v="1"/>
    <n v="249"/>
    <n v="454"/>
    <x v="0"/>
    <x v="0"/>
  </r>
  <r>
    <s v="PED-00960"/>
    <d v="2024-03-15T00:00:00"/>
    <x v="0"/>
    <x v="8"/>
    <n v="11"/>
    <x v="7"/>
    <x v="2"/>
    <s v="SKU-AUT-8126"/>
    <x v="2"/>
    <x v="1"/>
    <x v="0"/>
    <s v="EXW"/>
    <n v="402"/>
    <s v="Palés"/>
    <n v="1183.94"/>
    <n v="475943.88"/>
    <n v="20666.71"/>
    <n v="4.3422577468587263E-2"/>
    <n v="21"/>
    <d v="2024-04-05T00:00:00"/>
    <d v="2024-04-05T00:00:00"/>
    <n v="0"/>
    <x v="0"/>
    <b v="1"/>
    <n v="98"/>
    <n v="150"/>
    <x v="0"/>
    <x v="0"/>
  </r>
  <r>
    <s v="PED-00961"/>
    <d v="2023-11-09T00:00:00"/>
    <x v="1"/>
    <x v="6"/>
    <n v="45"/>
    <x v="0"/>
    <x v="4"/>
    <s v="SKU-TEX-9576"/>
    <x v="3"/>
    <x v="0"/>
    <x v="3"/>
    <s v="FOB"/>
    <n v="325"/>
    <s v="Litros"/>
    <n v="61.73"/>
    <n v="20062.25"/>
    <n v="901.73"/>
    <n v="4.4946603695996214E-2"/>
    <n v="14"/>
    <d v="2023-11-23T00:00:00"/>
    <d v="2023-11-28T00:00:00"/>
    <n v="5"/>
    <x v="2"/>
    <b v="0"/>
    <n v="465"/>
    <n v="238"/>
    <x v="0"/>
    <x v="0"/>
  </r>
  <r>
    <s v="PED-00962"/>
    <d v="2024-08-05T00:00:00"/>
    <x v="0"/>
    <x v="4"/>
    <n v="32"/>
    <x v="2"/>
    <x v="4"/>
    <s v="SKU-TEX-9745"/>
    <x v="4"/>
    <x v="1"/>
    <x v="4"/>
    <s v="CIF"/>
    <n v="85"/>
    <s v="Cajas"/>
    <n v="63.35"/>
    <n v="5384.75"/>
    <n v="259.27999999999997"/>
    <n v="4.8150796230094245E-2"/>
    <n v="9"/>
    <d v="2024-08-14T00:00:00"/>
    <d v="2024-08-11T00:00:00"/>
    <n v="-3"/>
    <x v="0"/>
    <b v="1"/>
    <n v="488"/>
    <n v="336"/>
    <x v="0"/>
    <x v="0"/>
  </r>
  <r>
    <s v="PED-00963"/>
    <d v="2024-09-27T00:00:00"/>
    <x v="0"/>
    <x v="3"/>
    <n v="39"/>
    <x v="8"/>
    <x v="4"/>
    <s v="SKU-TEX-6073"/>
    <x v="2"/>
    <x v="5"/>
    <x v="0"/>
    <s v="FCA"/>
    <n v="608"/>
    <s v="Palés"/>
    <n v="69.67"/>
    <n v="42359.360000000001"/>
    <n v="1781.74"/>
    <n v="4.2062486307630709E-2"/>
    <n v="14"/>
    <d v="2024-10-11T00:00:00"/>
    <d v="2024-10-11T00:00:00"/>
    <n v="0"/>
    <x v="0"/>
    <b v="1"/>
    <n v="399"/>
    <n v="395"/>
    <x v="2"/>
    <x v="1"/>
  </r>
  <r>
    <s v="PED-00964"/>
    <d v="2023-03-03T00:00:00"/>
    <x v="1"/>
    <x v="8"/>
    <n v="9"/>
    <x v="6"/>
    <x v="3"/>
    <s v="SKU-QUÍ-6688"/>
    <x v="1"/>
    <x v="3"/>
    <x v="3"/>
    <s v="FOB"/>
    <n v="279"/>
    <s v="KG"/>
    <n v="178.4"/>
    <n v="49773.599999999999"/>
    <n v="1295.97"/>
    <n v="2.6037296880273883E-2"/>
    <n v="1"/>
    <d v="2023-03-04T00:00:00"/>
    <d v="2023-03-04T00:00:00"/>
    <n v="0"/>
    <x v="0"/>
    <b v="1"/>
    <n v="212"/>
    <n v="394"/>
    <x v="2"/>
    <x v="1"/>
  </r>
  <r>
    <s v="PED-00965"/>
    <d v="2024-09-16T00:00:00"/>
    <x v="0"/>
    <x v="3"/>
    <n v="38"/>
    <x v="3"/>
    <x v="1"/>
    <s v="SKU-FAR-8891"/>
    <x v="1"/>
    <x v="0"/>
    <x v="0"/>
    <s v="FCA"/>
    <n v="234"/>
    <s v="Litros"/>
    <n v="178.66"/>
    <n v="41806.44"/>
    <n v="1612.81"/>
    <n v="3.8578027691427444E-2"/>
    <n v="19"/>
    <d v="2024-10-05T00:00:00"/>
    <d v="2024-10-02T00:00:00"/>
    <n v="-3"/>
    <x v="0"/>
    <b v="1"/>
    <n v="142"/>
    <n v="114"/>
    <x v="0"/>
    <x v="0"/>
  </r>
  <r>
    <s v="PED-00966"/>
    <d v="2023-04-12T00:00:00"/>
    <x v="1"/>
    <x v="1"/>
    <n v="15"/>
    <x v="2"/>
    <x v="2"/>
    <s v="SKU-AUT-9841"/>
    <x v="4"/>
    <x v="3"/>
    <x v="4"/>
    <s v="DDP"/>
    <n v="539"/>
    <s v="Litros"/>
    <n v="996.02"/>
    <n v="536854.78"/>
    <n v="32116.83"/>
    <n v="5.9824055212845458E-2"/>
    <n v="13"/>
    <d v="2023-04-25T00:00:00"/>
    <d v="2023-04-25T00:00:00"/>
    <n v="0"/>
    <x v="0"/>
    <b v="1"/>
    <n v="189"/>
    <n v="74"/>
    <x v="2"/>
    <x v="1"/>
  </r>
  <r>
    <s v="PED-00967"/>
    <d v="2023-08-01T00:00:00"/>
    <x v="1"/>
    <x v="4"/>
    <n v="31"/>
    <x v="9"/>
    <x v="4"/>
    <s v="SKU-TEX-4721"/>
    <x v="5"/>
    <x v="3"/>
    <x v="0"/>
    <s v="FCA"/>
    <n v="122"/>
    <s v="Unidades"/>
    <n v="76.37"/>
    <n v="9317.14"/>
    <n v="558.54"/>
    <n v="5.9947580480705455E-2"/>
    <n v="13"/>
    <d v="2023-08-14T00:00:00"/>
    <d v="2023-08-14T00:00:00"/>
    <n v="0"/>
    <x v="0"/>
    <b v="1"/>
    <n v="388"/>
    <n v="97"/>
    <x v="4"/>
    <x v="1"/>
  </r>
  <r>
    <s v="PED-00968"/>
    <d v="2024-10-02T00:00:00"/>
    <x v="0"/>
    <x v="0"/>
    <n v="40"/>
    <x v="7"/>
    <x v="2"/>
    <s v="SKU-AUT-2467"/>
    <x v="4"/>
    <x v="5"/>
    <x v="4"/>
    <s v="EXW"/>
    <n v="260"/>
    <s v="Litros"/>
    <n v="948.69"/>
    <n v="246659.4"/>
    <n v="9169.18"/>
    <n v="3.7173446460990342E-2"/>
    <n v="4"/>
    <d v="2024-10-06T00:00:00"/>
    <d v="2024-10-06T00:00:00"/>
    <n v="0"/>
    <x v="0"/>
    <b v="1"/>
    <n v="300"/>
    <n v="382"/>
    <x v="1"/>
    <x v="1"/>
  </r>
  <r>
    <s v="PED-00969"/>
    <d v="2023-08-05T00:00:00"/>
    <x v="1"/>
    <x v="4"/>
    <n v="31"/>
    <x v="3"/>
    <x v="5"/>
    <s v="SKU-ELE-8239"/>
    <x v="3"/>
    <x v="1"/>
    <x v="0"/>
    <s v="DDP"/>
    <n v="242"/>
    <s v="Metros"/>
    <n v="385.43"/>
    <n v="93274.06"/>
    <n v="4440.42"/>
    <n v="4.7606161884665474E-2"/>
    <n v="1"/>
    <d v="2023-08-06T00:00:00"/>
    <d v="2023-08-05T00:00:00"/>
    <n v="-1"/>
    <x v="0"/>
    <b v="1"/>
    <n v="373"/>
    <n v="110"/>
    <x v="0"/>
    <x v="0"/>
  </r>
  <r>
    <s v="PED-00970"/>
    <d v="2023-09-28T00:00:00"/>
    <x v="1"/>
    <x v="3"/>
    <n v="39"/>
    <x v="6"/>
    <x v="0"/>
    <s v="SKU-MAQ-6044"/>
    <x v="4"/>
    <x v="5"/>
    <x v="0"/>
    <s v="DDP"/>
    <n v="850"/>
    <s v="Litros"/>
    <n v="1862.25"/>
    <n v="1582912.5"/>
    <n v="50030.85"/>
    <n v="3.1606832342280448E-2"/>
    <n v="17"/>
    <d v="2023-10-15T00:00:00"/>
    <d v="2023-10-10T00:00:00"/>
    <n v="-5"/>
    <x v="0"/>
    <b v="1"/>
    <n v="51"/>
    <n v="356"/>
    <x v="3"/>
    <x v="1"/>
  </r>
  <r>
    <s v="PED-00971"/>
    <d v="2024-11-07T00:00:00"/>
    <x v="0"/>
    <x v="6"/>
    <n v="45"/>
    <x v="0"/>
    <x v="0"/>
    <s v="SKU-MAQ-6992"/>
    <x v="1"/>
    <x v="1"/>
    <x v="2"/>
    <s v="DAP"/>
    <n v="800"/>
    <s v="KG"/>
    <n v="1126.9100000000001"/>
    <n v="901528"/>
    <n v="29409.94"/>
    <n v="3.2622325651560459E-2"/>
    <n v="8"/>
    <d v="2024-11-15T00:00:00"/>
    <d v="2024-11-27T00:00:00"/>
    <n v="12"/>
    <x v="2"/>
    <b v="0"/>
    <n v="454"/>
    <n v="369"/>
    <x v="4"/>
    <x v="1"/>
  </r>
  <r>
    <s v="PED-00972"/>
    <d v="2023-03-25T00:00:00"/>
    <x v="1"/>
    <x v="8"/>
    <n v="12"/>
    <x v="2"/>
    <x v="2"/>
    <s v="SKU-AUT-7753"/>
    <x v="5"/>
    <x v="0"/>
    <x v="4"/>
    <s v="FCA"/>
    <n v="723"/>
    <s v="Metros"/>
    <n v="941.53"/>
    <n v="680726.19"/>
    <n v="14555.85"/>
    <n v="2.1382826478293721E-2"/>
    <n v="2"/>
    <d v="2023-03-27T00:00:00"/>
    <d v="2023-04-04T00:00:00"/>
    <n v="8"/>
    <x v="1"/>
    <b v="0"/>
    <n v="111"/>
    <n v="284"/>
    <x v="0"/>
    <x v="0"/>
  </r>
  <r>
    <s v="PED-00973"/>
    <d v="2023-06-10T00:00:00"/>
    <x v="1"/>
    <x v="10"/>
    <n v="23"/>
    <x v="8"/>
    <x v="7"/>
    <s v="SKU-ALI-5256"/>
    <x v="5"/>
    <x v="5"/>
    <x v="1"/>
    <s v="DAP"/>
    <n v="92"/>
    <s v="Metros"/>
    <n v="103.33"/>
    <n v="9506.36"/>
    <n v="701.61"/>
    <n v="7.3804274191173067E-2"/>
    <n v="28"/>
    <d v="2023-07-08T00:00:00"/>
    <d v="2023-07-08T00:00:00"/>
    <n v="0"/>
    <x v="0"/>
    <b v="1"/>
    <n v="134"/>
    <n v="255"/>
    <x v="1"/>
    <x v="1"/>
  </r>
  <r>
    <s v="PED-00974"/>
    <d v="2023-09-03T00:00:00"/>
    <x v="1"/>
    <x v="3"/>
    <n v="36"/>
    <x v="7"/>
    <x v="7"/>
    <s v="SKU-ALI-3551"/>
    <x v="0"/>
    <x v="5"/>
    <x v="0"/>
    <s v="FCA"/>
    <n v="134"/>
    <s v="Palés"/>
    <n v="69.5"/>
    <n v="9313"/>
    <n v="304"/>
    <n v="3.264254268227209E-2"/>
    <n v="8"/>
    <d v="2023-09-11T00:00:00"/>
    <d v="2023-09-11T00:00:00"/>
    <n v="0"/>
    <x v="0"/>
    <b v="1"/>
    <n v="410"/>
    <n v="317"/>
    <x v="1"/>
    <x v="1"/>
  </r>
  <r>
    <s v="PED-00975"/>
    <d v="2023-06-27T00:00:00"/>
    <x v="1"/>
    <x v="10"/>
    <n v="26"/>
    <x v="4"/>
    <x v="3"/>
    <s v="SKU-QUÍ-5973"/>
    <x v="4"/>
    <x v="4"/>
    <x v="3"/>
    <s v="DDP"/>
    <n v="184"/>
    <s v="Litros"/>
    <n v="164.8"/>
    <n v="30323.200000000001"/>
    <n v="1020.44"/>
    <n v="3.365212114816378E-2"/>
    <n v="7"/>
    <d v="2023-07-04T00:00:00"/>
    <d v="2023-07-05T00:00:00"/>
    <n v="1"/>
    <x v="1"/>
    <b v="0"/>
    <n v="472"/>
    <n v="308"/>
    <x v="2"/>
    <x v="1"/>
  </r>
  <r>
    <s v="PED-00976"/>
    <d v="2024-07-19T00:00:00"/>
    <x v="0"/>
    <x v="7"/>
    <n v="29"/>
    <x v="2"/>
    <x v="3"/>
    <s v="SKU-QUÍ-1172"/>
    <x v="3"/>
    <x v="2"/>
    <x v="2"/>
    <s v="DAP"/>
    <n v="78"/>
    <s v="Unidades"/>
    <n v="86.91"/>
    <n v="6778.98"/>
    <n v="249.3"/>
    <n v="3.6775444093359179E-2"/>
    <n v="26"/>
    <d v="2024-08-14T00:00:00"/>
    <d v="2024-08-14T00:00:00"/>
    <n v="0"/>
    <x v="0"/>
    <b v="1"/>
    <n v="469"/>
    <n v="116"/>
    <x v="0"/>
    <x v="0"/>
  </r>
  <r>
    <s v="PED-00977"/>
    <d v="2023-03-18T00:00:00"/>
    <x v="1"/>
    <x v="8"/>
    <n v="11"/>
    <x v="1"/>
    <x v="0"/>
    <s v="SKU-MAQ-1001"/>
    <x v="1"/>
    <x v="5"/>
    <x v="2"/>
    <s v="FOB"/>
    <n v="56"/>
    <s v="Palés"/>
    <n v="2062.58"/>
    <n v="115504.48"/>
    <n v="3193.06"/>
    <n v="2.7644468855234014E-2"/>
    <n v="26"/>
    <d v="2023-04-13T00:00:00"/>
    <d v="2023-04-18T00:00:00"/>
    <n v="5"/>
    <x v="1"/>
    <b v="0"/>
    <n v="111"/>
    <n v="175"/>
    <x v="3"/>
    <x v="1"/>
  </r>
  <r>
    <s v="PED-00978"/>
    <d v="2023-06-10T00:00:00"/>
    <x v="1"/>
    <x v="10"/>
    <n v="23"/>
    <x v="1"/>
    <x v="5"/>
    <s v="SKU-ELE-9574"/>
    <x v="2"/>
    <x v="4"/>
    <x v="0"/>
    <s v="FCA"/>
    <n v="893"/>
    <s v="Unidades"/>
    <n v="534.13"/>
    <n v="476978.09"/>
    <n v="27834.43"/>
    <n v="5.8355783176539618E-2"/>
    <n v="2"/>
    <d v="2023-06-12T00:00:00"/>
    <d v="2023-06-12T00:00:00"/>
    <n v="0"/>
    <x v="0"/>
    <b v="1"/>
    <n v="12"/>
    <n v="227"/>
    <x v="4"/>
    <x v="1"/>
  </r>
  <r>
    <s v="PED-00979"/>
    <d v="2023-01-03T00:00:00"/>
    <x v="1"/>
    <x v="2"/>
    <n v="1"/>
    <x v="8"/>
    <x v="6"/>
    <s v="SKU-CON-3233"/>
    <x v="5"/>
    <x v="2"/>
    <x v="1"/>
    <s v="FCA"/>
    <n v="265"/>
    <s v="Litros"/>
    <n v="174.81"/>
    <n v="46324.65"/>
    <n v="1135.3499999999999"/>
    <n v="2.4508549983648011E-2"/>
    <n v="22"/>
    <d v="2023-01-25T00:00:00"/>
    <d v="2023-01-22T00:00:00"/>
    <n v="-3"/>
    <x v="0"/>
    <b v="1"/>
    <n v="272"/>
    <n v="346"/>
    <x v="1"/>
    <x v="1"/>
  </r>
  <r>
    <s v="PED-00980"/>
    <d v="2024-02-23T00:00:00"/>
    <x v="0"/>
    <x v="9"/>
    <n v="8"/>
    <x v="5"/>
    <x v="1"/>
    <s v="SKU-FAR-6634"/>
    <x v="4"/>
    <x v="1"/>
    <x v="2"/>
    <s v="DAP"/>
    <n v="736"/>
    <s v="Palés"/>
    <n v="161.4"/>
    <n v="118790.39999999999"/>
    <n v="3332.33"/>
    <n v="2.80521826679597E-2"/>
    <n v="22"/>
    <d v="2024-03-16T00:00:00"/>
    <d v="2024-03-16T00:00:00"/>
    <n v="0"/>
    <x v="0"/>
    <b v="1"/>
    <n v="232"/>
    <n v="105"/>
    <x v="1"/>
    <x v="1"/>
  </r>
  <r>
    <s v="PED-00981"/>
    <d v="2024-04-06T00:00:00"/>
    <x v="0"/>
    <x v="1"/>
    <n v="14"/>
    <x v="8"/>
    <x v="1"/>
    <s v="SKU-FAR-5698"/>
    <x v="0"/>
    <x v="1"/>
    <x v="4"/>
    <s v="FCA"/>
    <n v="39"/>
    <s v="Litros"/>
    <n v="292.52999999999997"/>
    <n v="11408.67"/>
    <n v="669.52"/>
    <n v="5.8685192927834709E-2"/>
    <n v="3"/>
    <d v="2024-04-09T00:00:00"/>
    <d v="2024-04-21T00:00:00"/>
    <n v="12"/>
    <x v="2"/>
    <b v="0"/>
    <n v="43"/>
    <n v="341"/>
    <x v="4"/>
    <x v="1"/>
  </r>
  <r>
    <s v="PED-00982"/>
    <d v="2024-12-06T00:00:00"/>
    <x v="0"/>
    <x v="11"/>
    <n v="49"/>
    <x v="7"/>
    <x v="3"/>
    <s v="SKU-QUÍ-8687"/>
    <x v="3"/>
    <x v="1"/>
    <x v="0"/>
    <s v="DDP"/>
    <n v="290"/>
    <s v="KG"/>
    <n v="90.98"/>
    <n v="26384.2"/>
    <n v="1065.3800000000001"/>
    <n v="4.0379469531007198E-2"/>
    <n v="27"/>
    <d v="2025-01-02T00:00:00"/>
    <d v="2024-12-30T00:00:00"/>
    <n v="-3"/>
    <x v="0"/>
    <b v="1"/>
    <n v="396"/>
    <n v="383"/>
    <x v="2"/>
    <x v="1"/>
  </r>
  <r>
    <s v="PED-00983"/>
    <d v="2024-08-31T00:00:00"/>
    <x v="0"/>
    <x v="4"/>
    <n v="35"/>
    <x v="1"/>
    <x v="5"/>
    <s v="SKU-ELE-9767"/>
    <x v="3"/>
    <x v="4"/>
    <x v="0"/>
    <s v="DAP"/>
    <n v="933"/>
    <s v="Palés"/>
    <n v="429.64"/>
    <n v="400854.12"/>
    <n v="25044.11"/>
    <n v="6.2476868143453289E-2"/>
    <n v="18"/>
    <d v="2024-09-18T00:00:00"/>
    <d v="2024-09-20T00:00:00"/>
    <n v="2"/>
    <x v="2"/>
    <b v="0"/>
    <n v="473"/>
    <n v="449"/>
    <x v="4"/>
    <x v="1"/>
  </r>
  <r>
    <s v="PED-00984"/>
    <d v="2024-04-26T00:00:00"/>
    <x v="0"/>
    <x v="1"/>
    <n v="17"/>
    <x v="0"/>
    <x v="3"/>
    <s v="SKU-QUÍ-1136"/>
    <x v="1"/>
    <x v="4"/>
    <x v="1"/>
    <s v="DAP"/>
    <n v="246"/>
    <s v="Unidades"/>
    <n v="117.39"/>
    <n v="28877.94"/>
    <n v="1543.4"/>
    <n v="5.3445640513139103E-2"/>
    <n v="12"/>
    <d v="2024-05-08T00:00:00"/>
    <d v="2024-05-07T00:00:00"/>
    <n v="-1"/>
    <x v="0"/>
    <b v="1"/>
    <n v="72"/>
    <n v="238"/>
    <x v="3"/>
    <x v="1"/>
  </r>
  <r>
    <s v="PED-00985"/>
    <d v="2023-10-26T00:00:00"/>
    <x v="1"/>
    <x v="0"/>
    <n v="43"/>
    <x v="0"/>
    <x v="6"/>
    <s v="SKU-CON-9059"/>
    <x v="5"/>
    <x v="2"/>
    <x v="4"/>
    <s v="CIF"/>
    <n v="257"/>
    <s v="KG"/>
    <n v="239.24"/>
    <n v="61484.68"/>
    <n v="2174.1799999999998"/>
    <n v="3.5361329033508831E-2"/>
    <n v="1"/>
    <d v="2023-10-27T00:00:00"/>
    <d v="2023-10-30T00:00:00"/>
    <n v="3"/>
    <x v="1"/>
    <b v="0"/>
    <n v="260"/>
    <n v="99"/>
    <x v="3"/>
    <x v="1"/>
  </r>
  <r>
    <s v="PED-00986"/>
    <d v="2023-02-03T00:00:00"/>
    <x v="1"/>
    <x v="9"/>
    <n v="5"/>
    <x v="1"/>
    <x v="1"/>
    <s v="SKU-FAR-8816"/>
    <x v="1"/>
    <x v="1"/>
    <x v="4"/>
    <s v="CIF"/>
    <n v="377"/>
    <s v="Cajas"/>
    <n v="227.17"/>
    <n v="85643.09"/>
    <n v="5057.2"/>
    <n v="5.9049714343562335E-2"/>
    <n v="22"/>
    <d v="2023-02-25T00:00:00"/>
    <d v="2023-02-25T00:00:00"/>
    <n v="0"/>
    <x v="0"/>
    <b v="1"/>
    <n v="230"/>
    <n v="175"/>
    <x v="0"/>
    <x v="0"/>
  </r>
  <r>
    <s v="PED-00987"/>
    <d v="2023-08-26T00:00:00"/>
    <x v="1"/>
    <x v="4"/>
    <n v="34"/>
    <x v="7"/>
    <x v="2"/>
    <s v="SKU-AUT-5908"/>
    <x v="0"/>
    <x v="3"/>
    <x v="1"/>
    <s v="DDP"/>
    <n v="504"/>
    <s v="Unidades"/>
    <n v="640.41"/>
    <n v="322766.64"/>
    <n v="8707.09"/>
    <n v="2.6976424825068662E-2"/>
    <n v="12"/>
    <d v="2023-09-07T00:00:00"/>
    <d v="2023-09-07T00:00:00"/>
    <n v="0"/>
    <x v="0"/>
    <b v="1"/>
    <n v="32"/>
    <n v="349"/>
    <x v="4"/>
    <x v="1"/>
  </r>
  <r>
    <s v="PED-00988"/>
    <d v="2023-10-23T00:00:00"/>
    <x v="1"/>
    <x v="0"/>
    <n v="43"/>
    <x v="9"/>
    <x v="3"/>
    <s v="SKU-QUÍ-1149"/>
    <x v="2"/>
    <x v="5"/>
    <x v="3"/>
    <s v="FOB"/>
    <n v="34"/>
    <s v="Litros"/>
    <n v="111.81"/>
    <n v="3801.54"/>
    <n v="198.38"/>
    <n v="5.2184114858715151E-2"/>
    <n v="5"/>
    <d v="2023-10-28T00:00:00"/>
    <d v="2023-11-02T00:00:00"/>
    <n v="5"/>
    <x v="2"/>
    <b v="0"/>
    <n v="387"/>
    <n v="442"/>
    <x v="0"/>
    <x v="0"/>
  </r>
  <r>
    <s v="PED-00989"/>
    <d v="2024-12-24T00:00:00"/>
    <x v="0"/>
    <x v="11"/>
    <n v="52"/>
    <x v="6"/>
    <x v="4"/>
    <s v="SKU-TEX-8052"/>
    <x v="2"/>
    <x v="4"/>
    <x v="4"/>
    <s v="FCA"/>
    <n v="595"/>
    <s v="Unidades"/>
    <n v="53.46"/>
    <n v="31808.7"/>
    <n v="1470.48"/>
    <n v="4.6228861915136421E-2"/>
    <n v="27"/>
    <d v="2025-01-20T00:00:00"/>
    <d v="2025-01-20T00:00:00"/>
    <n v="0"/>
    <x v="0"/>
    <b v="1"/>
    <n v="475"/>
    <n v="454"/>
    <x v="2"/>
    <x v="1"/>
  </r>
  <r>
    <s v="PED-00990"/>
    <d v="2023-10-17T00:00:00"/>
    <x v="1"/>
    <x v="0"/>
    <n v="42"/>
    <x v="6"/>
    <x v="2"/>
    <s v="SKU-AUT-5799"/>
    <x v="2"/>
    <x v="4"/>
    <x v="3"/>
    <s v="EXW"/>
    <n v="727"/>
    <s v="Cajas"/>
    <n v="696.67"/>
    <n v="506479.09"/>
    <n v="18269.919999999998"/>
    <n v="3.6072407253772309E-2"/>
    <n v="25"/>
    <d v="2023-11-11T00:00:00"/>
    <d v="2023-11-16T00:00:00"/>
    <n v="5"/>
    <x v="1"/>
    <b v="0"/>
    <n v="409"/>
    <n v="440"/>
    <x v="0"/>
    <x v="0"/>
  </r>
  <r>
    <s v="PED-00991"/>
    <d v="2024-12-20T00:00:00"/>
    <x v="0"/>
    <x v="11"/>
    <n v="51"/>
    <x v="7"/>
    <x v="6"/>
    <s v="SKU-CON-4788"/>
    <x v="3"/>
    <x v="4"/>
    <x v="3"/>
    <s v="FCA"/>
    <n v="499"/>
    <s v="Unidades"/>
    <n v="205.78"/>
    <n v="102684.22"/>
    <n v="5774.99"/>
    <n v="5.6240286969117551E-2"/>
    <n v="17"/>
    <d v="2025-01-06T00:00:00"/>
    <d v="2025-01-01T00:00:00"/>
    <n v="-5"/>
    <x v="0"/>
    <b v="1"/>
    <n v="67"/>
    <n v="248"/>
    <x v="0"/>
    <x v="0"/>
  </r>
  <r>
    <s v="PED-00992"/>
    <d v="2024-04-09T00:00:00"/>
    <x v="0"/>
    <x v="1"/>
    <n v="15"/>
    <x v="4"/>
    <x v="6"/>
    <s v="SKU-CON-1118"/>
    <x v="5"/>
    <x v="2"/>
    <x v="0"/>
    <s v="EXW"/>
    <n v="503"/>
    <s v="KG"/>
    <n v="252.65"/>
    <n v="127082.95"/>
    <n v="9185.56"/>
    <n v="7.2280034418464478E-2"/>
    <n v="16"/>
    <d v="2024-04-25T00:00:00"/>
    <d v="2024-04-28T00:00:00"/>
    <n v="3"/>
    <x v="1"/>
    <b v="0"/>
    <n v="15"/>
    <n v="75"/>
    <x v="2"/>
    <x v="1"/>
  </r>
  <r>
    <s v="PED-00993"/>
    <d v="2023-03-14T00:00:00"/>
    <x v="1"/>
    <x v="8"/>
    <n v="11"/>
    <x v="6"/>
    <x v="3"/>
    <s v="SKU-QUÍ-9981"/>
    <x v="1"/>
    <x v="1"/>
    <x v="0"/>
    <s v="DDP"/>
    <n v="323"/>
    <s v="Metros"/>
    <n v="104.88"/>
    <n v="33876.239999999998"/>
    <n v="2707.87"/>
    <n v="7.9934195766708474E-2"/>
    <n v="15"/>
    <d v="2023-03-29T00:00:00"/>
    <d v="2023-03-24T00:00:00"/>
    <n v="-5"/>
    <x v="0"/>
    <b v="1"/>
    <n v="484"/>
    <n v="2"/>
    <x v="0"/>
    <x v="0"/>
  </r>
  <r>
    <s v="PED-00994"/>
    <d v="2024-12-04T00:00:00"/>
    <x v="0"/>
    <x v="11"/>
    <n v="49"/>
    <x v="3"/>
    <x v="0"/>
    <s v="SKU-MAQ-7121"/>
    <x v="1"/>
    <x v="3"/>
    <x v="2"/>
    <s v="FOB"/>
    <n v="615"/>
    <s v="Unidades"/>
    <n v="1490.01"/>
    <n v="916356.15"/>
    <n v="51742.75"/>
    <n v="5.6465763884489671E-2"/>
    <n v="23"/>
    <d v="2024-12-27T00:00:00"/>
    <d v="2024-12-29T00:00:00"/>
    <n v="2"/>
    <x v="2"/>
    <b v="0"/>
    <n v="149"/>
    <n v="80"/>
    <x v="0"/>
    <x v="0"/>
  </r>
  <r>
    <s v="PED-00995"/>
    <d v="2023-08-28T00:00:00"/>
    <x v="1"/>
    <x v="4"/>
    <n v="35"/>
    <x v="6"/>
    <x v="3"/>
    <s v="SKU-QUÍ-4089"/>
    <x v="0"/>
    <x v="5"/>
    <x v="0"/>
    <s v="FOB"/>
    <n v="384"/>
    <s v="Palés"/>
    <n v="121.53"/>
    <n v="46667.519999999997"/>
    <n v="2066.5500000000002"/>
    <n v="4.4282404550316803E-2"/>
    <n v="15"/>
    <d v="2023-09-12T00:00:00"/>
    <d v="2023-09-15T00:00:00"/>
    <n v="3"/>
    <x v="2"/>
    <b v="0"/>
    <n v="291"/>
    <n v="360"/>
    <x v="3"/>
    <x v="1"/>
  </r>
  <r>
    <s v="PED-00996"/>
    <d v="2023-09-28T00:00:00"/>
    <x v="1"/>
    <x v="3"/>
    <n v="39"/>
    <x v="3"/>
    <x v="0"/>
    <s v="SKU-MAQ-7745"/>
    <x v="2"/>
    <x v="5"/>
    <x v="4"/>
    <s v="FOB"/>
    <n v="648"/>
    <s v="Cajas"/>
    <n v="2221.75"/>
    <n v="1439694"/>
    <n v="48247.64"/>
    <n v="3.3512426946281641E-2"/>
    <n v="5"/>
    <d v="2023-10-03T00:00:00"/>
    <d v="2023-10-06T00:00:00"/>
    <n v="3"/>
    <x v="1"/>
    <b v="0"/>
    <n v="101"/>
    <n v="287"/>
    <x v="0"/>
    <x v="0"/>
  </r>
  <r>
    <s v="PED-00997"/>
    <d v="2024-10-02T00:00:00"/>
    <x v="0"/>
    <x v="0"/>
    <n v="40"/>
    <x v="1"/>
    <x v="6"/>
    <s v="SKU-CON-8161"/>
    <x v="5"/>
    <x v="1"/>
    <x v="4"/>
    <s v="CIF"/>
    <n v="946"/>
    <s v="Unidades"/>
    <n v="292.75"/>
    <n v="276941.5"/>
    <n v="9810.86"/>
    <n v="3.542574875921449E-2"/>
    <n v="21"/>
    <d v="2024-10-23T00:00:00"/>
    <d v="2024-10-18T00:00:00"/>
    <n v="-5"/>
    <x v="0"/>
    <b v="1"/>
    <n v="185"/>
    <n v="7"/>
    <x v="0"/>
    <x v="0"/>
  </r>
  <r>
    <s v="PED-00998"/>
    <d v="2024-08-26T00:00:00"/>
    <x v="0"/>
    <x v="4"/>
    <n v="35"/>
    <x v="9"/>
    <x v="5"/>
    <s v="SKU-ELE-7467"/>
    <x v="5"/>
    <x v="3"/>
    <x v="3"/>
    <s v="DDP"/>
    <n v="34"/>
    <s v="Cajas"/>
    <n v="670.06"/>
    <n v="22782.04"/>
    <n v="1111.02"/>
    <n v="4.8767362360877246E-2"/>
    <n v="14"/>
    <d v="2024-09-09T00:00:00"/>
    <d v="2024-09-06T00:00:00"/>
    <n v="-3"/>
    <x v="0"/>
    <b v="1"/>
    <n v="438"/>
    <n v="86"/>
    <x v="2"/>
    <x v="1"/>
  </r>
  <r>
    <s v="PED-00999"/>
    <d v="2024-11-08T00:00:00"/>
    <x v="0"/>
    <x v="6"/>
    <n v="45"/>
    <x v="8"/>
    <x v="6"/>
    <s v="SKU-CON-5094"/>
    <x v="0"/>
    <x v="2"/>
    <x v="4"/>
    <s v="EXW"/>
    <n v="343"/>
    <s v="Metros"/>
    <n v="178.67"/>
    <n v="61283.81"/>
    <n v="2576.17"/>
    <n v="4.2036714101163102E-2"/>
    <n v="2"/>
    <d v="2024-11-10T00:00:00"/>
    <d v="2024-11-22T00:00:00"/>
    <n v="12"/>
    <x v="2"/>
    <b v="0"/>
    <n v="418"/>
    <n v="485"/>
    <x v="2"/>
    <x v="1"/>
  </r>
  <r>
    <s v="PED-01000"/>
    <d v="2023-07-22T00:00:00"/>
    <x v="1"/>
    <x v="7"/>
    <n v="29"/>
    <x v="9"/>
    <x v="1"/>
    <s v="SKU-FAR-3675"/>
    <x v="4"/>
    <x v="4"/>
    <x v="0"/>
    <s v="FOB"/>
    <n v="364"/>
    <s v="KG"/>
    <n v="150.88999999999999"/>
    <n v="54923.96"/>
    <n v="4109.8999999999996"/>
    <n v="7.4828908913341277E-2"/>
    <n v="11"/>
    <d v="2023-08-02T00:00:00"/>
    <d v="2023-07-28T00:00:00"/>
    <n v="-5"/>
    <x v="0"/>
    <b v="1"/>
    <n v="24"/>
    <n v="285"/>
    <x v="0"/>
    <x v="0"/>
  </r>
  <r>
    <s v="PED-01001"/>
    <d v="2024-03-11T00:00:00"/>
    <x v="0"/>
    <x v="8"/>
    <n v="11"/>
    <x v="6"/>
    <x v="2"/>
    <s v="SKU-AUT-7385"/>
    <x v="5"/>
    <x v="4"/>
    <x v="0"/>
    <s v="DDP"/>
    <n v="125"/>
    <s v="Palés"/>
    <n v="762.82"/>
    <n v="95352.5"/>
    <n v="4014.12"/>
    <n v="4.2097690149707663E-2"/>
    <n v="19"/>
    <d v="2024-03-30T00:00:00"/>
    <d v="2024-04-04T00:00:00"/>
    <n v="5"/>
    <x v="1"/>
    <b v="0"/>
    <n v="71"/>
    <n v="398"/>
    <x v="0"/>
    <x v="0"/>
  </r>
  <r>
    <s v="PED-01002"/>
    <d v="2023-04-28T00:00:00"/>
    <x v="1"/>
    <x v="1"/>
    <n v="17"/>
    <x v="6"/>
    <x v="2"/>
    <s v="SKU-AUT-7199"/>
    <x v="5"/>
    <x v="1"/>
    <x v="0"/>
    <s v="FCA"/>
    <n v="57"/>
    <s v="Litros"/>
    <n v="730.75"/>
    <n v="41652.75"/>
    <n v="1766.35"/>
    <n v="4.2406563792306631E-2"/>
    <n v="7"/>
    <d v="2023-05-05T00:00:00"/>
    <d v="2023-05-02T00:00:00"/>
    <n v="-3"/>
    <x v="0"/>
    <b v="1"/>
    <n v="80"/>
    <n v="73"/>
    <x v="0"/>
    <x v="0"/>
  </r>
  <r>
    <s v="PED-01003"/>
    <d v="2024-07-11T00:00:00"/>
    <x v="0"/>
    <x v="7"/>
    <n v="28"/>
    <x v="7"/>
    <x v="7"/>
    <s v="SKU-ALI-4614"/>
    <x v="1"/>
    <x v="5"/>
    <x v="1"/>
    <s v="EXW"/>
    <n v="747"/>
    <s v="Unidades"/>
    <n v="88.38"/>
    <n v="66019.86"/>
    <n v="2839.65"/>
    <n v="4.3012057280945461E-2"/>
    <n v="6"/>
    <d v="2024-07-17T00:00:00"/>
    <d v="2024-07-22T00:00:00"/>
    <n v="5"/>
    <x v="1"/>
    <b v="0"/>
    <n v="60"/>
    <n v="438"/>
    <x v="0"/>
    <x v="0"/>
  </r>
  <r>
    <s v="PED-01004"/>
    <d v="2023-08-19T00:00:00"/>
    <x v="1"/>
    <x v="4"/>
    <n v="33"/>
    <x v="8"/>
    <x v="7"/>
    <s v="SKU-ALI-5308"/>
    <x v="0"/>
    <x v="4"/>
    <x v="4"/>
    <s v="CIF"/>
    <n v="787"/>
    <s v="KG"/>
    <n v="105.77"/>
    <n v="83240.990000000005"/>
    <n v="5843.29"/>
    <n v="7.0197266995503049E-2"/>
    <n v="28"/>
    <d v="2023-09-16T00:00:00"/>
    <d v="2023-09-28T00:00:00"/>
    <n v="12"/>
    <x v="1"/>
    <b v="0"/>
    <n v="17"/>
    <n v="122"/>
    <x v="3"/>
    <x v="1"/>
  </r>
  <r>
    <s v="PED-01005"/>
    <d v="2024-10-25T00:00:00"/>
    <x v="0"/>
    <x v="0"/>
    <n v="43"/>
    <x v="6"/>
    <x v="6"/>
    <s v="SKU-CON-2297"/>
    <x v="5"/>
    <x v="5"/>
    <x v="2"/>
    <s v="DAP"/>
    <n v="108"/>
    <s v="Cajas"/>
    <n v="277.33"/>
    <n v="29951.64"/>
    <n v="1768.56"/>
    <n v="5.904718406070586E-2"/>
    <n v="2"/>
    <d v="2024-10-27T00:00:00"/>
    <d v="2024-10-29T00:00:00"/>
    <n v="2"/>
    <x v="1"/>
    <b v="0"/>
    <n v="241"/>
    <n v="376"/>
    <x v="0"/>
    <x v="0"/>
  </r>
  <r>
    <s v="PED-01006"/>
    <d v="2023-06-02T00:00:00"/>
    <x v="1"/>
    <x v="10"/>
    <n v="22"/>
    <x v="5"/>
    <x v="1"/>
    <s v="SKU-FAR-7917"/>
    <x v="5"/>
    <x v="5"/>
    <x v="4"/>
    <s v="EXW"/>
    <n v="468"/>
    <s v="Metros"/>
    <n v="275.18"/>
    <n v="128784.24"/>
    <n v="7321.4"/>
    <n v="5.6850123897147657E-2"/>
    <n v="6"/>
    <d v="2023-06-08T00:00:00"/>
    <d v="2023-06-08T00:00:00"/>
    <n v="0"/>
    <x v="0"/>
    <b v="1"/>
    <n v="57"/>
    <n v="293"/>
    <x v="4"/>
    <x v="1"/>
  </r>
  <r>
    <s v="PED-01007"/>
    <d v="2023-09-30T00:00:00"/>
    <x v="1"/>
    <x v="3"/>
    <n v="39"/>
    <x v="5"/>
    <x v="7"/>
    <s v="SKU-ALI-4924"/>
    <x v="1"/>
    <x v="1"/>
    <x v="4"/>
    <s v="FCA"/>
    <n v="532"/>
    <s v="Cajas"/>
    <n v="79.02"/>
    <n v="42038.64"/>
    <n v="1683.59"/>
    <n v="4.0048631449542613E-2"/>
    <n v="18"/>
    <d v="2023-10-18T00:00:00"/>
    <d v="2023-10-30T00:00:00"/>
    <n v="12"/>
    <x v="1"/>
    <b v="0"/>
    <n v="331"/>
    <n v="142"/>
    <x v="0"/>
    <x v="0"/>
  </r>
  <r>
    <s v="PED-01008"/>
    <d v="2023-05-26T00:00:00"/>
    <x v="1"/>
    <x v="5"/>
    <n v="21"/>
    <x v="4"/>
    <x v="2"/>
    <s v="SKU-AUT-9464"/>
    <x v="5"/>
    <x v="0"/>
    <x v="1"/>
    <s v="EXW"/>
    <n v="606"/>
    <s v="Metros"/>
    <n v="999.83"/>
    <n v="605896.98"/>
    <n v="41851.879999999997"/>
    <n v="6.9074250873473575E-2"/>
    <n v="2"/>
    <d v="2023-05-28T00:00:00"/>
    <d v="2023-06-05T00:00:00"/>
    <n v="8"/>
    <x v="1"/>
    <b v="0"/>
    <n v="376"/>
    <n v="157"/>
    <x v="1"/>
    <x v="1"/>
  </r>
  <r>
    <s v="PED-01009"/>
    <d v="2023-03-15T00:00:00"/>
    <x v="1"/>
    <x v="8"/>
    <n v="11"/>
    <x v="1"/>
    <x v="3"/>
    <s v="SKU-QUÍ-5454"/>
    <x v="1"/>
    <x v="0"/>
    <x v="4"/>
    <s v="EXW"/>
    <n v="414"/>
    <s v="Metros"/>
    <n v="114.03"/>
    <n v="47208.42"/>
    <n v="1052.83"/>
    <n v="2.2301741935019218E-2"/>
    <n v="18"/>
    <d v="2023-04-02T00:00:00"/>
    <d v="2023-04-03T00:00:00"/>
    <n v="1"/>
    <x v="2"/>
    <b v="0"/>
    <n v="56"/>
    <n v="429"/>
    <x v="4"/>
    <x v="1"/>
  </r>
  <r>
    <s v="PED-01010"/>
    <d v="2023-03-03T00:00:00"/>
    <x v="1"/>
    <x v="8"/>
    <n v="9"/>
    <x v="3"/>
    <x v="5"/>
    <s v="SKU-ELE-5664"/>
    <x v="4"/>
    <x v="0"/>
    <x v="3"/>
    <s v="DAP"/>
    <n v="223"/>
    <s v="KG"/>
    <n v="374.36"/>
    <n v="83482.28"/>
    <n v="6031.41"/>
    <n v="7.2247787195079002E-2"/>
    <n v="15"/>
    <d v="2023-03-18T00:00:00"/>
    <d v="2023-03-15T00:00:00"/>
    <n v="-3"/>
    <x v="0"/>
    <b v="1"/>
    <n v="96"/>
    <n v="447"/>
    <x v="0"/>
    <x v="0"/>
  </r>
  <r>
    <s v="PED-01011"/>
    <d v="2023-06-19T00:00:00"/>
    <x v="1"/>
    <x v="10"/>
    <n v="25"/>
    <x v="9"/>
    <x v="5"/>
    <s v="SKU-ELE-9715"/>
    <x v="3"/>
    <x v="3"/>
    <x v="0"/>
    <s v="FOB"/>
    <n v="694"/>
    <s v="Unidades"/>
    <n v="630.63"/>
    <n v="437657.22"/>
    <n v="22217.67"/>
    <n v="5.0765002802878469E-2"/>
    <n v="27"/>
    <d v="2023-07-16T00:00:00"/>
    <d v="2023-07-18T00:00:00"/>
    <n v="2"/>
    <x v="1"/>
    <b v="0"/>
    <n v="214"/>
    <n v="409"/>
    <x v="0"/>
    <x v="0"/>
  </r>
  <r>
    <s v="PED-01012"/>
    <d v="2023-11-11T00:00:00"/>
    <x v="1"/>
    <x v="6"/>
    <n v="45"/>
    <x v="1"/>
    <x v="1"/>
    <s v="SKU-FAR-5404"/>
    <x v="1"/>
    <x v="1"/>
    <x v="0"/>
    <s v="FCA"/>
    <n v="912"/>
    <s v="Litros"/>
    <n v="141.57"/>
    <n v="129111.84"/>
    <n v="5667.37"/>
    <n v="4.389504479217398E-2"/>
    <n v="19"/>
    <d v="2023-11-30T00:00:00"/>
    <d v="2023-12-08T00:00:00"/>
    <n v="8"/>
    <x v="2"/>
    <b v="0"/>
    <n v="318"/>
    <n v="370"/>
    <x v="0"/>
    <x v="0"/>
  </r>
  <r>
    <s v="PED-01013"/>
    <d v="2024-09-01T00:00:00"/>
    <x v="0"/>
    <x v="3"/>
    <n v="36"/>
    <x v="3"/>
    <x v="6"/>
    <s v="SKU-CON-7765"/>
    <x v="1"/>
    <x v="5"/>
    <x v="1"/>
    <s v="DAP"/>
    <n v="512"/>
    <s v="Unidades"/>
    <n v="205.47"/>
    <n v="105200.64"/>
    <n v="5242.1499999999996"/>
    <n v="4.9830020045505422E-2"/>
    <n v="2"/>
    <d v="2024-09-03T00:00:00"/>
    <d v="2024-09-03T00:00:00"/>
    <n v="0"/>
    <x v="0"/>
    <b v="1"/>
    <n v="11"/>
    <n v="108"/>
    <x v="2"/>
    <x v="1"/>
  </r>
  <r>
    <s v="PED-01014"/>
    <d v="2024-08-05T00:00:00"/>
    <x v="0"/>
    <x v="4"/>
    <n v="32"/>
    <x v="3"/>
    <x v="7"/>
    <s v="SKU-ALI-4080"/>
    <x v="5"/>
    <x v="4"/>
    <x v="0"/>
    <s v="EXW"/>
    <n v="730"/>
    <s v="Palés"/>
    <n v="77.08"/>
    <n v="56268.4"/>
    <n v="3378.63"/>
    <n v="6.0044891982000553E-2"/>
    <n v="20"/>
    <d v="2024-08-25T00:00:00"/>
    <d v="2024-08-27T00:00:00"/>
    <n v="2"/>
    <x v="1"/>
    <b v="0"/>
    <n v="10"/>
    <n v="333"/>
    <x v="1"/>
    <x v="1"/>
  </r>
  <r>
    <s v="PED-01015"/>
    <d v="2023-10-23T00:00:00"/>
    <x v="1"/>
    <x v="0"/>
    <n v="43"/>
    <x v="2"/>
    <x v="3"/>
    <s v="SKU-QUÍ-2121"/>
    <x v="1"/>
    <x v="3"/>
    <x v="3"/>
    <s v="FCA"/>
    <n v="457"/>
    <s v="Unidades"/>
    <n v="150.56"/>
    <n v="68805.919999999998"/>
    <n v="1428.82"/>
    <n v="2.0765945720949593E-2"/>
    <n v="25"/>
    <d v="2023-11-17T00:00:00"/>
    <d v="2023-11-12T00:00:00"/>
    <n v="-5"/>
    <x v="0"/>
    <b v="1"/>
    <n v="396"/>
    <n v="194"/>
    <x v="1"/>
    <x v="1"/>
  </r>
  <r>
    <s v="PED-01016"/>
    <d v="2024-03-25T00:00:00"/>
    <x v="0"/>
    <x v="8"/>
    <n v="13"/>
    <x v="6"/>
    <x v="5"/>
    <s v="SKU-ELE-3988"/>
    <x v="0"/>
    <x v="0"/>
    <x v="1"/>
    <s v="CIF"/>
    <n v="903"/>
    <s v="Metros"/>
    <n v="656.5"/>
    <n v="592819.5"/>
    <n v="42856.77"/>
    <n v="7.2293117888328567E-2"/>
    <n v="6"/>
    <d v="2024-03-31T00:00:00"/>
    <d v="2024-03-26T00:00:00"/>
    <n v="-5"/>
    <x v="0"/>
    <b v="1"/>
    <n v="162"/>
    <n v="35"/>
    <x v="1"/>
    <x v="1"/>
  </r>
  <r>
    <s v="PED-01017"/>
    <d v="2023-05-08T00:00:00"/>
    <x v="1"/>
    <x v="5"/>
    <n v="19"/>
    <x v="4"/>
    <x v="5"/>
    <s v="SKU-ELE-3238"/>
    <x v="2"/>
    <x v="2"/>
    <x v="2"/>
    <s v="EXW"/>
    <n v="585"/>
    <s v="Metros"/>
    <n v="471.64"/>
    <n v="275909.40000000002"/>
    <n v="12913.77"/>
    <n v="4.6804385787508507E-2"/>
    <n v="1"/>
    <d v="2023-05-09T00:00:00"/>
    <d v="2023-05-21T00:00:00"/>
    <n v="12"/>
    <x v="1"/>
    <b v="0"/>
    <n v="282"/>
    <n v="89"/>
    <x v="2"/>
    <x v="1"/>
  </r>
  <r>
    <s v="PED-01018"/>
    <d v="2024-04-24T00:00:00"/>
    <x v="0"/>
    <x v="1"/>
    <n v="17"/>
    <x v="6"/>
    <x v="4"/>
    <s v="SKU-TEX-5744"/>
    <x v="2"/>
    <x v="3"/>
    <x v="0"/>
    <s v="CIF"/>
    <n v="267"/>
    <s v="Palés"/>
    <n v="80.959999999999994"/>
    <n v="21616.32"/>
    <n v="877.15"/>
    <n v="4.0578137259255971E-2"/>
    <n v="24"/>
    <d v="2024-05-18T00:00:00"/>
    <d v="2024-05-19T00:00:00"/>
    <n v="1"/>
    <x v="2"/>
    <b v="0"/>
    <n v="216"/>
    <n v="461"/>
    <x v="0"/>
    <x v="0"/>
  </r>
  <r>
    <s v="PED-01019"/>
    <d v="2024-12-06T00:00:00"/>
    <x v="0"/>
    <x v="11"/>
    <n v="49"/>
    <x v="4"/>
    <x v="6"/>
    <s v="SKU-CON-2808"/>
    <x v="4"/>
    <x v="3"/>
    <x v="4"/>
    <s v="DDP"/>
    <n v="853"/>
    <s v="Cajas"/>
    <n v="187.03"/>
    <n v="159536.59"/>
    <n v="4514.05"/>
    <n v="2.8294762975691033E-2"/>
    <n v="15"/>
    <d v="2024-12-21T00:00:00"/>
    <d v="2024-12-23T00:00:00"/>
    <n v="2"/>
    <x v="1"/>
    <b v="0"/>
    <n v="359"/>
    <n v="414"/>
    <x v="0"/>
    <x v="0"/>
  </r>
  <r>
    <s v="PED-01020"/>
    <d v="2023-11-08T00:00:00"/>
    <x v="1"/>
    <x v="6"/>
    <n v="45"/>
    <x v="1"/>
    <x v="4"/>
    <s v="SKU-TEX-8460"/>
    <x v="1"/>
    <x v="1"/>
    <x v="3"/>
    <s v="CIF"/>
    <n v="130"/>
    <s v="Metros"/>
    <n v="63.42"/>
    <n v="8244.6"/>
    <n v="382.28"/>
    <n v="4.6367319215001326E-2"/>
    <n v="28"/>
    <d v="2023-12-06T00:00:00"/>
    <d v="2023-12-05T00:00:00"/>
    <n v="-1"/>
    <x v="0"/>
    <b v="1"/>
    <n v="322"/>
    <n v="461"/>
    <x v="0"/>
    <x v="0"/>
  </r>
  <r>
    <s v="PED-01021"/>
    <d v="2024-12-17T00:00:00"/>
    <x v="0"/>
    <x v="11"/>
    <n v="51"/>
    <x v="7"/>
    <x v="2"/>
    <s v="SKU-AUT-8418"/>
    <x v="0"/>
    <x v="4"/>
    <x v="3"/>
    <s v="EXW"/>
    <n v="819"/>
    <s v="Palés"/>
    <n v="1025.29"/>
    <n v="839712.51"/>
    <n v="41800.36"/>
    <n v="4.9779370322826318E-2"/>
    <n v="23"/>
    <d v="2025-01-09T00:00:00"/>
    <d v="2025-01-09T00:00:00"/>
    <n v="0"/>
    <x v="0"/>
    <b v="1"/>
    <n v="240"/>
    <n v="295"/>
    <x v="0"/>
    <x v="0"/>
  </r>
  <r>
    <s v="PED-01022"/>
    <d v="2024-02-17T00:00:00"/>
    <x v="0"/>
    <x v="9"/>
    <n v="7"/>
    <x v="7"/>
    <x v="5"/>
    <s v="SKU-ELE-5458"/>
    <x v="5"/>
    <x v="3"/>
    <x v="0"/>
    <s v="DAP"/>
    <n v="987"/>
    <s v="Metros"/>
    <n v="627.16999999999996"/>
    <n v="619016.79"/>
    <n v="27372.18"/>
    <n v="4.4218800591822392E-2"/>
    <n v="10"/>
    <d v="2024-02-27T00:00:00"/>
    <d v="2024-03-10T00:00:00"/>
    <n v="12"/>
    <x v="2"/>
    <b v="0"/>
    <n v="344"/>
    <n v="329"/>
    <x v="0"/>
    <x v="0"/>
  </r>
  <r>
    <s v="PED-01023"/>
    <d v="2023-10-06T00:00:00"/>
    <x v="1"/>
    <x v="0"/>
    <n v="40"/>
    <x v="1"/>
    <x v="1"/>
    <s v="SKU-FAR-9060"/>
    <x v="5"/>
    <x v="4"/>
    <x v="2"/>
    <s v="EXW"/>
    <n v="63"/>
    <s v="Litros"/>
    <n v="297.98"/>
    <n v="18772.740000000002"/>
    <n v="1139.8699999999999"/>
    <n v="6.0719426146636016E-2"/>
    <n v="19"/>
    <d v="2023-10-25T00:00:00"/>
    <d v="2023-10-20T00:00:00"/>
    <n v="-5"/>
    <x v="0"/>
    <b v="1"/>
    <n v="44"/>
    <n v="200"/>
    <x v="0"/>
    <x v="0"/>
  </r>
  <r>
    <s v="PED-01024"/>
    <d v="2024-05-27T00:00:00"/>
    <x v="0"/>
    <x v="5"/>
    <n v="22"/>
    <x v="8"/>
    <x v="0"/>
    <s v="SKU-MAQ-4076"/>
    <x v="3"/>
    <x v="1"/>
    <x v="4"/>
    <s v="EXW"/>
    <n v="340"/>
    <s v="Metros"/>
    <n v="1320.19"/>
    <n v="448864.6"/>
    <n v="20312.830000000002"/>
    <n v="4.5253802594368106E-2"/>
    <n v="17"/>
    <d v="2024-06-13T00:00:00"/>
    <d v="2024-06-14T00:00:00"/>
    <n v="1"/>
    <x v="1"/>
    <b v="0"/>
    <n v="457"/>
    <n v="45"/>
    <x v="4"/>
    <x v="1"/>
  </r>
  <r>
    <s v="PED-01025"/>
    <d v="2024-07-06T00:00:00"/>
    <x v="0"/>
    <x v="7"/>
    <n v="27"/>
    <x v="5"/>
    <x v="0"/>
    <s v="SKU-MAQ-6253"/>
    <x v="4"/>
    <x v="2"/>
    <x v="2"/>
    <s v="DDP"/>
    <n v="793"/>
    <s v="KG"/>
    <n v="1844.78"/>
    <n v="1462910.54"/>
    <n v="96548.6302"/>
    <n v="6.5997631133343254E-2"/>
    <n v="5"/>
    <d v="2024-07-11T00:00:00"/>
    <d v="2024-07-11T00:00:00"/>
    <n v="0"/>
    <x v="0"/>
    <b v="1"/>
    <n v="80"/>
    <n v="487"/>
    <x v="0"/>
    <x v="0"/>
  </r>
  <r>
    <s v="PED-01026"/>
    <d v="2024-05-20T00:00:00"/>
    <x v="0"/>
    <x v="5"/>
    <n v="21"/>
    <x v="3"/>
    <x v="3"/>
    <s v="SKU-QUÍ-1317"/>
    <x v="0"/>
    <x v="5"/>
    <x v="2"/>
    <s v="FOB"/>
    <n v="250"/>
    <s v="Palés"/>
    <n v="142.53"/>
    <n v="35632.5"/>
    <n v="1993.88"/>
    <n v="5.5956781028555398E-2"/>
    <n v="29"/>
    <d v="2024-06-18T00:00:00"/>
    <d v="2024-06-20T00:00:00"/>
    <n v="2"/>
    <x v="1"/>
    <b v="0"/>
    <n v="254"/>
    <n v="106"/>
    <x v="3"/>
    <x v="1"/>
  </r>
  <r>
    <s v="PED-01027"/>
    <d v="2024-03-24T00:00:00"/>
    <x v="0"/>
    <x v="8"/>
    <n v="13"/>
    <x v="4"/>
    <x v="5"/>
    <s v="SKU-ELE-3492"/>
    <x v="0"/>
    <x v="5"/>
    <x v="0"/>
    <s v="EXW"/>
    <n v="764"/>
    <s v="Unidades"/>
    <n v="716.04"/>
    <n v="547054.56000000006"/>
    <n v="37445.160000000003"/>
    <n v="6.8448675393547584E-2"/>
    <n v="4"/>
    <d v="2024-03-28T00:00:00"/>
    <d v="2024-03-30T00:00:00"/>
    <n v="2"/>
    <x v="1"/>
    <b v="0"/>
    <n v="66"/>
    <n v="169"/>
    <x v="0"/>
    <x v="0"/>
  </r>
  <r>
    <s v="PED-01028"/>
    <d v="2023-03-24T00:00:00"/>
    <x v="1"/>
    <x v="8"/>
    <n v="12"/>
    <x v="0"/>
    <x v="5"/>
    <s v="SKU-ELE-1813"/>
    <x v="5"/>
    <x v="0"/>
    <x v="4"/>
    <s v="DDP"/>
    <n v="539"/>
    <s v="Palés"/>
    <n v="412.54"/>
    <n v="222359.06"/>
    <n v="5906.16"/>
    <n v="2.6561364308699632E-2"/>
    <n v="10"/>
    <d v="2023-04-03T00:00:00"/>
    <d v="2023-04-06T00:00:00"/>
    <n v="3"/>
    <x v="1"/>
    <b v="0"/>
    <n v="492"/>
    <n v="145"/>
    <x v="0"/>
    <x v="0"/>
  </r>
  <r>
    <s v="PED-01029"/>
    <d v="2024-09-04T00:00:00"/>
    <x v="0"/>
    <x v="3"/>
    <n v="36"/>
    <x v="6"/>
    <x v="2"/>
    <s v="SKU-AUT-9764"/>
    <x v="3"/>
    <x v="0"/>
    <x v="0"/>
    <s v="DAP"/>
    <n v="492"/>
    <s v="Cajas"/>
    <n v="1041.1500000000001"/>
    <n v="512245.8"/>
    <n v="22455.56"/>
    <n v="4.3837470214494682E-2"/>
    <n v="24"/>
    <d v="2024-09-28T00:00:00"/>
    <d v="2024-09-29T00:00:00"/>
    <n v="1"/>
    <x v="1"/>
    <b v="0"/>
    <n v="405"/>
    <n v="355"/>
    <x v="0"/>
    <x v="0"/>
  </r>
  <r>
    <s v="PED-01030"/>
    <d v="2023-02-10T00:00:00"/>
    <x v="1"/>
    <x v="9"/>
    <n v="6"/>
    <x v="1"/>
    <x v="5"/>
    <s v="SKU-ELE-1362"/>
    <x v="5"/>
    <x v="2"/>
    <x v="0"/>
    <s v="DDP"/>
    <n v="196"/>
    <s v="Metros"/>
    <n v="577.30999999999995"/>
    <n v="113152.76"/>
    <n v="4549.97"/>
    <n v="4.0210861847293874E-2"/>
    <n v="17"/>
    <d v="2023-02-27T00:00:00"/>
    <d v="2023-03-07T00:00:00"/>
    <n v="8"/>
    <x v="2"/>
    <b v="0"/>
    <n v="101"/>
    <n v="419"/>
    <x v="0"/>
    <x v="0"/>
  </r>
  <r>
    <s v="PED-01031"/>
    <d v="2024-03-18T00:00:00"/>
    <x v="0"/>
    <x v="8"/>
    <n v="12"/>
    <x v="3"/>
    <x v="1"/>
    <s v="SKU-FAR-4046"/>
    <x v="3"/>
    <x v="5"/>
    <x v="3"/>
    <s v="DDP"/>
    <n v="867"/>
    <s v="Palés"/>
    <n v="183.95"/>
    <n v="159484.65"/>
    <n v="8639.11"/>
    <n v="5.416891218057663E-2"/>
    <n v="10"/>
    <d v="2024-03-28T00:00:00"/>
    <d v="2024-03-23T00:00:00"/>
    <n v="-5"/>
    <x v="0"/>
    <b v="1"/>
    <n v="461"/>
    <n v="459"/>
    <x v="4"/>
    <x v="1"/>
  </r>
  <r>
    <s v="PED-01032"/>
    <d v="2023-11-27T00:00:00"/>
    <x v="1"/>
    <x v="6"/>
    <n v="48"/>
    <x v="4"/>
    <x v="4"/>
    <s v="SKU-TEX-2675"/>
    <x v="2"/>
    <x v="0"/>
    <x v="0"/>
    <s v="CIF"/>
    <n v="665"/>
    <s v="Litros"/>
    <n v="64.77"/>
    <n v="43072.05"/>
    <n v="3086.84"/>
    <n v="7.1666893031559903E-2"/>
    <n v="17"/>
    <d v="2023-12-14T00:00:00"/>
    <d v="2023-12-13T00:00:00"/>
    <n v="-1"/>
    <x v="0"/>
    <b v="1"/>
    <n v="90"/>
    <n v="177"/>
    <x v="1"/>
    <x v="1"/>
  </r>
  <r>
    <s v="PED-01033"/>
    <d v="2024-09-10T00:00:00"/>
    <x v="0"/>
    <x v="3"/>
    <n v="37"/>
    <x v="9"/>
    <x v="5"/>
    <s v="SKU-ELE-5622"/>
    <x v="0"/>
    <x v="4"/>
    <x v="1"/>
    <s v="FOB"/>
    <n v="271"/>
    <s v="Palés"/>
    <n v="483.51"/>
    <n v="131031.21"/>
    <n v="3236.51"/>
    <n v="2.4700298501402835E-2"/>
    <n v="28"/>
    <d v="2024-10-08T00:00:00"/>
    <d v="2024-10-10T00:00:00"/>
    <n v="2"/>
    <x v="1"/>
    <b v="0"/>
    <n v="41"/>
    <n v="60"/>
    <x v="0"/>
    <x v="0"/>
  </r>
  <r>
    <s v="PED-01034"/>
    <d v="2023-09-14T00:00:00"/>
    <x v="1"/>
    <x v="3"/>
    <n v="37"/>
    <x v="8"/>
    <x v="5"/>
    <s v="SKU-ELE-5410"/>
    <x v="2"/>
    <x v="3"/>
    <x v="4"/>
    <s v="FOB"/>
    <n v="962"/>
    <s v="Litros"/>
    <n v="581.73"/>
    <n v="559624.26"/>
    <n v="13629.36"/>
    <n v="2.435448384600053E-2"/>
    <n v="20"/>
    <d v="2023-10-04T00:00:00"/>
    <d v="2023-10-03T00:00:00"/>
    <n v="-1"/>
    <x v="0"/>
    <b v="1"/>
    <n v="275"/>
    <n v="423"/>
    <x v="1"/>
    <x v="1"/>
  </r>
  <r>
    <s v="PED-01035"/>
    <d v="2023-01-27T00:00:00"/>
    <x v="1"/>
    <x v="2"/>
    <n v="4"/>
    <x v="6"/>
    <x v="2"/>
    <s v="SKU-AUT-3048"/>
    <x v="5"/>
    <x v="1"/>
    <x v="3"/>
    <s v="FCA"/>
    <n v="373"/>
    <s v="Metros"/>
    <n v="1128.96"/>
    <n v="421102.08000000002"/>
    <n v="29906.27"/>
    <n v="7.1019050772677256E-2"/>
    <n v="24"/>
    <d v="2023-02-20T00:00:00"/>
    <d v="2023-02-22T00:00:00"/>
    <n v="2"/>
    <x v="2"/>
    <b v="0"/>
    <n v="303"/>
    <n v="2"/>
    <x v="0"/>
    <x v="0"/>
  </r>
  <r>
    <s v="PED-01036"/>
    <d v="2023-04-04T00:00:00"/>
    <x v="1"/>
    <x v="1"/>
    <n v="14"/>
    <x v="7"/>
    <x v="6"/>
    <s v="SKU-CON-8183"/>
    <x v="4"/>
    <x v="0"/>
    <x v="4"/>
    <s v="DAP"/>
    <n v="500"/>
    <s v="Unidades"/>
    <n v="231.09"/>
    <n v="115545"/>
    <n v="3786.53"/>
    <n v="3.2771041585529452E-2"/>
    <n v="5"/>
    <d v="2023-04-09T00:00:00"/>
    <d v="2023-04-04T00:00:00"/>
    <n v="-5"/>
    <x v="0"/>
    <b v="1"/>
    <n v="273"/>
    <n v="81"/>
    <x v="0"/>
    <x v="0"/>
  </r>
  <r>
    <s v="PED-01037"/>
    <d v="2023-08-23T00:00:00"/>
    <x v="1"/>
    <x v="4"/>
    <n v="34"/>
    <x v="1"/>
    <x v="7"/>
    <s v="SKU-ALI-1134"/>
    <x v="1"/>
    <x v="2"/>
    <x v="3"/>
    <s v="FCA"/>
    <n v="440"/>
    <s v="Metros"/>
    <n v="96.43"/>
    <n v="42429.2"/>
    <n v="2551.06"/>
    <n v="6.012510252373366E-2"/>
    <n v="2"/>
    <d v="2023-08-25T00:00:00"/>
    <d v="2023-08-25T00:00:00"/>
    <n v="0"/>
    <x v="2"/>
    <b v="0"/>
    <n v="383"/>
    <n v="262"/>
    <x v="0"/>
    <x v="0"/>
  </r>
  <r>
    <s v="PED-01038"/>
    <d v="2024-11-21T00:00:00"/>
    <x v="0"/>
    <x v="6"/>
    <n v="47"/>
    <x v="7"/>
    <x v="6"/>
    <s v="SKU-CON-4814"/>
    <x v="4"/>
    <x v="5"/>
    <x v="1"/>
    <s v="DDP"/>
    <n v="248"/>
    <s v="Cajas"/>
    <n v="223"/>
    <n v="55304"/>
    <n v="2907.48"/>
    <n v="5.257268913640966E-2"/>
    <n v="6"/>
    <d v="2024-11-27T00:00:00"/>
    <d v="2024-11-27T00:00:00"/>
    <n v="0"/>
    <x v="0"/>
    <b v="1"/>
    <n v="76"/>
    <n v="286"/>
    <x v="0"/>
    <x v="0"/>
  </r>
  <r>
    <s v="PED-01039"/>
    <d v="2024-08-12T00:00:00"/>
    <x v="0"/>
    <x v="4"/>
    <n v="33"/>
    <x v="4"/>
    <x v="2"/>
    <s v="SKU-AUT-2477"/>
    <x v="4"/>
    <x v="2"/>
    <x v="0"/>
    <s v="DAP"/>
    <n v="313"/>
    <s v="KG"/>
    <n v="592.75"/>
    <n v="185530.75"/>
    <n v="12982.26"/>
    <n v="6.9973629708282858E-2"/>
    <n v="21"/>
    <d v="2024-09-02T00:00:00"/>
    <d v="2024-09-02T00:00:00"/>
    <n v="0"/>
    <x v="1"/>
    <b v="0"/>
    <n v="233"/>
    <n v="320"/>
    <x v="3"/>
    <x v="1"/>
  </r>
  <r>
    <s v="PED-01040"/>
    <d v="2024-08-24T00:00:00"/>
    <x v="0"/>
    <x v="4"/>
    <n v="34"/>
    <x v="7"/>
    <x v="6"/>
    <s v="SKU-CON-3468"/>
    <x v="1"/>
    <x v="1"/>
    <x v="3"/>
    <s v="DAP"/>
    <n v="307"/>
    <s v="Unidades"/>
    <n v="177.26"/>
    <n v="54418.82"/>
    <n v="1496.81"/>
    <n v="2.7505374059930001E-2"/>
    <n v="2"/>
    <d v="2024-08-26T00:00:00"/>
    <d v="2024-08-28T00:00:00"/>
    <n v="2"/>
    <x v="2"/>
    <b v="0"/>
    <n v="453"/>
    <n v="94"/>
    <x v="4"/>
    <x v="1"/>
  </r>
  <r>
    <s v="PED-01041"/>
    <d v="2023-01-22T00:00:00"/>
    <x v="1"/>
    <x v="2"/>
    <n v="4"/>
    <x v="6"/>
    <x v="2"/>
    <s v="SKU-AUT-1241"/>
    <x v="0"/>
    <x v="1"/>
    <x v="3"/>
    <s v="FOB"/>
    <n v="85"/>
    <s v="Unidades"/>
    <n v="874.88"/>
    <n v="74364.800000000003"/>
    <n v="2066.37"/>
    <n v="2.7786936830328325E-2"/>
    <n v="13"/>
    <d v="2023-02-04T00:00:00"/>
    <d v="2023-02-09T00:00:00"/>
    <n v="5"/>
    <x v="2"/>
    <b v="0"/>
    <n v="201"/>
    <n v="63"/>
    <x v="0"/>
    <x v="0"/>
  </r>
  <r>
    <s v="PED-01042"/>
    <d v="2024-11-19T00:00:00"/>
    <x v="0"/>
    <x v="6"/>
    <n v="47"/>
    <x v="5"/>
    <x v="1"/>
    <s v="SKU-FAR-9086"/>
    <x v="2"/>
    <x v="2"/>
    <x v="3"/>
    <s v="FOB"/>
    <n v="709"/>
    <s v="KG"/>
    <n v="189.64"/>
    <n v="134454.76"/>
    <n v="7181.11"/>
    <n v="5.3409116940151463E-2"/>
    <n v="11"/>
    <d v="2024-11-30T00:00:00"/>
    <d v="2024-11-30T00:00:00"/>
    <n v="0"/>
    <x v="0"/>
    <b v="1"/>
    <n v="484"/>
    <n v="245"/>
    <x v="4"/>
    <x v="1"/>
  </r>
  <r>
    <s v="PED-01043"/>
    <d v="2023-10-03T00:00:00"/>
    <x v="1"/>
    <x v="0"/>
    <n v="40"/>
    <x v="3"/>
    <x v="3"/>
    <s v="SKU-QUÍ-4558"/>
    <x v="2"/>
    <x v="0"/>
    <x v="1"/>
    <s v="FOB"/>
    <n v="342"/>
    <s v="Palés"/>
    <n v="101.45"/>
    <n v="34695.9"/>
    <n v="2664.05"/>
    <n v="7.6782847541063931E-2"/>
    <n v="11"/>
    <d v="2023-10-14T00:00:00"/>
    <d v="2023-10-22T00:00:00"/>
    <n v="8"/>
    <x v="2"/>
    <b v="0"/>
    <n v="220"/>
    <n v="76"/>
    <x v="0"/>
    <x v="0"/>
  </r>
  <r>
    <s v="PED-01044"/>
    <d v="2024-08-13T00:00:00"/>
    <x v="0"/>
    <x v="4"/>
    <n v="33"/>
    <x v="5"/>
    <x v="5"/>
    <s v="SKU-ELE-6601"/>
    <x v="0"/>
    <x v="0"/>
    <x v="4"/>
    <s v="EXW"/>
    <n v="909"/>
    <s v="Metros"/>
    <n v="551.65"/>
    <n v="501449.85"/>
    <n v="22515.03"/>
    <n v="4.489986386475138E-2"/>
    <n v="16"/>
    <d v="2024-08-29T00:00:00"/>
    <d v="2024-08-29T00:00:00"/>
    <n v="0"/>
    <x v="0"/>
    <b v="1"/>
    <n v="261"/>
    <n v="476"/>
    <x v="0"/>
    <x v="0"/>
  </r>
  <r>
    <s v="PED-01045"/>
    <d v="2023-02-11T00:00:00"/>
    <x v="1"/>
    <x v="9"/>
    <n v="6"/>
    <x v="1"/>
    <x v="2"/>
    <s v="SKU-AUT-7885"/>
    <x v="1"/>
    <x v="5"/>
    <x v="1"/>
    <s v="DDP"/>
    <n v="767"/>
    <s v="Palés"/>
    <n v="766.6"/>
    <n v="587982.19999999995"/>
    <n v="23293.81"/>
    <n v="3.9616522404929952E-2"/>
    <n v="11"/>
    <d v="2023-02-22T00:00:00"/>
    <d v="2023-02-21T00:00:00"/>
    <n v="-1"/>
    <x v="0"/>
    <b v="1"/>
    <n v="38"/>
    <n v="258"/>
    <x v="0"/>
    <x v="0"/>
  </r>
  <r>
    <s v="PED-01046"/>
    <d v="2023-06-29T00:00:00"/>
    <x v="1"/>
    <x v="10"/>
    <n v="26"/>
    <x v="5"/>
    <x v="2"/>
    <s v="SKU-AUT-6104"/>
    <x v="3"/>
    <x v="4"/>
    <x v="3"/>
    <s v="DAP"/>
    <n v="651"/>
    <s v="Palés"/>
    <n v="725.19"/>
    <n v="472098.69"/>
    <n v="26627.01"/>
    <n v="5.6401363875845531E-2"/>
    <n v="19"/>
    <d v="2023-07-18T00:00:00"/>
    <d v="2023-07-19T00:00:00"/>
    <n v="1"/>
    <x v="1"/>
    <b v="0"/>
    <n v="10"/>
    <n v="92"/>
    <x v="3"/>
    <x v="1"/>
  </r>
  <r>
    <s v="PED-01047"/>
    <d v="2024-04-26T00:00:00"/>
    <x v="0"/>
    <x v="1"/>
    <n v="17"/>
    <x v="2"/>
    <x v="7"/>
    <s v="SKU-ALI-9165"/>
    <x v="4"/>
    <x v="5"/>
    <x v="3"/>
    <s v="DDP"/>
    <n v="483"/>
    <s v="Metros"/>
    <n v="85.7"/>
    <n v="41393.1"/>
    <n v="3138.71"/>
    <n v="7.5826889022566568E-2"/>
    <n v="15"/>
    <d v="2024-05-11T00:00:00"/>
    <d v="2024-05-10T00:00:00"/>
    <n v="-1"/>
    <x v="0"/>
    <b v="1"/>
    <n v="111"/>
    <n v="290"/>
    <x v="3"/>
    <x v="1"/>
  </r>
  <r>
    <s v="PED-01048"/>
    <d v="2024-06-15T00:00:00"/>
    <x v="0"/>
    <x v="10"/>
    <n v="24"/>
    <x v="3"/>
    <x v="2"/>
    <s v="SKU-AUT-7084"/>
    <x v="5"/>
    <x v="3"/>
    <x v="0"/>
    <s v="DAP"/>
    <n v="836"/>
    <s v="Cajas"/>
    <n v="645.29999999999995"/>
    <n v="539470.80000000005"/>
    <n v="37879.300000000003"/>
    <n v="7.021566320178961E-2"/>
    <n v="25"/>
    <d v="2024-07-10T00:00:00"/>
    <d v="2024-07-22T00:00:00"/>
    <n v="12"/>
    <x v="1"/>
    <b v="0"/>
    <n v="408"/>
    <n v="270"/>
    <x v="2"/>
    <x v="1"/>
  </r>
  <r>
    <s v="PED-01049"/>
    <d v="2024-10-29T00:00:00"/>
    <x v="0"/>
    <x v="0"/>
    <n v="44"/>
    <x v="4"/>
    <x v="0"/>
    <s v="SKU-MAQ-8597"/>
    <x v="2"/>
    <x v="4"/>
    <x v="1"/>
    <s v="DAP"/>
    <n v="932"/>
    <s v="Unidades"/>
    <n v="2163.29"/>
    <n v="1639255.3774000001"/>
    <n v="96548.6302"/>
    <n v="5.8897857851248549E-2"/>
    <n v="23"/>
    <d v="2024-11-21T00:00:00"/>
    <d v="2024-11-20T00:00:00"/>
    <n v="-1"/>
    <x v="0"/>
    <b v="1"/>
    <n v="107"/>
    <n v="20"/>
    <x v="0"/>
    <x v="0"/>
  </r>
  <r>
    <s v="PED-01050"/>
    <d v="2024-03-28T00:00:00"/>
    <x v="0"/>
    <x v="8"/>
    <n v="13"/>
    <x v="3"/>
    <x v="3"/>
    <s v="SKU-QUÍ-1519"/>
    <x v="0"/>
    <x v="3"/>
    <x v="1"/>
    <s v="FCA"/>
    <n v="292"/>
    <s v="Litros"/>
    <n v="167.3"/>
    <n v="48851.6"/>
    <n v="1043.18"/>
    <n v="2.1354060051257281E-2"/>
    <n v="23"/>
    <d v="2024-04-20T00:00:00"/>
    <d v="2024-04-28T00:00:00"/>
    <n v="8"/>
    <x v="2"/>
    <b v="0"/>
    <n v="491"/>
    <n v="61"/>
    <x v="3"/>
    <x v="1"/>
  </r>
  <r>
    <s v="PED-01051"/>
    <d v="2023-10-12T00:00:00"/>
    <x v="1"/>
    <x v="0"/>
    <n v="41"/>
    <x v="2"/>
    <x v="5"/>
    <s v="SKU-ELE-6410"/>
    <x v="5"/>
    <x v="5"/>
    <x v="2"/>
    <s v="DAP"/>
    <n v="600"/>
    <s v="KG"/>
    <n v="633.04999999999995"/>
    <n v="379830"/>
    <n v="10168.61"/>
    <n v="2.6771476713266462E-2"/>
    <n v="16"/>
    <d v="2023-10-28T00:00:00"/>
    <d v="2023-11-02T00:00:00"/>
    <n v="5"/>
    <x v="2"/>
    <b v="0"/>
    <n v="93"/>
    <n v="338"/>
    <x v="0"/>
    <x v="0"/>
  </r>
  <r>
    <s v="PED-01052"/>
    <d v="2023-07-05T00:00:00"/>
    <x v="1"/>
    <x v="7"/>
    <n v="27"/>
    <x v="0"/>
    <x v="5"/>
    <s v="SKU-ELE-2314"/>
    <x v="1"/>
    <x v="4"/>
    <x v="4"/>
    <s v="DAP"/>
    <n v="81"/>
    <s v="Unidades"/>
    <n v="392.49"/>
    <n v="31791.69"/>
    <n v="1798.39"/>
    <n v="5.6567927027471647E-2"/>
    <n v="11"/>
    <d v="2023-07-16T00:00:00"/>
    <d v="2023-07-16T00:00:00"/>
    <n v="0"/>
    <x v="0"/>
    <b v="1"/>
    <n v="310"/>
    <n v="411"/>
    <x v="0"/>
    <x v="0"/>
  </r>
  <r>
    <s v="PED-01053"/>
    <d v="2024-08-22T00:00:00"/>
    <x v="0"/>
    <x v="4"/>
    <n v="34"/>
    <x v="5"/>
    <x v="7"/>
    <s v="SKU-ALI-3393"/>
    <x v="5"/>
    <x v="4"/>
    <x v="2"/>
    <s v="CIF"/>
    <n v="272"/>
    <s v="Palés"/>
    <n v="105.66"/>
    <n v="28739.52"/>
    <n v="1989.77"/>
    <n v="6.9234628831657596E-2"/>
    <n v="22"/>
    <d v="2024-09-13T00:00:00"/>
    <d v="2024-09-13T00:00:00"/>
    <n v="0"/>
    <x v="0"/>
    <b v="1"/>
    <n v="83"/>
    <n v="259"/>
    <x v="0"/>
    <x v="0"/>
  </r>
  <r>
    <s v="PED-01054"/>
    <d v="2024-03-22T00:00:00"/>
    <x v="0"/>
    <x v="8"/>
    <n v="12"/>
    <x v="3"/>
    <x v="1"/>
    <s v="SKU-FAR-1918"/>
    <x v="5"/>
    <x v="3"/>
    <x v="2"/>
    <s v="CIF"/>
    <n v="712"/>
    <s v="KG"/>
    <n v="269.27"/>
    <n v="191720.24"/>
    <n v="7115.63"/>
    <n v="3.7114652057602268E-2"/>
    <n v="16"/>
    <d v="2024-04-07T00:00:00"/>
    <d v="2024-04-07T00:00:00"/>
    <n v="0"/>
    <x v="0"/>
    <b v="1"/>
    <n v="57"/>
    <n v="236"/>
    <x v="1"/>
    <x v="1"/>
  </r>
  <r>
    <s v="PED-01055"/>
    <d v="2024-10-12T00:00:00"/>
    <x v="0"/>
    <x v="0"/>
    <n v="41"/>
    <x v="7"/>
    <x v="5"/>
    <s v="SKU-ELE-5366"/>
    <x v="4"/>
    <x v="2"/>
    <x v="4"/>
    <s v="FCA"/>
    <n v="888"/>
    <s v="Litros"/>
    <n v="657.11"/>
    <n v="583513.68000000005"/>
    <n v="20045.25"/>
    <n v="3.4352665048058513E-2"/>
    <n v="8"/>
    <d v="2024-10-20T00:00:00"/>
    <d v="2024-10-22T00:00:00"/>
    <n v="2"/>
    <x v="2"/>
    <b v="0"/>
    <n v="292"/>
    <n v="140"/>
    <x v="4"/>
    <x v="1"/>
  </r>
  <r>
    <s v="PED-01056"/>
    <d v="2024-05-18T00:00:00"/>
    <x v="0"/>
    <x v="5"/>
    <n v="20"/>
    <x v="4"/>
    <x v="0"/>
    <s v="SKU-MAQ-7429"/>
    <x v="1"/>
    <x v="0"/>
    <x v="0"/>
    <s v="EXW"/>
    <n v="896"/>
    <s v="Unidades"/>
    <n v="1186.76"/>
    <n v="1063336.96"/>
    <n v="71475.97"/>
    <n v="6.7218551304752919E-2"/>
    <n v="4"/>
    <d v="2024-05-22T00:00:00"/>
    <d v="2024-05-27T00:00:00"/>
    <n v="5"/>
    <x v="1"/>
    <b v="0"/>
    <n v="15"/>
    <n v="462"/>
    <x v="4"/>
    <x v="1"/>
  </r>
  <r>
    <s v="PED-01057"/>
    <d v="2023-04-04T00:00:00"/>
    <x v="1"/>
    <x v="1"/>
    <n v="14"/>
    <x v="9"/>
    <x v="5"/>
    <s v="SKU-ELE-2169"/>
    <x v="5"/>
    <x v="4"/>
    <x v="0"/>
    <s v="FOB"/>
    <n v="951"/>
    <s v="Unidades"/>
    <n v="607.55999999999995"/>
    <n v="577789.56000000006"/>
    <n v="13510.4"/>
    <n v="2.3382907783934342E-2"/>
    <n v="8"/>
    <d v="2023-04-12T00:00:00"/>
    <d v="2023-04-12T00:00:00"/>
    <n v="0"/>
    <x v="0"/>
    <b v="1"/>
    <n v="478"/>
    <n v="434"/>
    <x v="0"/>
    <x v="0"/>
  </r>
  <r>
    <s v="PED-01058"/>
    <d v="2024-04-26T00:00:00"/>
    <x v="0"/>
    <x v="1"/>
    <n v="17"/>
    <x v="1"/>
    <x v="0"/>
    <s v="SKU-MAQ-9899"/>
    <x v="2"/>
    <x v="4"/>
    <x v="4"/>
    <s v="DAP"/>
    <n v="584"/>
    <s v="Cajas"/>
    <n v="2051.19"/>
    <n v="1197894.96"/>
    <n v="50506.8"/>
    <n v="4.216296226841125E-2"/>
    <n v="4"/>
    <d v="2024-04-30T00:00:00"/>
    <d v="2024-05-12T00:00:00"/>
    <n v="12"/>
    <x v="2"/>
    <b v="0"/>
    <n v="476"/>
    <n v="431"/>
    <x v="1"/>
    <x v="1"/>
  </r>
  <r>
    <s v="PED-01059"/>
    <d v="2023-12-23T00:00:00"/>
    <x v="1"/>
    <x v="11"/>
    <n v="51"/>
    <x v="1"/>
    <x v="3"/>
    <s v="SKU-QUÍ-8702"/>
    <x v="1"/>
    <x v="3"/>
    <x v="4"/>
    <s v="DDP"/>
    <n v="901"/>
    <s v="Unidades"/>
    <n v="139.43"/>
    <n v="125626.43"/>
    <n v="6325.11"/>
    <n v="5.034856120642766E-2"/>
    <n v="24"/>
    <d v="2024-01-16T00:00:00"/>
    <d v="2024-01-11T00:00:00"/>
    <n v="-5"/>
    <x v="0"/>
    <b v="1"/>
    <n v="325"/>
    <n v="166"/>
    <x v="1"/>
    <x v="1"/>
  </r>
  <r>
    <s v="PED-01060"/>
    <d v="2024-02-23T00:00:00"/>
    <x v="0"/>
    <x v="9"/>
    <n v="8"/>
    <x v="1"/>
    <x v="3"/>
    <s v="SKU-QUÍ-3975"/>
    <x v="2"/>
    <x v="4"/>
    <x v="1"/>
    <s v="CIF"/>
    <n v="21"/>
    <s v="Unidades"/>
    <n v="146.06"/>
    <n v="3302.8089"/>
    <n v="164.47"/>
    <n v="4.9797007631897809E-2"/>
    <n v="25"/>
    <d v="2024-03-19T00:00:00"/>
    <d v="2024-03-21T00:00:00"/>
    <n v="2"/>
    <x v="1"/>
    <b v="0"/>
    <n v="92"/>
    <n v="479"/>
    <x v="0"/>
    <x v="0"/>
  </r>
  <r>
    <s v="PED-01061"/>
    <d v="2023-12-08T00:00:00"/>
    <x v="1"/>
    <x v="11"/>
    <n v="49"/>
    <x v="3"/>
    <x v="4"/>
    <s v="SKU-TEX-4148"/>
    <x v="0"/>
    <x v="3"/>
    <x v="1"/>
    <s v="FOB"/>
    <n v="150"/>
    <s v="Litros"/>
    <n v="64"/>
    <n v="9600"/>
    <n v="611.67999999999995"/>
    <n v="6.3716666666666658E-2"/>
    <n v="3"/>
    <d v="2023-12-11T00:00:00"/>
    <d v="2023-12-13T00:00:00"/>
    <n v="2"/>
    <x v="1"/>
    <b v="0"/>
    <n v="479"/>
    <n v="66"/>
    <x v="3"/>
    <x v="1"/>
  </r>
  <r>
    <s v="PED-01062"/>
    <d v="2023-11-25T00:00:00"/>
    <x v="1"/>
    <x v="6"/>
    <n v="47"/>
    <x v="5"/>
    <x v="4"/>
    <s v="SKU-TEX-5097"/>
    <x v="0"/>
    <x v="2"/>
    <x v="1"/>
    <s v="EXW"/>
    <n v="775"/>
    <s v="Litros"/>
    <n v="67.38"/>
    <n v="52219.5"/>
    <n v="2156.1799999999998"/>
    <n v="4.1290705579333391E-2"/>
    <n v="3"/>
    <d v="2023-11-28T00:00:00"/>
    <d v="2023-12-01T00:00:00"/>
    <n v="3"/>
    <x v="2"/>
    <b v="0"/>
    <n v="456"/>
    <n v="349"/>
    <x v="0"/>
    <x v="0"/>
  </r>
  <r>
    <s v="PED-01063"/>
    <d v="2024-11-17T00:00:00"/>
    <x v="0"/>
    <x v="6"/>
    <n v="47"/>
    <x v="3"/>
    <x v="0"/>
    <s v="SKU-MAQ-7251"/>
    <x v="3"/>
    <x v="4"/>
    <x v="1"/>
    <s v="FOB"/>
    <n v="564"/>
    <s v="KG"/>
    <n v="1091.25"/>
    <n v="615465"/>
    <n v="34934.449999999997"/>
    <n v="5.6761066835644587E-2"/>
    <n v="27"/>
    <d v="2024-12-14T00:00:00"/>
    <d v="2024-12-17T00:00:00"/>
    <n v="3"/>
    <x v="2"/>
    <b v="0"/>
    <n v="164"/>
    <n v="57"/>
    <x v="2"/>
    <x v="1"/>
  </r>
  <r>
    <s v="PED-01064"/>
    <d v="2023-04-18T00:00:00"/>
    <x v="1"/>
    <x v="1"/>
    <n v="16"/>
    <x v="6"/>
    <x v="1"/>
    <s v="SKU-FAR-1206"/>
    <x v="0"/>
    <x v="1"/>
    <x v="3"/>
    <s v="DAP"/>
    <n v="26"/>
    <s v="Palés"/>
    <n v="242.23"/>
    <n v="6297.98"/>
    <n v="347.16"/>
    <n v="5.5122436082680484E-2"/>
    <n v="29"/>
    <d v="2023-05-17T00:00:00"/>
    <d v="2023-05-14T00:00:00"/>
    <n v="-3"/>
    <x v="0"/>
    <b v="1"/>
    <n v="436"/>
    <n v="211"/>
    <x v="4"/>
    <x v="1"/>
  </r>
  <r>
    <s v="PED-01065"/>
    <d v="2023-06-14T00:00:00"/>
    <x v="1"/>
    <x v="10"/>
    <n v="24"/>
    <x v="7"/>
    <x v="5"/>
    <s v="SKU-ELE-2998"/>
    <x v="5"/>
    <x v="5"/>
    <x v="3"/>
    <s v="FOB"/>
    <n v="72"/>
    <s v="Litros"/>
    <n v="382.58"/>
    <n v="27545.759999999998"/>
    <n v="1455.99"/>
    <n v="5.2857136633732385E-2"/>
    <n v="18"/>
    <d v="2023-07-02T00:00:00"/>
    <d v="2023-06-29T00:00:00"/>
    <n v="-3"/>
    <x v="0"/>
    <b v="1"/>
    <n v="214"/>
    <n v="129"/>
    <x v="1"/>
    <x v="1"/>
  </r>
  <r>
    <s v="PED-01066"/>
    <d v="2023-12-04T00:00:00"/>
    <x v="1"/>
    <x v="11"/>
    <n v="49"/>
    <x v="9"/>
    <x v="2"/>
    <s v="SKU-AUT-5078"/>
    <x v="1"/>
    <x v="2"/>
    <x v="0"/>
    <s v="DAP"/>
    <n v="262"/>
    <s v="KG"/>
    <n v="838.41"/>
    <n v="219663.42"/>
    <n v="12834.71"/>
    <n v="5.842898193973306E-2"/>
    <n v="29"/>
    <d v="2024-01-02T00:00:00"/>
    <d v="2024-01-01T00:00:00"/>
    <n v="-1"/>
    <x v="0"/>
    <b v="1"/>
    <n v="143"/>
    <n v="497"/>
    <x v="0"/>
    <x v="0"/>
  </r>
  <r>
    <s v="PED-01067"/>
    <d v="2024-02-26T00:00:00"/>
    <x v="0"/>
    <x v="9"/>
    <n v="9"/>
    <x v="9"/>
    <x v="5"/>
    <s v="SKU-ELE-7304"/>
    <x v="0"/>
    <x v="1"/>
    <x v="3"/>
    <s v="FCA"/>
    <n v="474"/>
    <s v="Unidades"/>
    <n v="467.06"/>
    <n v="221386.44"/>
    <n v="7874.04"/>
    <n v="3.5566948002777404E-2"/>
    <n v="26"/>
    <d v="2024-03-23T00:00:00"/>
    <d v="2024-03-18T00:00:00"/>
    <n v="-5"/>
    <x v="0"/>
    <b v="1"/>
    <n v="273"/>
    <n v="24"/>
    <x v="2"/>
    <x v="1"/>
  </r>
  <r>
    <s v="PED-01068"/>
    <d v="2024-12-11T00:00:00"/>
    <x v="0"/>
    <x v="11"/>
    <n v="50"/>
    <x v="7"/>
    <x v="4"/>
    <s v="SKU-TEX-8257"/>
    <x v="2"/>
    <x v="2"/>
    <x v="3"/>
    <s v="CIF"/>
    <n v="385"/>
    <s v="KG"/>
    <n v="68.180000000000007"/>
    <n v="26249.3"/>
    <n v="658.3"/>
    <n v="2.5078764005135375E-2"/>
    <n v="19"/>
    <d v="2024-12-30T00:00:00"/>
    <d v="2024-12-30T00:00:00"/>
    <n v="0"/>
    <x v="0"/>
    <b v="1"/>
    <n v="402"/>
    <n v="10"/>
    <x v="4"/>
    <x v="1"/>
  </r>
  <r>
    <s v="PED-01069"/>
    <d v="2024-05-22T00:00:00"/>
    <x v="0"/>
    <x v="5"/>
    <n v="21"/>
    <x v="2"/>
    <x v="6"/>
    <s v="SKU-CON-5049"/>
    <x v="5"/>
    <x v="0"/>
    <x v="1"/>
    <s v="CIF"/>
    <n v="813"/>
    <s v="KG"/>
    <n v="161.35"/>
    <n v="131177.54999999999"/>
    <n v="3562.3"/>
    <n v="2.7156323623973772E-2"/>
    <n v="19"/>
    <d v="2024-06-10T00:00:00"/>
    <d v="2024-06-10T00:00:00"/>
    <n v="0"/>
    <x v="0"/>
    <b v="1"/>
    <n v="427"/>
    <n v="256"/>
    <x v="1"/>
    <x v="1"/>
  </r>
  <r>
    <s v="PED-01070"/>
    <d v="2023-10-23T00:00:00"/>
    <x v="1"/>
    <x v="0"/>
    <n v="43"/>
    <x v="8"/>
    <x v="2"/>
    <s v="SKU-AUT-1549"/>
    <x v="0"/>
    <x v="2"/>
    <x v="1"/>
    <s v="DAP"/>
    <n v="990"/>
    <s v="KG"/>
    <n v="1002.65"/>
    <n v="992623.5"/>
    <n v="33228.019999999997"/>
    <n v="3.3474947953579574E-2"/>
    <n v="21"/>
    <d v="2023-11-13T00:00:00"/>
    <d v="2023-11-16T00:00:00"/>
    <n v="3"/>
    <x v="2"/>
    <b v="0"/>
    <n v="385"/>
    <n v="303"/>
    <x v="3"/>
    <x v="1"/>
  </r>
  <r>
    <s v="PED-01071"/>
    <d v="2024-11-09T00:00:00"/>
    <x v="0"/>
    <x v="6"/>
    <n v="45"/>
    <x v="6"/>
    <x v="0"/>
    <s v="SKU-MAQ-4263"/>
    <x v="4"/>
    <x v="2"/>
    <x v="4"/>
    <s v="DDP"/>
    <n v="529"/>
    <s v="Metros"/>
    <n v="2004.01"/>
    <n v="1060121.29"/>
    <n v="53018.65"/>
    <n v="5.0011871754787607E-2"/>
    <n v="5"/>
    <d v="2024-11-14T00:00:00"/>
    <d v="2024-11-17T00:00:00"/>
    <n v="3"/>
    <x v="1"/>
    <b v="0"/>
    <n v="441"/>
    <n v="368"/>
    <x v="0"/>
    <x v="0"/>
  </r>
  <r>
    <s v="PED-01072"/>
    <d v="2024-02-15T00:00:00"/>
    <x v="0"/>
    <x v="9"/>
    <n v="7"/>
    <x v="4"/>
    <x v="2"/>
    <s v="SKU-AUT-8550"/>
    <x v="2"/>
    <x v="0"/>
    <x v="1"/>
    <s v="CIF"/>
    <n v="846"/>
    <s v="KG"/>
    <n v="664.55"/>
    <n v="562209.30000000005"/>
    <n v="39594.47"/>
    <n v="7.042656533785549E-2"/>
    <n v="18"/>
    <d v="2024-03-04T00:00:00"/>
    <d v="2024-03-07T00:00:00"/>
    <n v="3"/>
    <x v="1"/>
    <b v="0"/>
    <n v="137"/>
    <n v="431"/>
    <x v="1"/>
    <x v="1"/>
  </r>
  <r>
    <s v="PED-01073"/>
    <d v="2024-07-17T00:00:00"/>
    <x v="0"/>
    <x v="7"/>
    <n v="29"/>
    <x v="9"/>
    <x v="6"/>
    <s v="SKU-CON-2539"/>
    <x v="2"/>
    <x v="4"/>
    <x v="4"/>
    <s v="DDP"/>
    <n v="99"/>
    <s v="Litros"/>
    <n v="156.69"/>
    <n v="15512.31"/>
    <n v="962.97"/>
    <n v="6.2077794989914468E-2"/>
    <n v="28"/>
    <d v="2024-08-14T00:00:00"/>
    <d v="2024-08-19T00:00:00"/>
    <n v="5"/>
    <x v="1"/>
    <b v="0"/>
    <n v="203"/>
    <n v="393"/>
    <x v="0"/>
    <x v="0"/>
  </r>
  <r>
    <s v="PED-01074"/>
    <d v="2023-02-07T00:00:00"/>
    <x v="1"/>
    <x v="9"/>
    <n v="6"/>
    <x v="1"/>
    <x v="5"/>
    <s v="SKU-ELE-9538"/>
    <x v="3"/>
    <x v="5"/>
    <x v="4"/>
    <s v="DAP"/>
    <n v="729"/>
    <s v="Metros"/>
    <n v="408.21"/>
    <n v="297585.09000000003"/>
    <n v="20040.099999999999"/>
    <n v="6.7342419608455509E-2"/>
    <n v="10"/>
    <d v="2023-02-17T00:00:00"/>
    <d v="2023-02-18T00:00:00"/>
    <n v="1"/>
    <x v="2"/>
    <b v="0"/>
    <n v="301"/>
    <n v="80"/>
    <x v="1"/>
    <x v="1"/>
  </r>
  <r>
    <s v="PED-01075"/>
    <d v="2024-04-10T00:00:00"/>
    <x v="0"/>
    <x v="1"/>
    <n v="15"/>
    <x v="3"/>
    <x v="5"/>
    <s v="SKU-ELE-4415"/>
    <x v="4"/>
    <x v="1"/>
    <x v="3"/>
    <s v="FCA"/>
    <n v="813"/>
    <s v="Palés"/>
    <n v="700.85"/>
    <n v="569791.05000000005"/>
    <n v="23394.79"/>
    <n v="4.1058542425332932E-2"/>
    <n v="29"/>
    <d v="2024-05-09T00:00:00"/>
    <d v="2024-05-06T00:00:00"/>
    <n v="-3"/>
    <x v="0"/>
    <b v="1"/>
    <n v="209"/>
    <n v="285"/>
    <x v="3"/>
    <x v="1"/>
  </r>
  <r>
    <s v="PED-01076"/>
    <d v="2023-04-01T00:00:00"/>
    <x v="1"/>
    <x v="1"/>
    <n v="13"/>
    <x v="2"/>
    <x v="1"/>
    <s v="SKU-FAR-8746"/>
    <x v="3"/>
    <x v="3"/>
    <x v="1"/>
    <s v="DAP"/>
    <n v="805"/>
    <s v="KG"/>
    <n v="224.51"/>
    <n v="180730.55"/>
    <n v="8002.61"/>
    <n v="4.4279232260400911E-2"/>
    <n v="22"/>
    <d v="2023-04-23T00:00:00"/>
    <d v="2023-04-28T00:00:00"/>
    <n v="5"/>
    <x v="1"/>
    <b v="0"/>
    <n v="18"/>
    <n v="418"/>
    <x v="0"/>
    <x v="0"/>
  </r>
  <r>
    <s v="PED-01077"/>
    <d v="2023-11-19T00:00:00"/>
    <x v="1"/>
    <x v="6"/>
    <n v="47"/>
    <x v="8"/>
    <x v="7"/>
    <s v="SKU-ALI-7375"/>
    <x v="0"/>
    <x v="5"/>
    <x v="3"/>
    <s v="FCA"/>
    <n v="639"/>
    <s v="Cajas"/>
    <n v="85.9"/>
    <n v="54890.1"/>
    <n v="2394.36"/>
    <n v="4.3620980832609166E-2"/>
    <n v="21"/>
    <d v="2023-12-10T00:00:00"/>
    <d v="2023-12-10T00:00:00"/>
    <n v="0"/>
    <x v="0"/>
    <b v="1"/>
    <n v="293"/>
    <n v="369"/>
    <x v="0"/>
    <x v="0"/>
  </r>
  <r>
    <s v="PED-01078"/>
    <d v="2023-09-16T00:00:00"/>
    <x v="1"/>
    <x v="3"/>
    <n v="37"/>
    <x v="7"/>
    <x v="2"/>
    <s v="SKU-AUT-6113"/>
    <x v="4"/>
    <x v="2"/>
    <x v="1"/>
    <s v="CIF"/>
    <n v="870"/>
    <s v="Unidades"/>
    <n v="628.29999999999995"/>
    <n v="546621"/>
    <n v="17225.330000000002"/>
    <n v="3.1512382436825519E-2"/>
    <n v="6"/>
    <d v="2023-09-22T00:00:00"/>
    <d v="2023-09-22T00:00:00"/>
    <n v="0"/>
    <x v="0"/>
    <b v="1"/>
    <n v="292"/>
    <n v="18"/>
    <x v="1"/>
    <x v="1"/>
  </r>
  <r>
    <s v="PED-01079"/>
    <d v="2023-11-28T00:00:00"/>
    <x v="1"/>
    <x v="6"/>
    <n v="48"/>
    <x v="0"/>
    <x v="4"/>
    <s v="SKU-TEX-6293"/>
    <x v="2"/>
    <x v="3"/>
    <x v="3"/>
    <s v="DDP"/>
    <n v="184"/>
    <s v="Unidades"/>
    <n v="73.180000000000007"/>
    <n v="13465.12"/>
    <n v="318.76"/>
    <n v="2.3673015910738261E-2"/>
    <n v="1"/>
    <d v="2023-11-29T00:00:00"/>
    <d v="2023-12-11T00:00:00"/>
    <n v="12"/>
    <x v="1"/>
    <b v="0"/>
    <n v="474"/>
    <n v="109"/>
    <x v="4"/>
    <x v="1"/>
  </r>
  <r>
    <s v="PED-01080"/>
    <d v="2023-04-29T00:00:00"/>
    <x v="1"/>
    <x v="1"/>
    <n v="17"/>
    <x v="4"/>
    <x v="6"/>
    <s v="SKU-CON-3598"/>
    <x v="3"/>
    <x v="0"/>
    <x v="3"/>
    <s v="DAP"/>
    <n v="85"/>
    <s v="Metros"/>
    <n v="278.88"/>
    <n v="23704.799999999999"/>
    <n v="1314.55"/>
    <n v="5.5455013330633456E-2"/>
    <n v="5"/>
    <d v="2023-05-04T00:00:00"/>
    <d v="2023-05-12T00:00:00"/>
    <n v="8"/>
    <x v="2"/>
    <b v="0"/>
    <n v="367"/>
    <n v="436"/>
    <x v="0"/>
    <x v="0"/>
  </r>
  <r>
    <s v="PED-01081"/>
    <d v="2024-02-18T00:00:00"/>
    <x v="0"/>
    <x v="9"/>
    <n v="8"/>
    <x v="8"/>
    <x v="6"/>
    <s v="SKU-CON-1691"/>
    <x v="5"/>
    <x v="5"/>
    <x v="3"/>
    <s v="CIF"/>
    <n v="622"/>
    <s v="Unidades"/>
    <n v="272.51"/>
    <n v="169501.22"/>
    <n v="13450.43"/>
    <n v="7.9352998167210836E-2"/>
    <n v="9"/>
    <d v="2024-02-27T00:00:00"/>
    <d v="2024-02-29T00:00:00"/>
    <n v="2"/>
    <x v="1"/>
    <b v="0"/>
    <n v="461"/>
    <n v="33"/>
    <x v="0"/>
    <x v="0"/>
  </r>
  <r>
    <s v="PED-01082"/>
    <d v="2024-06-10T00:00:00"/>
    <x v="0"/>
    <x v="10"/>
    <n v="24"/>
    <x v="1"/>
    <x v="6"/>
    <s v="SKU-CON-9534"/>
    <x v="4"/>
    <x v="4"/>
    <x v="0"/>
    <s v="FCA"/>
    <n v="935"/>
    <s v="Unidades"/>
    <n v="240.17"/>
    <n v="224558.95"/>
    <n v="6738.97"/>
    <n v="3.0009803661800165E-2"/>
    <n v="12"/>
    <d v="2024-06-22T00:00:00"/>
    <d v="2024-06-19T00:00:00"/>
    <n v="-3"/>
    <x v="0"/>
    <b v="1"/>
    <n v="300"/>
    <n v="287"/>
    <x v="0"/>
    <x v="0"/>
  </r>
  <r>
    <s v="PED-01083"/>
    <d v="2023-01-02T00:00:00"/>
    <x v="1"/>
    <x v="2"/>
    <n v="1"/>
    <x v="8"/>
    <x v="4"/>
    <s v="SKU-TEX-3001"/>
    <x v="2"/>
    <x v="1"/>
    <x v="3"/>
    <s v="DAP"/>
    <n v="672"/>
    <s v="Metros"/>
    <n v="45.61"/>
    <n v="30649.919999999998"/>
    <n v="698.85"/>
    <n v="2.2801038306135876E-2"/>
    <n v="26"/>
    <d v="2023-01-28T00:00:00"/>
    <d v="2023-01-28T00:00:00"/>
    <n v="0"/>
    <x v="0"/>
    <b v="1"/>
    <n v="372"/>
    <n v="331"/>
    <x v="3"/>
    <x v="1"/>
  </r>
  <r>
    <s v="PED-01084"/>
    <d v="2024-11-04T00:00:00"/>
    <x v="0"/>
    <x v="6"/>
    <n v="45"/>
    <x v="9"/>
    <x v="7"/>
    <s v="SKU-ALI-5150"/>
    <x v="1"/>
    <x v="5"/>
    <x v="2"/>
    <s v="FCA"/>
    <n v="409"/>
    <s v="Unidades"/>
    <n v="63.19"/>
    <n v="25844.71"/>
    <n v="1725.7"/>
    <n v="6.677188484606715E-2"/>
    <n v="14"/>
    <d v="2024-11-18T00:00:00"/>
    <d v="2024-11-18T00:00:00"/>
    <n v="0"/>
    <x v="0"/>
    <b v="1"/>
    <n v="161"/>
    <n v="490"/>
    <x v="4"/>
    <x v="1"/>
  </r>
  <r>
    <s v="PED-01085"/>
    <d v="2024-07-09T00:00:00"/>
    <x v="0"/>
    <x v="7"/>
    <n v="28"/>
    <x v="3"/>
    <x v="5"/>
    <s v="SKU-ELE-8884"/>
    <x v="4"/>
    <x v="5"/>
    <x v="2"/>
    <s v="FOB"/>
    <n v="791"/>
    <s v="KG"/>
    <n v="369.72"/>
    <n v="292448.52"/>
    <n v="10281.07"/>
    <n v="3.5155144570401656E-2"/>
    <n v="2"/>
    <d v="2024-07-11T00:00:00"/>
    <d v="2024-07-23T00:00:00"/>
    <n v="12"/>
    <x v="1"/>
    <b v="0"/>
    <n v="129"/>
    <n v="254"/>
    <x v="2"/>
    <x v="1"/>
  </r>
  <r>
    <s v="PED-01086"/>
    <d v="2024-04-18T00:00:00"/>
    <x v="0"/>
    <x v="1"/>
    <n v="16"/>
    <x v="7"/>
    <x v="1"/>
    <s v="SKU-FAR-5895"/>
    <x v="4"/>
    <x v="4"/>
    <x v="2"/>
    <s v="FCA"/>
    <n v="979"/>
    <s v="Palés"/>
    <n v="181.2"/>
    <n v="177394.8"/>
    <n v="12378.37"/>
    <n v="6.9778651910879022E-2"/>
    <n v="17"/>
    <d v="2024-05-05T00:00:00"/>
    <d v="2024-05-02T00:00:00"/>
    <n v="-3"/>
    <x v="0"/>
    <b v="1"/>
    <n v="43"/>
    <n v="125"/>
    <x v="0"/>
    <x v="0"/>
  </r>
  <r>
    <s v="PED-01087"/>
    <d v="2024-02-28T00:00:00"/>
    <x v="0"/>
    <x v="9"/>
    <n v="9"/>
    <x v="8"/>
    <x v="1"/>
    <s v="SKU-FAR-4255"/>
    <x v="0"/>
    <x v="3"/>
    <x v="4"/>
    <s v="FOB"/>
    <n v="80"/>
    <s v="Metros"/>
    <n v="161.71"/>
    <n v="12936.8"/>
    <n v="805.14"/>
    <n v="6.2236410858945025E-2"/>
    <n v="14"/>
    <d v="2024-03-13T00:00:00"/>
    <d v="2024-03-21T00:00:00"/>
    <n v="8"/>
    <x v="2"/>
    <b v="0"/>
    <n v="352"/>
    <n v="208"/>
    <x v="3"/>
    <x v="1"/>
  </r>
  <r>
    <s v="PED-01088"/>
    <d v="2023-02-25T00:00:00"/>
    <x v="1"/>
    <x v="9"/>
    <n v="8"/>
    <x v="4"/>
    <x v="4"/>
    <s v="SKU-TEX-6905"/>
    <x v="5"/>
    <x v="0"/>
    <x v="3"/>
    <s v="CIF"/>
    <n v="189"/>
    <s v="Cajas"/>
    <n v="54.48"/>
    <n v="10296.719999999999"/>
    <n v="790.17"/>
    <n v="7.6739971563760112E-2"/>
    <n v="26"/>
    <d v="2023-03-23T00:00:00"/>
    <d v="2023-03-28T00:00:00"/>
    <n v="5"/>
    <x v="1"/>
    <b v="0"/>
    <n v="82"/>
    <n v="133"/>
    <x v="0"/>
    <x v="0"/>
  </r>
  <r>
    <s v="PED-01089"/>
    <d v="2023-07-12T00:00:00"/>
    <x v="1"/>
    <x v="7"/>
    <n v="28"/>
    <x v="8"/>
    <x v="1"/>
    <s v="SKU-FAR-1853"/>
    <x v="0"/>
    <x v="4"/>
    <x v="2"/>
    <s v="DAP"/>
    <n v="133"/>
    <s v="Metros"/>
    <n v="201.61"/>
    <n v="26814.13"/>
    <n v="1194.18"/>
    <n v="4.4535474393538034E-2"/>
    <n v="13"/>
    <d v="2023-07-25T00:00:00"/>
    <d v="2023-07-20T00:00:00"/>
    <n v="-5"/>
    <x v="0"/>
    <b v="1"/>
    <n v="379"/>
    <n v="498"/>
    <x v="0"/>
    <x v="0"/>
  </r>
  <r>
    <s v="PED-01090"/>
    <d v="2024-06-14T00:00:00"/>
    <x v="0"/>
    <x v="10"/>
    <n v="24"/>
    <x v="0"/>
    <x v="6"/>
    <s v="SKU-CON-4568"/>
    <x v="4"/>
    <x v="0"/>
    <x v="4"/>
    <s v="CIF"/>
    <n v="390"/>
    <s v="Litros"/>
    <n v="290.88"/>
    <n v="113443.2"/>
    <n v="6774.62"/>
    <n v="5.971816732955347E-2"/>
    <n v="27"/>
    <d v="2024-07-11T00:00:00"/>
    <d v="2024-07-13T00:00:00"/>
    <n v="2"/>
    <x v="2"/>
    <b v="0"/>
    <n v="123"/>
    <n v="396"/>
    <x v="0"/>
    <x v="0"/>
  </r>
  <r>
    <s v="PED-01091"/>
    <d v="2024-01-06T00:00:00"/>
    <x v="0"/>
    <x v="2"/>
    <n v="1"/>
    <x v="2"/>
    <x v="3"/>
    <s v="SKU-QUÍ-2850"/>
    <x v="4"/>
    <x v="4"/>
    <x v="2"/>
    <s v="EXW"/>
    <n v="302"/>
    <s v="Cajas"/>
    <n v="142.6"/>
    <n v="43065.2"/>
    <n v="2062.4499999999998"/>
    <n v="4.7891336856673135E-2"/>
    <n v="9"/>
    <d v="2024-01-15T00:00:00"/>
    <d v="2024-01-12T00:00:00"/>
    <n v="-3"/>
    <x v="0"/>
    <b v="1"/>
    <n v="26"/>
    <n v="486"/>
    <x v="0"/>
    <x v="0"/>
  </r>
  <r>
    <s v="PED-01092"/>
    <d v="2024-09-29T00:00:00"/>
    <x v="0"/>
    <x v="3"/>
    <n v="40"/>
    <x v="9"/>
    <x v="7"/>
    <s v="SKU-ALI-4866"/>
    <x v="5"/>
    <x v="5"/>
    <x v="1"/>
    <s v="FCA"/>
    <n v="806"/>
    <s v="Litros"/>
    <n v="109.44"/>
    <n v="88208.639999999999"/>
    <n v="5101.58"/>
    <n v="5.7835377577525285E-2"/>
    <n v="26"/>
    <d v="2024-10-25T00:00:00"/>
    <d v="2024-10-26T00:00:00"/>
    <n v="1"/>
    <x v="1"/>
    <b v="0"/>
    <n v="303"/>
    <n v="85"/>
    <x v="4"/>
    <x v="1"/>
  </r>
  <r>
    <s v="PED-01093"/>
    <d v="2024-05-25T00:00:00"/>
    <x v="0"/>
    <x v="5"/>
    <n v="21"/>
    <x v="3"/>
    <x v="5"/>
    <s v="SKU-ELE-8113"/>
    <x v="5"/>
    <x v="0"/>
    <x v="0"/>
    <s v="CIF"/>
    <n v="204"/>
    <s v="Metros"/>
    <n v="634.14"/>
    <n v="129364.56"/>
    <n v="6077.02"/>
    <n v="4.6975926018687039E-2"/>
    <n v="25"/>
    <d v="2024-06-19T00:00:00"/>
    <d v="2024-06-22T00:00:00"/>
    <n v="3"/>
    <x v="1"/>
    <b v="0"/>
    <n v="349"/>
    <n v="74"/>
    <x v="1"/>
    <x v="1"/>
  </r>
  <r>
    <s v="PED-01094"/>
    <d v="2024-10-02T00:00:00"/>
    <x v="0"/>
    <x v="0"/>
    <n v="40"/>
    <x v="1"/>
    <x v="3"/>
    <s v="SKU-QUÍ-6316"/>
    <x v="3"/>
    <x v="3"/>
    <x v="3"/>
    <s v="CIF"/>
    <n v="920"/>
    <s v="Litros"/>
    <n v="94.8"/>
    <n v="87216"/>
    <n v="2731.43"/>
    <n v="3.1317992111539163E-2"/>
    <n v="15"/>
    <d v="2024-10-17T00:00:00"/>
    <d v="2024-10-20T00:00:00"/>
    <n v="3"/>
    <x v="2"/>
    <b v="0"/>
    <n v="6"/>
    <n v="447"/>
    <x v="0"/>
    <x v="0"/>
  </r>
  <r>
    <s v="PED-01095"/>
    <d v="2024-03-28T00:00:00"/>
    <x v="0"/>
    <x v="8"/>
    <n v="13"/>
    <x v="7"/>
    <x v="7"/>
    <s v="SKU-ALI-1246"/>
    <x v="2"/>
    <x v="3"/>
    <x v="0"/>
    <s v="FOB"/>
    <n v="237"/>
    <s v="Cajas"/>
    <n v="103.1"/>
    <n v="24434.7"/>
    <n v="1233.31"/>
    <n v="5.047371156592878E-2"/>
    <n v="25"/>
    <d v="2024-04-22T00:00:00"/>
    <d v="2024-04-24T00:00:00"/>
    <n v="2"/>
    <x v="2"/>
    <b v="0"/>
    <n v="410"/>
    <n v="134"/>
    <x v="4"/>
    <x v="1"/>
  </r>
  <r>
    <s v="PED-01096"/>
    <d v="2023-02-22T00:00:00"/>
    <x v="1"/>
    <x v="9"/>
    <n v="8"/>
    <x v="7"/>
    <x v="0"/>
    <s v="SKU-MAQ-3742"/>
    <x v="2"/>
    <x v="1"/>
    <x v="0"/>
    <s v="FCA"/>
    <n v="440"/>
    <s v="KG"/>
    <n v="1380.12"/>
    <n v="607252.80000000005"/>
    <n v="31404.11"/>
    <n v="5.171505178732811E-2"/>
    <n v="22"/>
    <d v="2023-03-16T00:00:00"/>
    <d v="2023-03-24T00:00:00"/>
    <n v="8"/>
    <x v="1"/>
    <b v="0"/>
    <n v="340"/>
    <n v="300"/>
    <x v="4"/>
    <x v="1"/>
  </r>
  <r>
    <s v="PED-01097"/>
    <d v="2023-07-28T00:00:00"/>
    <x v="1"/>
    <x v="7"/>
    <n v="30"/>
    <x v="2"/>
    <x v="2"/>
    <s v="SKU-AUT-5523"/>
    <x v="3"/>
    <x v="0"/>
    <x v="1"/>
    <s v="FOB"/>
    <n v="951"/>
    <s v="Metros"/>
    <n v="969.03"/>
    <n v="921547.53"/>
    <n v="63251.55"/>
    <n v="6.8636231926095012E-2"/>
    <n v="15"/>
    <d v="2023-08-12T00:00:00"/>
    <d v="2023-08-24T00:00:00"/>
    <n v="12"/>
    <x v="1"/>
    <b v="0"/>
    <n v="198"/>
    <n v="172"/>
    <x v="0"/>
    <x v="0"/>
  </r>
  <r>
    <s v="PED-01098"/>
    <d v="2023-10-01T00:00:00"/>
    <x v="1"/>
    <x v="0"/>
    <n v="40"/>
    <x v="5"/>
    <x v="4"/>
    <s v="SKU-TEX-2960"/>
    <x v="2"/>
    <x v="1"/>
    <x v="1"/>
    <s v="DAP"/>
    <n v="445"/>
    <s v="Metros"/>
    <n v="58.37"/>
    <n v="25974.65"/>
    <n v="1665.79"/>
    <n v="6.4131374243733788E-2"/>
    <n v="24"/>
    <d v="2023-10-25T00:00:00"/>
    <d v="2023-10-30T00:00:00"/>
    <n v="5"/>
    <x v="2"/>
    <b v="0"/>
    <n v="111"/>
    <n v="212"/>
    <x v="2"/>
    <x v="1"/>
  </r>
  <r>
    <s v="PED-01099"/>
    <d v="2024-07-16T00:00:00"/>
    <x v="0"/>
    <x v="7"/>
    <n v="29"/>
    <x v="5"/>
    <x v="6"/>
    <s v="SKU-CON-7484"/>
    <x v="4"/>
    <x v="4"/>
    <x v="1"/>
    <s v="CIF"/>
    <n v="796"/>
    <s v="Unidades"/>
    <n v="299.63"/>
    <n v="238505.48"/>
    <n v="14269.19"/>
    <n v="5.9827514235731606E-2"/>
    <n v="11"/>
    <d v="2024-07-27T00:00:00"/>
    <d v="2024-07-30T00:00:00"/>
    <n v="3"/>
    <x v="2"/>
    <b v="0"/>
    <n v="88"/>
    <n v="320"/>
    <x v="2"/>
    <x v="1"/>
  </r>
  <r>
    <s v="PED-01100"/>
    <d v="2023-05-15T00:00:00"/>
    <x v="1"/>
    <x v="5"/>
    <n v="20"/>
    <x v="1"/>
    <x v="1"/>
    <s v="SKU-FAR-4982"/>
    <x v="3"/>
    <x v="2"/>
    <x v="4"/>
    <s v="FCA"/>
    <n v="470"/>
    <s v="Metros"/>
    <n v="182.17"/>
    <n v="85619.9"/>
    <n v="2294.89"/>
    <n v="2.6803231491744326E-2"/>
    <n v="16"/>
    <d v="2023-05-31T00:00:00"/>
    <d v="2023-05-28T00:00:00"/>
    <n v="-3"/>
    <x v="0"/>
    <b v="1"/>
    <n v="127"/>
    <n v="349"/>
    <x v="0"/>
    <x v="0"/>
  </r>
  <r>
    <s v="PED-01101"/>
    <d v="2023-10-22T00:00:00"/>
    <x v="1"/>
    <x v="0"/>
    <n v="43"/>
    <x v="8"/>
    <x v="0"/>
    <s v="SKU-MAQ-1146"/>
    <x v="3"/>
    <x v="3"/>
    <x v="2"/>
    <s v="CIF"/>
    <n v="627"/>
    <s v="Metros"/>
    <n v="1384.96"/>
    <n v="868369.92000000004"/>
    <n v="54913.09"/>
    <n v="6.3236978544811862E-2"/>
    <n v="29"/>
    <d v="2023-11-20T00:00:00"/>
    <d v="2023-11-20T00:00:00"/>
    <n v="0"/>
    <x v="0"/>
    <b v="1"/>
    <n v="229"/>
    <n v="18"/>
    <x v="0"/>
    <x v="0"/>
  </r>
  <r>
    <s v="PED-01102"/>
    <d v="2024-03-24T00:00:00"/>
    <x v="0"/>
    <x v="8"/>
    <n v="13"/>
    <x v="0"/>
    <x v="1"/>
    <s v="SKU-FAR-1688"/>
    <x v="2"/>
    <x v="5"/>
    <x v="3"/>
    <s v="DAP"/>
    <n v="30"/>
    <s v="KG"/>
    <n v="288.91000000000003"/>
    <n v="8667.2999999999993"/>
    <n v="433.52"/>
    <n v="5.0017883308527453E-2"/>
    <n v="17"/>
    <d v="2024-04-10T00:00:00"/>
    <d v="2024-04-10T00:00:00"/>
    <n v="0"/>
    <x v="0"/>
    <b v="1"/>
    <n v="17"/>
    <n v="498"/>
    <x v="0"/>
    <x v="0"/>
  </r>
  <r>
    <s v="PED-01103"/>
    <d v="2024-12-16T00:00:00"/>
    <x v="0"/>
    <x v="11"/>
    <n v="51"/>
    <x v="7"/>
    <x v="3"/>
    <s v="SKU-QUÍ-8786"/>
    <x v="1"/>
    <x v="3"/>
    <x v="1"/>
    <s v="DDP"/>
    <n v="73"/>
    <s v="Unidades"/>
    <n v="86.37"/>
    <n v="6305.01"/>
    <n v="464.34"/>
    <n v="7.3646195644416101E-2"/>
    <n v="26"/>
    <d v="2025-01-11T00:00:00"/>
    <d v="2025-01-11T00:00:00"/>
    <n v="0"/>
    <x v="0"/>
    <b v="1"/>
    <n v="288"/>
    <n v="118"/>
    <x v="0"/>
    <x v="0"/>
  </r>
  <r>
    <s v="PED-01104"/>
    <d v="2024-05-11T00:00:00"/>
    <x v="0"/>
    <x v="5"/>
    <n v="19"/>
    <x v="8"/>
    <x v="5"/>
    <s v="SKU-ELE-3539"/>
    <x v="2"/>
    <x v="2"/>
    <x v="3"/>
    <s v="DAP"/>
    <n v="174"/>
    <s v="Palés"/>
    <n v="628.67999999999995"/>
    <n v="109390.32"/>
    <n v="8225.2999999999993"/>
    <n v="7.5192210791594716E-2"/>
    <n v="4"/>
    <d v="2024-05-15T00:00:00"/>
    <d v="2024-05-15T00:00:00"/>
    <n v="0"/>
    <x v="0"/>
    <b v="1"/>
    <n v="160"/>
    <n v="302"/>
    <x v="4"/>
    <x v="1"/>
  </r>
  <r>
    <s v="PED-01105"/>
    <d v="2023-05-05T00:00:00"/>
    <x v="1"/>
    <x v="5"/>
    <n v="18"/>
    <x v="7"/>
    <x v="5"/>
    <s v="SKU-ELE-7084"/>
    <x v="0"/>
    <x v="5"/>
    <x v="3"/>
    <s v="FOB"/>
    <n v="36"/>
    <s v="Litros"/>
    <n v="640.13"/>
    <n v="23044.68"/>
    <n v="537.16"/>
    <n v="2.3309501368645603E-2"/>
    <n v="1"/>
    <d v="2023-05-06T00:00:00"/>
    <d v="2023-05-18T00:00:00"/>
    <n v="12"/>
    <x v="1"/>
    <b v="0"/>
    <n v="351"/>
    <n v="301"/>
    <x v="2"/>
    <x v="1"/>
  </r>
  <r>
    <s v="PED-01106"/>
    <d v="2023-01-30T00:00:00"/>
    <x v="1"/>
    <x v="2"/>
    <n v="5"/>
    <x v="7"/>
    <x v="5"/>
    <s v="SKU-ELE-2466"/>
    <x v="1"/>
    <x v="0"/>
    <x v="3"/>
    <s v="FOB"/>
    <n v="320"/>
    <s v="Cajas"/>
    <n v="684.55"/>
    <n v="219056"/>
    <n v="15167.11"/>
    <n v="6.9238505222408889E-2"/>
    <n v="8"/>
    <d v="2023-02-07T00:00:00"/>
    <d v="2023-02-06T00:00:00"/>
    <n v="-1"/>
    <x v="0"/>
    <b v="1"/>
    <n v="377"/>
    <n v="284"/>
    <x v="3"/>
    <x v="1"/>
  </r>
  <r>
    <s v="PED-01107"/>
    <d v="2024-10-07T00:00:00"/>
    <x v="0"/>
    <x v="0"/>
    <n v="41"/>
    <x v="8"/>
    <x v="6"/>
    <s v="SKU-CON-5075"/>
    <x v="3"/>
    <x v="0"/>
    <x v="1"/>
    <s v="CIF"/>
    <n v="294"/>
    <s v="Palés"/>
    <n v="295.91000000000003"/>
    <n v="86997.54"/>
    <n v="1936.73"/>
    <n v="2.2261893842055767E-2"/>
    <n v="17"/>
    <d v="2024-10-24T00:00:00"/>
    <d v="2024-10-19T00:00:00"/>
    <n v="-5"/>
    <x v="0"/>
    <b v="1"/>
    <n v="280"/>
    <n v="226"/>
    <x v="1"/>
    <x v="1"/>
  </r>
  <r>
    <s v="PED-01108"/>
    <d v="2024-09-15T00:00:00"/>
    <x v="0"/>
    <x v="3"/>
    <n v="38"/>
    <x v="2"/>
    <x v="1"/>
    <s v="SKU-FAR-3583"/>
    <x v="1"/>
    <x v="3"/>
    <x v="1"/>
    <s v="FOB"/>
    <n v="669"/>
    <s v="Unidades"/>
    <n v="296.10000000000002"/>
    <n v="198090.9"/>
    <n v="8325.7999999999993"/>
    <n v="4.2030199267104142E-2"/>
    <n v="3"/>
    <d v="2024-09-18T00:00:00"/>
    <d v="2024-09-20T00:00:00"/>
    <n v="2"/>
    <x v="2"/>
    <b v="0"/>
    <n v="397"/>
    <n v="211"/>
    <x v="1"/>
    <x v="1"/>
  </r>
  <r>
    <s v="PED-01109"/>
    <d v="2023-09-03T00:00:00"/>
    <x v="1"/>
    <x v="3"/>
    <n v="36"/>
    <x v="5"/>
    <x v="0"/>
    <s v="SKU-MAQ-9190"/>
    <x v="4"/>
    <x v="5"/>
    <x v="2"/>
    <s v="FCA"/>
    <n v="290"/>
    <s v="KG"/>
    <n v="1128.33"/>
    <n v="327215.7"/>
    <n v="17191.259999999998"/>
    <n v="5.2538004747327213E-2"/>
    <n v="29"/>
    <d v="2023-10-02T00:00:00"/>
    <d v="2023-10-02T00:00:00"/>
    <n v="0"/>
    <x v="0"/>
    <b v="1"/>
    <n v="421"/>
    <n v="355"/>
    <x v="0"/>
    <x v="0"/>
  </r>
  <r>
    <s v="PED-01110"/>
    <d v="2024-12-27T00:00:00"/>
    <x v="0"/>
    <x v="11"/>
    <n v="52"/>
    <x v="6"/>
    <x v="5"/>
    <s v="SKU-ELE-2497"/>
    <x v="5"/>
    <x v="4"/>
    <x v="1"/>
    <s v="DAP"/>
    <n v="847"/>
    <s v="Cajas"/>
    <n v="678.74"/>
    <n v="574892.78"/>
    <n v="16606.38"/>
    <n v="2.8886047238234579E-2"/>
    <n v="20"/>
    <d v="2025-01-16T00:00:00"/>
    <d v="2025-01-15T00:00:00"/>
    <n v="-1"/>
    <x v="0"/>
    <b v="1"/>
    <n v="165"/>
    <n v="188"/>
    <x v="4"/>
    <x v="1"/>
  </r>
  <r>
    <s v="PED-01111"/>
    <d v="2023-06-12T00:00:00"/>
    <x v="1"/>
    <x v="10"/>
    <n v="24"/>
    <x v="4"/>
    <x v="0"/>
    <s v="SKU-MAQ-6544"/>
    <x v="1"/>
    <x v="5"/>
    <x v="1"/>
    <s v="CIF"/>
    <n v="840"/>
    <s v="Litros"/>
    <n v="1825.57"/>
    <n v="1533478.8"/>
    <n v="96548.6302"/>
    <n v="6.2960524918896824E-2"/>
    <n v="15"/>
    <d v="2023-06-27T00:00:00"/>
    <d v="2023-07-02T00:00:00"/>
    <n v="5"/>
    <x v="1"/>
    <b v="0"/>
    <n v="259"/>
    <n v="486"/>
    <x v="3"/>
    <x v="1"/>
  </r>
  <r>
    <s v="PED-01112"/>
    <d v="2023-11-15T00:00:00"/>
    <x v="1"/>
    <x v="6"/>
    <n v="46"/>
    <x v="2"/>
    <x v="1"/>
    <s v="SKU-FAR-1983"/>
    <x v="0"/>
    <x v="1"/>
    <x v="3"/>
    <s v="DAP"/>
    <n v="173"/>
    <s v="Metros"/>
    <n v="243.57"/>
    <n v="42137.61"/>
    <n v="863.88"/>
    <n v="2.0501400055674728E-2"/>
    <n v="15"/>
    <d v="2023-11-30T00:00:00"/>
    <d v="2023-12-01T00:00:00"/>
    <n v="1"/>
    <x v="1"/>
    <b v="0"/>
    <n v="363"/>
    <n v="320"/>
    <x v="0"/>
    <x v="0"/>
  </r>
  <r>
    <s v="PED-01113"/>
    <d v="2024-07-18T00:00:00"/>
    <x v="0"/>
    <x v="7"/>
    <n v="29"/>
    <x v="9"/>
    <x v="6"/>
    <s v="SKU-CON-1979"/>
    <x v="5"/>
    <x v="2"/>
    <x v="2"/>
    <s v="DAP"/>
    <n v="907"/>
    <s v="Metros"/>
    <n v="160.54"/>
    <n v="145609.78"/>
    <n v="4385.18"/>
    <n v="3.0115971605753408E-2"/>
    <n v="24"/>
    <d v="2024-08-11T00:00:00"/>
    <d v="2024-08-12T00:00:00"/>
    <n v="1"/>
    <x v="1"/>
    <b v="0"/>
    <n v="189"/>
    <n v="150"/>
    <x v="3"/>
    <x v="1"/>
  </r>
  <r>
    <s v="PED-01114"/>
    <d v="2023-01-15T00:00:00"/>
    <x v="1"/>
    <x v="2"/>
    <n v="3"/>
    <x v="0"/>
    <x v="3"/>
    <s v="SKU-QUÍ-6824"/>
    <x v="4"/>
    <x v="0"/>
    <x v="0"/>
    <s v="CIF"/>
    <n v="927"/>
    <s v="Palés"/>
    <n v="146.41999999999999"/>
    <n v="135731.34"/>
    <n v="7444.57"/>
    <n v="5.4847833963769903E-2"/>
    <n v="22"/>
    <d v="2023-02-06T00:00:00"/>
    <d v="2023-02-01T00:00:00"/>
    <n v="-5"/>
    <x v="0"/>
    <b v="1"/>
    <n v="337"/>
    <n v="222"/>
    <x v="0"/>
    <x v="0"/>
  </r>
  <r>
    <s v="PED-01115"/>
    <d v="2024-07-19T00:00:00"/>
    <x v="0"/>
    <x v="7"/>
    <n v="29"/>
    <x v="0"/>
    <x v="6"/>
    <s v="SKU-CON-3521"/>
    <x v="0"/>
    <x v="3"/>
    <x v="1"/>
    <s v="DDP"/>
    <n v="233"/>
    <s v="Litros"/>
    <n v="297.2"/>
    <n v="69247.600000000006"/>
    <n v="4353.13"/>
    <n v="6.2863261687047631E-2"/>
    <n v="14"/>
    <d v="2024-08-02T00:00:00"/>
    <d v="2024-08-14T00:00:00"/>
    <n v="12"/>
    <x v="2"/>
    <b v="0"/>
    <n v="265"/>
    <n v="127"/>
    <x v="4"/>
    <x v="1"/>
  </r>
  <r>
    <s v="PED-01116"/>
    <d v="2024-02-22T00:00:00"/>
    <x v="0"/>
    <x v="9"/>
    <n v="8"/>
    <x v="4"/>
    <x v="0"/>
    <s v="SKU-MAQ-9787"/>
    <x v="5"/>
    <x v="5"/>
    <x v="1"/>
    <s v="FOB"/>
    <n v="793"/>
    <s v="Unidades"/>
    <n v="2144.1799999999998"/>
    <n v="1639255.3774000001"/>
    <n v="96548.6302"/>
    <n v="5.8897857851248549E-2"/>
    <n v="26"/>
    <d v="2024-03-19T00:00:00"/>
    <d v="2024-03-22T00:00:00"/>
    <n v="3"/>
    <x v="2"/>
    <b v="0"/>
    <n v="290"/>
    <n v="247"/>
    <x v="4"/>
    <x v="1"/>
  </r>
  <r>
    <s v="PED-01117"/>
    <d v="2023-04-06T00:00:00"/>
    <x v="1"/>
    <x v="1"/>
    <n v="14"/>
    <x v="0"/>
    <x v="6"/>
    <s v="SKU-CON-2759"/>
    <x v="4"/>
    <x v="0"/>
    <x v="0"/>
    <s v="EXW"/>
    <n v="155"/>
    <s v="Litros"/>
    <n v="210.26"/>
    <n v="32590.3"/>
    <n v="2031.35"/>
    <n v="6.2329895705163806E-2"/>
    <n v="28"/>
    <d v="2023-05-04T00:00:00"/>
    <d v="2023-05-01T00:00:00"/>
    <n v="-3"/>
    <x v="0"/>
    <b v="1"/>
    <n v="354"/>
    <n v="50"/>
    <x v="4"/>
    <x v="1"/>
  </r>
  <r>
    <s v="PED-01118"/>
    <d v="2023-08-19T00:00:00"/>
    <x v="1"/>
    <x v="4"/>
    <n v="33"/>
    <x v="8"/>
    <x v="6"/>
    <s v="SKU-CON-3061"/>
    <x v="5"/>
    <x v="3"/>
    <x v="3"/>
    <s v="EXW"/>
    <n v="974"/>
    <s v="KG"/>
    <n v="146.38999999999999"/>
    <n v="142583.85999999999"/>
    <n v="8598.77"/>
    <n v="6.0306755617360909E-2"/>
    <n v="23"/>
    <d v="2023-09-11T00:00:00"/>
    <d v="2023-09-11T00:00:00"/>
    <n v="0"/>
    <x v="0"/>
    <b v="1"/>
    <n v="359"/>
    <n v="190"/>
    <x v="0"/>
    <x v="0"/>
  </r>
  <r>
    <s v="PED-01119"/>
    <d v="2023-04-27T00:00:00"/>
    <x v="1"/>
    <x v="1"/>
    <n v="17"/>
    <x v="0"/>
    <x v="3"/>
    <s v="SKU-QUÍ-8992"/>
    <x v="5"/>
    <x v="0"/>
    <x v="2"/>
    <s v="EXW"/>
    <n v="959"/>
    <s v="Palés"/>
    <n v="118.78"/>
    <n v="113910.02"/>
    <n v="4973.3599999999997"/>
    <n v="4.3660426009933098E-2"/>
    <n v="14"/>
    <d v="2023-05-11T00:00:00"/>
    <d v="2023-05-11T00:00:00"/>
    <n v="0"/>
    <x v="0"/>
    <b v="1"/>
    <n v="278"/>
    <n v="482"/>
    <x v="1"/>
    <x v="1"/>
  </r>
  <r>
    <s v="PED-01120"/>
    <d v="2024-04-17T00:00:00"/>
    <x v="0"/>
    <x v="1"/>
    <n v="16"/>
    <x v="6"/>
    <x v="1"/>
    <s v="SKU-FAR-4812"/>
    <x v="2"/>
    <x v="3"/>
    <x v="3"/>
    <s v="FOB"/>
    <n v="877"/>
    <s v="Palés"/>
    <n v="272.22000000000003"/>
    <n v="238736.94"/>
    <n v="4793.1400000000003"/>
    <n v="2.0077077305254896E-2"/>
    <n v="24"/>
    <d v="2024-05-11T00:00:00"/>
    <d v="2024-05-13T00:00:00"/>
    <n v="2"/>
    <x v="1"/>
    <b v="0"/>
    <n v="216"/>
    <n v="499"/>
    <x v="0"/>
    <x v="0"/>
  </r>
  <r>
    <s v="PED-01121"/>
    <d v="2023-05-01T00:00:00"/>
    <x v="1"/>
    <x v="5"/>
    <n v="18"/>
    <x v="0"/>
    <x v="1"/>
    <s v="SKU-FAR-6189"/>
    <x v="0"/>
    <x v="0"/>
    <x v="4"/>
    <s v="DDP"/>
    <n v="39"/>
    <s v="KG"/>
    <n v="252.24"/>
    <n v="9837.36"/>
    <n v="267.67"/>
    <n v="2.7209535891743315E-2"/>
    <n v="2"/>
    <d v="2023-05-03T00:00:00"/>
    <d v="2023-05-05T00:00:00"/>
    <n v="2"/>
    <x v="1"/>
    <b v="0"/>
    <n v="320"/>
    <n v="494"/>
    <x v="3"/>
    <x v="1"/>
  </r>
  <r>
    <s v="PED-01122"/>
    <d v="2024-10-25T00:00:00"/>
    <x v="0"/>
    <x v="0"/>
    <n v="43"/>
    <x v="7"/>
    <x v="4"/>
    <s v="SKU-TEX-6690"/>
    <x v="0"/>
    <x v="4"/>
    <x v="1"/>
    <s v="DAP"/>
    <n v="54"/>
    <s v="Litros"/>
    <n v="64.05"/>
    <n v="3458.7"/>
    <n v="180.11"/>
    <n v="5.2074478850435139E-2"/>
    <n v="13"/>
    <d v="2024-11-07T00:00:00"/>
    <d v="2024-11-08T00:00:00"/>
    <n v="1"/>
    <x v="1"/>
    <b v="0"/>
    <n v="337"/>
    <n v="236"/>
    <x v="0"/>
    <x v="0"/>
  </r>
  <r>
    <s v="PED-01123"/>
    <d v="2023-06-07T00:00:00"/>
    <x v="1"/>
    <x v="10"/>
    <n v="23"/>
    <x v="2"/>
    <x v="6"/>
    <s v="SKU-CON-8187"/>
    <x v="1"/>
    <x v="1"/>
    <x v="4"/>
    <s v="CIF"/>
    <n v="796"/>
    <s v="KG"/>
    <n v="148.82"/>
    <n v="118460.72"/>
    <n v="7167.8"/>
    <n v="6.0507820651436194E-2"/>
    <n v="26"/>
    <d v="2023-07-03T00:00:00"/>
    <d v="2023-07-04T00:00:00"/>
    <n v="1"/>
    <x v="2"/>
    <b v="0"/>
    <n v="206"/>
    <n v="21"/>
    <x v="1"/>
    <x v="1"/>
  </r>
  <r>
    <s v="PED-01124"/>
    <d v="2024-05-25T00:00:00"/>
    <x v="0"/>
    <x v="5"/>
    <n v="21"/>
    <x v="8"/>
    <x v="1"/>
    <s v="SKU-FAR-4161"/>
    <x v="0"/>
    <x v="2"/>
    <x v="1"/>
    <s v="DDP"/>
    <n v="480"/>
    <s v="Cajas"/>
    <n v="208.3"/>
    <n v="99984"/>
    <n v="4503.97"/>
    <n v="4.5046907505200837E-2"/>
    <n v="14"/>
    <d v="2024-06-08T00:00:00"/>
    <d v="2024-06-20T00:00:00"/>
    <n v="12"/>
    <x v="2"/>
    <b v="0"/>
    <n v="152"/>
    <n v="109"/>
    <x v="2"/>
    <x v="1"/>
  </r>
  <r>
    <s v="PED-01125"/>
    <d v="2023-10-26T00:00:00"/>
    <x v="1"/>
    <x v="0"/>
    <n v="43"/>
    <x v="5"/>
    <x v="1"/>
    <s v="SKU-FAR-1349"/>
    <x v="0"/>
    <x v="0"/>
    <x v="4"/>
    <s v="EXW"/>
    <n v="43"/>
    <s v="KG"/>
    <n v="215.04"/>
    <n v="9246.7199999999993"/>
    <n v="590.32000000000005"/>
    <n v="6.3841016057585839E-2"/>
    <n v="27"/>
    <d v="2023-11-22T00:00:00"/>
    <d v="2023-11-30T00:00:00"/>
    <n v="8"/>
    <x v="2"/>
    <b v="0"/>
    <n v="479"/>
    <n v="326"/>
    <x v="3"/>
    <x v="1"/>
  </r>
  <r>
    <s v="PED-01126"/>
    <d v="2024-06-05T00:00:00"/>
    <x v="0"/>
    <x v="10"/>
    <n v="23"/>
    <x v="0"/>
    <x v="7"/>
    <s v="SKU-ALI-7189"/>
    <x v="5"/>
    <x v="2"/>
    <x v="0"/>
    <s v="FCA"/>
    <n v="662"/>
    <s v="Litros"/>
    <n v="115.43"/>
    <n v="76414.66"/>
    <n v="3920.97"/>
    <n v="5.131175091271753E-2"/>
    <n v="24"/>
    <d v="2024-06-29T00:00:00"/>
    <d v="2024-06-29T00:00:00"/>
    <n v="0"/>
    <x v="0"/>
    <b v="1"/>
    <n v="180"/>
    <n v="32"/>
    <x v="0"/>
    <x v="0"/>
  </r>
  <r>
    <s v="PED-01127"/>
    <d v="2024-12-23T00:00:00"/>
    <x v="0"/>
    <x v="11"/>
    <n v="52"/>
    <x v="1"/>
    <x v="5"/>
    <s v="SKU-ELE-6868"/>
    <x v="3"/>
    <x v="0"/>
    <x v="1"/>
    <s v="FOB"/>
    <n v="436"/>
    <s v="KG"/>
    <n v="606.42999999999995"/>
    <n v="264403.48"/>
    <n v="6464.82"/>
    <n v="2.445058590000404E-2"/>
    <n v="19"/>
    <d v="2025-01-11T00:00:00"/>
    <d v="2025-01-11T00:00:00"/>
    <n v="0"/>
    <x v="0"/>
    <b v="1"/>
    <n v="211"/>
    <n v="126"/>
    <x v="3"/>
    <x v="1"/>
  </r>
  <r>
    <s v="PED-01128"/>
    <d v="2023-10-07T00:00:00"/>
    <x v="1"/>
    <x v="0"/>
    <n v="40"/>
    <x v="1"/>
    <x v="4"/>
    <s v="SKU-TEX-3207"/>
    <x v="2"/>
    <x v="5"/>
    <x v="1"/>
    <s v="FOB"/>
    <n v="839"/>
    <s v="Unidades"/>
    <n v="56.96"/>
    <n v="47789.440000000002"/>
    <n v="1506.37"/>
    <n v="3.1520980367210828E-2"/>
    <n v="7"/>
    <d v="2023-10-14T00:00:00"/>
    <d v="2023-10-22T00:00:00"/>
    <n v="8"/>
    <x v="1"/>
    <b v="0"/>
    <n v="272"/>
    <n v="364"/>
    <x v="0"/>
    <x v="0"/>
  </r>
  <r>
    <s v="PED-01129"/>
    <d v="2024-03-01T00:00:00"/>
    <x v="0"/>
    <x v="8"/>
    <n v="9"/>
    <x v="1"/>
    <x v="2"/>
    <s v="SKU-AUT-5107"/>
    <x v="1"/>
    <x v="1"/>
    <x v="4"/>
    <s v="CIF"/>
    <n v="895"/>
    <s v="Metros"/>
    <n v="896.2"/>
    <n v="802099"/>
    <n v="56467.68"/>
    <n v="7.0399888293091004E-2"/>
    <n v="3"/>
    <d v="2024-03-04T00:00:00"/>
    <d v="2024-03-07T00:00:00"/>
    <n v="3"/>
    <x v="2"/>
    <b v="0"/>
    <n v="440"/>
    <n v="355"/>
    <x v="0"/>
    <x v="0"/>
  </r>
  <r>
    <s v="PED-01130"/>
    <d v="2024-05-09T00:00:00"/>
    <x v="0"/>
    <x v="5"/>
    <n v="19"/>
    <x v="0"/>
    <x v="4"/>
    <s v="SKU-TEX-1646"/>
    <x v="2"/>
    <x v="4"/>
    <x v="2"/>
    <s v="FCA"/>
    <n v="230"/>
    <s v="KG"/>
    <n v="45.17"/>
    <n v="10389.1"/>
    <n v="659.65"/>
    <n v="6.3494431663955492E-2"/>
    <n v="15"/>
    <d v="2024-05-24T00:00:00"/>
    <d v="2024-05-24T00:00:00"/>
    <n v="0"/>
    <x v="0"/>
    <b v="1"/>
    <n v="202"/>
    <n v="43"/>
    <x v="0"/>
    <x v="0"/>
  </r>
  <r>
    <s v="PED-01131"/>
    <d v="2024-04-28T00:00:00"/>
    <x v="0"/>
    <x v="1"/>
    <n v="18"/>
    <x v="9"/>
    <x v="4"/>
    <s v="SKU-TEX-8951"/>
    <x v="1"/>
    <x v="1"/>
    <x v="4"/>
    <s v="DAP"/>
    <n v="877"/>
    <s v="Metros"/>
    <n v="88.68"/>
    <n v="77772.36"/>
    <n v="5730.71"/>
    <n v="7.368568987748346E-2"/>
    <n v="23"/>
    <d v="2024-05-21T00:00:00"/>
    <d v="2024-06-02T00:00:00"/>
    <n v="12"/>
    <x v="2"/>
    <b v="0"/>
    <n v="204"/>
    <n v="6"/>
    <x v="0"/>
    <x v="0"/>
  </r>
  <r>
    <s v="PED-01132"/>
    <d v="2023-09-07T00:00:00"/>
    <x v="1"/>
    <x v="3"/>
    <n v="36"/>
    <x v="7"/>
    <x v="2"/>
    <s v="SKU-AUT-8168"/>
    <x v="4"/>
    <x v="2"/>
    <x v="1"/>
    <s v="DDP"/>
    <n v="543"/>
    <s v="KG"/>
    <n v="790.44"/>
    <n v="429208.92"/>
    <n v="11611.58"/>
    <n v="2.7053445207988688E-2"/>
    <n v="14"/>
    <d v="2023-09-21T00:00:00"/>
    <d v="2023-09-18T00:00:00"/>
    <n v="-3"/>
    <x v="0"/>
    <b v="1"/>
    <n v="472"/>
    <n v="127"/>
    <x v="0"/>
    <x v="0"/>
  </r>
  <r>
    <s v="PED-01133"/>
    <d v="2024-04-12T00:00:00"/>
    <x v="0"/>
    <x v="1"/>
    <n v="15"/>
    <x v="3"/>
    <x v="7"/>
    <s v="SKU-ALI-5828"/>
    <x v="5"/>
    <x v="5"/>
    <x v="1"/>
    <s v="FCA"/>
    <n v="701"/>
    <s v="Litros"/>
    <n v="86.58"/>
    <n v="60692.58"/>
    <n v="4819.8"/>
    <n v="7.9413331909765572E-2"/>
    <n v="11"/>
    <d v="2024-04-23T00:00:00"/>
    <d v="2024-04-20T00:00:00"/>
    <n v="-3"/>
    <x v="0"/>
    <b v="1"/>
    <n v="403"/>
    <n v="90"/>
    <x v="0"/>
    <x v="0"/>
  </r>
  <r>
    <s v="PED-01134"/>
    <d v="2024-07-18T00:00:00"/>
    <x v="0"/>
    <x v="7"/>
    <n v="29"/>
    <x v="0"/>
    <x v="6"/>
    <s v="SKU-CON-9892"/>
    <x v="0"/>
    <x v="3"/>
    <x v="2"/>
    <s v="DDP"/>
    <n v="957"/>
    <s v="Cajas"/>
    <n v="196.85"/>
    <n v="188385.45"/>
    <n v="6134.66"/>
    <n v="3.256440452274844E-2"/>
    <n v="15"/>
    <d v="2024-08-02T00:00:00"/>
    <d v="2024-08-02T00:00:00"/>
    <n v="0"/>
    <x v="2"/>
    <b v="0"/>
    <n v="383"/>
    <n v="129"/>
    <x v="3"/>
    <x v="1"/>
  </r>
  <r>
    <s v="PED-01135"/>
    <d v="2023-05-29T00:00:00"/>
    <x v="1"/>
    <x v="5"/>
    <n v="22"/>
    <x v="9"/>
    <x v="3"/>
    <s v="SKU-QUÍ-9029"/>
    <x v="0"/>
    <x v="1"/>
    <x v="3"/>
    <s v="DDP"/>
    <n v="376"/>
    <s v="Cajas"/>
    <n v="149.52000000000001"/>
    <n v="56219.519999999997"/>
    <n v="1164.1300000000001"/>
    <n v="2.0706864804253045E-2"/>
    <n v="28"/>
    <d v="2023-06-26T00:00:00"/>
    <d v="2023-06-26T00:00:00"/>
    <n v="0"/>
    <x v="0"/>
    <b v="1"/>
    <n v="152"/>
    <n v="16"/>
    <x v="2"/>
    <x v="1"/>
  </r>
  <r>
    <s v="PED-01136"/>
    <d v="2024-01-28T00:00:00"/>
    <x v="0"/>
    <x v="2"/>
    <n v="5"/>
    <x v="3"/>
    <x v="1"/>
    <s v="SKU-FAR-4109"/>
    <x v="3"/>
    <x v="4"/>
    <x v="2"/>
    <s v="DAP"/>
    <n v="941"/>
    <s v="Metros"/>
    <n v="245.96"/>
    <n v="231448.36"/>
    <n v="18480.080000000002"/>
    <n v="7.9845370258834425E-2"/>
    <n v="13"/>
    <d v="2024-02-10T00:00:00"/>
    <d v="2024-02-18T00:00:00"/>
    <n v="8"/>
    <x v="2"/>
    <b v="0"/>
    <n v="169"/>
    <n v="320"/>
    <x v="4"/>
    <x v="1"/>
  </r>
  <r>
    <s v="PED-01137"/>
    <d v="2023-07-15T00:00:00"/>
    <x v="1"/>
    <x v="7"/>
    <n v="28"/>
    <x v="4"/>
    <x v="5"/>
    <s v="SKU-ELE-4057"/>
    <x v="2"/>
    <x v="5"/>
    <x v="3"/>
    <s v="DAP"/>
    <n v="850"/>
    <s v="Litros"/>
    <n v="636.13"/>
    <n v="540710.5"/>
    <n v="19932.990000000002"/>
    <n v="3.6864440398327758E-2"/>
    <n v="18"/>
    <d v="2023-08-02T00:00:00"/>
    <d v="2023-07-30T00:00:00"/>
    <n v="-3"/>
    <x v="0"/>
    <b v="1"/>
    <n v="428"/>
    <n v="185"/>
    <x v="0"/>
    <x v="0"/>
  </r>
  <r>
    <s v="PED-01138"/>
    <d v="2024-09-05T00:00:00"/>
    <x v="0"/>
    <x v="3"/>
    <n v="36"/>
    <x v="6"/>
    <x v="0"/>
    <s v="SKU-MAQ-9906"/>
    <x v="2"/>
    <x v="5"/>
    <x v="1"/>
    <s v="DAP"/>
    <n v="752"/>
    <s v="Litros"/>
    <n v="1371.77"/>
    <n v="1031571.04"/>
    <n v="61977.99"/>
    <n v="6.0081165132359664E-2"/>
    <n v="26"/>
    <d v="2024-10-01T00:00:00"/>
    <d v="2024-09-30T00:00:00"/>
    <n v="-1"/>
    <x v="0"/>
    <b v="1"/>
    <n v="240"/>
    <n v="109"/>
    <x v="0"/>
    <x v="0"/>
  </r>
  <r>
    <s v="PED-01139"/>
    <d v="2024-06-04T00:00:00"/>
    <x v="0"/>
    <x v="10"/>
    <n v="23"/>
    <x v="7"/>
    <x v="6"/>
    <s v="SKU-CON-6696"/>
    <x v="2"/>
    <x v="2"/>
    <x v="0"/>
    <s v="CIF"/>
    <n v="924"/>
    <s v="Litros"/>
    <n v="190.51"/>
    <n v="176031.24"/>
    <n v="5386.72"/>
    <n v="3.0600931970938799E-2"/>
    <n v="6"/>
    <d v="2024-06-10T00:00:00"/>
    <d v="2024-06-11T00:00:00"/>
    <n v="1"/>
    <x v="2"/>
    <b v="0"/>
    <n v="286"/>
    <n v="285"/>
    <x v="1"/>
    <x v="1"/>
  </r>
  <r>
    <s v="PED-01140"/>
    <d v="2023-05-20T00:00:00"/>
    <x v="1"/>
    <x v="5"/>
    <n v="20"/>
    <x v="0"/>
    <x v="2"/>
    <s v="SKU-AUT-6303"/>
    <x v="0"/>
    <x v="4"/>
    <x v="0"/>
    <s v="FOB"/>
    <n v="559"/>
    <s v="Unidades"/>
    <n v="640.16"/>
    <n v="357849.44"/>
    <n v="19615.060000000001"/>
    <n v="5.4813722776819215E-2"/>
    <n v="3"/>
    <d v="2023-05-23T00:00:00"/>
    <d v="2023-05-25T00:00:00"/>
    <n v="2"/>
    <x v="1"/>
    <b v="0"/>
    <n v="244"/>
    <n v="469"/>
    <x v="3"/>
    <x v="1"/>
  </r>
  <r>
    <s v="PED-01141"/>
    <d v="2023-03-13T00:00:00"/>
    <x v="1"/>
    <x v="8"/>
    <n v="11"/>
    <x v="2"/>
    <x v="3"/>
    <s v="SKU-QUÍ-8674"/>
    <x v="2"/>
    <x v="5"/>
    <x v="4"/>
    <s v="EXW"/>
    <n v="591"/>
    <s v="Palés"/>
    <n v="146.93"/>
    <n v="86835.63"/>
    <n v="6446.86"/>
    <n v="7.4242105458323951E-2"/>
    <n v="19"/>
    <d v="2023-04-01T00:00:00"/>
    <d v="2023-04-13T00:00:00"/>
    <n v="12"/>
    <x v="2"/>
    <b v="0"/>
    <n v="320"/>
    <n v="347"/>
    <x v="1"/>
    <x v="1"/>
  </r>
  <r>
    <s v="PED-01142"/>
    <d v="2023-10-10T00:00:00"/>
    <x v="1"/>
    <x v="0"/>
    <n v="41"/>
    <x v="8"/>
    <x v="6"/>
    <s v="SKU-CON-5510"/>
    <x v="5"/>
    <x v="5"/>
    <x v="2"/>
    <s v="DAP"/>
    <n v="125"/>
    <s v="KG"/>
    <n v="146.37"/>
    <n v="18296.25"/>
    <n v="717.41"/>
    <n v="3.9210767233722757E-2"/>
    <n v="15"/>
    <d v="2023-10-25T00:00:00"/>
    <d v="2023-10-25T00:00:00"/>
    <n v="0"/>
    <x v="0"/>
    <b v="1"/>
    <n v="435"/>
    <n v="480"/>
    <x v="3"/>
    <x v="1"/>
  </r>
  <r>
    <s v="PED-01143"/>
    <d v="2024-02-29T00:00:00"/>
    <x v="0"/>
    <x v="9"/>
    <n v="9"/>
    <x v="2"/>
    <x v="2"/>
    <s v="SKU-AUT-3627"/>
    <x v="1"/>
    <x v="3"/>
    <x v="2"/>
    <s v="FOB"/>
    <n v="248"/>
    <s v="Litros"/>
    <n v="942.52"/>
    <n v="233744.96"/>
    <n v="14075.01"/>
    <n v="6.0215244854905113E-2"/>
    <n v="25"/>
    <d v="2024-03-25T00:00:00"/>
    <d v="2024-04-02T00:00:00"/>
    <n v="8"/>
    <x v="1"/>
    <b v="0"/>
    <n v="79"/>
    <n v="409"/>
    <x v="2"/>
    <x v="1"/>
  </r>
  <r>
    <s v="PED-01144"/>
    <d v="2023-12-15T00:00:00"/>
    <x v="1"/>
    <x v="11"/>
    <n v="50"/>
    <x v="2"/>
    <x v="1"/>
    <s v="SKU-FAR-2128"/>
    <x v="0"/>
    <x v="2"/>
    <x v="0"/>
    <s v="DAP"/>
    <n v="344"/>
    <s v="Litros"/>
    <n v="279.14999999999998"/>
    <n v="96027.6"/>
    <n v="3003.19"/>
    <n v="3.1274237823292465E-2"/>
    <n v="23"/>
    <d v="2024-01-07T00:00:00"/>
    <d v="2024-01-07T00:00:00"/>
    <n v="0"/>
    <x v="0"/>
    <b v="1"/>
    <n v="495"/>
    <n v="162"/>
    <x v="3"/>
    <x v="1"/>
  </r>
  <r>
    <s v="PED-01145"/>
    <d v="2024-06-03T00:00:00"/>
    <x v="0"/>
    <x v="10"/>
    <n v="23"/>
    <x v="4"/>
    <x v="7"/>
    <s v="SKU-ALI-9702"/>
    <x v="5"/>
    <x v="2"/>
    <x v="3"/>
    <s v="EXW"/>
    <n v="450"/>
    <s v="Litros"/>
    <n v="113.01"/>
    <n v="50854.5"/>
    <n v="2923.51"/>
    <n v="5.7487734615422434E-2"/>
    <n v="5"/>
    <d v="2024-06-08T00:00:00"/>
    <d v="2024-06-03T00:00:00"/>
    <n v="-5"/>
    <x v="0"/>
    <b v="1"/>
    <n v="91"/>
    <n v="446"/>
    <x v="0"/>
    <x v="0"/>
  </r>
  <r>
    <s v="PED-01146"/>
    <d v="2023-10-01T00:00:00"/>
    <x v="1"/>
    <x v="0"/>
    <n v="40"/>
    <x v="8"/>
    <x v="6"/>
    <s v="SKU-CON-3539"/>
    <x v="4"/>
    <x v="4"/>
    <x v="2"/>
    <s v="FCA"/>
    <n v="157"/>
    <s v="Cajas"/>
    <n v="211.85"/>
    <n v="33260.449999999997"/>
    <n v="1336.64"/>
    <n v="4.0187069026426291E-2"/>
    <n v="28"/>
    <d v="2023-10-29T00:00:00"/>
    <d v="2023-10-31T00:00:00"/>
    <n v="2"/>
    <x v="1"/>
    <b v="0"/>
    <n v="148"/>
    <n v="74"/>
    <x v="0"/>
    <x v="0"/>
  </r>
  <r>
    <s v="PED-01147"/>
    <d v="2023-01-03T00:00:00"/>
    <x v="1"/>
    <x v="2"/>
    <n v="1"/>
    <x v="4"/>
    <x v="2"/>
    <s v="SKU-AUT-8362"/>
    <x v="5"/>
    <x v="5"/>
    <x v="3"/>
    <s v="DAP"/>
    <n v="18"/>
    <s v="Litros"/>
    <n v="853.95"/>
    <n v="15371.1"/>
    <n v="502.21"/>
    <n v="3.2672352661813404E-2"/>
    <n v="10"/>
    <d v="2023-01-13T00:00:00"/>
    <d v="2023-01-12T00:00:00"/>
    <n v="-1"/>
    <x v="0"/>
    <b v="1"/>
    <n v="29"/>
    <n v="198"/>
    <x v="2"/>
    <x v="1"/>
  </r>
  <r>
    <s v="PED-01148"/>
    <d v="2023-10-17T00:00:00"/>
    <x v="1"/>
    <x v="0"/>
    <n v="42"/>
    <x v="3"/>
    <x v="1"/>
    <s v="SKU-FAR-5844"/>
    <x v="5"/>
    <x v="3"/>
    <x v="3"/>
    <s v="FOB"/>
    <n v="297"/>
    <s v="KG"/>
    <n v="152.32"/>
    <n v="45239.040000000001"/>
    <n v="1754.86"/>
    <n v="3.8790831989361396E-2"/>
    <n v="7"/>
    <d v="2023-10-24T00:00:00"/>
    <d v="2023-10-24T00:00:00"/>
    <n v="0"/>
    <x v="0"/>
    <b v="1"/>
    <n v="122"/>
    <n v="411"/>
    <x v="1"/>
    <x v="1"/>
  </r>
  <r>
    <s v="PED-01149"/>
    <d v="2023-11-02T00:00:00"/>
    <x v="1"/>
    <x v="6"/>
    <n v="44"/>
    <x v="4"/>
    <x v="1"/>
    <s v="SKU-FAR-5314"/>
    <x v="4"/>
    <x v="0"/>
    <x v="3"/>
    <s v="CIF"/>
    <n v="397"/>
    <s v="Litros"/>
    <n v="247.32"/>
    <n v="98186.04"/>
    <n v="3017.3"/>
    <n v="3.0730437850431693E-2"/>
    <n v="25"/>
    <d v="2023-11-27T00:00:00"/>
    <d v="2023-11-26T00:00:00"/>
    <n v="-1"/>
    <x v="0"/>
    <b v="1"/>
    <n v="386"/>
    <n v="408"/>
    <x v="3"/>
    <x v="1"/>
  </r>
  <r>
    <s v="PED-01150"/>
    <d v="2024-08-24T00:00:00"/>
    <x v="0"/>
    <x v="4"/>
    <n v="34"/>
    <x v="1"/>
    <x v="7"/>
    <s v="SKU-ALI-9873"/>
    <x v="5"/>
    <x v="1"/>
    <x v="3"/>
    <s v="FCA"/>
    <n v="59"/>
    <s v="KG"/>
    <n v="108.56"/>
    <n v="6405.04"/>
    <n v="474.71"/>
    <n v="7.4115071880893793E-2"/>
    <n v="17"/>
    <d v="2024-09-10T00:00:00"/>
    <d v="2024-09-11T00:00:00"/>
    <n v="1"/>
    <x v="2"/>
    <b v="0"/>
    <n v="481"/>
    <n v="444"/>
    <x v="1"/>
    <x v="1"/>
  </r>
  <r>
    <s v="PED-01151"/>
    <d v="2024-08-16T00:00:00"/>
    <x v="0"/>
    <x v="4"/>
    <n v="33"/>
    <x v="6"/>
    <x v="4"/>
    <s v="SKU-TEX-7014"/>
    <x v="1"/>
    <x v="2"/>
    <x v="4"/>
    <s v="FCA"/>
    <n v="859"/>
    <s v="Unidades"/>
    <n v="53.74"/>
    <n v="46162.66"/>
    <n v="2023.37"/>
    <n v="4.38313130135915E-2"/>
    <n v="7"/>
    <d v="2024-08-23T00:00:00"/>
    <d v="2024-08-24T00:00:00"/>
    <n v="1"/>
    <x v="1"/>
    <b v="0"/>
    <n v="325"/>
    <n v="360"/>
    <x v="3"/>
    <x v="1"/>
  </r>
  <r>
    <s v="PED-01152"/>
    <d v="2024-11-06T00:00:00"/>
    <x v="0"/>
    <x v="6"/>
    <n v="45"/>
    <x v="1"/>
    <x v="6"/>
    <s v="SKU-CON-8439"/>
    <x v="0"/>
    <x v="3"/>
    <x v="4"/>
    <s v="FCA"/>
    <n v="526"/>
    <s v="Palés"/>
    <n v="207.41"/>
    <n v="109097.66"/>
    <n v="3787.52"/>
    <n v="3.4716784942958448E-2"/>
    <n v="22"/>
    <d v="2024-11-28T00:00:00"/>
    <d v="2024-12-10T00:00:00"/>
    <n v="12"/>
    <x v="1"/>
    <b v="0"/>
    <n v="426"/>
    <n v="286"/>
    <x v="0"/>
    <x v="0"/>
  </r>
  <r>
    <s v="PED-01153"/>
    <d v="2024-05-16T00:00:00"/>
    <x v="0"/>
    <x v="5"/>
    <n v="20"/>
    <x v="0"/>
    <x v="6"/>
    <s v="SKU-CON-1011"/>
    <x v="3"/>
    <x v="4"/>
    <x v="0"/>
    <s v="EXW"/>
    <n v="925"/>
    <s v="Cajas"/>
    <n v="274.20999999999998"/>
    <n v="253644.25"/>
    <n v="11897.05"/>
    <n v="4.6904473489937183E-2"/>
    <n v="26"/>
    <d v="2024-06-11T00:00:00"/>
    <d v="2024-06-14T00:00:00"/>
    <n v="3"/>
    <x v="2"/>
    <b v="0"/>
    <n v="28"/>
    <n v="181"/>
    <x v="2"/>
    <x v="1"/>
  </r>
  <r>
    <s v="PED-01154"/>
    <d v="2023-06-02T00:00:00"/>
    <x v="1"/>
    <x v="10"/>
    <n v="22"/>
    <x v="3"/>
    <x v="4"/>
    <s v="SKU-TEX-9289"/>
    <x v="4"/>
    <x v="3"/>
    <x v="4"/>
    <s v="FOB"/>
    <n v="864"/>
    <s v="KG"/>
    <n v="84.1"/>
    <n v="72662.399999999994"/>
    <n v="2850.7"/>
    <n v="3.9232120051085569E-2"/>
    <n v="12"/>
    <d v="2023-06-14T00:00:00"/>
    <d v="2023-06-14T00:00:00"/>
    <n v="0"/>
    <x v="0"/>
    <b v="1"/>
    <n v="258"/>
    <n v="450"/>
    <x v="4"/>
    <x v="1"/>
  </r>
  <r>
    <s v="PED-01155"/>
    <d v="2024-04-02T00:00:00"/>
    <x v="0"/>
    <x v="1"/>
    <n v="14"/>
    <x v="9"/>
    <x v="5"/>
    <s v="SKU-ELE-7210"/>
    <x v="0"/>
    <x v="5"/>
    <x v="2"/>
    <s v="DDP"/>
    <n v="647"/>
    <s v="Metros"/>
    <n v="447.27"/>
    <n v="289383.69"/>
    <n v="18713.04"/>
    <n v="6.4665150962723572E-2"/>
    <n v="25"/>
    <d v="2024-04-27T00:00:00"/>
    <d v="2024-04-29T00:00:00"/>
    <n v="2"/>
    <x v="1"/>
    <b v="0"/>
    <n v="185"/>
    <n v="96"/>
    <x v="4"/>
    <x v="1"/>
  </r>
  <r>
    <s v="PED-01156"/>
    <d v="2024-07-05T00:00:00"/>
    <x v="0"/>
    <x v="7"/>
    <n v="27"/>
    <x v="3"/>
    <x v="5"/>
    <s v="SKU-ELE-4039"/>
    <x v="2"/>
    <x v="1"/>
    <x v="4"/>
    <s v="DDP"/>
    <n v="596"/>
    <s v="Unidades"/>
    <n v="570.23"/>
    <n v="339857.08"/>
    <n v="26601.7"/>
    <n v="7.8273196486005239E-2"/>
    <n v="17"/>
    <d v="2024-07-22T00:00:00"/>
    <d v="2024-07-27T00:00:00"/>
    <n v="5"/>
    <x v="2"/>
    <b v="0"/>
    <n v="416"/>
    <n v="50"/>
    <x v="0"/>
    <x v="0"/>
  </r>
  <r>
    <s v="PED-01157"/>
    <d v="2024-05-10T00:00:00"/>
    <x v="0"/>
    <x v="5"/>
    <n v="19"/>
    <x v="9"/>
    <x v="4"/>
    <s v="SKU-TEX-1306"/>
    <x v="1"/>
    <x v="2"/>
    <x v="2"/>
    <s v="DDP"/>
    <n v="686"/>
    <s v="Palés"/>
    <n v="51.24"/>
    <n v="35150.639999999999"/>
    <n v="1626.84"/>
    <n v="4.6281945364294932E-2"/>
    <n v="13"/>
    <d v="2024-05-23T00:00:00"/>
    <d v="2024-05-28T00:00:00"/>
    <n v="5"/>
    <x v="2"/>
    <b v="0"/>
    <n v="74"/>
    <n v="313"/>
    <x v="0"/>
    <x v="0"/>
  </r>
  <r>
    <s v="PED-01158"/>
    <d v="2023-12-20T00:00:00"/>
    <x v="1"/>
    <x v="11"/>
    <n v="51"/>
    <x v="6"/>
    <x v="3"/>
    <s v="SKU-QUÍ-6965"/>
    <x v="3"/>
    <x v="0"/>
    <x v="2"/>
    <s v="CIF"/>
    <n v="287"/>
    <s v="Palés"/>
    <n v="93.78"/>
    <n v="26914.86"/>
    <n v="1928.77"/>
    <n v="7.1661899783242416E-2"/>
    <n v="20"/>
    <d v="2024-01-09T00:00:00"/>
    <d v="2024-01-11T00:00:00"/>
    <n v="2"/>
    <x v="1"/>
    <b v="0"/>
    <n v="44"/>
    <n v="33"/>
    <x v="0"/>
    <x v="0"/>
  </r>
  <r>
    <s v="PED-01159"/>
    <d v="2023-12-07T00:00:00"/>
    <x v="1"/>
    <x v="11"/>
    <n v="49"/>
    <x v="4"/>
    <x v="0"/>
    <s v="SKU-MAQ-4912"/>
    <x v="1"/>
    <x v="5"/>
    <x v="3"/>
    <s v="DAP"/>
    <n v="963"/>
    <s v="Palés"/>
    <n v="2143.34"/>
    <n v="1639255.3774000001"/>
    <n v="96548.6302"/>
    <n v="5.8897857851248549E-2"/>
    <n v="25"/>
    <d v="2024-01-01T00:00:00"/>
    <d v="2023-12-27T00:00:00"/>
    <n v="-5"/>
    <x v="0"/>
    <b v="1"/>
    <n v="68"/>
    <n v="442"/>
    <x v="0"/>
    <x v="0"/>
  </r>
  <r>
    <s v="PED-01160"/>
    <d v="2024-07-19T00:00:00"/>
    <x v="0"/>
    <x v="7"/>
    <n v="29"/>
    <x v="4"/>
    <x v="1"/>
    <s v="SKU-FAR-6254"/>
    <x v="1"/>
    <x v="2"/>
    <x v="0"/>
    <s v="DAP"/>
    <n v="845"/>
    <s v="KG"/>
    <n v="271.27999999999997"/>
    <n v="229231.6"/>
    <n v="6747.23"/>
    <n v="2.9434118158229491E-2"/>
    <n v="4"/>
    <d v="2024-07-23T00:00:00"/>
    <d v="2024-08-04T00:00:00"/>
    <n v="12"/>
    <x v="1"/>
    <b v="0"/>
    <n v="497"/>
    <n v="20"/>
    <x v="3"/>
    <x v="1"/>
  </r>
  <r>
    <s v="PED-01161"/>
    <d v="2024-07-10T00:00:00"/>
    <x v="0"/>
    <x v="7"/>
    <n v="28"/>
    <x v="8"/>
    <x v="0"/>
    <s v="SKU-MAQ-2037"/>
    <x v="2"/>
    <x v="4"/>
    <x v="3"/>
    <s v="DAP"/>
    <n v="998"/>
    <s v="Unidades"/>
    <n v="1962.04"/>
    <n v="1639255.3774000001"/>
    <n v="96548.6302"/>
    <n v="5.8897857851248549E-2"/>
    <n v="10"/>
    <d v="2024-07-20T00:00:00"/>
    <d v="2024-07-20T00:00:00"/>
    <n v="0"/>
    <x v="2"/>
    <b v="0"/>
    <n v="415"/>
    <n v="183"/>
    <x v="2"/>
    <x v="1"/>
  </r>
  <r>
    <s v="PED-01162"/>
    <d v="2024-01-22T00:00:00"/>
    <x v="0"/>
    <x v="2"/>
    <n v="4"/>
    <x v="0"/>
    <x v="1"/>
    <s v="SKU-FAR-9830"/>
    <x v="3"/>
    <x v="2"/>
    <x v="3"/>
    <s v="CIF"/>
    <n v="309"/>
    <s v="Litros"/>
    <n v="147.80000000000001"/>
    <n v="45670.2"/>
    <n v="2320.3200000000002"/>
    <n v="5.0805996032423778E-2"/>
    <n v="3"/>
    <d v="2024-01-25T00:00:00"/>
    <d v="2024-01-24T00:00:00"/>
    <n v="-1"/>
    <x v="0"/>
    <b v="1"/>
    <n v="366"/>
    <n v="292"/>
    <x v="4"/>
    <x v="1"/>
  </r>
  <r>
    <s v="PED-01163"/>
    <d v="2024-04-11T00:00:00"/>
    <x v="0"/>
    <x v="1"/>
    <n v="15"/>
    <x v="2"/>
    <x v="4"/>
    <s v="SKU-TEX-7348"/>
    <x v="1"/>
    <x v="3"/>
    <x v="4"/>
    <s v="DDP"/>
    <n v="811"/>
    <s v="Metros"/>
    <n v="82.5"/>
    <n v="66907.5"/>
    <n v="3949.98"/>
    <n v="5.90364308933976E-2"/>
    <n v="9"/>
    <d v="2024-04-20T00:00:00"/>
    <d v="2024-04-15T00:00:00"/>
    <n v="-5"/>
    <x v="0"/>
    <b v="1"/>
    <n v="209"/>
    <n v="63"/>
    <x v="0"/>
    <x v="0"/>
  </r>
  <r>
    <s v="PED-01164"/>
    <d v="2023-11-26T00:00:00"/>
    <x v="1"/>
    <x v="6"/>
    <n v="48"/>
    <x v="5"/>
    <x v="5"/>
    <s v="SKU-ELE-4110"/>
    <x v="2"/>
    <x v="1"/>
    <x v="4"/>
    <s v="FCA"/>
    <n v="598"/>
    <s v="Unidades"/>
    <n v="525.22"/>
    <n v="314081.56"/>
    <n v="23047.7"/>
    <n v="7.3381258040109074E-2"/>
    <n v="13"/>
    <d v="2023-12-09T00:00:00"/>
    <d v="2023-12-09T00:00:00"/>
    <n v="0"/>
    <x v="0"/>
    <b v="1"/>
    <n v="238"/>
    <n v="496"/>
    <x v="0"/>
    <x v="0"/>
  </r>
  <r>
    <s v="PED-01165"/>
    <d v="2023-07-13T00:00:00"/>
    <x v="1"/>
    <x v="7"/>
    <n v="28"/>
    <x v="3"/>
    <x v="3"/>
    <s v="SKU-QUÍ-9586"/>
    <x v="4"/>
    <x v="0"/>
    <x v="2"/>
    <s v="DAP"/>
    <n v="819"/>
    <s v="Unidades"/>
    <n v="116.87"/>
    <n v="95716.53"/>
    <n v="4443.74"/>
    <n v="4.642604574152448E-2"/>
    <n v="18"/>
    <d v="2023-07-31T00:00:00"/>
    <d v="2023-08-02T00:00:00"/>
    <n v="2"/>
    <x v="1"/>
    <b v="0"/>
    <n v="339"/>
    <n v="402"/>
    <x v="4"/>
    <x v="1"/>
  </r>
  <r>
    <s v="PED-01166"/>
    <d v="2024-12-15T00:00:00"/>
    <x v="0"/>
    <x v="11"/>
    <n v="51"/>
    <x v="3"/>
    <x v="5"/>
    <s v="SKU-ELE-9151"/>
    <x v="2"/>
    <x v="1"/>
    <x v="4"/>
    <s v="FCA"/>
    <n v="658"/>
    <s v="Unidades"/>
    <n v="568.59"/>
    <n v="374132.22"/>
    <n v="27712.22"/>
    <n v="7.4070658763364466E-2"/>
    <n v="15"/>
    <d v="2024-12-30T00:00:00"/>
    <d v="2024-12-29T00:00:00"/>
    <n v="-1"/>
    <x v="0"/>
    <b v="1"/>
    <n v="307"/>
    <n v="123"/>
    <x v="2"/>
    <x v="1"/>
  </r>
  <r>
    <s v="PED-01167"/>
    <d v="2023-09-02T00:00:00"/>
    <x v="1"/>
    <x v="3"/>
    <n v="35"/>
    <x v="0"/>
    <x v="0"/>
    <s v="SKU-MAQ-3525"/>
    <x v="5"/>
    <x v="3"/>
    <x v="4"/>
    <s v="FCA"/>
    <n v="627"/>
    <s v="KG"/>
    <n v="1159.6199999999999"/>
    <n v="727081.74"/>
    <n v="47289.5"/>
    <n v="6.5040142529229239E-2"/>
    <n v="4"/>
    <d v="2023-09-06T00:00:00"/>
    <d v="2023-09-11T00:00:00"/>
    <n v="5"/>
    <x v="2"/>
    <b v="0"/>
    <n v="191"/>
    <n v="100"/>
    <x v="3"/>
    <x v="1"/>
  </r>
  <r>
    <s v="PED-01168"/>
    <d v="2024-08-08T00:00:00"/>
    <x v="0"/>
    <x v="4"/>
    <n v="32"/>
    <x v="1"/>
    <x v="5"/>
    <s v="SKU-ELE-5638"/>
    <x v="0"/>
    <x v="0"/>
    <x v="1"/>
    <s v="CIF"/>
    <n v="616"/>
    <s v="Metros"/>
    <n v="652.66"/>
    <n v="402038.56"/>
    <n v="19827.05"/>
    <n v="4.9316289462383908E-2"/>
    <n v="15"/>
    <d v="2024-08-23T00:00:00"/>
    <d v="2024-08-20T00:00:00"/>
    <n v="-3"/>
    <x v="0"/>
    <b v="1"/>
    <n v="371"/>
    <n v="118"/>
    <x v="0"/>
    <x v="0"/>
  </r>
  <r>
    <s v="PED-01169"/>
    <d v="2024-01-28T00:00:00"/>
    <x v="0"/>
    <x v="2"/>
    <n v="5"/>
    <x v="7"/>
    <x v="4"/>
    <s v="SKU-TEX-6285"/>
    <x v="2"/>
    <x v="0"/>
    <x v="2"/>
    <s v="CIF"/>
    <n v="144"/>
    <s v="KG"/>
    <n v="69.959999999999994"/>
    <n v="10074.24"/>
    <n v="566.11"/>
    <n v="5.619381710183597E-2"/>
    <n v="22"/>
    <d v="2024-02-19T00:00:00"/>
    <d v="2024-02-27T00:00:00"/>
    <n v="8"/>
    <x v="1"/>
    <b v="0"/>
    <n v="102"/>
    <n v="340"/>
    <x v="0"/>
    <x v="0"/>
  </r>
  <r>
    <s v="PED-01170"/>
    <d v="2023-08-28T00:00:00"/>
    <x v="1"/>
    <x v="4"/>
    <n v="35"/>
    <x v="0"/>
    <x v="3"/>
    <s v="SKU-QUÍ-7714"/>
    <x v="2"/>
    <x v="5"/>
    <x v="2"/>
    <s v="FOB"/>
    <n v="589"/>
    <s v="Metros"/>
    <n v="101.91"/>
    <n v="60024.99"/>
    <n v="2373.08"/>
    <n v="3.9534867061202343E-2"/>
    <n v="2"/>
    <d v="2023-08-30T00:00:00"/>
    <d v="2023-09-02T00:00:00"/>
    <n v="3"/>
    <x v="1"/>
    <b v="0"/>
    <n v="240"/>
    <n v="77"/>
    <x v="3"/>
    <x v="1"/>
  </r>
  <r>
    <s v="PED-01171"/>
    <d v="2024-02-25T00:00:00"/>
    <x v="0"/>
    <x v="9"/>
    <n v="9"/>
    <x v="5"/>
    <x v="0"/>
    <s v="SKU-MAQ-6276"/>
    <x v="2"/>
    <x v="0"/>
    <x v="1"/>
    <s v="DAP"/>
    <n v="156"/>
    <s v="Metros"/>
    <n v="1275.8800000000001"/>
    <n v="199037.28"/>
    <n v="15727.1"/>
    <n v="7.9015850698924348E-2"/>
    <n v="15"/>
    <d v="2024-03-11T00:00:00"/>
    <d v="2024-03-16T00:00:00"/>
    <n v="5"/>
    <x v="1"/>
    <b v="0"/>
    <n v="252"/>
    <n v="457"/>
    <x v="1"/>
    <x v="1"/>
  </r>
  <r>
    <s v="PED-01172"/>
    <d v="2023-02-14T00:00:00"/>
    <x v="1"/>
    <x v="9"/>
    <n v="7"/>
    <x v="4"/>
    <x v="3"/>
    <s v="SKU-QUÍ-2809"/>
    <x v="1"/>
    <x v="2"/>
    <x v="2"/>
    <s v="DDP"/>
    <n v="499"/>
    <s v="KG"/>
    <n v="101.69"/>
    <n v="50743.31"/>
    <n v="3046.68"/>
    <n v="6.0041018215011989E-2"/>
    <n v="8"/>
    <d v="2023-02-22T00:00:00"/>
    <d v="2023-02-22T00:00:00"/>
    <n v="0"/>
    <x v="0"/>
    <b v="1"/>
    <n v="423"/>
    <n v="180"/>
    <x v="0"/>
    <x v="0"/>
  </r>
  <r>
    <s v="PED-01173"/>
    <d v="2023-11-22T00:00:00"/>
    <x v="1"/>
    <x v="6"/>
    <n v="47"/>
    <x v="9"/>
    <x v="6"/>
    <s v="SKU-CON-2577"/>
    <x v="3"/>
    <x v="1"/>
    <x v="0"/>
    <s v="EXW"/>
    <n v="487"/>
    <s v="Metros"/>
    <n v="149.12"/>
    <n v="72621.440000000002"/>
    <n v="1643.48"/>
    <n v="2.2630782314423951E-2"/>
    <n v="8"/>
    <d v="2023-11-30T00:00:00"/>
    <d v="2023-12-01T00:00:00"/>
    <n v="1"/>
    <x v="2"/>
    <b v="0"/>
    <n v="219"/>
    <n v="198"/>
    <x v="3"/>
    <x v="1"/>
  </r>
  <r>
    <s v="PED-01174"/>
    <d v="2024-04-29T00:00:00"/>
    <x v="0"/>
    <x v="1"/>
    <n v="18"/>
    <x v="1"/>
    <x v="1"/>
    <s v="SKU-FAR-9572"/>
    <x v="2"/>
    <x v="4"/>
    <x v="0"/>
    <s v="CIF"/>
    <n v="168"/>
    <s v="Unidades"/>
    <n v="234.05"/>
    <n v="39320.400000000001"/>
    <n v="1556.98"/>
    <n v="3.9597257403281759E-2"/>
    <n v="17"/>
    <d v="2024-05-16T00:00:00"/>
    <d v="2024-05-24T00:00:00"/>
    <n v="8"/>
    <x v="2"/>
    <b v="0"/>
    <n v="396"/>
    <n v="476"/>
    <x v="0"/>
    <x v="0"/>
  </r>
  <r>
    <s v="PED-01175"/>
    <d v="2024-12-23T00:00:00"/>
    <x v="0"/>
    <x v="11"/>
    <n v="52"/>
    <x v="1"/>
    <x v="5"/>
    <s v="SKU-ELE-2092"/>
    <x v="2"/>
    <x v="4"/>
    <x v="1"/>
    <s v="FCA"/>
    <n v="393"/>
    <s v="KG"/>
    <n v="686.14"/>
    <n v="269653.02"/>
    <n v="15477.78"/>
    <n v="5.7398875043194394E-2"/>
    <n v="12"/>
    <d v="2025-01-04T00:00:00"/>
    <d v="2025-01-12T00:00:00"/>
    <n v="8"/>
    <x v="1"/>
    <b v="0"/>
    <n v="473"/>
    <n v="446"/>
    <x v="4"/>
    <x v="1"/>
  </r>
  <r>
    <s v="PED-01176"/>
    <d v="2024-01-26T00:00:00"/>
    <x v="0"/>
    <x v="2"/>
    <n v="4"/>
    <x v="8"/>
    <x v="3"/>
    <s v="SKU-QUÍ-1717"/>
    <x v="5"/>
    <x v="1"/>
    <x v="4"/>
    <s v="FOB"/>
    <n v="172"/>
    <s v="Metros"/>
    <n v="85.68"/>
    <n v="14736.96"/>
    <n v="344.55"/>
    <n v="2.3379991531496322E-2"/>
    <n v="19"/>
    <d v="2024-02-14T00:00:00"/>
    <d v="2024-02-11T00:00:00"/>
    <n v="-3"/>
    <x v="0"/>
    <b v="1"/>
    <n v="335"/>
    <n v="359"/>
    <x v="3"/>
    <x v="1"/>
  </r>
  <r>
    <s v="PED-01177"/>
    <d v="2024-01-31T00:00:00"/>
    <x v="0"/>
    <x v="2"/>
    <n v="5"/>
    <x v="6"/>
    <x v="7"/>
    <s v="SKU-ALI-3126"/>
    <x v="5"/>
    <x v="5"/>
    <x v="0"/>
    <s v="EXW"/>
    <n v="450"/>
    <s v="Palés"/>
    <n v="59.14"/>
    <n v="26613"/>
    <n v="570.4"/>
    <n v="2.1433134182542366E-2"/>
    <n v="10"/>
    <d v="2024-02-10T00:00:00"/>
    <d v="2024-02-13T00:00:00"/>
    <n v="3"/>
    <x v="2"/>
    <b v="0"/>
    <n v="216"/>
    <n v="189"/>
    <x v="1"/>
    <x v="1"/>
  </r>
  <r>
    <s v="PED-01178"/>
    <d v="2024-11-10T00:00:00"/>
    <x v="0"/>
    <x v="6"/>
    <n v="46"/>
    <x v="5"/>
    <x v="6"/>
    <s v="SKU-CON-3926"/>
    <x v="4"/>
    <x v="0"/>
    <x v="1"/>
    <s v="CIF"/>
    <n v="862"/>
    <s v="KG"/>
    <n v="231.64"/>
    <n v="199673.68"/>
    <n v="9384.9500000000007"/>
    <n v="4.7001437545499243E-2"/>
    <n v="9"/>
    <d v="2024-11-19T00:00:00"/>
    <d v="2024-11-22T00:00:00"/>
    <n v="3"/>
    <x v="1"/>
    <b v="0"/>
    <n v="201"/>
    <n v="327"/>
    <x v="4"/>
    <x v="1"/>
  </r>
  <r>
    <s v="PED-01179"/>
    <d v="2024-10-29T00:00:00"/>
    <x v="0"/>
    <x v="0"/>
    <n v="44"/>
    <x v="1"/>
    <x v="5"/>
    <s v="SKU-ELE-1512"/>
    <x v="4"/>
    <x v="3"/>
    <x v="0"/>
    <s v="FOB"/>
    <n v="198"/>
    <s v="Cajas"/>
    <n v="677.8"/>
    <n v="134204.4"/>
    <n v="5363"/>
    <n v="3.9961431964972836E-2"/>
    <n v="5"/>
    <d v="2024-11-03T00:00:00"/>
    <d v="2024-11-03T00:00:00"/>
    <n v="0"/>
    <x v="0"/>
    <b v="1"/>
    <n v="28"/>
    <n v="102"/>
    <x v="2"/>
    <x v="1"/>
  </r>
  <r>
    <s v="PED-01180"/>
    <d v="2023-06-05T00:00:00"/>
    <x v="1"/>
    <x v="10"/>
    <n v="23"/>
    <x v="5"/>
    <x v="1"/>
    <s v="SKU-FAR-4310"/>
    <x v="5"/>
    <x v="2"/>
    <x v="3"/>
    <s v="FCA"/>
    <n v="424"/>
    <s v="KG"/>
    <n v="192.28"/>
    <n v="81526.720000000001"/>
    <n v="3774.52"/>
    <n v="4.6297949923656934E-2"/>
    <n v="6"/>
    <d v="2023-06-11T00:00:00"/>
    <d v="2023-06-11T00:00:00"/>
    <n v="0"/>
    <x v="0"/>
    <b v="1"/>
    <n v="493"/>
    <n v="332"/>
    <x v="0"/>
    <x v="0"/>
  </r>
  <r>
    <s v="PED-01181"/>
    <d v="2024-05-22T00:00:00"/>
    <x v="0"/>
    <x v="5"/>
    <n v="21"/>
    <x v="0"/>
    <x v="3"/>
    <s v="SKU-QUÍ-2753"/>
    <x v="3"/>
    <x v="5"/>
    <x v="1"/>
    <s v="DAP"/>
    <n v="348"/>
    <s v="KG"/>
    <n v="117.56"/>
    <n v="40910.879999999997"/>
    <n v="1463.04"/>
    <n v="3.5761636024451197E-2"/>
    <n v="20"/>
    <d v="2024-06-11T00:00:00"/>
    <d v="2024-06-11T00:00:00"/>
    <n v="0"/>
    <x v="0"/>
    <b v="1"/>
    <n v="446"/>
    <n v="365"/>
    <x v="0"/>
    <x v="0"/>
  </r>
  <r>
    <s v="PED-01182"/>
    <d v="2023-02-07T00:00:00"/>
    <x v="1"/>
    <x v="9"/>
    <n v="6"/>
    <x v="9"/>
    <x v="0"/>
    <s v="SKU-MAQ-8952"/>
    <x v="4"/>
    <x v="0"/>
    <x v="2"/>
    <s v="FOB"/>
    <n v="616"/>
    <s v="KG"/>
    <n v="1765.62"/>
    <n v="1087621.92"/>
    <n v="32501.48"/>
    <n v="2.9883068189725342E-2"/>
    <n v="26"/>
    <d v="2023-03-05T00:00:00"/>
    <d v="2023-03-10T00:00:00"/>
    <n v="5"/>
    <x v="2"/>
    <b v="0"/>
    <n v="485"/>
    <n v="274"/>
    <x v="0"/>
    <x v="0"/>
  </r>
  <r>
    <s v="PED-01183"/>
    <d v="2023-05-10T00:00:00"/>
    <x v="1"/>
    <x v="5"/>
    <n v="19"/>
    <x v="9"/>
    <x v="1"/>
    <s v="SKU-FAR-4139"/>
    <x v="0"/>
    <x v="4"/>
    <x v="0"/>
    <s v="CIF"/>
    <n v="190"/>
    <s v="Metros"/>
    <n v="183.87"/>
    <n v="34935.300000000003"/>
    <n v="2143.23"/>
    <n v="6.1348550033919841E-2"/>
    <n v="2"/>
    <d v="2023-05-12T00:00:00"/>
    <d v="2023-05-17T00:00:00"/>
    <n v="5"/>
    <x v="1"/>
    <b v="0"/>
    <n v="211"/>
    <n v="458"/>
    <x v="2"/>
    <x v="1"/>
  </r>
  <r>
    <s v="PED-01184"/>
    <d v="2024-05-29T00:00:00"/>
    <x v="0"/>
    <x v="5"/>
    <n v="22"/>
    <x v="3"/>
    <x v="7"/>
    <s v="SKU-ALI-2617"/>
    <x v="0"/>
    <x v="3"/>
    <x v="2"/>
    <s v="DAP"/>
    <n v="297"/>
    <s v="KG"/>
    <n v="57.7"/>
    <n v="17136.900000000001"/>
    <n v="871.83"/>
    <n v="5.0874428864030249E-2"/>
    <n v="27"/>
    <d v="2024-06-25T00:00:00"/>
    <d v="2024-06-30T00:00:00"/>
    <n v="5"/>
    <x v="1"/>
    <b v="0"/>
    <n v="153"/>
    <n v="129"/>
    <x v="3"/>
    <x v="1"/>
  </r>
  <r>
    <s v="PED-01185"/>
    <d v="2024-08-27T00:00:00"/>
    <x v="0"/>
    <x v="4"/>
    <n v="35"/>
    <x v="4"/>
    <x v="3"/>
    <s v="SKU-QUÍ-1521"/>
    <x v="3"/>
    <x v="0"/>
    <x v="1"/>
    <s v="FCA"/>
    <n v="843"/>
    <s v="Cajas"/>
    <n v="154.58000000000001"/>
    <n v="130310.94"/>
    <n v="4171.16"/>
    <n v="3.2009284868944998E-2"/>
    <n v="24"/>
    <d v="2024-09-20T00:00:00"/>
    <d v="2024-09-20T00:00:00"/>
    <n v="0"/>
    <x v="0"/>
    <b v="1"/>
    <n v="479"/>
    <n v="240"/>
    <x v="0"/>
    <x v="0"/>
  </r>
  <r>
    <s v="PED-01186"/>
    <d v="2023-12-06T00:00:00"/>
    <x v="1"/>
    <x v="11"/>
    <n v="49"/>
    <x v="3"/>
    <x v="2"/>
    <s v="SKU-AUT-7366"/>
    <x v="5"/>
    <x v="5"/>
    <x v="0"/>
    <s v="DDP"/>
    <n v="196"/>
    <s v="Litros"/>
    <n v="960.42"/>
    <n v="188242.32"/>
    <n v="7374.46"/>
    <n v="3.9175356529817525E-2"/>
    <n v="27"/>
    <d v="2024-01-02T00:00:00"/>
    <d v="2024-01-14T00:00:00"/>
    <n v="12"/>
    <x v="1"/>
    <b v="0"/>
    <n v="230"/>
    <n v="133"/>
    <x v="4"/>
    <x v="1"/>
  </r>
  <r>
    <s v="PED-01187"/>
    <d v="2023-04-13T00:00:00"/>
    <x v="1"/>
    <x v="1"/>
    <n v="15"/>
    <x v="1"/>
    <x v="2"/>
    <s v="SKU-AUT-9026"/>
    <x v="4"/>
    <x v="3"/>
    <x v="2"/>
    <s v="FOB"/>
    <n v="893"/>
    <s v="KG"/>
    <n v="931.68"/>
    <n v="831990.24"/>
    <n v="46182.51"/>
    <n v="5.5508475676349284E-2"/>
    <n v="13"/>
    <d v="2023-04-26T00:00:00"/>
    <d v="2023-04-21T00:00:00"/>
    <n v="-5"/>
    <x v="0"/>
    <b v="1"/>
    <n v="101"/>
    <n v="156"/>
    <x v="3"/>
    <x v="1"/>
  </r>
  <r>
    <s v="PED-01188"/>
    <d v="2024-03-26T00:00:00"/>
    <x v="0"/>
    <x v="8"/>
    <n v="13"/>
    <x v="6"/>
    <x v="4"/>
    <s v="SKU-TEX-9615"/>
    <x v="2"/>
    <x v="3"/>
    <x v="4"/>
    <s v="EXW"/>
    <n v="147"/>
    <s v="Palés"/>
    <n v="77.599999999999994"/>
    <n v="11407.2"/>
    <n v="277.58"/>
    <n v="2.4333754120204779E-2"/>
    <n v="6"/>
    <d v="2024-04-01T00:00:00"/>
    <d v="2024-04-04T00:00:00"/>
    <n v="3"/>
    <x v="2"/>
    <b v="0"/>
    <n v="314"/>
    <n v="424"/>
    <x v="0"/>
    <x v="0"/>
  </r>
  <r>
    <s v="PED-01189"/>
    <d v="2023-04-13T00:00:00"/>
    <x v="1"/>
    <x v="1"/>
    <n v="15"/>
    <x v="3"/>
    <x v="5"/>
    <s v="SKU-ELE-5193"/>
    <x v="5"/>
    <x v="3"/>
    <x v="4"/>
    <s v="FCA"/>
    <n v="139"/>
    <s v="Cajas"/>
    <n v="620.09"/>
    <n v="86192.51"/>
    <n v="2486.41"/>
    <n v="2.8847170131140167E-2"/>
    <n v="5"/>
    <d v="2023-04-18T00:00:00"/>
    <d v="2023-04-15T00:00:00"/>
    <n v="-3"/>
    <x v="0"/>
    <b v="1"/>
    <n v="176"/>
    <n v="434"/>
    <x v="2"/>
    <x v="1"/>
  </r>
  <r>
    <s v="PED-01190"/>
    <d v="2024-06-22T00:00:00"/>
    <x v="0"/>
    <x v="10"/>
    <n v="25"/>
    <x v="3"/>
    <x v="0"/>
    <s v="SKU-MAQ-1804"/>
    <x v="4"/>
    <x v="3"/>
    <x v="3"/>
    <s v="DAP"/>
    <n v="203"/>
    <s v="Litros"/>
    <n v="1297.06"/>
    <n v="263303.18"/>
    <n v="6423.21"/>
    <n v="2.4394730059849639E-2"/>
    <n v="25"/>
    <d v="2024-07-17T00:00:00"/>
    <d v="2024-07-17T00:00:00"/>
    <n v="0"/>
    <x v="0"/>
    <b v="1"/>
    <n v="180"/>
    <n v="388"/>
    <x v="2"/>
    <x v="1"/>
  </r>
  <r>
    <s v="PED-01191"/>
    <d v="2024-04-12T00:00:00"/>
    <x v="0"/>
    <x v="1"/>
    <n v="15"/>
    <x v="3"/>
    <x v="4"/>
    <s v="SKU-TEX-7002"/>
    <x v="3"/>
    <x v="0"/>
    <x v="1"/>
    <s v="FCA"/>
    <n v="325"/>
    <s v="Metros"/>
    <n v="58.92"/>
    <n v="19149"/>
    <n v="1316.28"/>
    <n v="6.8738837537208206E-2"/>
    <n v="1"/>
    <d v="2024-04-13T00:00:00"/>
    <d v="2024-04-16T00:00:00"/>
    <n v="3"/>
    <x v="1"/>
    <b v="0"/>
    <n v="471"/>
    <n v="424"/>
    <x v="0"/>
    <x v="0"/>
  </r>
  <r>
    <s v="PED-01192"/>
    <d v="2023-01-16T00:00:00"/>
    <x v="1"/>
    <x v="2"/>
    <n v="3"/>
    <x v="5"/>
    <x v="3"/>
    <s v="SKU-QUÍ-4616"/>
    <x v="0"/>
    <x v="3"/>
    <x v="2"/>
    <s v="DAP"/>
    <n v="993"/>
    <s v="KG"/>
    <n v="96.11"/>
    <n v="95437.23"/>
    <n v="6217.22"/>
    <n v="6.5144598182491256E-2"/>
    <n v="21"/>
    <d v="2023-02-06T00:00:00"/>
    <d v="2023-02-06T00:00:00"/>
    <n v="0"/>
    <x v="0"/>
    <b v="1"/>
    <n v="414"/>
    <n v="317"/>
    <x v="2"/>
    <x v="1"/>
  </r>
  <r>
    <s v="PED-01193"/>
    <d v="2023-05-28T00:00:00"/>
    <x v="1"/>
    <x v="5"/>
    <n v="22"/>
    <x v="0"/>
    <x v="2"/>
    <s v="SKU-AUT-2161"/>
    <x v="3"/>
    <x v="0"/>
    <x v="3"/>
    <s v="FCA"/>
    <n v="794"/>
    <s v="Litros"/>
    <n v="643.11"/>
    <n v="510629.34"/>
    <n v="33292.410000000003"/>
    <n v="6.5198779999598153E-2"/>
    <n v="22"/>
    <d v="2023-06-19T00:00:00"/>
    <d v="2023-06-27T00:00:00"/>
    <n v="8"/>
    <x v="1"/>
    <b v="0"/>
    <n v="231"/>
    <n v="157"/>
    <x v="4"/>
    <x v="1"/>
  </r>
  <r>
    <s v="PED-01194"/>
    <d v="2024-02-24T00:00:00"/>
    <x v="0"/>
    <x v="9"/>
    <n v="8"/>
    <x v="6"/>
    <x v="2"/>
    <s v="SKU-AUT-1214"/>
    <x v="4"/>
    <x v="3"/>
    <x v="1"/>
    <s v="DDP"/>
    <n v="873"/>
    <s v="Palés"/>
    <n v="992.77"/>
    <n v="866688.21"/>
    <n v="54583.61"/>
    <n v="6.2979522935935645E-2"/>
    <n v="21"/>
    <d v="2024-03-16T00:00:00"/>
    <d v="2024-03-15T00:00:00"/>
    <n v="-1"/>
    <x v="0"/>
    <b v="1"/>
    <n v="11"/>
    <n v="358"/>
    <x v="0"/>
    <x v="0"/>
  </r>
  <r>
    <s v="PED-01195"/>
    <d v="2024-11-01T00:00:00"/>
    <x v="0"/>
    <x v="6"/>
    <n v="44"/>
    <x v="9"/>
    <x v="2"/>
    <s v="SKU-AUT-4419"/>
    <x v="3"/>
    <x v="3"/>
    <x v="4"/>
    <s v="FOB"/>
    <n v="153"/>
    <s v="Cajas"/>
    <n v="1109.5"/>
    <n v="169753.5"/>
    <n v="10212.9"/>
    <n v="6.0163118875310374E-2"/>
    <n v="6"/>
    <d v="2024-11-07T00:00:00"/>
    <d v="2024-11-08T00:00:00"/>
    <n v="1"/>
    <x v="2"/>
    <b v="0"/>
    <n v="185"/>
    <n v="189"/>
    <x v="3"/>
    <x v="1"/>
  </r>
  <r>
    <s v="PED-01196"/>
    <d v="2023-06-08T00:00:00"/>
    <x v="1"/>
    <x v="10"/>
    <n v="23"/>
    <x v="8"/>
    <x v="3"/>
    <s v="SKU-QUÍ-9051"/>
    <x v="4"/>
    <x v="5"/>
    <x v="2"/>
    <s v="EXW"/>
    <n v="25"/>
    <s v="Cajas"/>
    <n v="176.42"/>
    <n v="4410.5"/>
    <n v="214.44"/>
    <n v="4.8620337830177981E-2"/>
    <n v="6"/>
    <d v="2023-06-14T00:00:00"/>
    <d v="2023-06-14T00:00:00"/>
    <n v="0"/>
    <x v="0"/>
    <b v="1"/>
    <n v="248"/>
    <n v="99"/>
    <x v="4"/>
    <x v="1"/>
  </r>
  <r>
    <s v="PED-01197"/>
    <d v="2023-03-18T00:00:00"/>
    <x v="1"/>
    <x v="8"/>
    <n v="11"/>
    <x v="5"/>
    <x v="2"/>
    <s v="SKU-AUT-2310"/>
    <x v="4"/>
    <x v="0"/>
    <x v="0"/>
    <s v="DDP"/>
    <n v="311"/>
    <s v="Metros"/>
    <n v="962.14"/>
    <n v="299225.53999999998"/>
    <n v="17515.669999999998"/>
    <n v="5.8536681060045878E-2"/>
    <n v="23"/>
    <d v="2023-04-10T00:00:00"/>
    <d v="2023-04-12T00:00:00"/>
    <n v="2"/>
    <x v="2"/>
    <b v="0"/>
    <n v="419"/>
    <n v="410"/>
    <x v="1"/>
    <x v="1"/>
  </r>
  <r>
    <s v="PED-01198"/>
    <d v="2024-04-25T00:00:00"/>
    <x v="0"/>
    <x v="1"/>
    <n v="17"/>
    <x v="1"/>
    <x v="1"/>
    <s v="SKU-FAR-8668"/>
    <x v="3"/>
    <x v="4"/>
    <x v="4"/>
    <s v="FOB"/>
    <n v="432"/>
    <s v="Metros"/>
    <n v="169.46"/>
    <n v="73206.720000000001"/>
    <n v="1632.63"/>
    <n v="2.2301641160811469E-2"/>
    <n v="16"/>
    <d v="2024-05-11T00:00:00"/>
    <d v="2024-05-10T00:00:00"/>
    <n v="-1"/>
    <x v="0"/>
    <b v="1"/>
    <n v="265"/>
    <n v="433"/>
    <x v="3"/>
    <x v="1"/>
  </r>
  <r>
    <s v="PED-01199"/>
    <d v="2023-09-29T00:00:00"/>
    <x v="1"/>
    <x v="3"/>
    <n v="39"/>
    <x v="6"/>
    <x v="6"/>
    <s v="SKU-CON-1994"/>
    <x v="1"/>
    <x v="0"/>
    <x v="0"/>
    <s v="EXW"/>
    <n v="254"/>
    <s v="Metros"/>
    <n v="156.9"/>
    <n v="39852.6"/>
    <n v="2283.0700000000002"/>
    <n v="5.7287855748432981E-2"/>
    <n v="4"/>
    <d v="2023-10-03T00:00:00"/>
    <d v="2023-10-03T00:00:00"/>
    <n v="0"/>
    <x v="0"/>
    <b v="1"/>
    <n v="389"/>
    <n v="465"/>
    <x v="0"/>
    <x v="0"/>
  </r>
  <r>
    <s v="PED-01200"/>
    <d v="2023-12-13T00:00:00"/>
    <x v="1"/>
    <x v="11"/>
    <n v="50"/>
    <x v="9"/>
    <x v="3"/>
    <s v="SKU-QUÍ-6913"/>
    <x v="2"/>
    <x v="1"/>
    <x v="0"/>
    <s v="FCA"/>
    <n v="936"/>
    <s v="Litros"/>
    <n v="162.03"/>
    <n v="151660.07999999999"/>
    <n v="10111.58"/>
    <n v="6.6672653739863516E-2"/>
    <n v="11"/>
    <d v="2023-12-24T00:00:00"/>
    <d v="2023-12-29T00:00:00"/>
    <n v="5"/>
    <x v="2"/>
    <b v="0"/>
    <n v="134"/>
    <n v="51"/>
    <x v="0"/>
    <x v="0"/>
  </r>
  <r>
    <s v="PED-01201"/>
    <d v="2024-09-30T00:00:00"/>
    <x v="0"/>
    <x v="3"/>
    <n v="40"/>
    <x v="6"/>
    <x v="0"/>
    <s v="SKU-MAQ-7814"/>
    <x v="5"/>
    <x v="4"/>
    <x v="2"/>
    <s v="EXW"/>
    <n v="116"/>
    <s v="KG"/>
    <n v="1744.51"/>
    <n v="202363.16"/>
    <n v="10122.51"/>
    <n v="5.0021505890696705E-2"/>
    <n v="24"/>
    <d v="2024-10-24T00:00:00"/>
    <d v="2024-10-24T00:00:00"/>
    <n v="0"/>
    <x v="0"/>
    <b v="1"/>
    <n v="244"/>
    <n v="48"/>
    <x v="2"/>
    <x v="1"/>
  </r>
  <r>
    <s v="PED-01202"/>
    <d v="2024-12-10T00:00:00"/>
    <x v="0"/>
    <x v="11"/>
    <n v="50"/>
    <x v="7"/>
    <x v="6"/>
    <s v="SKU-CON-7046"/>
    <x v="0"/>
    <x v="5"/>
    <x v="2"/>
    <s v="CIF"/>
    <n v="97"/>
    <s v="Unidades"/>
    <n v="238.93"/>
    <n v="23176.21"/>
    <n v="960.67"/>
    <n v="4.1450694483696857E-2"/>
    <n v="23"/>
    <d v="2025-01-02T00:00:00"/>
    <d v="2025-01-02T00:00:00"/>
    <n v="0"/>
    <x v="0"/>
    <b v="1"/>
    <n v="30"/>
    <n v="445"/>
    <x v="0"/>
    <x v="0"/>
  </r>
  <r>
    <s v="PED-01203"/>
    <d v="2024-02-12T00:00:00"/>
    <x v="0"/>
    <x v="9"/>
    <n v="7"/>
    <x v="7"/>
    <x v="4"/>
    <s v="SKU-TEX-1955"/>
    <x v="2"/>
    <x v="0"/>
    <x v="0"/>
    <s v="EXW"/>
    <n v="138"/>
    <s v="Cajas"/>
    <n v="79.510000000000005"/>
    <n v="10972.38"/>
    <n v="402.09"/>
    <n v="3.6645650260016517E-2"/>
    <n v="9"/>
    <d v="2024-02-21T00:00:00"/>
    <d v="2024-02-21T00:00:00"/>
    <n v="0"/>
    <x v="0"/>
    <b v="1"/>
    <n v="346"/>
    <n v="99"/>
    <x v="0"/>
    <x v="0"/>
  </r>
  <r>
    <s v="PED-01204"/>
    <d v="2024-10-27T00:00:00"/>
    <x v="0"/>
    <x v="0"/>
    <n v="44"/>
    <x v="3"/>
    <x v="0"/>
    <s v="SKU-MAQ-5355"/>
    <x v="5"/>
    <x v="5"/>
    <x v="3"/>
    <s v="FOB"/>
    <n v="916"/>
    <s v="Unidades"/>
    <n v="1893.93"/>
    <n v="1639255.3774000001"/>
    <n v="96548.6302"/>
    <n v="5.8897857851248549E-2"/>
    <n v="23"/>
    <d v="2024-11-19T00:00:00"/>
    <d v="2024-11-24T00:00:00"/>
    <n v="5"/>
    <x v="2"/>
    <b v="0"/>
    <n v="455"/>
    <n v="443"/>
    <x v="0"/>
    <x v="0"/>
  </r>
  <r>
    <s v="PED-01205"/>
    <d v="2023-03-24T00:00:00"/>
    <x v="1"/>
    <x v="8"/>
    <n v="12"/>
    <x v="3"/>
    <x v="6"/>
    <s v="SKU-CON-9667"/>
    <x v="5"/>
    <x v="4"/>
    <x v="0"/>
    <s v="DDP"/>
    <n v="896"/>
    <s v="Cajas"/>
    <n v="273.51"/>
    <n v="245064.95999999999"/>
    <n v="15088.18"/>
    <n v="6.1568083825610978E-2"/>
    <n v="3"/>
    <d v="2023-03-27T00:00:00"/>
    <d v="2023-03-29T00:00:00"/>
    <n v="2"/>
    <x v="1"/>
    <b v="0"/>
    <n v="258"/>
    <n v="381"/>
    <x v="0"/>
    <x v="0"/>
  </r>
  <r>
    <s v="PED-01206"/>
    <d v="2023-12-03T00:00:00"/>
    <x v="1"/>
    <x v="11"/>
    <n v="49"/>
    <x v="7"/>
    <x v="7"/>
    <s v="SKU-ALI-1666"/>
    <x v="0"/>
    <x v="5"/>
    <x v="0"/>
    <s v="DDP"/>
    <n v="350"/>
    <s v="Metros"/>
    <n v="59.6"/>
    <n v="20860"/>
    <n v="1507.3"/>
    <n v="7.2257909875359544E-2"/>
    <n v="19"/>
    <d v="2023-12-22T00:00:00"/>
    <d v="2023-12-22T00:00:00"/>
    <n v="0"/>
    <x v="0"/>
    <b v="1"/>
    <n v="103"/>
    <n v="250"/>
    <x v="1"/>
    <x v="1"/>
  </r>
  <r>
    <s v="PED-01207"/>
    <d v="2024-11-21T00:00:00"/>
    <x v="0"/>
    <x v="6"/>
    <n v="47"/>
    <x v="8"/>
    <x v="2"/>
    <s v="SKU-AUT-2153"/>
    <x v="2"/>
    <x v="5"/>
    <x v="2"/>
    <s v="CIF"/>
    <n v="13"/>
    <s v="KG"/>
    <n v="1038.4100000000001"/>
    <n v="13499.33"/>
    <n v="547.26"/>
    <n v="4.0539789752528456E-2"/>
    <n v="8"/>
    <d v="2024-11-29T00:00:00"/>
    <d v="2024-11-28T00:00:00"/>
    <n v="-1"/>
    <x v="0"/>
    <b v="1"/>
    <n v="430"/>
    <n v="373"/>
    <x v="2"/>
    <x v="1"/>
  </r>
  <r>
    <s v="PED-01208"/>
    <d v="2024-06-30T00:00:00"/>
    <x v="0"/>
    <x v="10"/>
    <n v="27"/>
    <x v="9"/>
    <x v="7"/>
    <s v="SKU-ALI-5979"/>
    <x v="0"/>
    <x v="2"/>
    <x v="1"/>
    <s v="FOB"/>
    <n v="336"/>
    <s v="KG"/>
    <n v="110.45"/>
    <n v="37111.199999999997"/>
    <n v="2456.25"/>
    <n v="6.6186218715643799E-2"/>
    <n v="5"/>
    <d v="2024-07-05T00:00:00"/>
    <d v="2024-07-10T00:00:00"/>
    <n v="5"/>
    <x v="1"/>
    <b v="0"/>
    <n v="381"/>
    <n v="463"/>
    <x v="1"/>
    <x v="1"/>
  </r>
  <r>
    <s v="PED-01209"/>
    <d v="2024-01-25T00:00:00"/>
    <x v="0"/>
    <x v="2"/>
    <n v="4"/>
    <x v="1"/>
    <x v="5"/>
    <s v="SKU-ELE-2276"/>
    <x v="4"/>
    <x v="0"/>
    <x v="4"/>
    <s v="EXW"/>
    <n v="419"/>
    <s v="Cajas"/>
    <n v="464.45"/>
    <n v="194604.55"/>
    <n v="10446.629999999999"/>
    <n v="5.3681324511682796E-2"/>
    <n v="4"/>
    <d v="2024-01-29T00:00:00"/>
    <d v="2024-01-29T00:00:00"/>
    <n v="0"/>
    <x v="1"/>
    <b v="0"/>
    <n v="468"/>
    <n v="53"/>
    <x v="3"/>
    <x v="1"/>
  </r>
  <r>
    <s v="PED-01210"/>
    <d v="2023-11-21T00:00:00"/>
    <x v="1"/>
    <x v="6"/>
    <n v="47"/>
    <x v="4"/>
    <x v="5"/>
    <s v="SKU-ELE-4537"/>
    <x v="0"/>
    <x v="5"/>
    <x v="2"/>
    <s v="CIF"/>
    <n v="888"/>
    <s v="Litros"/>
    <n v="606.17999999999995"/>
    <n v="538287.84"/>
    <n v="39278.97"/>
    <n v="7.2970197506226409E-2"/>
    <n v="24"/>
    <d v="2023-12-15T00:00:00"/>
    <d v="2023-12-15T00:00:00"/>
    <n v="0"/>
    <x v="0"/>
    <b v="1"/>
    <n v="0"/>
    <n v="374"/>
    <x v="0"/>
    <x v="0"/>
  </r>
  <r>
    <s v="PED-01211"/>
    <d v="2024-10-03T00:00:00"/>
    <x v="0"/>
    <x v="0"/>
    <n v="40"/>
    <x v="4"/>
    <x v="6"/>
    <s v="SKU-CON-9511"/>
    <x v="3"/>
    <x v="2"/>
    <x v="3"/>
    <s v="FCA"/>
    <n v="315"/>
    <s v="Metros"/>
    <n v="190.27"/>
    <n v="59935.05"/>
    <n v="3096.77"/>
    <n v="5.1668764771198153E-2"/>
    <n v="6"/>
    <d v="2024-10-09T00:00:00"/>
    <d v="2024-10-09T00:00:00"/>
    <n v="0"/>
    <x v="0"/>
    <b v="1"/>
    <n v="428"/>
    <n v="388"/>
    <x v="1"/>
    <x v="1"/>
  </r>
  <r>
    <s v="PED-01212"/>
    <d v="2024-05-14T00:00:00"/>
    <x v="0"/>
    <x v="5"/>
    <n v="20"/>
    <x v="5"/>
    <x v="7"/>
    <s v="SKU-ALI-2591"/>
    <x v="1"/>
    <x v="2"/>
    <x v="4"/>
    <s v="DAP"/>
    <n v="917"/>
    <s v="KG"/>
    <n v="117.31"/>
    <n v="107573.27"/>
    <n v="5492.45"/>
    <n v="5.1057758121511039E-2"/>
    <n v="2"/>
    <d v="2024-05-16T00:00:00"/>
    <d v="2024-05-16T00:00:00"/>
    <n v="0"/>
    <x v="0"/>
    <b v="1"/>
    <n v="437"/>
    <n v="136"/>
    <x v="1"/>
    <x v="1"/>
  </r>
  <r>
    <s v="PED-01213"/>
    <d v="2024-07-08T00:00:00"/>
    <x v="0"/>
    <x v="7"/>
    <n v="28"/>
    <x v="8"/>
    <x v="3"/>
    <s v="SKU-QUÍ-2658"/>
    <x v="1"/>
    <x v="3"/>
    <x v="2"/>
    <s v="FCA"/>
    <n v="616"/>
    <s v="KG"/>
    <n v="87.21"/>
    <n v="53721.36"/>
    <n v="2937.09"/>
    <n v="5.4672666514771782E-2"/>
    <n v="20"/>
    <d v="2024-07-28T00:00:00"/>
    <d v="2024-07-30T00:00:00"/>
    <n v="2"/>
    <x v="2"/>
    <b v="0"/>
    <n v="433"/>
    <n v="161"/>
    <x v="0"/>
    <x v="0"/>
  </r>
  <r>
    <s v="PED-01214"/>
    <d v="2023-02-06T00:00:00"/>
    <x v="1"/>
    <x v="9"/>
    <n v="6"/>
    <x v="8"/>
    <x v="0"/>
    <s v="SKU-MAQ-4784"/>
    <x v="1"/>
    <x v="3"/>
    <x v="2"/>
    <s v="FOB"/>
    <n v="730"/>
    <s v="Palés"/>
    <n v="1745.75"/>
    <n v="1274397.5"/>
    <n v="82783.490000000005"/>
    <n v="6.4958923726702228E-2"/>
    <n v="28"/>
    <d v="2023-03-06T00:00:00"/>
    <d v="2023-03-07T00:00:00"/>
    <n v="1"/>
    <x v="2"/>
    <b v="0"/>
    <n v="206"/>
    <n v="353"/>
    <x v="3"/>
    <x v="1"/>
  </r>
  <r>
    <s v="PED-01215"/>
    <d v="2024-09-24T00:00:00"/>
    <x v="0"/>
    <x v="3"/>
    <n v="39"/>
    <x v="1"/>
    <x v="7"/>
    <s v="SKU-ALI-9710"/>
    <x v="2"/>
    <x v="4"/>
    <x v="1"/>
    <s v="CIF"/>
    <n v="234"/>
    <s v="KG"/>
    <n v="66.66"/>
    <n v="15598.44"/>
    <n v="1214.83"/>
    <n v="7.7881506099327868E-2"/>
    <n v="11"/>
    <d v="2024-10-05T00:00:00"/>
    <d v="2024-10-05T00:00:00"/>
    <n v="0"/>
    <x v="0"/>
    <b v="1"/>
    <n v="134"/>
    <n v="291"/>
    <x v="0"/>
    <x v="0"/>
  </r>
  <r>
    <s v="PED-01216"/>
    <d v="2023-03-12T00:00:00"/>
    <x v="1"/>
    <x v="8"/>
    <n v="11"/>
    <x v="6"/>
    <x v="5"/>
    <s v="SKU-ELE-7313"/>
    <x v="2"/>
    <x v="0"/>
    <x v="3"/>
    <s v="DDP"/>
    <n v="980"/>
    <s v="Palés"/>
    <n v="634.89"/>
    <n v="622192.19999999995"/>
    <n v="15190.08"/>
    <n v="2.4413806537594011E-2"/>
    <n v="4"/>
    <d v="2023-03-16T00:00:00"/>
    <d v="2023-03-21T00:00:00"/>
    <n v="5"/>
    <x v="1"/>
    <b v="0"/>
    <n v="446"/>
    <n v="478"/>
    <x v="3"/>
    <x v="1"/>
  </r>
  <r>
    <s v="PED-01217"/>
    <d v="2023-08-29T00:00:00"/>
    <x v="1"/>
    <x v="4"/>
    <n v="35"/>
    <x v="4"/>
    <x v="7"/>
    <s v="SKU-ALI-4104"/>
    <x v="4"/>
    <x v="3"/>
    <x v="3"/>
    <s v="CIF"/>
    <n v="357"/>
    <s v="KG"/>
    <n v="67.260000000000005"/>
    <n v="24011.82"/>
    <n v="557.22"/>
    <n v="2.3206071010027564E-2"/>
    <n v="15"/>
    <d v="2023-09-13T00:00:00"/>
    <d v="2023-09-13T00:00:00"/>
    <n v="0"/>
    <x v="0"/>
    <b v="1"/>
    <n v="270"/>
    <n v="499"/>
    <x v="1"/>
    <x v="1"/>
  </r>
  <r>
    <s v="PED-01218"/>
    <d v="2024-10-08T00:00:00"/>
    <x v="0"/>
    <x v="0"/>
    <n v="41"/>
    <x v="6"/>
    <x v="3"/>
    <s v="SKU-QUÍ-4164"/>
    <x v="1"/>
    <x v="4"/>
    <x v="2"/>
    <s v="DAP"/>
    <n v="330"/>
    <s v="KG"/>
    <n v="106.6"/>
    <n v="35178"/>
    <n v="2682.43"/>
    <n v="7.6253055887202228E-2"/>
    <n v="6"/>
    <d v="2024-10-14T00:00:00"/>
    <d v="2024-10-14T00:00:00"/>
    <n v="0"/>
    <x v="0"/>
    <b v="1"/>
    <n v="88"/>
    <n v="403"/>
    <x v="1"/>
    <x v="1"/>
  </r>
  <r>
    <s v="PED-01219"/>
    <d v="2024-12-01T00:00:00"/>
    <x v="0"/>
    <x v="11"/>
    <n v="49"/>
    <x v="6"/>
    <x v="7"/>
    <s v="SKU-ALI-9621"/>
    <x v="4"/>
    <x v="0"/>
    <x v="1"/>
    <s v="FOB"/>
    <n v="568"/>
    <s v="Litros"/>
    <n v="87.64"/>
    <n v="49779.519999999997"/>
    <n v="2578.21"/>
    <n v="5.1792584580968241E-2"/>
    <n v="22"/>
    <d v="2024-12-23T00:00:00"/>
    <d v="2025-01-04T00:00:00"/>
    <n v="12"/>
    <x v="1"/>
    <b v="0"/>
    <n v="194"/>
    <n v="80"/>
    <x v="0"/>
    <x v="0"/>
  </r>
  <r>
    <s v="PED-01220"/>
    <d v="2023-10-22T00:00:00"/>
    <x v="1"/>
    <x v="0"/>
    <n v="43"/>
    <x v="8"/>
    <x v="0"/>
    <s v="SKU-MAQ-5075"/>
    <x v="1"/>
    <x v="4"/>
    <x v="2"/>
    <s v="CIF"/>
    <n v="997"/>
    <s v="Litros"/>
    <n v="2147.8000000000002"/>
    <n v="1639255.3774000001"/>
    <n v="96548.6302"/>
    <n v="5.8897857851248549E-2"/>
    <n v="17"/>
    <d v="2023-11-08T00:00:00"/>
    <d v="2023-11-11T00:00:00"/>
    <n v="3"/>
    <x v="2"/>
    <b v="0"/>
    <n v="413"/>
    <n v="467"/>
    <x v="0"/>
    <x v="0"/>
  </r>
  <r>
    <s v="PED-01221"/>
    <d v="2023-08-21T00:00:00"/>
    <x v="1"/>
    <x v="4"/>
    <n v="34"/>
    <x v="6"/>
    <x v="4"/>
    <s v="SKU-TEX-3931"/>
    <x v="2"/>
    <x v="2"/>
    <x v="0"/>
    <s v="FCA"/>
    <n v="190"/>
    <s v="Metros"/>
    <n v="52.16"/>
    <n v="9910.4"/>
    <n v="485.07"/>
    <n v="4.8945552147239266E-2"/>
    <n v="24"/>
    <d v="2023-09-14T00:00:00"/>
    <d v="2023-09-14T00:00:00"/>
    <n v="0"/>
    <x v="0"/>
    <b v="1"/>
    <n v="121"/>
    <n v="219"/>
    <x v="0"/>
    <x v="0"/>
  </r>
  <r>
    <s v="PED-01222"/>
    <d v="2023-04-03T00:00:00"/>
    <x v="1"/>
    <x v="1"/>
    <n v="14"/>
    <x v="4"/>
    <x v="3"/>
    <s v="SKU-QUÍ-7802"/>
    <x v="3"/>
    <x v="2"/>
    <x v="0"/>
    <s v="EXW"/>
    <n v="627"/>
    <s v="KG"/>
    <n v="97.85"/>
    <n v="61351.95"/>
    <n v="1571.8"/>
    <n v="2.5619397590459635E-2"/>
    <n v="6"/>
    <d v="2023-04-09T00:00:00"/>
    <d v="2023-04-04T00:00:00"/>
    <n v="-5"/>
    <x v="0"/>
    <b v="1"/>
    <n v="461"/>
    <n v="84"/>
    <x v="2"/>
    <x v="1"/>
  </r>
  <r>
    <s v="PED-01223"/>
    <d v="2024-03-20T00:00:00"/>
    <x v="0"/>
    <x v="8"/>
    <n v="12"/>
    <x v="9"/>
    <x v="5"/>
    <s v="SKU-ELE-2728"/>
    <x v="3"/>
    <x v="0"/>
    <x v="1"/>
    <s v="FCA"/>
    <n v="720"/>
    <s v="Metros"/>
    <n v="653.59"/>
    <n v="470584.8"/>
    <n v="31098.77"/>
    <n v="6.6085368673191314E-2"/>
    <n v="19"/>
    <d v="2024-04-08T00:00:00"/>
    <d v="2024-04-09T00:00:00"/>
    <n v="1"/>
    <x v="1"/>
    <b v="0"/>
    <n v="115"/>
    <n v="82"/>
    <x v="0"/>
    <x v="0"/>
  </r>
  <r>
    <s v="PED-01224"/>
    <d v="2023-04-11T00:00:00"/>
    <x v="1"/>
    <x v="1"/>
    <n v="15"/>
    <x v="2"/>
    <x v="0"/>
    <s v="SKU-MAQ-6864"/>
    <x v="3"/>
    <x v="4"/>
    <x v="2"/>
    <s v="FOB"/>
    <n v="395"/>
    <s v="Metros"/>
    <n v="1650.74"/>
    <n v="652042.30000000005"/>
    <n v="42274.17"/>
    <n v="6.483347782804888E-2"/>
    <n v="25"/>
    <d v="2023-05-06T00:00:00"/>
    <d v="2023-05-07T00:00:00"/>
    <n v="1"/>
    <x v="2"/>
    <b v="0"/>
    <n v="195"/>
    <n v="318"/>
    <x v="3"/>
    <x v="1"/>
  </r>
  <r>
    <s v="PED-01225"/>
    <d v="2024-10-10T00:00:00"/>
    <x v="0"/>
    <x v="0"/>
    <n v="41"/>
    <x v="6"/>
    <x v="7"/>
    <s v="SKU-ALI-8515"/>
    <x v="0"/>
    <x v="4"/>
    <x v="1"/>
    <s v="CIF"/>
    <n v="627"/>
    <s v="Metros"/>
    <n v="114.35"/>
    <n v="71697.45"/>
    <n v="2774.85"/>
    <n v="3.870221325863054E-2"/>
    <n v="2"/>
    <d v="2024-10-12T00:00:00"/>
    <d v="2024-10-12T00:00:00"/>
    <n v="0"/>
    <x v="0"/>
    <b v="1"/>
    <n v="35"/>
    <n v="66"/>
    <x v="0"/>
    <x v="0"/>
  </r>
  <r>
    <s v="PED-01226"/>
    <d v="2024-12-21T00:00:00"/>
    <x v="0"/>
    <x v="11"/>
    <n v="51"/>
    <x v="1"/>
    <x v="7"/>
    <s v="SKU-ALI-7997"/>
    <x v="3"/>
    <x v="3"/>
    <x v="2"/>
    <s v="FCA"/>
    <n v="801"/>
    <s v="Metros"/>
    <n v="65.38"/>
    <n v="52369.38"/>
    <n v="2009.64"/>
    <n v="3.8374332482072546E-2"/>
    <n v="15"/>
    <d v="2025-01-05T00:00:00"/>
    <d v="2025-01-04T00:00:00"/>
    <n v="-1"/>
    <x v="0"/>
    <b v="1"/>
    <n v="66"/>
    <n v="413"/>
    <x v="4"/>
    <x v="1"/>
  </r>
  <r>
    <s v="PED-01227"/>
    <d v="2023-04-13T00:00:00"/>
    <x v="1"/>
    <x v="1"/>
    <n v="15"/>
    <x v="0"/>
    <x v="4"/>
    <s v="SKU-TEX-2705"/>
    <x v="5"/>
    <x v="3"/>
    <x v="2"/>
    <s v="CIF"/>
    <n v="781"/>
    <s v="Cajas"/>
    <n v="73"/>
    <n v="57013"/>
    <n v="4006.33"/>
    <n v="7.0270464630873664E-2"/>
    <n v="11"/>
    <d v="2023-04-24T00:00:00"/>
    <d v="2023-04-26T00:00:00"/>
    <n v="2"/>
    <x v="1"/>
    <b v="0"/>
    <n v="132"/>
    <n v="452"/>
    <x v="1"/>
    <x v="1"/>
  </r>
  <r>
    <s v="PED-01228"/>
    <d v="2024-03-30T00:00:00"/>
    <x v="0"/>
    <x v="8"/>
    <n v="13"/>
    <x v="3"/>
    <x v="5"/>
    <s v="SKU-ELE-3733"/>
    <x v="1"/>
    <x v="0"/>
    <x v="0"/>
    <s v="FCA"/>
    <n v="117"/>
    <s v="Cajas"/>
    <n v="443.15"/>
    <n v="51848.55"/>
    <n v="1262.07"/>
    <n v="2.4341471458700387E-2"/>
    <n v="8"/>
    <d v="2024-04-07T00:00:00"/>
    <d v="2024-04-07T00:00:00"/>
    <n v="0"/>
    <x v="0"/>
    <b v="1"/>
    <n v="280"/>
    <n v="233"/>
    <x v="0"/>
    <x v="0"/>
  </r>
  <r>
    <s v="PED-01229"/>
    <d v="2023-06-20T00:00:00"/>
    <x v="1"/>
    <x v="10"/>
    <n v="25"/>
    <x v="1"/>
    <x v="5"/>
    <s v="SKU-ELE-3955"/>
    <x v="3"/>
    <x v="1"/>
    <x v="4"/>
    <s v="FOB"/>
    <n v="540"/>
    <s v="KG"/>
    <n v="412.7"/>
    <n v="222858"/>
    <n v="16238.84"/>
    <n v="7.2866309488553244E-2"/>
    <n v="26"/>
    <d v="2023-07-16T00:00:00"/>
    <d v="2023-07-21T00:00:00"/>
    <n v="5"/>
    <x v="2"/>
    <b v="0"/>
    <n v="478"/>
    <n v="197"/>
    <x v="4"/>
    <x v="1"/>
  </r>
  <r>
    <s v="PED-01230"/>
    <d v="2024-12-11T00:00:00"/>
    <x v="0"/>
    <x v="11"/>
    <n v="50"/>
    <x v="7"/>
    <x v="1"/>
    <s v="SKU-FAR-7579"/>
    <x v="5"/>
    <x v="3"/>
    <x v="3"/>
    <s v="DDP"/>
    <n v="419"/>
    <s v="Cajas"/>
    <n v="249.35"/>
    <n v="104477.65"/>
    <n v="3698.48"/>
    <n v="3.539972424724331E-2"/>
    <n v="19"/>
    <d v="2024-12-30T00:00:00"/>
    <d v="2024-12-31T00:00:00"/>
    <n v="1"/>
    <x v="2"/>
    <b v="0"/>
    <n v="10"/>
    <n v="258"/>
    <x v="3"/>
    <x v="1"/>
  </r>
  <r>
    <s v="PED-01231"/>
    <d v="2023-11-03T00:00:00"/>
    <x v="1"/>
    <x v="6"/>
    <n v="44"/>
    <x v="4"/>
    <x v="5"/>
    <s v="SKU-ELE-9268"/>
    <x v="5"/>
    <x v="5"/>
    <x v="3"/>
    <s v="FCA"/>
    <n v="980"/>
    <s v="KG"/>
    <n v="587.47"/>
    <n v="575720.6"/>
    <n v="31998.02"/>
    <n v="5.5579077767931181E-2"/>
    <n v="13"/>
    <d v="2023-11-16T00:00:00"/>
    <d v="2023-11-16T00:00:00"/>
    <n v="0"/>
    <x v="0"/>
    <b v="1"/>
    <n v="455"/>
    <n v="176"/>
    <x v="4"/>
    <x v="1"/>
  </r>
  <r>
    <s v="PED-01232"/>
    <d v="2023-01-30T00:00:00"/>
    <x v="1"/>
    <x v="2"/>
    <n v="5"/>
    <x v="0"/>
    <x v="4"/>
    <s v="SKU-TEX-6529"/>
    <x v="5"/>
    <x v="3"/>
    <x v="1"/>
    <s v="EXW"/>
    <n v="305"/>
    <s v="Litros"/>
    <n v="78.23"/>
    <n v="23860.15"/>
    <n v="1817.18"/>
    <n v="7.615962179617479E-2"/>
    <n v="12"/>
    <d v="2023-02-11T00:00:00"/>
    <d v="2023-02-11T00:00:00"/>
    <n v="0"/>
    <x v="0"/>
    <b v="1"/>
    <n v="217"/>
    <n v="297"/>
    <x v="3"/>
    <x v="1"/>
  </r>
  <r>
    <s v="PED-01233"/>
    <d v="2023-02-17T00:00:00"/>
    <x v="1"/>
    <x v="9"/>
    <n v="7"/>
    <x v="3"/>
    <x v="2"/>
    <s v="SKU-AUT-3591"/>
    <x v="4"/>
    <x v="1"/>
    <x v="3"/>
    <s v="FCA"/>
    <n v="827"/>
    <s v="Unidades"/>
    <n v="758.06"/>
    <n v="626915.62"/>
    <n v="38045.85"/>
    <n v="6.068735374626652E-2"/>
    <n v="5"/>
    <d v="2023-02-22T00:00:00"/>
    <d v="2023-02-24T00:00:00"/>
    <n v="2"/>
    <x v="1"/>
    <b v="0"/>
    <n v="321"/>
    <n v="279"/>
    <x v="2"/>
    <x v="1"/>
  </r>
  <r>
    <s v="PED-01234"/>
    <d v="2023-11-29T00:00:00"/>
    <x v="1"/>
    <x v="6"/>
    <n v="48"/>
    <x v="1"/>
    <x v="1"/>
    <s v="SKU-FAR-9747"/>
    <x v="4"/>
    <x v="4"/>
    <x v="0"/>
    <s v="FOB"/>
    <n v="180"/>
    <s v="Palés"/>
    <n v="211.68"/>
    <n v="38102.400000000001"/>
    <n v="1709.49"/>
    <n v="4.486567775258251E-2"/>
    <n v="6"/>
    <d v="2023-12-05T00:00:00"/>
    <d v="2023-12-07T00:00:00"/>
    <n v="2"/>
    <x v="1"/>
    <b v="0"/>
    <n v="155"/>
    <n v="299"/>
    <x v="0"/>
    <x v="0"/>
  </r>
  <r>
    <s v="PED-01235"/>
    <d v="2023-02-27T00:00:00"/>
    <x v="1"/>
    <x v="9"/>
    <n v="9"/>
    <x v="0"/>
    <x v="1"/>
    <s v="SKU-FAR-8258"/>
    <x v="5"/>
    <x v="2"/>
    <x v="4"/>
    <s v="FCA"/>
    <n v="340"/>
    <s v="Cajas"/>
    <n v="204.88"/>
    <n v="69659.199999999997"/>
    <n v="4275.13"/>
    <n v="6.1372080069825669E-2"/>
    <n v="26"/>
    <d v="2023-03-25T00:00:00"/>
    <d v="2023-03-22T00:00:00"/>
    <n v="-3"/>
    <x v="0"/>
    <b v="1"/>
    <n v="239"/>
    <n v="128"/>
    <x v="1"/>
    <x v="1"/>
  </r>
  <r>
    <s v="PED-01236"/>
    <d v="2023-10-28T00:00:00"/>
    <x v="1"/>
    <x v="0"/>
    <n v="43"/>
    <x v="2"/>
    <x v="7"/>
    <s v="SKU-ALI-6772"/>
    <x v="0"/>
    <x v="2"/>
    <x v="2"/>
    <s v="EXW"/>
    <n v="502"/>
    <s v="Cajas"/>
    <n v="118.98"/>
    <n v="59727.96"/>
    <n v="2427.27"/>
    <n v="4.0638756120249211E-2"/>
    <n v="22"/>
    <d v="2023-11-19T00:00:00"/>
    <d v="2023-11-16T00:00:00"/>
    <n v="-3"/>
    <x v="0"/>
    <b v="1"/>
    <n v="59"/>
    <n v="497"/>
    <x v="1"/>
    <x v="1"/>
  </r>
  <r>
    <s v="PED-01237"/>
    <d v="2024-01-03T00:00:00"/>
    <x v="0"/>
    <x v="2"/>
    <n v="1"/>
    <x v="4"/>
    <x v="7"/>
    <s v="SKU-ALI-6163"/>
    <x v="3"/>
    <x v="4"/>
    <x v="2"/>
    <s v="EXW"/>
    <n v="204"/>
    <s v="Litros"/>
    <n v="74.7"/>
    <n v="15238.8"/>
    <n v="558.28"/>
    <n v="3.6635430611334223E-2"/>
    <n v="4"/>
    <d v="2024-01-07T00:00:00"/>
    <d v="2024-01-06T00:00:00"/>
    <n v="-1"/>
    <x v="0"/>
    <b v="1"/>
    <n v="137"/>
    <n v="370"/>
    <x v="3"/>
    <x v="1"/>
  </r>
  <r>
    <s v="PED-01238"/>
    <d v="2024-01-19T00:00:00"/>
    <x v="0"/>
    <x v="2"/>
    <n v="3"/>
    <x v="9"/>
    <x v="5"/>
    <s v="SKU-ELE-6319"/>
    <x v="1"/>
    <x v="2"/>
    <x v="0"/>
    <s v="FOB"/>
    <n v="21"/>
    <s v="Cajas"/>
    <n v="467.93"/>
    <n v="9826.5300000000007"/>
    <n v="784.17"/>
    <n v="7.9801313383259395E-2"/>
    <n v="19"/>
    <d v="2024-02-07T00:00:00"/>
    <d v="2024-02-19T00:00:00"/>
    <n v="12"/>
    <x v="1"/>
    <b v="0"/>
    <n v="49"/>
    <n v="437"/>
    <x v="1"/>
    <x v="1"/>
  </r>
  <r>
    <s v="PED-01239"/>
    <d v="2024-03-17T00:00:00"/>
    <x v="0"/>
    <x v="8"/>
    <n v="12"/>
    <x v="5"/>
    <x v="1"/>
    <s v="SKU-FAR-7090"/>
    <x v="0"/>
    <x v="3"/>
    <x v="3"/>
    <s v="CIF"/>
    <n v="204"/>
    <s v="KG"/>
    <n v="196.73"/>
    <n v="40132.92"/>
    <n v="2610.54"/>
    <n v="6.5047347663713478E-2"/>
    <n v="20"/>
    <d v="2024-04-06T00:00:00"/>
    <d v="2024-04-18T00:00:00"/>
    <n v="12"/>
    <x v="1"/>
    <b v="0"/>
    <n v="166"/>
    <n v="179"/>
    <x v="2"/>
    <x v="1"/>
  </r>
  <r>
    <s v="PED-01240"/>
    <d v="2023-05-30T00:00:00"/>
    <x v="1"/>
    <x v="5"/>
    <n v="22"/>
    <x v="8"/>
    <x v="6"/>
    <s v="SKU-CON-7755"/>
    <x v="2"/>
    <x v="2"/>
    <x v="2"/>
    <s v="FCA"/>
    <n v="499"/>
    <s v="KG"/>
    <n v="230.34"/>
    <n v="114939.66"/>
    <n v="6745.03"/>
    <n v="5.8683225615944919E-2"/>
    <n v="1"/>
    <d v="2023-05-31T00:00:00"/>
    <d v="2023-05-30T00:00:00"/>
    <n v="-1"/>
    <x v="0"/>
    <b v="1"/>
    <n v="164"/>
    <n v="291"/>
    <x v="0"/>
    <x v="0"/>
  </r>
  <r>
    <s v="PED-01241"/>
    <d v="2023-09-08T00:00:00"/>
    <x v="1"/>
    <x v="3"/>
    <n v="36"/>
    <x v="2"/>
    <x v="7"/>
    <s v="SKU-ALI-8054"/>
    <x v="4"/>
    <x v="1"/>
    <x v="3"/>
    <s v="DDP"/>
    <n v="804"/>
    <s v="Unidades"/>
    <n v="72.150000000000006"/>
    <n v="58008.6"/>
    <n v="2396.7600000000002"/>
    <n v="4.1317321914336846E-2"/>
    <n v="20"/>
    <d v="2023-09-28T00:00:00"/>
    <d v="2023-09-23T00:00:00"/>
    <n v="-5"/>
    <x v="0"/>
    <b v="1"/>
    <n v="318"/>
    <n v="206"/>
    <x v="0"/>
    <x v="0"/>
  </r>
  <r>
    <s v="PED-01242"/>
    <d v="2024-06-27T00:00:00"/>
    <x v="0"/>
    <x v="10"/>
    <n v="26"/>
    <x v="7"/>
    <x v="4"/>
    <s v="SKU-TEX-6299"/>
    <x v="3"/>
    <x v="1"/>
    <x v="0"/>
    <s v="EXW"/>
    <n v="890"/>
    <s v="Unidades"/>
    <n v="85.93"/>
    <n v="76477.7"/>
    <n v="1755.14"/>
    <n v="2.2949696447461157E-2"/>
    <n v="17"/>
    <d v="2024-07-14T00:00:00"/>
    <d v="2024-07-13T00:00:00"/>
    <n v="-1"/>
    <x v="0"/>
    <b v="1"/>
    <n v="188"/>
    <n v="488"/>
    <x v="4"/>
    <x v="1"/>
  </r>
  <r>
    <s v="PED-01243"/>
    <d v="2024-02-26T00:00:00"/>
    <x v="0"/>
    <x v="9"/>
    <n v="9"/>
    <x v="8"/>
    <x v="6"/>
    <s v="SKU-CON-4943"/>
    <x v="3"/>
    <x v="3"/>
    <x v="2"/>
    <s v="EXW"/>
    <n v="191"/>
    <s v="Unidades"/>
    <n v="182.51"/>
    <n v="34859.410000000003"/>
    <n v="762.15"/>
    <n v="2.1863536990442464E-2"/>
    <n v="12"/>
    <d v="2024-03-09T00:00:00"/>
    <d v="2024-03-09T00:00:00"/>
    <n v="0"/>
    <x v="0"/>
    <b v="1"/>
    <n v="486"/>
    <n v="293"/>
    <x v="1"/>
    <x v="1"/>
  </r>
  <r>
    <s v="PED-01244"/>
    <d v="2024-08-02T00:00:00"/>
    <x v="0"/>
    <x v="4"/>
    <n v="31"/>
    <x v="9"/>
    <x v="7"/>
    <s v="SKU-ALI-9939"/>
    <x v="2"/>
    <x v="4"/>
    <x v="1"/>
    <s v="FCA"/>
    <n v="971"/>
    <s v="KG"/>
    <n v="113.33"/>
    <n v="110043.43"/>
    <n v="5859.91"/>
    <n v="5.3250884673442113E-2"/>
    <n v="15"/>
    <d v="2024-08-17T00:00:00"/>
    <d v="2024-08-19T00:00:00"/>
    <n v="2"/>
    <x v="1"/>
    <b v="0"/>
    <n v="468"/>
    <n v="427"/>
    <x v="4"/>
    <x v="1"/>
  </r>
  <r>
    <s v="PED-01245"/>
    <d v="2024-11-29T00:00:00"/>
    <x v="0"/>
    <x v="6"/>
    <n v="48"/>
    <x v="2"/>
    <x v="3"/>
    <s v="SKU-QUÍ-4504"/>
    <x v="2"/>
    <x v="5"/>
    <x v="4"/>
    <s v="CIF"/>
    <n v="826"/>
    <s v="Metros"/>
    <n v="93.93"/>
    <n v="77586.179999999993"/>
    <n v="5099.12"/>
    <n v="6.5722013894742595E-2"/>
    <n v="1"/>
    <d v="2024-11-30T00:00:00"/>
    <d v="2024-12-12T00:00:00"/>
    <n v="12"/>
    <x v="2"/>
    <b v="0"/>
    <n v="91"/>
    <n v="337"/>
    <x v="0"/>
    <x v="0"/>
  </r>
  <r>
    <s v="PED-01246"/>
    <d v="2023-07-04T00:00:00"/>
    <x v="1"/>
    <x v="7"/>
    <n v="27"/>
    <x v="3"/>
    <x v="3"/>
    <s v="SKU-QUÍ-7145"/>
    <x v="3"/>
    <x v="3"/>
    <x v="3"/>
    <s v="FCA"/>
    <n v="665"/>
    <s v="Metros"/>
    <n v="147.03"/>
    <n v="97774.95"/>
    <n v="5108.03"/>
    <n v="5.224272679249644E-2"/>
    <n v="26"/>
    <d v="2023-07-30T00:00:00"/>
    <d v="2023-08-04T00:00:00"/>
    <n v="5"/>
    <x v="1"/>
    <b v="0"/>
    <n v="293"/>
    <n v="470"/>
    <x v="2"/>
    <x v="1"/>
  </r>
  <r>
    <s v="PED-01247"/>
    <d v="2023-06-24T00:00:00"/>
    <x v="1"/>
    <x v="10"/>
    <n v="25"/>
    <x v="0"/>
    <x v="7"/>
    <s v="SKU-ALI-5162"/>
    <x v="2"/>
    <x v="2"/>
    <x v="3"/>
    <s v="FOB"/>
    <n v="907"/>
    <s v="Unidades"/>
    <n v="114.05"/>
    <n v="103443.35"/>
    <n v="7287.28"/>
    <n v="7.0447061120893703E-2"/>
    <n v="14"/>
    <d v="2023-07-08T00:00:00"/>
    <d v="2023-07-08T00:00:00"/>
    <n v="0"/>
    <x v="0"/>
    <b v="1"/>
    <n v="375"/>
    <n v="174"/>
    <x v="0"/>
    <x v="0"/>
  </r>
  <r>
    <s v="PED-01248"/>
    <d v="2023-06-29T00:00:00"/>
    <x v="1"/>
    <x v="10"/>
    <n v="26"/>
    <x v="4"/>
    <x v="1"/>
    <s v="SKU-FAR-6898"/>
    <x v="3"/>
    <x v="3"/>
    <x v="3"/>
    <s v="DDP"/>
    <n v="325"/>
    <s v="Unidades"/>
    <n v="167"/>
    <n v="54275"/>
    <n v="1194.3499999999999"/>
    <n v="2.2005527406725008E-2"/>
    <n v="6"/>
    <d v="2023-07-05T00:00:00"/>
    <d v="2023-07-05T00:00:00"/>
    <n v="0"/>
    <x v="0"/>
    <b v="1"/>
    <n v="288"/>
    <n v="28"/>
    <x v="0"/>
    <x v="0"/>
  </r>
  <r>
    <s v="PED-01249"/>
    <d v="2023-03-22T00:00:00"/>
    <x v="1"/>
    <x v="8"/>
    <n v="12"/>
    <x v="0"/>
    <x v="2"/>
    <s v="SKU-AUT-8412"/>
    <x v="0"/>
    <x v="1"/>
    <x v="3"/>
    <s v="FCA"/>
    <n v="703"/>
    <s v="KG"/>
    <n v="1179.73"/>
    <n v="829350.19"/>
    <n v="34836.959999999999"/>
    <n v="4.2005126929554333E-2"/>
    <n v="5"/>
    <d v="2023-03-27T00:00:00"/>
    <d v="2023-03-27T00:00:00"/>
    <n v="0"/>
    <x v="0"/>
    <b v="1"/>
    <n v="74"/>
    <n v="178"/>
    <x v="4"/>
    <x v="1"/>
  </r>
  <r>
    <s v="PED-01250"/>
    <d v="2024-09-16T00:00:00"/>
    <x v="0"/>
    <x v="3"/>
    <n v="38"/>
    <x v="6"/>
    <x v="2"/>
    <s v="SKU-AUT-8331"/>
    <x v="2"/>
    <x v="3"/>
    <x v="0"/>
    <s v="EXW"/>
    <n v="39"/>
    <s v="Litros"/>
    <n v="849.85"/>
    <n v="33144.15"/>
    <n v="1134.33"/>
    <n v="3.4224139101470388E-2"/>
    <n v="11"/>
    <d v="2024-09-27T00:00:00"/>
    <d v="2024-09-26T00:00:00"/>
    <n v="-1"/>
    <x v="0"/>
    <b v="1"/>
    <n v="44"/>
    <n v="40"/>
    <x v="0"/>
    <x v="0"/>
  </r>
  <r>
    <s v="PED-01251"/>
    <d v="2024-01-27T00:00:00"/>
    <x v="0"/>
    <x v="2"/>
    <n v="4"/>
    <x v="1"/>
    <x v="1"/>
    <s v="SKU-FAR-7505"/>
    <x v="0"/>
    <x v="3"/>
    <x v="0"/>
    <s v="EXW"/>
    <n v="605"/>
    <s v="Cajas"/>
    <n v="291.31"/>
    <n v="176242.55"/>
    <n v="8254.56"/>
    <n v="4.6836362728523845E-2"/>
    <n v="4"/>
    <d v="2024-01-31T00:00:00"/>
    <d v="2024-01-31T00:00:00"/>
    <n v="0"/>
    <x v="0"/>
    <b v="1"/>
    <n v="427"/>
    <n v="469"/>
    <x v="0"/>
    <x v="0"/>
  </r>
  <r>
    <s v="PED-01252"/>
    <d v="2024-09-26T00:00:00"/>
    <x v="0"/>
    <x v="3"/>
    <n v="39"/>
    <x v="7"/>
    <x v="0"/>
    <s v="SKU-MAQ-1003"/>
    <x v="0"/>
    <x v="5"/>
    <x v="0"/>
    <s v="FOB"/>
    <n v="687"/>
    <s v="Palés"/>
    <n v="1862.18"/>
    <n v="1279317.6599999999"/>
    <n v="31141.9"/>
    <n v="2.4342585875035919E-2"/>
    <n v="13"/>
    <d v="2024-10-09T00:00:00"/>
    <d v="2024-10-10T00:00:00"/>
    <n v="1"/>
    <x v="2"/>
    <b v="0"/>
    <n v="384"/>
    <n v="191"/>
    <x v="0"/>
    <x v="0"/>
  </r>
  <r>
    <s v="PED-01253"/>
    <d v="2024-11-30T00:00:00"/>
    <x v="0"/>
    <x v="6"/>
    <n v="48"/>
    <x v="6"/>
    <x v="2"/>
    <s v="SKU-AUT-1567"/>
    <x v="2"/>
    <x v="1"/>
    <x v="0"/>
    <s v="CIF"/>
    <n v="805"/>
    <s v="Metros"/>
    <n v="753.02"/>
    <n v="606181.1"/>
    <n v="46826.22"/>
    <n v="7.7247904957775823E-2"/>
    <n v="11"/>
    <d v="2024-12-11T00:00:00"/>
    <d v="2024-12-06T00:00:00"/>
    <n v="-5"/>
    <x v="0"/>
    <b v="1"/>
    <n v="52"/>
    <n v="343"/>
    <x v="3"/>
    <x v="1"/>
  </r>
  <r>
    <s v="PED-01254"/>
    <d v="2023-09-04T00:00:00"/>
    <x v="1"/>
    <x v="3"/>
    <n v="36"/>
    <x v="6"/>
    <x v="3"/>
    <s v="SKU-QUÍ-5660"/>
    <x v="3"/>
    <x v="0"/>
    <x v="2"/>
    <s v="FCA"/>
    <n v="802"/>
    <s v="Metros"/>
    <n v="102.08"/>
    <n v="81868.160000000003"/>
    <n v="2734.01"/>
    <n v="3.3395278457461361E-2"/>
    <n v="3"/>
    <d v="2023-09-07T00:00:00"/>
    <d v="2023-09-08T00:00:00"/>
    <n v="1"/>
    <x v="1"/>
    <b v="0"/>
    <n v="174"/>
    <n v="236"/>
    <x v="1"/>
    <x v="1"/>
  </r>
  <r>
    <s v="PED-01255"/>
    <d v="2024-05-24T00:00:00"/>
    <x v="0"/>
    <x v="5"/>
    <n v="21"/>
    <x v="7"/>
    <x v="4"/>
    <s v="SKU-TEX-1267"/>
    <x v="5"/>
    <x v="0"/>
    <x v="0"/>
    <s v="DAP"/>
    <n v="105"/>
    <s v="KG"/>
    <n v="56.58"/>
    <n v="5940.9"/>
    <n v="447.58"/>
    <n v="7.5338753387533874E-2"/>
    <n v="1"/>
    <d v="2024-05-25T00:00:00"/>
    <d v="2024-05-25T00:00:00"/>
    <n v="0"/>
    <x v="0"/>
    <b v="1"/>
    <n v="160"/>
    <n v="303"/>
    <x v="0"/>
    <x v="0"/>
  </r>
  <r>
    <s v="PED-01256"/>
    <d v="2024-08-20T00:00:00"/>
    <x v="0"/>
    <x v="4"/>
    <n v="34"/>
    <x v="1"/>
    <x v="1"/>
    <s v="SKU-FAR-9480"/>
    <x v="3"/>
    <x v="1"/>
    <x v="2"/>
    <s v="CIF"/>
    <n v="390"/>
    <s v="KG"/>
    <n v="154.88"/>
    <n v="60403.199999999997"/>
    <n v="2751.58"/>
    <n v="4.5553546831955921E-2"/>
    <n v="6"/>
    <d v="2024-08-26T00:00:00"/>
    <d v="2024-08-23T00:00:00"/>
    <n v="-3"/>
    <x v="0"/>
    <b v="1"/>
    <n v="66"/>
    <n v="460"/>
    <x v="0"/>
    <x v="0"/>
  </r>
  <r>
    <s v="PED-01257"/>
    <d v="2023-05-27T00:00:00"/>
    <x v="1"/>
    <x v="5"/>
    <n v="21"/>
    <x v="3"/>
    <x v="5"/>
    <s v="SKU-ELE-3213"/>
    <x v="1"/>
    <x v="0"/>
    <x v="1"/>
    <s v="EXW"/>
    <n v="787"/>
    <s v="Palés"/>
    <n v="407.55"/>
    <n v="320741.84999999998"/>
    <n v="25380.77"/>
    <n v="7.9131457276311157E-2"/>
    <n v="18"/>
    <d v="2023-06-14T00:00:00"/>
    <d v="2023-06-14T00:00:00"/>
    <n v="0"/>
    <x v="0"/>
    <b v="1"/>
    <n v="473"/>
    <n v="224"/>
    <x v="0"/>
    <x v="0"/>
  </r>
  <r>
    <s v="PED-01258"/>
    <d v="2023-08-26T00:00:00"/>
    <x v="1"/>
    <x v="4"/>
    <n v="34"/>
    <x v="1"/>
    <x v="3"/>
    <s v="SKU-QUÍ-5945"/>
    <x v="2"/>
    <x v="2"/>
    <x v="0"/>
    <s v="FCA"/>
    <n v="453"/>
    <s v="Palés"/>
    <n v="94.05"/>
    <n v="42604.65"/>
    <n v="2268.42"/>
    <n v="5.3243483985902944E-2"/>
    <n v="24"/>
    <d v="2023-09-19T00:00:00"/>
    <d v="2023-09-14T00:00:00"/>
    <n v="-5"/>
    <x v="2"/>
    <b v="0"/>
    <n v="398"/>
    <n v="113"/>
    <x v="0"/>
    <x v="0"/>
  </r>
  <r>
    <s v="PED-01259"/>
    <d v="2024-04-17T00:00:00"/>
    <x v="0"/>
    <x v="1"/>
    <n v="16"/>
    <x v="4"/>
    <x v="4"/>
    <s v="SKU-TEX-1107"/>
    <x v="4"/>
    <x v="0"/>
    <x v="1"/>
    <s v="EXW"/>
    <n v="307"/>
    <s v="Unidades"/>
    <n v="62.3"/>
    <n v="19126.099999999999"/>
    <n v="1450.71"/>
    <n v="7.5849755046768566E-2"/>
    <n v="10"/>
    <d v="2024-04-27T00:00:00"/>
    <d v="2024-05-05T00:00:00"/>
    <n v="8"/>
    <x v="2"/>
    <b v="0"/>
    <n v="360"/>
    <n v="277"/>
    <x v="0"/>
    <x v="0"/>
  </r>
  <r>
    <s v="PED-01260"/>
    <d v="2024-10-15T00:00:00"/>
    <x v="0"/>
    <x v="0"/>
    <n v="42"/>
    <x v="0"/>
    <x v="4"/>
    <s v="SKU-TEX-5920"/>
    <x v="2"/>
    <x v="2"/>
    <x v="0"/>
    <s v="DDP"/>
    <n v="817"/>
    <s v="Palés"/>
    <n v="80.19"/>
    <n v="65515.23"/>
    <n v="1331.33"/>
    <n v="2.0320923852362265E-2"/>
    <n v="5"/>
    <d v="2024-10-20T00:00:00"/>
    <d v="2024-11-01T00:00:00"/>
    <n v="12"/>
    <x v="2"/>
    <b v="0"/>
    <n v="269"/>
    <n v="354"/>
    <x v="0"/>
    <x v="0"/>
  </r>
  <r>
    <s v="PED-01261"/>
    <d v="2023-09-18T00:00:00"/>
    <x v="1"/>
    <x v="3"/>
    <n v="38"/>
    <x v="3"/>
    <x v="1"/>
    <s v="SKU-FAR-4635"/>
    <x v="1"/>
    <x v="1"/>
    <x v="1"/>
    <s v="CIF"/>
    <n v="746"/>
    <s v="Cajas"/>
    <n v="162.62"/>
    <n v="121314.52"/>
    <n v="7872.62"/>
    <n v="6.4894292950258545E-2"/>
    <n v="23"/>
    <d v="2023-10-11T00:00:00"/>
    <d v="2023-10-19T00:00:00"/>
    <n v="8"/>
    <x v="2"/>
    <b v="0"/>
    <n v="406"/>
    <n v="16"/>
    <x v="3"/>
    <x v="1"/>
  </r>
  <r>
    <s v="PED-01262"/>
    <d v="2024-04-15T00:00:00"/>
    <x v="0"/>
    <x v="1"/>
    <n v="16"/>
    <x v="5"/>
    <x v="4"/>
    <s v="SKU-TEX-4519"/>
    <x v="0"/>
    <x v="0"/>
    <x v="4"/>
    <s v="DAP"/>
    <n v="854"/>
    <s v="Cajas"/>
    <n v="48.26"/>
    <n v="41214.04"/>
    <n v="3057.38"/>
    <n v="7.4182972598658123E-2"/>
    <n v="10"/>
    <d v="2024-04-25T00:00:00"/>
    <d v="2024-05-03T00:00:00"/>
    <n v="8"/>
    <x v="2"/>
    <b v="0"/>
    <n v="123"/>
    <n v="85"/>
    <x v="1"/>
    <x v="1"/>
  </r>
  <r>
    <s v="PED-01263"/>
    <d v="2023-09-19T00:00:00"/>
    <x v="1"/>
    <x v="3"/>
    <n v="38"/>
    <x v="0"/>
    <x v="1"/>
    <s v="SKU-FAR-6159"/>
    <x v="4"/>
    <x v="0"/>
    <x v="1"/>
    <s v="DDP"/>
    <n v="370"/>
    <s v="Metros"/>
    <n v="242.95"/>
    <n v="89891.5"/>
    <n v="2551.41"/>
    <n v="2.8383217545596633E-2"/>
    <n v="12"/>
    <d v="2023-10-01T00:00:00"/>
    <d v="2023-10-04T00:00:00"/>
    <n v="3"/>
    <x v="1"/>
    <b v="0"/>
    <n v="181"/>
    <n v="388"/>
    <x v="0"/>
    <x v="0"/>
  </r>
  <r>
    <s v="PED-01264"/>
    <d v="2024-11-13T00:00:00"/>
    <x v="0"/>
    <x v="6"/>
    <n v="46"/>
    <x v="3"/>
    <x v="2"/>
    <s v="SKU-AUT-1355"/>
    <x v="4"/>
    <x v="4"/>
    <x v="2"/>
    <s v="DAP"/>
    <n v="383"/>
    <s v="Cajas"/>
    <n v="686.2"/>
    <n v="262814.59999999998"/>
    <n v="6772.09"/>
    <n v="2.576755629253474E-2"/>
    <n v="2"/>
    <d v="2024-11-15T00:00:00"/>
    <d v="2024-11-27T00:00:00"/>
    <n v="12"/>
    <x v="2"/>
    <b v="0"/>
    <n v="375"/>
    <n v="316"/>
    <x v="0"/>
    <x v="0"/>
  </r>
  <r>
    <s v="PED-01265"/>
    <d v="2023-01-10T00:00:00"/>
    <x v="1"/>
    <x v="2"/>
    <n v="2"/>
    <x v="1"/>
    <x v="7"/>
    <s v="SKU-ALI-5521"/>
    <x v="3"/>
    <x v="2"/>
    <x v="3"/>
    <s v="DDP"/>
    <n v="563"/>
    <s v="Cajas"/>
    <n v="62.25"/>
    <n v="35046.75"/>
    <n v="1593.73"/>
    <n v="4.5474402048692103E-2"/>
    <n v="13"/>
    <d v="2023-01-23T00:00:00"/>
    <d v="2023-01-23T00:00:00"/>
    <n v="0"/>
    <x v="0"/>
    <b v="1"/>
    <n v="391"/>
    <n v="344"/>
    <x v="0"/>
    <x v="0"/>
  </r>
  <r>
    <s v="PED-01266"/>
    <d v="2024-04-21T00:00:00"/>
    <x v="0"/>
    <x v="1"/>
    <n v="17"/>
    <x v="7"/>
    <x v="3"/>
    <s v="SKU-QUÍ-9376"/>
    <x v="5"/>
    <x v="2"/>
    <x v="1"/>
    <s v="CIF"/>
    <n v="312"/>
    <s v="Cajas"/>
    <n v="100.02"/>
    <n v="31206.240000000002"/>
    <n v="2372.3200000000002"/>
    <n v="7.6020693297237985E-2"/>
    <n v="8"/>
    <d v="2024-04-29T00:00:00"/>
    <d v="2024-04-24T00:00:00"/>
    <n v="-5"/>
    <x v="0"/>
    <b v="1"/>
    <n v="181"/>
    <n v="389"/>
    <x v="0"/>
    <x v="0"/>
  </r>
  <r>
    <s v="PED-01267"/>
    <d v="2023-10-22T00:00:00"/>
    <x v="1"/>
    <x v="0"/>
    <n v="43"/>
    <x v="1"/>
    <x v="0"/>
    <s v="SKU-MAQ-3534"/>
    <x v="3"/>
    <x v="3"/>
    <x v="3"/>
    <s v="EXW"/>
    <n v="430"/>
    <s v="Unidades"/>
    <n v="2158.48"/>
    <n v="928146.4"/>
    <n v="48767.78"/>
    <n v="5.2543197926534002E-2"/>
    <n v="2"/>
    <d v="2023-10-24T00:00:00"/>
    <d v="2023-10-24T00:00:00"/>
    <n v="0"/>
    <x v="0"/>
    <b v="1"/>
    <n v="35"/>
    <n v="180"/>
    <x v="4"/>
    <x v="1"/>
  </r>
  <r>
    <s v="PED-01268"/>
    <d v="2024-11-24T00:00:00"/>
    <x v="0"/>
    <x v="6"/>
    <n v="48"/>
    <x v="5"/>
    <x v="7"/>
    <s v="SKU-ALI-2544"/>
    <x v="4"/>
    <x v="5"/>
    <x v="4"/>
    <s v="DAP"/>
    <n v="255"/>
    <s v="Metros"/>
    <n v="108.57"/>
    <n v="27685.35"/>
    <n v="1429.88"/>
    <n v="5.164753199797005E-2"/>
    <n v="20"/>
    <d v="2024-12-14T00:00:00"/>
    <d v="2024-12-14T00:00:00"/>
    <n v="0"/>
    <x v="0"/>
    <b v="1"/>
    <n v="211"/>
    <n v="336"/>
    <x v="1"/>
    <x v="1"/>
  </r>
  <r>
    <s v="PED-01269"/>
    <d v="2024-07-13T00:00:00"/>
    <x v="0"/>
    <x v="7"/>
    <n v="28"/>
    <x v="3"/>
    <x v="3"/>
    <s v="SKU-QUÍ-1618"/>
    <x v="4"/>
    <x v="0"/>
    <x v="4"/>
    <s v="CIF"/>
    <n v="729"/>
    <s v="KG"/>
    <n v="117.99"/>
    <n v="86014.71"/>
    <n v="2448.63"/>
    <n v="2.8467572581480537E-2"/>
    <n v="1"/>
    <d v="2024-07-14T00:00:00"/>
    <d v="2024-07-14T00:00:00"/>
    <n v="0"/>
    <x v="0"/>
    <b v="1"/>
    <n v="383"/>
    <n v="350"/>
    <x v="0"/>
    <x v="0"/>
  </r>
  <r>
    <s v="PED-01270"/>
    <d v="2023-06-11T00:00:00"/>
    <x v="1"/>
    <x v="10"/>
    <n v="24"/>
    <x v="4"/>
    <x v="1"/>
    <s v="SKU-FAR-8542"/>
    <x v="5"/>
    <x v="4"/>
    <x v="2"/>
    <s v="DAP"/>
    <n v="246"/>
    <s v="Metros"/>
    <n v="244.93"/>
    <n v="60252.78"/>
    <n v="1207.9100000000001"/>
    <n v="2.0047373747734132E-2"/>
    <n v="5"/>
    <d v="2023-06-16T00:00:00"/>
    <d v="2023-06-16T00:00:00"/>
    <n v="0"/>
    <x v="0"/>
    <b v="1"/>
    <n v="435"/>
    <n v="144"/>
    <x v="4"/>
    <x v="1"/>
  </r>
  <r>
    <s v="PED-01271"/>
    <d v="2023-03-17T00:00:00"/>
    <x v="1"/>
    <x v="8"/>
    <n v="11"/>
    <x v="1"/>
    <x v="3"/>
    <s v="SKU-QUÍ-6827"/>
    <x v="2"/>
    <x v="5"/>
    <x v="2"/>
    <s v="CIF"/>
    <n v="543"/>
    <s v="Metros"/>
    <n v="135.58000000000001"/>
    <n v="73619.94"/>
    <n v="5050.95"/>
    <n v="6.860845037363518E-2"/>
    <n v="9"/>
    <d v="2023-03-26T00:00:00"/>
    <d v="2023-04-03T00:00:00"/>
    <n v="8"/>
    <x v="1"/>
    <b v="0"/>
    <n v="133"/>
    <n v="314"/>
    <x v="0"/>
    <x v="0"/>
  </r>
  <r>
    <s v="PED-01272"/>
    <d v="2024-03-28T00:00:00"/>
    <x v="0"/>
    <x v="8"/>
    <n v="13"/>
    <x v="3"/>
    <x v="2"/>
    <s v="SKU-AUT-3557"/>
    <x v="5"/>
    <x v="4"/>
    <x v="1"/>
    <s v="DDP"/>
    <n v="194"/>
    <s v="Metros"/>
    <n v="993.36"/>
    <n v="192711.84"/>
    <n v="4866.84"/>
    <n v="2.5254493963629842E-2"/>
    <n v="17"/>
    <d v="2024-04-14T00:00:00"/>
    <d v="2024-04-14T00:00:00"/>
    <n v="0"/>
    <x v="0"/>
    <b v="1"/>
    <n v="352"/>
    <n v="224"/>
    <x v="2"/>
    <x v="1"/>
  </r>
  <r>
    <s v="PED-01273"/>
    <d v="2023-12-20T00:00:00"/>
    <x v="1"/>
    <x v="11"/>
    <n v="51"/>
    <x v="0"/>
    <x v="1"/>
    <s v="SKU-FAR-3267"/>
    <x v="0"/>
    <x v="5"/>
    <x v="0"/>
    <s v="CIF"/>
    <n v="477"/>
    <s v="Palés"/>
    <n v="249.23"/>
    <n v="118882.71"/>
    <n v="6898.88"/>
    <n v="5.8030978600672876E-2"/>
    <n v="9"/>
    <d v="2023-12-29T00:00:00"/>
    <d v="2024-01-10T00:00:00"/>
    <n v="12"/>
    <x v="2"/>
    <b v="0"/>
    <n v="411"/>
    <n v="422"/>
    <x v="1"/>
    <x v="1"/>
  </r>
  <r>
    <s v="PED-01274"/>
    <d v="2024-08-24T00:00:00"/>
    <x v="0"/>
    <x v="4"/>
    <n v="34"/>
    <x v="5"/>
    <x v="7"/>
    <s v="SKU-ALI-5341"/>
    <x v="3"/>
    <x v="0"/>
    <x v="4"/>
    <s v="DDP"/>
    <n v="763"/>
    <s v="KG"/>
    <n v="96.24"/>
    <n v="73431.12"/>
    <n v="5498.3"/>
    <n v="7.4876973141632608E-2"/>
    <n v="11"/>
    <d v="2024-09-04T00:00:00"/>
    <d v="2024-09-12T00:00:00"/>
    <n v="8"/>
    <x v="2"/>
    <b v="0"/>
    <n v="177"/>
    <n v="53"/>
    <x v="0"/>
    <x v="0"/>
  </r>
  <r>
    <s v="PED-01275"/>
    <d v="2023-11-03T00:00:00"/>
    <x v="1"/>
    <x v="6"/>
    <n v="44"/>
    <x v="4"/>
    <x v="5"/>
    <s v="SKU-ELE-7014"/>
    <x v="2"/>
    <x v="4"/>
    <x v="3"/>
    <s v="EXW"/>
    <n v="372"/>
    <s v="Palés"/>
    <n v="456.44"/>
    <n v="169795.68"/>
    <n v="5521.61"/>
    <n v="3.2519143007643067E-2"/>
    <n v="15"/>
    <d v="2023-11-18T00:00:00"/>
    <d v="2023-11-19T00:00:00"/>
    <n v="1"/>
    <x v="2"/>
    <b v="0"/>
    <n v="165"/>
    <n v="381"/>
    <x v="2"/>
    <x v="1"/>
  </r>
  <r>
    <s v="PED-01276"/>
    <d v="2024-10-16T00:00:00"/>
    <x v="0"/>
    <x v="0"/>
    <n v="42"/>
    <x v="3"/>
    <x v="5"/>
    <s v="SKU-ELE-5093"/>
    <x v="3"/>
    <x v="2"/>
    <x v="0"/>
    <s v="DDP"/>
    <n v="292"/>
    <s v="Unidades"/>
    <n v="365.6"/>
    <n v="106755.2"/>
    <n v="6396.38"/>
    <n v="5.9916331944486076E-2"/>
    <n v="24"/>
    <d v="2024-11-09T00:00:00"/>
    <d v="2024-11-12T00:00:00"/>
    <n v="3"/>
    <x v="1"/>
    <b v="0"/>
    <n v="413"/>
    <n v="431"/>
    <x v="0"/>
    <x v="0"/>
  </r>
  <r>
    <s v="PED-01277"/>
    <d v="2024-03-10T00:00:00"/>
    <x v="0"/>
    <x v="8"/>
    <n v="11"/>
    <x v="2"/>
    <x v="6"/>
    <s v="SKU-CON-4817"/>
    <x v="5"/>
    <x v="3"/>
    <x v="4"/>
    <s v="FOB"/>
    <n v="562"/>
    <s v="Unidades"/>
    <n v="212.89"/>
    <n v="119644.18"/>
    <n v="2957.83"/>
    <n v="2.4721887851126566E-2"/>
    <n v="6"/>
    <d v="2024-03-16T00:00:00"/>
    <d v="2024-03-21T00:00:00"/>
    <n v="5"/>
    <x v="2"/>
    <b v="0"/>
    <n v="493"/>
    <n v="420"/>
    <x v="4"/>
    <x v="1"/>
  </r>
  <r>
    <s v="PED-01278"/>
    <d v="2024-12-07T00:00:00"/>
    <x v="0"/>
    <x v="11"/>
    <n v="49"/>
    <x v="1"/>
    <x v="6"/>
    <s v="SKU-CON-5198"/>
    <x v="2"/>
    <x v="4"/>
    <x v="1"/>
    <s v="EXW"/>
    <n v="345"/>
    <s v="Litros"/>
    <n v="282.56"/>
    <n v="97483.199999999997"/>
    <n v="5481.02"/>
    <n v="5.6225277791455357E-2"/>
    <n v="23"/>
    <d v="2024-12-30T00:00:00"/>
    <d v="2024-12-30T00:00:00"/>
    <n v="0"/>
    <x v="0"/>
    <b v="1"/>
    <n v="490"/>
    <n v="303"/>
    <x v="2"/>
    <x v="1"/>
  </r>
  <r>
    <s v="PED-01279"/>
    <d v="2023-09-14T00:00:00"/>
    <x v="1"/>
    <x v="3"/>
    <n v="37"/>
    <x v="5"/>
    <x v="3"/>
    <s v="SKU-QUÍ-5920"/>
    <x v="5"/>
    <x v="1"/>
    <x v="4"/>
    <s v="FCA"/>
    <n v="171"/>
    <s v="Litros"/>
    <n v="138.66999999999999"/>
    <n v="23712.57"/>
    <n v="707.49"/>
    <n v="2.983607428465156E-2"/>
    <n v="3"/>
    <d v="2023-09-17T00:00:00"/>
    <d v="2023-09-20T00:00:00"/>
    <n v="3"/>
    <x v="1"/>
    <b v="0"/>
    <n v="336"/>
    <n v="67"/>
    <x v="0"/>
    <x v="0"/>
  </r>
  <r>
    <s v="PED-01280"/>
    <d v="2024-04-12T00:00:00"/>
    <x v="0"/>
    <x v="1"/>
    <n v="15"/>
    <x v="4"/>
    <x v="5"/>
    <s v="SKU-ELE-2505"/>
    <x v="0"/>
    <x v="0"/>
    <x v="2"/>
    <s v="FCA"/>
    <n v="169"/>
    <s v="Unidades"/>
    <n v="682.96"/>
    <n v="115420.24"/>
    <n v="7405.04"/>
    <n v="6.4157205010143797E-2"/>
    <n v="17"/>
    <d v="2024-04-29T00:00:00"/>
    <d v="2024-04-29T00:00:00"/>
    <n v="0"/>
    <x v="0"/>
    <b v="1"/>
    <n v="328"/>
    <n v="106"/>
    <x v="4"/>
    <x v="1"/>
  </r>
  <r>
    <s v="PED-01281"/>
    <d v="2023-11-06T00:00:00"/>
    <x v="1"/>
    <x v="6"/>
    <n v="45"/>
    <x v="4"/>
    <x v="1"/>
    <s v="SKU-FAR-7550"/>
    <x v="1"/>
    <x v="0"/>
    <x v="3"/>
    <s v="CIF"/>
    <n v="483"/>
    <s v="Unidades"/>
    <n v="298.66000000000003"/>
    <n v="144252.78"/>
    <n v="5492.26"/>
    <n v="3.807385895786549E-2"/>
    <n v="5"/>
    <d v="2023-11-11T00:00:00"/>
    <d v="2023-11-16T00:00:00"/>
    <n v="5"/>
    <x v="2"/>
    <b v="0"/>
    <n v="475"/>
    <n v="333"/>
    <x v="0"/>
    <x v="0"/>
  </r>
  <r>
    <s v="PED-01282"/>
    <d v="2023-07-23T00:00:00"/>
    <x v="1"/>
    <x v="7"/>
    <n v="30"/>
    <x v="6"/>
    <x v="4"/>
    <s v="SKU-TEX-4562"/>
    <x v="4"/>
    <x v="1"/>
    <x v="3"/>
    <s v="CIF"/>
    <n v="610"/>
    <s v="Palés"/>
    <n v="49.85"/>
    <n v="30408.5"/>
    <n v="1453.63"/>
    <n v="4.7803410230692081E-2"/>
    <n v="28"/>
    <d v="2023-08-20T00:00:00"/>
    <d v="2023-08-17T00:00:00"/>
    <n v="-3"/>
    <x v="0"/>
    <b v="1"/>
    <n v="437"/>
    <n v="76"/>
    <x v="2"/>
    <x v="1"/>
  </r>
  <r>
    <s v="PED-01283"/>
    <d v="2024-01-29T00:00:00"/>
    <x v="0"/>
    <x v="2"/>
    <n v="5"/>
    <x v="8"/>
    <x v="1"/>
    <s v="SKU-FAR-2264"/>
    <x v="2"/>
    <x v="5"/>
    <x v="2"/>
    <s v="FOB"/>
    <n v="331"/>
    <s v="Unidades"/>
    <n v="250.68"/>
    <n v="82975.08"/>
    <n v="4643.7700000000004"/>
    <n v="5.5965839382137388E-2"/>
    <n v="12"/>
    <d v="2024-02-10T00:00:00"/>
    <d v="2024-02-09T00:00:00"/>
    <n v="-1"/>
    <x v="0"/>
    <b v="1"/>
    <n v="326"/>
    <n v="26"/>
    <x v="0"/>
    <x v="0"/>
  </r>
  <r>
    <s v="PED-01284"/>
    <d v="2024-05-09T00:00:00"/>
    <x v="0"/>
    <x v="5"/>
    <n v="19"/>
    <x v="5"/>
    <x v="4"/>
    <s v="SKU-TEX-6319"/>
    <x v="4"/>
    <x v="3"/>
    <x v="0"/>
    <s v="CIF"/>
    <n v="21"/>
    <s v="KG"/>
    <n v="74.37"/>
    <n v="3302.8089"/>
    <n v="142.36009999999999"/>
    <n v="4.3102735977246516E-2"/>
    <n v="18"/>
    <d v="2024-05-27T00:00:00"/>
    <d v="2024-06-04T00:00:00"/>
    <n v="8"/>
    <x v="2"/>
    <b v="0"/>
    <n v="45"/>
    <n v="343"/>
    <x v="2"/>
    <x v="1"/>
  </r>
  <r>
    <s v="PED-01285"/>
    <d v="2023-04-20T00:00:00"/>
    <x v="1"/>
    <x v="1"/>
    <n v="16"/>
    <x v="4"/>
    <x v="7"/>
    <s v="SKU-ALI-8905"/>
    <x v="1"/>
    <x v="5"/>
    <x v="2"/>
    <s v="EXW"/>
    <n v="433"/>
    <s v="Palés"/>
    <n v="118.72"/>
    <n v="51405.760000000002"/>
    <n v="3315.58"/>
    <n v="6.449821965476242E-2"/>
    <n v="14"/>
    <d v="2023-05-04T00:00:00"/>
    <d v="2023-04-29T00:00:00"/>
    <n v="-5"/>
    <x v="0"/>
    <b v="1"/>
    <n v="155"/>
    <n v="154"/>
    <x v="2"/>
    <x v="1"/>
  </r>
  <r>
    <s v="PED-01286"/>
    <d v="2023-08-31T00:00:00"/>
    <x v="1"/>
    <x v="4"/>
    <n v="35"/>
    <x v="3"/>
    <x v="0"/>
    <s v="SKU-MAQ-3832"/>
    <x v="2"/>
    <x v="1"/>
    <x v="3"/>
    <s v="EXW"/>
    <n v="82"/>
    <s v="Unidades"/>
    <n v="2232.7199999999998"/>
    <n v="183083.04"/>
    <n v="6986.16"/>
    <n v="3.8158422538756183E-2"/>
    <n v="21"/>
    <d v="2023-09-21T00:00:00"/>
    <d v="2023-09-21T00:00:00"/>
    <n v="0"/>
    <x v="0"/>
    <b v="1"/>
    <n v="400"/>
    <n v="71"/>
    <x v="1"/>
    <x v="1"/>
  </r>
  <r>
    <s v="PED-01287"/>
    <d v="2024-01-26T00:00:00"/>
    <x v="0"/>
    <x v="2"/>
    <n v="4"/>
    <x v="6"/>
    <x v="4"/>
    <s v="SKU-TEX-8999"/>
    <x v="4"/>
    <x v="1"/>
    <x v="1"/>
    <s v="DDP"/>
    <n v="597"/>
    <s v="Palés"/>
    <n v="74.959999999999994"/>
    <n v="44751.12"/>
    <n v="2673.54"/>
    <n v="5.9742415385357947E-2"/>
    <n v="24"/>
    <d v="2024-02-19T00:00:00"/>
    <d v="2024-02-19T00:00:00"/>
    <n v="0"/>
    <x v="0"/>
    <b v="1"/>
    <n v="487"/>
    <n v="446"/>
    <x v="2"/>
    <x v="1"/>
  </r>
  <r>
    <s v="PED-01288"/>
    <d v="2024-08-08T00:00:00"/>
    <x v="0"/>
    <x v="4"/>
    <n v="32"/>
    <x v="8"/>
    <x v="5"/>
    <s v="SKU-ELE-2562"/>
    <x v="4"/>
    <x v="3"/>
    <x v="0"/>
    <s v="DAP"/>
    <n v="867"/>
    <s v="Palés"/>
    <n v="447.45"/>
    <n v="387939.15"/>
    <n v="11443.03"/>
    <n v="2.949697136780343E-2"/>
    <n v="11"/>
    <d v="2024-08-19T00:00:00"/>
    <d v="2024-08-14T00:00:00"/>
    <n v="-5"/>
    <x v="0"/>
    <b v="1"/>
    <n v="431"/>
    <n v="179"/>
    <x v="0"/>
    <x v="0"/>
  </r>
  <r>
    <s v="PED-01289"/>
    <d v="2024-01-03T00:00:00"/>
    <x v="0"/>
    <x v="2"/>
    <n v="1"/>
    <x v="0"/>
    <x v="1"/>
    <s v="SKU-FAR-5921"/>
    <x v="2"/>
    <x v="1"/>
    <x v="4"/>
    <s v="CIF"/>
    <n v="210"/>
    <s v="Cajas"/>
    <n v="267.77"/>
    <n v="56231.7"/>
    <n v="3446.28"/>
    <n v="6.1287138749139727E-2"/>
    <n v="9"/>
    <d v="2024-01-12T00:00:00"/>
    <d v="2024-01-20T00:00:00"/>
    <n v="8"/>
    <x v="2"/>
    <b v="0"/>
    <n v="427"/>
    <n v="46"/>
    <x v="0"/>
    <x v="0"/>
  </r>
  <r>
    <s v="PED-01290"/>
    <d v="2024-08-11T00:00:00"/>
    <x v="0"/>
    <x v="4"/>
    <n v="33"/>
    <x v="3"/>
    <x v="7"/>
    <s v="SKU-ALI-1612"/>
    <x v="4"/>
    <x v="1"/>
    <x v="1"/>
    <s v="FOB"/>
    <n v="531"/>
    <s v="Litros"/>
    <n v="62.85"/>
    <n v="33373.35"/>
    <n v="924.15"/>
    <n v="2.7691256646396004E-2"/>
    <n v="2"/>
    <d v="2024-08-13T00:00:00"/>
    <d v="2024-08-12T00:00:00"/>
    <n v="-1"/>
    <x v="0"/>
    <b v="1"/>
    <n v="235"/>
    <n v="241"/>
    <x v="1"/>
    <x v="1"/>
  </r>
  <r>
    <s v="PED-01291"/>
    <d v="2023-10-30T00:00:00"/>
    <x v="1"/>
    <x v="0"/>
    <n v="44"/>
    <x v="1"/>
    <x v="5"/>
    <s v="SKU-ELE-7251"/>
    <x v="4"/>
    <x v="4"/>
    <x v="0"/>
    <s v="FCA"/>
    <n v="873"/>
    <s v="Palés"/>
    <n v="662.28"/>
    <n v="578170.43999999994"/>
    <n v="26319.119999999999"/>
    <n v="4.5521386392566178E-2"/>
    <n v="12"/>
    <d v="2023-11-11T00:00:00"/>
    <d v="2023-11-11T00:00:00"/>
    <n v="0"/>
    <x v="0"/>
    <b v="1"/>
    <n v="315"/>
    <n v="358"/>
    <x v="1"/>
    <x v="1"/>
  </r>
  <r>
    <s v="PED-01292"/>
    <d v="2024-12-17T00:00:00"/>
    <x v="0"/>
    <x v="11"/>
    <n v="51"/>
    <x v="8"/>
    <x v="7"/>
    <s v="SKU-ALI-2285"/>
    <x v="2"/>
    <x v="3"/>
    <x v="3"/>
    <s v="EXW"/>
    <n v="514"/>
    <s v="Metros"/>
    <n v="114.25"/>
    <n v="58724.5"/>
    <n v="2045.51"/>
    <n v="3.4832310194211957E-2"/>
    <n v="3"/>
    <d v="2024-12-20T00:00:00"/>
    <d v="2024-12-19T00:00:00"/>
    <n v="-1"/>
    <x v="0"/>
    <b v="1"/>
    <n v="59"/>
    <n v="276"/>
    <x v="1"/>
    <x v="1"/>
  </r>
  <r>
    <s v="PED-01293"/>
    <d v="2023-10-30T00:00:00"/>
    <x v="1"/>
    <x v="0"/>
    <n v="44"/>
    <x v="5"/>
    <x v="0"/>
    <s v="SKU-MAQ-1916"/>
    <x v="4"/>
    <x v="0"/>
    <x v="3"/>
    <s v="EXW"/>
    <n v="747"/>
    <s v="Palés"/>
    <n v="1509.4"/>
    <n v="1127521.8"/>
    <n v="73179"/>
    <n v="6.4902514523444241E-2"/>
    <n v="3"/>
    <d v="2023-11-02T00:00:00"/>
    <d v="2023-11-07T00:00:00"/>
    <n v="5"/>
    <x v="2"/>
    <b v="0"/>
    <n v="4"/>
    <n v="370"/>
    <x v="0"/>
    <x v="0"/>
  </r>
  <r>
    <s v="PED-01294"/>
    <d v="2023-01-23T00:00:00"/>
    <x v="1"/>
    <x v="2"/>
    <n v="4"/>
    <x v="1"/>
    <x v="2"/>
    <s v="SKU-AUT-6478"/>
    <x v="4"/>
    <x v="5"/>
    <x v="1"/>
    <s v="EXW"/>
    <n v="697"/>
    <s v="Metros"/>
    <n v="963.61"/>
    <n v="671636.17"/>
    <n v="23992.25"/>
    <n v="3.5722093406613281E-2"/>
    <n v="1"/>
    <d v="2023-01-24T00:00:00"/>
    <d v="2023-01-23T00:00:00"/>
    <n v="-1"/>
    <x v="0"/>
    <b v="1"/>
    <n v="452"/>
    <n v="312"/>
    <x v="0"/>
    <x v="0"/>
  </r>
  <r>
    <s v="PED-01295"/>
    <d v="2024-11-05T00:00:00"/>
    <x v="0"/>
    <x v="6"/>
    <n v="45"/>
    <x v="9"/>
    <x v="1"/>
    <s v="SKU-FAR-6700"/>
    <x v="3"/>
    <x v="0"/>
    <x v="0"/>
    <s v="DAP"/>
    <n v="797"/>
    <s v="Cajas"/>
    <n v="208.82"/>
    <n v="166429.54"/>
    <n v="12133.22"/>
    <n v="7.2903043534218739E-2"/>
    <n v="8"/>
    <d v="2024-11-13T00:00:00"/>
    <d v="2024-11-18T00:00:00"/>
    <n v="5"/>
    <x v="1"/>
    <b v="0"/>
    <n v="461"/>
    <n v="104"/>
    <x v="4"/>
    <x v="1"/>
  </r>
  <r>
    <s v="PED-01296"/>
    <d v="2024-02-10T00:00:00"/>
    <x v="0"/>
    <x v="9"/>
    <n v="6"/>
    <x v="9"/>
    <x v="3"/>
    <s v="SKU-QUÍ-8115"/>
    <x v="0"/>
    <x v="0"/>
    <x v="4"/>
    <s v="DAP"/>
    <n v="48"/>
    <s v="Unidades"/>
    <n v="126.03"/>
    <n v="6049.44"/>
    <n v="444.69"/>
    <n v="7.3509283503927644E-2"/>
    <n v="22"/>
    <d v="2024-03-03T00:00:00"/>
    <d v="2024-03-02T00:00:00"/>
    <n v="-1"/>
    <x v="0"/>
    <b v="1"/>
    <n v="453"/>
    <n v="458"/>
    <x v="4"/>
    <x v="1"/>
  </r>
  <r>
    <s v="PED-01297"/>
    <d v="2023-10-09T00:00:00"/>
    <x v="1"/>
    <x v="0"/>
    <n v="41"/>
    <x v="5"/>
    <x v="1"/>
    <s v="SKU-FAR-7824"/>
    <x v="3"/>
    <x v="4"/>
    <x v="4"/>
    <s v="CIF"/>
    <n v="69"/>
    <s v="Palés"/>
    <n v="189.66"/>
    <n v="13086.54"/>
    <n v="415.98"/>
    <n v="3.1786858864145909E-2"/>
    <n v="28"/>
    <d v="2023-11-06T00:00:00"/>
    <d v="2023-11-06T00:00:00"/>
    <n v="0"/>
    <x v="0"/>
    <b v="1"/>
    <n v="390"/>
    <n v="94"/>
    <x v="0"/>
    <x v="0"/>
  </r>
  <r>
    <s v="PED-01298"/>
    <d v="2023-01-09T00:00:00"/>
    <x v="1"/>
    <x v="2"/>
    <n v="2"/>
    <x v="0"/>
    <x v="6"/>
    <s v="SKU-CON-2974"/>
    <x v="1"/>
    <x v="5"/>
    <x v="2"/>
    <s v="FCA"/>
    <n v="587"/>
    <s v="Cajas"/>
    <n v="261.94"/>
    <n v="153758.78"/>
    <n v="8738.23"/>
    <n v="5.6830770899717074E-2"/>
    <n v="29"/>
    <d v="2023-02-07T00:00:00"/>
    <d v="2023-02-07T00:00:00"/>
    <n v="0"/>
    <x v="0"/>
    <b v="1"/>
    <n v="180"/>
    <n v="218"/>
    <x v="2"/>
    <x v="1"/>
  </r>
  <r>
    <s v="PED-01299"/>
    <d v="2024-08-02T00:00:00"/>
    <x v="0"/>
    <x v="4"/>
    <n v="31"/>
    <x v="8"/>
    <x v="0"/>
    <s v="SKU-MAQ-4714"/>
    <x v="3"/>
    <x v="0"/>
    <x v="1"/>
    <s v="FOB"/>
    <n v="330"/>
    <s v="KG"/>
    <n v="2173.41"/>
    <n v="717225.3"/>
    <n v="18119.3"/>
    <n v="2.5263051930822851E-2"/>
    <n v="8"/>
    <d v="2024-08-10T00:00:00"/>
    <d v="2024-08-10T00:00:00"/>
    <n v="0"/>
    <x v="0"/>
    <b v="1"/>
    <n v="144"/>
    <n v="169"/>
    <x v="0"/>
    <x v="0"/>
  </r>
  <r>
    <s v="PED-01300"/>
    <d v="2024-12-03T00:00:00"/>
    <x v="0"/>
    <x v="11"/>
    <n v="49"/>
    <x v="6"/>
    <x v="1"/>
    <s v="SKU-FAR-1187"/>
    <x v="3"/>
    <x v="3"/>
    <x v="0"/>
    <s v="DAP"/>
    <n v="444"/>
    <s v="Cajas"/>
    <n v="290.52"/>
    <n v="128990.88"/>
    <n v="5610.1"/>
    <n v="4.3492222085778472E-2"/>
    <n v="11"/>
    <d v="2024-12-14T00:00:00"/>
    <d v="2024-12-09T00:00:00"/>
    <n v="-5"/>
    <x v="0"/>
    <b v="1"/>
    <n v="314"/>
    <n v="365"/>
    <x v="0"/>
    <x v="0"/>
  </r>
  <r>
    <s v="PED-01301"/>
    <d v="2023-02-20T00:00:00"/>
    <x v="1"/>
    <x v="9"/>
    <n v="8"/>
    <x v="2"/>
    <x v="6"/>
    <s v="SKU-CON-7266"/>
    <x v="1"/>
    <x v="5"/>
    <x v="1"/>
    <s v="DDP"/>
    <n v="645"/>
    <s v="Litros"/>
    <n v="167.97"/>
    <n v="108340.65"/>
    <n v="6803.72"/>
    <n v="6.2799327860779866E-2"/>
    <n v="9"/>
    <d v="2023-03-01T00:00:00"/>
    <d v="2023-03-01T00:00:00"/>
    <n v="0"/>
    <x v="0"/>
    <b v="1"/>
    <n v="264"/>
    <n v="431"/>
    <x v="0"/>
    <x v="0"/>
  </r>
  <r>
    <s v="PED-01302"/>
    <d v="2024-09-12T00:00:00"/>
    <x v="0"/>
    <x v="3"/>
    <n v="37"/>
    <x v="4"/>
    <x v="3"/>
    <s v="SKU-QUÍ-1886"/>
    <x v="4"/>
    <x v="2"/>
    <x v="4"/>
    <s v="DAP"/>
    <n v="685"/>
    <s v="Litros"/>
    <n v="167.98"/>
    <n v="115066.3"/>
    <n v="6853.97"/>
    <n v="5.9565398383366809E-2"/>
    <n v="5"/>
    <d v="2024-09-17T00:00:00"/>
    <d v="2024-09-22T00:00:00"/>
    <n v="5"/>
    <x v="2"/>
    <b v="0"/>
    <n v="222"/>
    <n v="282"/>
    <x v="4"/>
    <x v="1"/>
  </r>
  <r>
    <s v="PED-01303"/>
    <d v="2024-05-23T00:00:00"/>
    <x v="0"/>
    <x v="5"/>
    <n v="21"/>
    <x v="2"/>
    <x v="4"/>
    <s v="SKU-TEX-5993"/>
    <x v="4"/>
    <x v="4"/>
    <x v="0"/>
    <s v="EXW"/>
    <n v="417"/>
    <s v="Unidades"/>
    <n v="77.400000000000006"/>
    <n v="32275.8"/>
    <n v="1855.28"/>
    <n v="5.748207635442034E-2"/>
    <n v="14"/>
    <d v="2024-06-06T00:00:00"/>
    <d v="2024-06-06T00:00:00"/>
    <n v="0"/>
    <x v="0"/>
    <b v="1"/>
    <n v="405"/>
    <n v="127"/>
    <x v="0"/>
    <x v="0"/>
  </r>
  <r>
    <s v="PED-01304"/>
    <d v="2023-10-21T00:00:00"/>
    <x v="1"/>
    <x v="0"/>
    <n v="42"/>
    <x v="9"/>
    <x v="7"/>
    <s v="SKU-ALI-9591"/>
    <x v="3"/>
    <x v="0"/>
    <x v="3"/>
    <s v="FOB"/>
    <n v="932"/>
    <s v="Metros"/>
    <n v="72.180000000000007"/>
    <n v="67271.759999999995"/>
    <n v="2485.86"/>
    <n v="3.6952504290061687E-2"/>
    <n v="28"/>
    <d v="2023-11-18T00:00:00"/>
    <d v="2023-11-18T00:00:00"/>
    <n v="0"/>
    <x v="0"/>
    <b v="1"/>
    <n v="300"/>
    <n v="199"/>
    <x v="0"/>
    <x v="0"/>
  </r>
  <r>
    <s v="PED-01305"/>
    <d v="2023-08-24T00:00:00"/>
    <x v="1"/>
    <x v="4"/>
    <n v="34"/>
    <x v="9"/>
    <x v="3"/>
    <s v="SKU-QUÍ-1674"/>
    <x v="1"/>
    <x v="1"/>
    <x v="3"/>
    <s v="CIF"/>
    <n v="395"/>
    <s v="Unidades"/>
    <n v="90.46"/>
    <n v="35731.699999999997"/>
    <n v="1525.08"/>
    <n v="4.2681428535446118E-2"/>
    <n v="3"/>
    <d v="2023-08-27T00:00:00"/>
    <d v="2023-08-27T00:00:00"/>
    <n v="0"/>
    <x v="0"/>
    <b v="1"/>
    <n v="456"/>
    <n v="416"/>
    <x v="2"/>
    <x v="1"/>
  </r>
  <r>
    <s v="PED-01306"/>
    <d v="2024-09-13T00:00:00"/>
    <x v="0"/>
    <x v="3"/>
    <n v="37"/>
    <x v="0"/>
    <x v="5"/>
    <s v="SKU-ELE-6231"/>
    <x v="4"/>
    <x v="5"/>
    <x v="0"/>
    <s v="DAP"/>
    <n v="680"/>
    <s v="Metros"/>
    <n v="457.2"/>
    <n v="310896"/>
    <n v="8138.25"/>
    <n v="2.6176760074108383E-2"/>
    <n v="21"/>
    <d v="2024-10-04T00:00:00"/>
    <d v="2024-10-09T00:00:00"/>
    <n v="5"/>
    <x v="1"/>
    <b v="0"/>
    <n v="442"/>
    <n v="331"/>
    <x v="3"/>
    <x v="1"/>
  </r>
  <r>
    <s v="PED-01307"/>
    <d v="2023-12-27T00:00:00"/>
    <x v="1"/>
    <x v="11"/>
    <n v="52"/>
    <x v="2"/>
    <x v="0"/>
    <s v="SKU-MAQ-9846"/>
    <x v="5"/>
    <x v="2"/>
    <x v="1"/>
    <s v="EXW"/>
    <n v="578"/>
    <s v="Metros"/>
    <n v="2144.65"/>
    <n v="1239607.7"/>
    <n v="78270.53"/>
    <n v="6.3141371258019774E-2"/>
    <n v="5"/>
    <d v="2024-01-01T00:00:00"/>
    <d v="2024-01-01T00:00:00"/>
    <n v="0"/>
    <x v="0"/>
    <b v="1"/>
    <n v="335"/>
    <n v="34"/>
    <x v="3"/>
    <x v="1"/>
  </r>
  <r>
    <s v="PED-01308"/>
    <d v="2023-08-13T00:00:00"/>
    <x v="1"/>
    <x v="4"/>
    <n v="33"/>
    <x v="2"/>
    <x v="4"/>
    <s v="SKU-TEX-3450"/>
    <x v="2"/>
    <x v="1"/>
    <x v="1"/>
    <s v="DDP"/>
    <n v="87"/>
    <s v="Metros"/>
    <n v="72.39"/>
    <n v="6297.93"/>
    <n v="316.37"/>
    <n v="5.023396576335399E-2"/>
    <n v="5"/>
    <d v="2023-08-18T00:00:00"/>
    <d v="2023-08-19T00:00:00"/>
    <n v="1"/>
    <x v="1"/>
    <b v="0"/>
    <n v="483"/>
    <n v="353"/>
    <x v="0"/>
    <x v="0"/>
  </r>
  <r>
    <s v="PED-01309"/>
    <d v="2024-10-13T00:00:00"/>
    <x v="0"/>
    <x v="0"/>
    <n v="42"/>
    <x v="6"/>
    <x v="5"/>
    <s v="SKU-ELE-6354"/>
    <x v="2"/>
    <x v="2"/>
    <x v="3"/>
    <s v="DDP"/>
    <n v="203"/>
    <s v="Metros"/>
    <n v="638.41999999999996"/>
    <n v="129599.26"/>
    <n v="8103.32"/>
    <n v="6.2525974299544609E-2"/>
    <n v="19"/>
    <d v="2024-11-01T00:00:00"/>
    <d v="2024-11-02T00:00:00"/>
    <n v="1"/>
    <x v="1"/>
    <b v="0"/>
    <n v="481"/>
    <n v="143"/>
    <x v="0"/>
    <x v="0"/>
  </r>
  <r>
    <s v="PED-01310"/>
    <d v="2023-07-14T00:00:00"/>
    <x v="1"/>
    <x v="7"/>
    <n v="28"/>
    <x v="0"/>
    <x v="5"/>
    <s v="SKU-ELE-9231"/>
    <x v="0"/>
    <x v="0"/>
    <x v="3"/>
    <s v="CIF"/>
    <n v="294"/>
    <s v="Litros"/>
    <n v="452.86"/>
    <n v="133140.84"/>
    <n v="4651.49"/>
    <n v="3.4936612988171023E-2"/>
    <n v="27"/>
    <d v="2023-08-10T00:00:00"/>
    <d v="2023-08-07T00:00:00"/>
    <n v="-3"/>
    <x v="0"/>
    <b v="1"/>
    <n v="236"/>
    <n v="291"/>
    <x v="0"/>
    <x v="0"/>
  </r>
  <r>
    <s v="PED-01311"/>
    <d v="2024-09-27T00:00:00"/>
    <x v="0"/>
    <x v="3"/>
    <n v="39"/>
    <x v="0"/>
    <x v="0"/>
    <s v="SKU-MAQ-4617"/>
    <x v="2"/>
    <x v="1"/>
    <x v="4"/>
    <s v="CIF"/>
    <n v="536"/>
    <s v="Litros"/>
    <n v="1913.27"/>
    <n v="1025512.72"/>
    <n v="40473.19"/>
    <n v="3.9466297404872758E-2"/>
    <n v="14"/>
    <d v="2024-10-11T00:00:00"/>
    <d v="2024-10-10T00:00:00"/>
    <n v="-1"/>
    <x v="0"/>
    <b v="1"/>
    <n v="12"/>
    <n v="65"/>
    <x v="0"/>
    <x v="0"/>
  </r>
  <r>
    <s v="PED-01312"/>
    <d v="2023-09-14T00:00:00"/>
    <x v="1"/>
    <x v="3"/>
    <n v="37"/>
    <x v="5"/>
    <x v="4"/>
    <s v="SKU-TEX-3509"/>
    <x v="3"/>
    <x v="0"/>
    <x v="0"/>
    <s v="DAP"/>
    <n v="533"/>
    <s v="Palés"/>
    <n v="43.35"/>
    <n v="23105.55"/>
    <n v="925.44"/>
    <n v="4.0052714607529363E-2"/>
    <n v="26"/>
    <d v="2023-10-10T00:00:00"/>
    <d v="2023-10-05T00:00:00"/>
    <n v="-5"/>
    <x v="0"/>
    <b v="1"/>
    <n v="338"/>
    <n v="459"/>
    <x v="0"/>
    <x v="0"/>
  </r>
  <r>
    <s v="PED-01313"/>
    <d v="2024-11-25T00:00:00"/>
    <x v="0"/>
    <x v="6"/>
    <n v="48"/>
    <x v="1"/>
    <x v="2"/>
    <s v="SKU-AUT-1827"/>
    <x v="2"/>
    <x v="1"/>
    <x v="1"/>
    <s v="CIF"/>
    <n v="622"/>
    <s v="Litros"/>
    <n v="800.21"/>
    <n v="497730.62"/>
    <n v="10723.38"/>
    <n v="2.1544545521430848E-2"/>
    <n v="4"/>
    <d v="2024-11-29T00:00:00"/>
    <d v="2024-12-01T00:00:00"/>
    <n v="2"/>
    <x v="1"/>
    <b v="0"/>
    <n v="267"/>
    <n v="218"/>
    <x v="4"/>
    <x v="1"/>
  </r>
  <r>
    <s v="PED-01314"/>
    <d v="2024-11-06T00:00:00"/>
    <x v="0"/>
    <x v="6"/>
    <n v="45"/>
    <x v="0"/>
    <x v="5"/>
    <s v="SKU-ELE-7436"/>
    <x v="2"/>
    <x v="5"/>
    <x v="4"/>
    <s v="FCA"/>
    <n v="165"/>
    <s v="Unidades"/>
    <n v="600.70000000000005"/>
    <n v="99115.5"/>
    <n v="4010.5"/>
    <n v="4.0462894300084248E-2"/>
    <n v="25"/>
    <d v="2024-12-01T00:00:00"/>
    <d v="2024-12-04T00:00:00"/>
    <n v="3"/>
    <x v="2"/>
    <b v="0"/>
    <n v="419"/>
    <n v="55"/>
    <x v="0"/>
    <x v="0"/>
  </r>
  <r>
    <s v="PED-01315"/>
    <d v="2024-11-28T00:00:00"/>
    <x v="0"/>
    <x v="6"/>
    <n v="48"/>
    <x v="0"/>
    <x v="5"/>
    <s v="SKU-ELE-8300"/>
    <x v="5"/>
    <x v="3"/>
    <x v="1"/>
    <s v="FCA"/>
    <n v="349"/>
    <s v="Litros"/>
    <n v="408.44"/>
    <n v="142545.56"/>
    <n v="9721.36"/>
    <n v="6.8198265873731886E-2"/>
    <n v="13"/>
    <d v="2024-12-11T00:00:00"/>
    <d v="2024-12-11T00:00:00"/>
    <n v="0"/>
    <x v="0"/>
    <b v="1"/>
    <n v="265"/>
    <n v="144"/>
    <x v="2"/>
    <x v="1"/>
  </r>
  <r>
    <s v="PED-01316"/>
    <d v="2023-05-21T00:00:00"/>
    <x v="1"/>
    <x v="5"/>
    <n v="21"/>
    <x v="3"/>
    <x v="4"/>
    <s v="SKU-TEX-9269"/>
    <x v="4"/>
    <x v="3"/>
    <x v="3"/>
    <s v="EXW"/>
    <n v="134"/>
    <s v="Unidades"/>
    <n v="81.5"/>
    <n v="10921"/>
    <n v="806.38"/>
    <n v="7.3837560662942947E-2"/>
    <n v="10"/>
    <d v="2023-05-31T00:00:00"/>
    <d v="2023-05-31T00:00:00"/>
    <n v="0"/>
    <x v="2"/>
    <b v="0"/>
    <n v="15"/>
    <n v="403"/>
    <x v="0"/>
    <x v="0"/>
  </r>
  <r>
    <s v="PED-01317"/>
    <d v="2024-10-05T00:00:00"/>
    <x v="0"/>
    <x v="0"/>
    <n v="40"/>
    <x v="8"/>
    <x v="1"/>
    <s v="SKU-FAR-2475"/>
    <x v="5"/>
    <x v="2"/>
    <x v="0"/>
    <s v="EXW"/>
    <n v="880"/>
    <s v="KG"/>
    <n v="177.61"/>
    <n v="156296.79999999999"/>
    <n v="7985.69"/>
    <n v="5.109311259091677E-2"/>
    <n v="25"/>
    <d v="2024-10-30T00:00:00"/>
    <d v="2024-11-02T00:00:00"/>
    <n v="3"/>
    <x v="1"/>
    <b v="0"/>
    <n v="91"/>
    <n v="212"/>
    <x v="2"/>
    <x v="1"/>
  </r>
  <r>
    <s v="PED-01318"/>
    <d v="2023-04-10T00:00:00"/>
    <x v="1"/>
    <x v="1"/>
    <n v="15"/>
    <x v="8"/>
    <x v="5"/>
    <s v="SKU-ELE-4638"/>
    <x v="3"/>
    <x v="4"/>
    <x v="2"/>
    <s v="EXW"/>
    <n v="289"/>
    <s v="Litros"/>
    <n v="610.91"/>
    <n v="176552.99"/>
    <n v="8356.27"/>
    <n v="4.7330096193782957E-2"/>
    <n v="18"/>
    <d v="2023-04-28T00:00:00"/>
    <d v="2023-04-28T00:00:00"/>
    <n v="0"/>
    <x v="0"/>
    <b v="1"/>
    <n v="247"/>
    <n v="93"/>
    <x v="4"/>
    <x v="1"/>
  </r>
  <r>
    <s v="PED-01319"/>
    <d v="2024-10-04T00:00:00"/>
    <x v="0"/>
    <x v="0"/>
    <n v="40"/>
    <x v="7"/>
    <x v="7"/>
    <s v="SKU-ALI-8076"/>
    <x v="2"/>
    <x v="1"/>
    <x v="0"/>
    <s v="FCA"/>
    <n v="926"/>
    <s v="Unidades"/>
    <n v="81.93"/>
    <n v="75867.179999999993"/>
    <n v="1657.66"/>
    <n v="2.1849500666823261E-2"/>
    <n v="8"/>
    <d v="2024-10-12T00:00:00"/>
    <d v="2024-10-24T00:00:00"/>
    <n v="12"/>
    <x v="1"/>
    <b v="0"/>
    <n v="18"/>
    <n v="105"/>
    <x v="4"/>
    <x v="1"/>
  </r>
  <r>
    <s v="PED-01320"/>
    <d v="2024-10-23T00:00:00"/>
    <x v="0"/>
    <x v="0"/>
    <n v="43"/>
    <x v="2"/>
    <x v="4"/>
    <s v="SKU-TEX-5747"/>
    <x v="4"/>
    <x v="0"/>
    <x v="2"/>
    <s v="DAP"/>
    <n v="915"/>
    <s v="Metros"/>
    <n v="70.61"/>
    <n v="64608.15"/>
    <n v="4700.3900000000003"/>
    <n v="7.275227660906558E-2"/>
    <n v="8"/>
    <d v="2024-10-31T00:00:00"/>
    <d v="2024-11-12T00:00:00"/>
    <n v="12"/>
    <x v="2"/>
    <b v="0"/>
    <n v="359"/>
    <n v="83"/>
    <x v="1"/>
    <x v="1"/>
  </r>
  <r>
    <s v="PED-01321"/>
    <d v="2023-02-10T00:00:00"/>
    <x v="1"/>
    <x v="9"/>
    <n v="6"/>
    <x v="4"/>
    <x v="5"/>
    <s v="SKU-ELE-7460"/>
    <x v="0"/>
    <x v="4"/>
    <x v="4"/>
    <s v="DAP"/>
    <n v="631"/>
    <s v="Cajas"/>
    <n v="392.98"/>
    <n v="247970.38"/>
    <n v="5152.9799999999996"/>
    <n v="2.0780627105543813E-2"/>
    <n v="7"/>
    <d v="2023-02-17T00:00:00"/>
    <d v="2023-03-01T00:00:00"/>
    <n v="12"/>
    <x v="2"/>
    <b v="0"/>
    <n v="389"/>
    <n v="135"/>
    <x v="2"/>
    <x v="1"/>
  </r>
  <r>
    <s v="PED-01322"/>
    <d v="2023-11-13T00:00:00"/>
    <x v="1"/>
    <x v="6"/>
    <n v="46"/>
    <x v="2"/>
    <x v="0"/>
    <s v="SKU-MAQ-3425"/>
    <x v="0"/>
    <x v="5"/>
    <x v="2"/>
    <s v="CIF"/>
    <n v="855"/>
    <s v="Metros"/>
    <n v="1070.3"/>
    <n v="915106.5"/>
    <n v="70174.95"/>
    <n v="7.6685008794058387E-2"/>
    <n v="8"/>
    <d v="2023-11-21T00:00:00"/>
    <d v="2023-11-24T00:00:00"/>
    <n v="3"/>
    <x v="2"/>
    <b v="0"/>
    <n v="387"/>
    <n v="145"/>
    <x v="4"/>
    <x v="1"/>
  </r>
  <r>
    <s v="PED-01323"/>
    <d v="2024-03-27T00:00:00"/>
    <x v="0"/>
    <x v="8"/>
    <n v="13"/>
    <x v="5"/>
    <x v="3"/>
    <s v="SKU-QUÍ-3165"/>
    <x v="2"/>
    <x v="5"/>
    <x v="2"/>
    <s v="DAP"/>
    <n v="878"/>
    <s v="Palés"/>
    <n v="171.32"/>
    <n v="150418.96"/>
    <n v="7423.62"/>
    <n v="4.9352953909533745E-2"/>
    <n v="14"/>
    <d v="2024-04-10T00:00:00"/>
    <d v="2024-04-10T00:00:00"/>
    <n v="0"/>
    <x v="0"/>
    <b v="1"/>
    <n v="413"/>
    <n v="248"/>
    <x v="2"/>
    <x v="1"/>
  </r>
  <r>
    <s v="PED-01324"/>
    <d v="2023-02-04T00:00:00"/>
    <x v="1"/>
    <x v="9"/>
    <n v="5"/>
    <x v="5"/>
    <x v="7"/>
    <s v="SKU-ALI-6507"/>
    <x v="2"/>
    <x v="5"/>
    <x v="4"/>
    <s v="EXW"/>
    <n v="667"/>
    <s v="Unidades"/>
    <n v="73.260000000000005"/>
    <n v="48864.42"/>
    <n v="1979.79"/>
    <n v="4.0515982794843364E-2"/>
    <n v="19"/>
    <d v="2023-02-23T00:00:00"/>
    <d v="2023-02-25T00:00:00"/>
    <n v="2"/>
    <x v="1"/>
    <b v="0"/>
    <n v="102"/>
    <n v="17"/>
    <x v="4"/>
    <x v="1"/>
  </r>
  <r>
    <s v="PED-01325"/>
    <d v="2024-08-16T00:00:00"/>
    <x v="0"/>
    <x v="4"/>
    <n v="33"/>
    <x v="5"/>
    <x v="6"/>
    <s v="SKU-CON-2352"/>
    <x v="0"/>
    <x v="3"/>
    <x v="0"/>
    <s v="FOB"/>
    <n v="737"/>
    <s v="Metros"/>
    <n v="271.14999999999998"/>
    <n v="199837.55"/>
    <n v="15078.36"/>
    <n v="7.5453086769728714E-2"/>
    <n v="29"/>
    <d v="2024-09-14T00:00:00"/>
    <d v="2024-09-17T00:00:00"/>
    <n v="3"/>
    <x v="2"/>
    <b v="0"/>
    <n v="94"/>
    <n v="401"/>
    <x v="1"/>
    <x v="1"/>
  </r>
  <r>
    <s v="PED-01326"/>
    <d v="2024-01-09T00:00:00"/>
    <x v="0"/>
    <x v="2"/>
    <n v="2"/>
    <x v="1"/>
    <x v="6"/>
    <s v="SKU-CON-8796"/>
    <x v="0"/>
    <x v="0"/>
    <x v="4"/>
    <s v="EXW"/>
    <n v="919"/>
    <s v="Litros"/>
    <n v="299.89999999999998"/>
    <n v="275608.09999999998"/>
    <n v="5915.5"/>
    <n v="2.1463447554698142E-2"/>
    <n v="6"/>
    <d v="2024-01-15T00:00:00"/>
    <d v="2024-01-15T00:00:00"/>
    <n v="0"/>
    <x v="2"/>
    <b v="0"/>
    <n v="429"/>
    <n v="124"/>
    <x v="4"/>
    <x v="1"/>
  </r>
  <r>
    <s v="PED-01327"/>
    <d v="2023-05-15T00:00:00"/>
    <x v="1"/>
    <x v="5"/>
    <n v="20"/>
    <x v="4"/>
    <x v="3"/>
    <s v="SKU-QUÍ-1807"/>
    <x v="3"/>
    <x v="5"/>
    <x v="3"/>
    <s v="FCA"/>
    <n v="683"/>
    <s v="Litros"/>
    <n v="104.3"/>
    <n v="71236.899999999994"/>
    <n v="3909.87"/>
    <n v="5.4885459642404433E-2"/>
    <n v="1"/>
    <d v="2023-05-16T00:00:00"/>
    <d v="2023-05-16T00:00:00"/>
    <n v="0"/>
    <x v="0"/>
    <b v="1"/>
    <n v="282"/>
    <n v="1"/>
    <x v="1"/>
    <x v="1"/>
  </r>
  <r>
    <s v="PED-01328"/>
    <d v="2023-04-03T00:00:00"/>
    <x v="1"/>
    <x v="1"/>
    <n v="14"/>
    <x v="8"/>
    <x v="6"/>
    <s v="SKU-CON-9980"/>
    <x v="2"/>
    <x v="5"/>
    <x v="3"/>
    <s v="FOB"/>
    <n v="137"/>
    <s v="KG"/>
    <n v="182.43"/>
    <n v="24992.91"/>
    <n v="1323.02"/>
    <n v="5.2935812596452352E-2"/>
    <n v="23"/>
    <d v="2023-04-26T00:00:00"/>
    <d v="2023-04-28T00:00:00"/>
    <n v="2"/>
    <x v="1"/>
    <b v="0"/>
    <n v="428"/>
    <n v="331"/>
    <x v="2"/>
    <x v="1"/>
  </r>
  <r>
    <s v="PED-01329"/>
    <d v="2023-10-30T00:00:00"/>
    <x v="1"/>
    <x v="0"/>
    <n v="44"/>
    <x v="6"/>
    <x v="3"/>
    <s v="SKU-QUÍ-7540"/>
    <x v="0"/>
    <x v="2"/>
    <x v="2"/>
    <s v="CIF"/>
    <n v="323"/>
    <s v="Cajas"/>
    <n v="147.63"/>
    <n v="47684.49"/>
    <n v="1581.18"/>
    <n v="3.3159209629797869E-2"/>
    <n v="15"/>
    <d v="2023-11-14T00:00:00"/>
    <d v="2023-11-26T00:00:00"/>
    <n v="12"/>
    <x v="2"/>
    <b v="0"/>
    <n v="212"/>
    <n v="479"/>
    <x v="2"/>
    <x v="1"/>
  </r>
  <r>
    <s v="PED-01330"/>
    <d v="2023-12-01T00:00:00"/>
    <x v="1"/>
    <x v="11"/>
    <n v="48"/>
    <x v="8"/>
    <x v="5"/>
    <s v="SKU-ELE-5301"/>
    <x v="1"/>
    <x v="1"/>
    <x v="4"/>
    <s v="DDP"/>
    <n v="341"/>
    <s v="Unidades"/>
    <n v="736.18"/>
    <n v="251037.38"/>
    <n v="11480.75"/>
    <n v="4.5733229051386687E-2"/>
    <n v="1"/>
    <d v="2023-12-02T00:00:00"/>
    <d v="2023-12-07T00:00:00"/>
    <n v="5"/>
    <x v="1"/>
    <b v="0"/>
    <n v="36"/>
    <n v="489"/>
    <x v="0"/>
    <x v="0"/>
  </r>
  <r>
    <s v="PED-01331"/>
    <d v="2024-03-01T00:00:00"/>
    <x v="0"/>
    <x v="8"/>
    <n v="9"/>
    <x v="1"/>
    <x v="7"/>
    <s v="SKU-ALI-2393"/>
    <x v="0"/>
    <x v="1"/>
    <x v="4"/>
    <s v="DAP"/>
    <n v="159"/>
    <s v="Metros"/>
    <n v="114.61"/>
    <n v="18222.990000000002"/>
    <n v="1077.6300000000001"/>
    <n v="5.9135740073390813E-2"/>
    <n v="25"/>
    <d v="2024-03-26T00:00:00"/>
    <d v="2024-03-26T00:00:00"/>
    <n v="0"/>
    <x v="0"/>
    <b v="1"/>
    <n v="392"/>
    <n v="199"/>
    <x v="3"/>
    <x v="1"/>
  </r>
  <r>
    <s v="PED-01332"/>
    <d v="2023-06-29T00:00:00"/>
    <x v="1"/>
    <x v="10"/>
    <n v="26"/>
    <x v="5"/>
    <x v="7"/>
    <s v="SKU-ALI-7529"/>
    <x v="4"/>
    <x v="1"/>
    <x v="4"/>
    <s v="DAP"/>
    <n v="463"/>
    <s v="Cajas"/>
    <n v="88.18"/>
    <n v="40827.339999999997"/>
    <n v="2597.7600000000002"/>
    <n v="6.3627951269908847E-2"/>
    <n v="17"/>
    <d v="2023-07-16T00:00:00"/>
    <d v="2023-07-28T00:00:00"/>
    <n v="12"/>
    <x v="1"/>
    <b v="0"/>
    <n v="60"/>
    <n v="434"/>
    <x v="3"/>
    <x v="1"/>
  </r>
  <r>
    <s v="PED-01333"/>
    <d v="2023-07-25T00:00:00"/>
    <x v="1"/>
    <x v="7"/>
    <n v="30"/>
    <x v="1"/>
    <x v="1"/>
    <s v="SKU-FAR-9221"/>
    <x v="4"/>
    <x v="4"/>
    <x v="0"/>
    <s v="FCA"/>
    <n v="45"/>
    <s v="KG"/>
    <n v="267.22000000000003"/>
    <n v="12024.9"/>
    <n v="241.02"/>
    <n v="2.0043409924406858E-2"/>
    <n v="1"/>
    <d v="2023-07-26T00:00:00"/>
    <d v="2023-07-27T00:00:00"/>
    <n v="1"/>
    <x v="1"/>
    <b v="0"/>
    <n v="290"/>
    <n v="137"/>
    <x v="0"/>
    <x v="0"/>
  </r>
  <r>
    <s v="PED-01334"/>
    <d v="2023-05-16T00:00:00"/>
    <x v="1"/>
    <x v="5"/>
    <n v="20"/>
    <x v="8"/>
    <x v="3"/>
    <s v="SKU-QUÍ-8118"/>
    <x v="1"/>
    <x v="2"/>
    <x v="1"/>
    <s v="EXW"/>
    <n v="694"/>
    <s v="Palés"/>
    <n v="97.03"/>
    <n v="67338.820000000007"/>
    <n v="5131.97"/>
    <n v="7.6211166159430771E-2"/>
    <n v="15"/>
    <d v="2023-05-31T00:00:00"/>
    <d v="2023-05-30T00:00:00"/>
    <n v="-1"/>
    <x v="0"/>
    <b v="1"/>
    <n v="361"/>
    <n v="202"/>
    <x v="0"/>
    <x v="0"/>
  </r>
  <r>
    <s v="PED-01335"/>
    <d v="2024-07-06T00:00:00"/>
    <x v="0"/>
    <x v="7"/>
    <n v="27"/>
    <x v="6"/>
    <x v="7"/>
    <s v="SKU-ALI-3136"/>
    <x v="3"/>
    <x v="3"/>
    <x v="1"/>
    <s v="EXW"/>
    <n v="429"/>
    <s v="Cajas"/>
    <n v="118.56"/>
    <n v="50862.239999999998"/>
    <n v="1519.33"/>
    <n v="2.9871472432201177E-2"/>
    <n v="23"/>
    <d v="2024-07-29T00:00:00"/>
    <d v="2024-07-30T00:00:00"/>
    <n v="1"/>
    <x v="2"/>
    <b v="0"/>
    <n v="302"/>
    <n v="397"/>
    <x v="2"/>
    <x v="1"/>
  </r>
  <r>
    <s v="PED-01336"/>
    <d v="2024-01-10T00:00:00"/>
    <x v="0"/>
    <x v="2"/>
    <n v="2"/>
    <x v="7"/>
    <x v="1"/>
    <s v="SKU-FAR-3209"/>
    <x v="2"/>
    <x v="4"/>
    <x v="1"/>
    <s v="FOB"/>
    <n v="31"/>
    <s v="KG"/>
    <n v="294.3"/>
    <n v="9123.2999999999993"/>
    <n v="310.33"/>
    <n v="3.4015104183793145E-2"/>
    <n v="2"/>
    <d v="2024-01-12T00:00:00"/>
    <d v="2024-01-24T00:00:00"/>
    <n v="12"/>
    <x v="1"/>
    <b v="0"/>
    <n v="243"/>
    <n v="281"/>
    <x v="0"/>
    <x v="0"/>
  </r>
  <r>
    <s v="PED-01337"/>
    <d v="2024-06-27T00:00:00"/>
    <x v="0"/>
    <x v="10"/>
    <n v="26"/>
    <x v="4"/>
    <x v="4"/>
    <s v="SKU-TEX-8879"/>
    <x v="2"/>
    <x v="2"/>
    <x v="0"/>
    <s v="DAP"/>
    <n v="215"/>
    <s v="Unidades"/>
    <n v="49.86"/>
    <n v="10719.9"/>
    <n v="383.86"/>
    <n v="3.5808169852330714E-2"/>
    <n v="14"/>
    <d v="2024-07-11T00:00:00"/>
    <d v="2024-07-13T00:00:00"/>
    <n v="2"/>
    <x v="1"/>
    <b v="0"/>
    <n v="404"/>
    <n v="302"/>
    <x v="0"/>
    <x v="0"/>
  </r>
  <r>
    <s v="PED-01338"/>
    <d v="2024-05-28T00:00:00"/>
    <x v="0"/>
    <x v="5"/>
    <n v="22"/>
    <x v="1"/>
    <x v="1"/>
    <s v="SKU-FAR-4245"/>
    <x v="0"/>
    <x v="5"/>
    <x v="4"/>
    <s v="FCA"/>
    <n v="648"/>
    <s v="Palés"/>
    <n v="187.91"/>
    <n v="121765.68"/>
    <n v="2711.63"/>
    <n v="2.2269246966797215E-2"/>
    <n v="21"/>
    <d v="2024-06-18T00:00:00"/>
    <d v="2024-06-23T00:00:00"/>
    <n v="5"/>
    <x v="1"/>
    <b v="0"/>
    <n v="400"/>
    <n v="29"/>
    <x v="3"/>
    <x v="1"/>
  </r>
  <r>
    <s v="PED-01339"/>
    <d v="2023-10-07T00:00:00"/>
    <x v="1"/>
    <x v="0"/>
    <n v="40"/>
    <x v="8"/>
    <x v="0"/>
    <s v="SKU-MAQ-8993"/>
    <x v="4"/>
    <x v="0"/>
    <x v="1"/>
    <s v="CIF"/>
    <n v="857"/>
    <s v="Litros"/>
    <n v="1170.19"/>
    <n v="1002852.83"/>
    <n v="27461.25"/>
    <n v="2.7383130583577255E-2"/>
    <n v="8"/>
    <d v="2023-10-15T00:00:00"/>
    <d v="2023-10-15T00:00:00"/>
    <n v="0"/>
    <x v="0"/>
    <b v="1"/>
    <n v="310"/>
    <n v="55"/>
    <x v="0"/>
    <x v="0"/>
  </r>
  <r>
    <s v="PED-01340"/>
    <d v="2023-06-18T00:00:00"/>
    <x v="1"/>
    <x v="10"/>
    <n v="25"/>
    <x v="4"/>
    <x v="2"/>
    <s v="SKU-AUT-7476"/>
    <x v="3"/>
    <x v="4"/>
    <x v="4"/>
    <s v="EXW"/>
    <n v="966"/>
    <s v="KG"/>
    <n v="733.9"/>
    <n v="708947.4"/>
    <n v="56135.16"/>
    <n v="7.9180994245835454E-2"/>
    <n v="8"/>
    <d v="2023-06-26T00:00:00"/>
    <d v="2023-07-01T00:00:00"/>
    <n v="5"/>
    <x v="1"/>
    <b v="0"/>
    <n v="343"/>
    <n v="118"/>
    <x v="0"/>
    <x v="0"/>
  </r>
  <r>
    <s v="PED-01341"/>
    <d v="2023-09-21T00:00:00"/>
    <x v="1"/>
    <x v="3"/>
    <n v="38"/>
    <x v="8"/>
    <x v="5"/>
    <s v="SKU-ELE-4212"/>
    <x v="3"/>
    <x v="4"/>
    <x v="2"/>
    <s v="DAP"/>
    <n v="365"/>
    <s v="Litros"/>
    <n v="676.38"/>
    <n v="246878.7"/>
    <n v="9606.7900000000009"/>
    <n v="3.8912996544456853E-2"/>
    <n v="19"/>
    <d v="2023-10-10T00:00:00"/>
    <d v="2023-10-13T00:00:00"/>
    <n v="3"/>
    <x v="1"/>
    <b v="0"/>
    <n v="350"/>
    <n v="425"/>
    <x v="1"/>
    <x v="1"/>
  </r>
  <r>
    <s v="PED-01342"/>
    <d v="2024-05-08T00:00:00"/>
    <x v="0"/>
    <x v="5"/>
    <n v="19"/>
    <x v="8"/>
    <x v="4"/>
    <s v="SKU-TEX-9589"/>
    <x v="3"/>
    <x v="5"/>
    <x v="1"/>
    <s v="DDP"/>
    <n v="449"/>
    <s v="Palés"/>
    <n v="60.16"/>
    <n v="27011.84"/>
    <n v="727.11"/>
    <n v="2.6918195872624746E-2"/>
    <n v="7"/>
    <d v="2024-05-15T00:00:00"/>
    <d v="2024-05-15T00:00:00"/>
    <n v="0"/>
    <x v="0"/>
    <b v="1"/>
    <n v="5"/>
    <n v="131"/>
    <x v="0"/>
    <x v="0"/>
  </r>
  <r>
    <s v="PED-01343"/>
    <d v="2023-10-30T00:00:00"/>
    <x v="1"/>
    <x v="0"/>
    <n v="44"/>
    <x v="6"/>
    <x v="2"/>
    <s v="SKU-AUT-5034"/>
    <x v="0"/>
    <x v="5"/>
    <x v="2"/>
    <s v="FCA"/>
    <n v="738"/>
    <s v="KG"/>
    <n v="616.57000000000005"/>
    <n v="455028.66"/>
    <n v="12021.62"/>
    <n v="2.6419478720307425E-2"/>
    <n v="19"/>
    <d v="2023-11-18T00:00:00"/>
    <d v="2023-11-30T00:00:00"/>
    <n v="12"/>
    <x v="1"/>
    <b v="0"/>
    <n v="376"/>
    <n v="230"/>
    <x v="0"/>
    <x v="0"/>
  </r>
  <r>
    <s v="PED-01344"/>
    <d v="2023-12-13T00:00:00"/>
    <x v="1"/>
    <x v="11"/>
    <n v="50"/>
    <x v="7"/>
    <x v="2"/>
    <s v="SKU-AUT-4970"/>
    <x v="2"/>
    <x v="0"/>
    <x v="0"/>
    <s v="FOB"/>
    <n v="105"/>
    <s v="KG"/>
    <n v="779.02"/>
    <n v="81797.100000000006"/>
    <n v="5166.93"/>
    <n v="6.3167642862644272E-2"/>
    <n v="6"/>
    <d v="2023-12-19T00:00:00"/>
    <d v="2023-12-22T00:00:00"/>
    <n v="3"/>
    <x v="2"/>
    <b v="0"/>
    <n v="418"/>
    <n v="394"/>
    <x v="2"/>
    <x v="1"/>
  </r>
  <r>
    <s v="PED-01345"/>
    <d v="2023-04-28T00:00:00"/>
    <x v="1"/>
    <x v="1"/>
    <n v="17"/>
    <x v="4"/>
    <x v="4"/>
    <s v="SKU-TEX-2173"/>
    <x v="3"/>
    <x v="1"/>
    <x v="3"/>
    <s v="EXW"/>
    <n v="938"/>
    <s v="Palés"/>
    <n v="89.11"/>
    <n v="83585.179999999993"/>
    <n v="5957.46"/>
    <n v="7.1274118210907733E-2"/>
    <n v="6"/>
    <d v="2023-05-04T00:00:00"/>
    <d v="2023-05-04T00:00:00"/>
    <n v="0"/>
    <x v="0"/>
    <b v="1"/>
    <n v="305"/>
    <n v="151"/>
    <x v="3"/>
    <x v="1"/>
  </r>
  <r>
    <s v="PED-01346"/>
    <d v="2024-04-24T00:00:00"/>
    <x v="0"/>
    <x v="1"/>
    <n v="17"/>
    <x v="5"/>
    <x v="0"/>
    <s v="SKU-MAQ-5362"/>
    <x v="0"/>
    <x v="4"/>
    <x v="0"/>
    <s v="EXW"/>
    <n v="950"/>
    <s v="Unidades"/>
    <n v="1805.62"/>
    <n v="1639255.3774000001"/>
    <n v="60752.4"/>
    <n v="3.7060973438048761E-2"/>
    <n v="3"/>
    <d v="2024-04-27T00:00:00"/>
    <d v="2024-04-29T00:00:00"/>
    <n v="2"/>
    <x v="1"/>
    <b v="0"/>
    <n v="164"/>
    <n v="469"/>
    <x v="4"/>
    <x v="1"/>
  </r>
  <r>
    <s v="PED-01347"/>
    <d v="2023-03-19T00:00:00"/>
    <x v="1"/>
    <x v="8"/>
    <n v="12"/>
    <x v="4"/>
    <x v="1"/>
    <s v="SKU-FAR-8046"/>
    <x v="0"/>
    <x v="2"/>
    <x v="0"/>
    <s v="CIF"/>
    <n v="173"/>
    <s v="KG"/>
    <n v="206.59"/>
    <n v="35740.07"/>
    <n v="759.64"/>
    <n v="2.1254575046999069E-2"/>
    <n v="7"/>
    <d v="2023-03-26T00:00:00"/>
    <d v="2023-04-03T00:00:00"/>
    <n v="8"/>
    <x v="2"/>
    <b v="0"/>
    <n v="12"/>
    <n v="450"/>
    <x v="4"/>
    <x v="1"/>
  </r>
  <r>
    <s v="PED-01348"/>
    <d v="2023-05-25T00:00:00"/>
    <x v="1"/>
    <x v="5"/>
    <n v="21"/>
    <x v="0"/>
    <x v="5"/>
    <s v="SKU-ELE-6298"/>
    <x v="1"/>
    <x v="3"/>
    <x v="0"/>
    <s v="EXW"/>
    <n v="157"/>
    <s v="Palés"/>
    <n v="416.62"/>
    <n v="65409.34"/>
    <n v="2183.7199999999998"/>
    <n v="3.3385446176341177E-2"/>
    <n v="19"/>
    <d v="2023-06-13T00:00:00"/>
    <d v="2023-06-13T00:00:00"/>
    <n v="0"/>
    <x v="0"/>
    <b v="1"/>
    <n v="24"/>
    <n v="420"/>
    <x v="2"/>
    <x v="1"/>
  </r>
  <r>
    <s v="PED-01349"/>
    <d v="2023-08-20T00:00:00"/>
    <x v="1"/>
    <x v="4"/>
    <n v="34"/>
    <x v="5"/>
    <x v="1"/>
    <s v="SKU-FAR-2467"/>
    <x v="5"/>
    <x v="5"/>
    <x v="1"/>
    <s v="FCA"/>
    <n v="539"/>
    <s v="Cajas"/>
    <n v="297.79000000000002"/>
    <n v="160508.81"/>
    <n v="3754.45"/>
    <n v="2.3390927887385123E-2"/>
    <n v="8"/>
    <d v="2023-08-28T00:00:00"/>
    <d v="2023-08-25T00:00:00"/>
    <n v="-3"/>
    <x v="0"/>
    <b v="1"/>
    <n v="223"/>
    <n v="385"/>
    <x v="0"/>
    <x v="0"/>
  </r>
  <r>
    <s v="PED-01350"/>
    <d v="2024-11-23T00:00:00"/>
    <x v="0"/>
    <x v="6"/>
    <n v="47"/>
    <x v="4"/>
    <x v="7"/>
    <s v="SKU-ALI-2843"/>
    <x v="3"/>
    <x v="5"/>
    <x v="2"/>
    <s v="DAP"/>
    <n v="303"/>
    <s v="Litros"/>
    <n v="108.53"/>
    <n v="32884.589999999997"/>
    <n v="861.7"/>
    <n v="2.6203762917524596E-2"/>
    <n v="10"/>
    <d v="2024-12-03T00:00:00"/>
    <d v="2024-12-08T00:00:00"/>
    <n v="5"/>
    <x v="1"/>
    <b v="0"/>
    <n v="122"/>
    <n v="395"/>
    <x v="0"/>
    <x v="0"/>
  </r>
  <r>
    <s v="PED-01351"/>
    <d v="2024-11-21T00:00:00"/>
    <x v="0"/>
    <x v="6"/>
    <n v="47"/>
    <x v="3"/>
    <x v="1"/>
    <s v="SKU-FAR-7776"/>
    <x v="5"/>
    <x v="3"/>
    <x v="1"/>
    <s v="DAP"/>
    <n v="204"/>
    <s v="KG"/>
    <n v="185.04"/>
    <n v="37748.160000000003"/>
    <n v="1732.28"/>
    <n v="4.5890448700016101E-2"/>
    <n v="20"/>
    <d v="2024-12-11T00:00:00"/>
    <d v="2024-12-19T00:00:00"/>
    <n v="8"/>
    <x v="1"/>
    <b v="0"/>
    <n v="128"/>
    <n v="20"/>
    <x v="1"/>
    <x v="1"/>
  </r>
  <r>
    <s v="PED-01352"/>
    <d v="2024-02-11T00:00:00"/>
    <x v="0"/>
    <x v="9"/>
    <n v="7"/>
    <x v="3"/>
    <x v="6"/>
    <s v="SKU-CON-7939"/>
    <x v="2"/>
    <x v="2"/>
    <x v="3"/>
    <s v="DAP"/>
    <n v="672"/>
    <s v="Cajas"/>
    <n v="151.21"/>
    <n v="101613.12"/>
    <n v="3434.03"/>
    <n v="3.3795143776709155E-2"/>
    <n v="15"/>
    <d v="2024-02-26T00:00:00"/>
    <d v="2024-02-29T00:00:00"/>
    <n v="3"/>
    <x v="2"/>
    <b v="0"/>
    <n v="304"/>
    <n v="452"/>
    <x v="0"/>
    <x v="0"/>
  </r>
  <r>
    <s v="PED-01353"/>
    <d v="2024-07-24T00:00:00"/>
    <x v="0"/>
    <x v="7"/>
    <n v="30"/>
    <x v="8"/>
    <x v="4"/>
    <s v="SKU-TEX-6984"/>
    <x v="0"/>
    <x v="5"/>
    <x v="0"/>
    <s v="DDP"/>
    <n v="489"/>
    <s v="KG"/>
    <n v="44.72"/>
    <n v="21868.080000000002"/>
    <n v="1114.33"/>
    <n v="5.0956919857618951E-2"/>
    <n v="15"/>
    <d v="2024-08-08T00:00:00"/>
    <d v="2024-08-08T00:00:00"/>
    <n v="0"/>
    <x v="0"/>
    <b v="1"/>
    <n v="121"/>
    <n v="454"/>
    <x v="0"/>
    <x v="0"/>
  </r>
  <r>
    <s v="PED-01354"/>
    <d v="2024-01-10T00:00:00"/>
    <x v="0"/>
    <x v="2"/>
    <n v="2"/>
    <x v="5"/>
    <x v="5"/>
    <s v="SKU-ELE-6706"/>
    <x v="3"/>
    <x v="3"/>
    <x v="4"/>
    <s v="DDP"/>
    <n v="886"/>
    <s v="Unidades"/>
    <n v="398.15"/>
    <n v="352760.9"/>
    <n v="12420.58"/>
    <n v="3.5209627824398904E-2"/>
    <n v="29"/>
    <d v="2024-02-08T00:00:00"/>
    <d v="2024-02-08T00:00:00"/>
    <n v="0"/>
    <x v="0"/>
    <b v="1"/>
    <n v="34"/>
    <n v="447"/>
    <x v="1"/>
    <x v="1"/>
  </r>
  <r>
    <s v="PED-01355"/>
    <d v="2023-04-03T00:00:00"/>
    <x v="1"/>
    <x v="1"/>
    <n v="14"/>
    <x v="4"/>
    <x v="1"/>
    <s v="SKU-FAR-4120"/>
    <x v="4"/>
    <x v="5"/>
    <x v="3"/>
    <s v="EXW"/>
    <n v="132"/>
    <s v="Palés"/>
    <n v="232.92"/>
    <n v="30745.439999999999"/>
    <n v="2349.94"/>
    <n v="7.643214733632045E-2"/>
    <n v="1"/>
    <d v="2023-04-04T00:00:00"/>
    <d v="2023-04-04T00:00:00"/>
    <n v="0"/>
    <x v="0"/>
    <b v="1"/>
    <n v="82"/>
    <n v="67"/>
    <x v="2"/>
    <x v="1"/>
  </r>
  <r>
    <s v="PED-01356"/>
    <d v="2024-02-09T00:00:00"/>
    <x v="0"/>
    <x v="9"/>
    <n v="6"/>
    <x v="8"/>
    <x v="5"/>
    <s v="SKU-ELE-6254"/>
    <x v="2"/>
    <x v="1"/>
    <x v="2"/>
    <s v="DDP"/>
    <n v="409"/>
    <s v="KG"/>
    <n v="721.51"/>
    <n v="295097.59000000003"/>
    <n v="21942.46"/>
    <n v="7.4356622160147073E-2"/>
    <n v="20"/>
    <d v="2024-02-29T00:00:00"/>
    <d v="2024-02-24T00:00:00"/>
    <n v="-5"/>
    <x v="0"/>
    <b v="1"/>
    <n v="308"/>
    <n v="125"/>
    <x v="0"/>
    <x v="0"/>
  </r>
  <r>
    <s v="PED-01357"/>
    <d v="2023-01-15T00:00:00"/>
    <x v="1"/>
    <x v="2"/>
    <n v="3"/>
    <x v="2"/>
    <x v="5"/>
    <s v="SKU-ELE-6644"/>
    <x v="1"/>
    <x v="1"/>
    <x v="3"/>
    <s v="DDP"/>
    <n v="708"/>
    <s v="Palés"/>
    <n v="548.70000000000005"/>
    <n v="388479.6"/>
    <n v="20981.15"/>
    <n v="5.4008370066278906E-2"/>
    <n v="7"/>
    <d v="2023-01-22T00:00:00"/>
    <d v="2023-01-30T00:00:00"/>
    <n v="8"/>
    <x v="2"/>
    <b v="0"/>
    <n v="435"/>
    <n v="42"/>
    <x v="0"/>
    <x v="0"/>
  </r>
  <r>
    <s v="PED-01358"/>
    <d v="2023-09-28T00:00:00"/>
    <x v="1"/>
    <x v="3"/>
    <n v="39"/>
    <x v="8"/>
    <x v="7"/>
    <s v="SKU-ALI-1396"/>
    <x v="1"/>
    <x v="5"/>
    <x v="1"/>
    <s v="CIF"/>
    <n v="974"/>
    <s v="Metros"/>
    <n v="109.95"/>
    <n v="107091.3"/>
    <n v="4419.17"/>
    <n v="4.1265443598126082E-2"/>
    <n v="27"/>
    <d v="2023-10-25T00:00:00"/>
    <d v="2023-10-26T00:00:00"/>
    <n v="1"/>
    <x v="1"/>
    <b v="0"/>
    <n v="181"/>
    <n v="181"/>
    <x v="0"/>
    <x v="0"/>
  </r>
  <r>
    <s v="PED-01359"/>
    <d v="2024-07-03T00:00:00"/>
    <x v="0"/>
    <x v="7"/>
    <n v="27"/>
    <x v="1"/>
    <x v="7"/>
    <s v="SKU-ALI-5994"/>
    <x v="5"/>
    <x v="5"/>
    <x v="4"/>
    <s v="DDP"/>
    <n v="461"/>
    <s v="KG"/>
    <n v="84.54"/>
    <n v="38972.94"/>
    <n v="1670.72"/>
    <n v="4.2868718654533115E-2"/>
    <n v="4"/>
    <d v="2024-07-07T00:00:00"/>
    <d v="2024-07-07T00:00:00"/>
    <n v="0"/>
    <x v="0"/>
    <b v="1"/>
    <n v="75"/>
    <n v="488"/>
    <x v="2"/>
    <x v="1"/>
  </r>
  <r>
    <s v="PED-01360"/>
    <d v="2023-05-07T00:00:00"/>
    <x v="1"/>
    <x v="5"/>
    <n v="19"/>
    <x v="3"/>
    <x v="4"/>
    <s v="SKU-TEX-3773"/>
    <x v="0"/>
    <x v="1"/>
    <x v="1"/>
    <s v="FOB"/>
    <n v="670"/>
    <s v="Unidades"/>
    <n v="76.010000000000005"/>
    <n v="50926.7"/>
    <n v="2276.9899999999998"/>
    <n v="4.4711124027278421E-2"/>
    <n v="29"/>
    <d v="2023-06-05T00:00:00"/>
    <d v="2023-06-02T00:00:00"/>
    <n v="-3"/>
    <x v="0"/>
    <b v="1"/>
    <n v="103"/>
    <n v="99"/>
    <x v="1"/>
    <x v="1"/>
  </r>
  <r>
    <s v="PED-01361"/>
    <d v="2024-04-10T00:00:00"/>
    <x v="0"/>
    <x v="1"/>
    <n v="15"/>
    <x v="2"/>
    <x v="0"/>
    <s v="SKU-MAQ-6729"/>
    <x v="5"/>
    <x v="5"/>
    <x v="0"/>
    <s v="FOB"/>
    <n v="113"/>
    <s v="Unidades"/>
    <n v="1928.25"/>
    <n v="217892.25"/>
    <n v="13869.88"/>
    <n v="6.3654765141945152E-2"/>
    <n v="6"/>
    <d v="2024-04-16T00:00:00"/>
    <d v="2024-04-18T00:00:00"/>
    <n v="2"/>
    <x v="1"/>
    <b v="0"/>
    <n v="231"/>
    <n v="378"/>
    <x v="0"/>
    <x v="0"/>
  </r>
  <r>
    <s v="PED-01362"/>
    <d v="2024-01-13T00:00:00"/>
    <x v="0"/>
    <x v="2"/>
    <n v="2"/>
    <x v="9"/>
    <x v="6"/>
    <s v="SKU-CON-8245"/>
    <x v="4"/>
    <x v="2"/>
    <x v="0"/>
    <s v="FOB"/>
    <n v="764"/>
    <s v="Cajas"/>
    <n v="167.83"/>
    <n v="128222.12"/>
    <n v="6039.05"/>
    <n v="4.7098347773379512E-2"/>
    <n v="25"/>
    <d v="2024-02-07T00:00:00"/>
    <d v="2024-02-15T00:00:00"/>
    <n v="8"/>
    <x v="2"/>
    <b v="0"/>
    <n v="302"/>
    <n v="445"/>
    <x v="1"/>
    <x v="1"/>
  </r>
  <r>
    <s v="PED-01363"/>
    <d v="2024-11-19T00:00:00"/>
    <x v="0"/>
    <x v="6"/>
    <n v="47"/>
    <x v="1"/>
    <x v="2"/>
    <s v="SKU-AUT-3389"/>
    <x v="4"/>
    <x v="2"/>
    <x v="3"/>
    <s v="EXW"/>
    <n v="471"/>
    <s v="Unidades"/>
    <n v="791.18"/>
    <n v="372645.78"/>
    <n v="26608.32"/>
    <n v="7.1403787264141289E-2"/>
    <n v="1"/>
    <d v="2024-11-20T00:00:00"/>
    <d v="2024-11-20T00:00:00"/>
    <n v="0"/>
    <x v="0"/>
    <b v="1"/>
    <n v="42"/>
    <n v="469"/>
    <x v="0"/>
    <x v="0"/>
  </r>
  <r>
    <s v="PED-01364"/>
    <d v="2024-11-19T00:00:00"/>
    <x v="0"/>
    <x v="6"/>
    <n v="47"/>
    <x v="5"/>
    <x v="5"/>
    <s v="SKU-ELE-8216"/>
    <x v="1"/>
    <x v="0"/>
    <x v="0"/>
    <s v="DAP"/>
    <n v="752"/>
    <s v="Palés"/>
    <n v="604.91999999999996"/>
    <n v="454899.84"/>
    <n v="34866.11"/>
    <n v="7.6645685344712361E-2"/>
    <n v="29"/>
    <d v="2024-12-18T00:00:00"/>
    <d v="2024-12-20T00:00:00"/>
    <n v="2"/>
    <x v="2"/>
    <b v="0"/>
    <n v="403"/>
    <n v="348"/>
    <x v="0"/>
    <x v="0"/>
  </r>
  <r>
    <s v="PED-01365"/>
    <d v="2023-09-26T00:00:00"/>
    <x v="1"/>
    <x v="3"/>
    <n v="39"/>
    <x v="8"/>
    <x v="0"/>
    <s v="SKU-MAQ-1735"/>
    <x v="3"/>
    <x v="2"/>
    <x v="0"/>
    <s v="CIF"/>
    <n v="727"/>
    <s v="Metros"/>
    <n v="1134.8399999999999"/>
    <n v="825028.68"/>
    <n v="33130.49"/>
    <n v="4.0156773701491198E-2"/>
    <n v="5"/>
    <d v="2023-10-01T00:00:00"/>
    <d v="2023-10-02T00:00:00"/>
    <n v="1"/>
    <x v="2"/>
    <b v="0"/>
    <n v="416"/>
    <n v="456"/>
    <x v="0"/>
    <x v="0"/>
  </r>
  <r>
    <s v="PED-01366"/>
    <d v="2024-08-21T00:00:00"/>
    <x v="0"/>
    <x v="4"/>
    <n v="34"/>
    <x v="3"/>
    <x v="2"/>
    <s v="SKU-AUT-4825"/>
    <x v="1"/>
    <x v="4"/>
    <x v="2"/>
    <s v="EXW"/>
    <n v="719"/>
    <s v="Unidades"/>
    <n v="791.39"/>
    <n v="569009.41"/>
    <n v="30522.61"/>
    <n v="5.3641661216112399E-2"/>
    <n v="27"/>
    <d v="2024-09-17T00:00:00"/>
    <d v="2024-09-17T00:00:00"/>
    <n v="0"/>
    <x v="0"/>
    <b v="1"/>
    <n v="92"/>
    <n v="473"/>
    <x v="0"/>
    <x v="0"/>
  </r>
  <r>
    <s v="PED-01367"/>
    <d v="2024-01-26T00:00:00"/>
    <x v="0"/>
    <x v="2"/>
    <n v="4"/>
    <x v="7"/>
    <x v="2"/>
    <s v="SKU-AUT-4271"/>
    <x v="1"/>
    <x v="4"/>
    <x v="2"/>
    <s v="DAP"/>
    <n v="405"/>
    <s v="KG"/>
    <n v="902.27"/>
    <n v="365419.35"/>
    <n v="9392.52"/>
    <n v="2.570340076408105E-2"/>
    <n v="23"/>
    <d v="2024-02-18T00:00:00"/>
    <d v="2024-02-23T00:00:00"/>
    <n v="5"/>
    <x v="2"/>
    <b v="0"/>
    <n v="143"/>
    <n v="395"/>
    <x v="0"/>
    <x v="0"/>
  </r>
  <r>
    <s v="PED-01368"/>
    <d v="2024-10-15T00:00:00"/>
    <x v="0"/>
    <x v="0"/>
    <n v="42"/>
    <x v="3"/>
    <x v="6"/>
    <s v="SKU-CON-7124"/>
    <x v="4"/>
    <x v="4"/>
    <x v="1"/>
    <s v="CIF"/>
    <n v="921"/>
    <s v="Unidades"/>
    <n v="299.39999999999998"/>
    <n v="275747.40000000002"/>
    <n v="8831.68"/>
    <n v="3.2028153302624068E-2"/>
    <n v="1"/>
    <d v="2024-10-16T00:00:00"/>
    <d v="2024-10-21T00:00:00"/>
    <n v="5"/>
    <x v="2"/>
    <b v="0"/>
    <n v="253"/>
    <n v="239"/>
    <x v="0"/>
    <x v="0"/>
  </r>
  <r>
    <s v="PED-01369"/>
    <d v="2024-01-16T00:00:00"/>
    <x v="0"/>
    <x v="2"/>
    <n v="3"/>
    <x v="6"/>
    <x v="4"/>
    <s v="SKU-TEX-3555"/>
    <x v="5"/>
    <x v="5"/>
    <x v="1"/>
    <s v="CIF"/>
    <n v="346"/>
    <s v="Metros"/>
    <n v="64.78"/>
    <n v="22413.88"/>
    <n v="1004.32"/>
    <n v="4.4807949359950174E-2"/>
    <n v="4"/>
    <d v="2024-01-20T00:00:00"/>
    <d v="2024-02-01T00:00:00"/>
    <n v="12"/>
    <x v="1"/>
    <b v="0"/>
    <n v="77"/>
    <n v="384"/>
    <x v="3"/>
    <x v="1"/>
  </r>
  <r>
    <s v="PED-01370"/>
    <d v="2023-04-21T00:00:00"/>
    <x v="1"/>
    <x v="1"/>
    <n v="16"/>
    <x v="3"/>
    <x v="2"/>
    <s v="SKU-AUT-2405"/>
    <x v="4"/>
    <x v="5"/>
    <x v="2"/>
    <s v="CIF"/>
    <n v="608"/>
    <s v="Palés"/>
    <n v="1082.28"/>
    <n v="658026.23999999999"/>
    <n v="21301.73"/>
    <n v="3.2372158897493203E-2"/>
    <n v="22"/>
    <d v="2023-05-13T00:00:00"/>
    <d v="2023-05-15T00:00:00"/>
    <n v="2"/>
    <x v="2"/>
    <b v="0"/>
    <n v="262"/>
    <n v="199"/>
    <x v="1"/>
    <x v="1"/>
  </r>
  <r>
    <s v="PED-01371"/>
    <d v="2024-11-22T00:00:00"/>
    <x v="0"/>
    <x v="6"/>
    <n v="47"/>
    <x v="7"/>
    <x v="6"/>
    <s v="SKU-CON-2841"/>
    <x v="0"/>
    <x v="3"/>
    <x v="3"/>
    <s v="FOB"/>
    <n v="151"/>
    <s v="KG"/>
    <n v="209.13"/>
    <n v="31578.63"/>
    <n v="2292.41"/>
    <n v="7.2593712900147975E-2"/>
    <n v="2"/>
    <d v="2024-11-24T00:00:00"/>
    <d v="2024-11-27T00:00:00"/>
    <n v="3"/>
    <x v="1"/>
    <b v="0"/>
    <n v="69"/>
    <n v="416"/>
    <x v="2"/>
    <x v="1"/>
  </r>
  <r>
    <s v="PED-01372"/>
    <d v="2023-08-28T00:00:00"/>
    <x v="1"/>
    <x v="4"/>
    <n v="35"/>
    <x v="7"/>
    <x v="2"/>
    <s v="SKU-AUT-1893"/>
    <x v="4"/>
    <x v="4"/>
    <x v="2"/>
    <s v="FOB"/>
    <n v="326"/>
    <s v="Cajas"/>
    <n v="1069.69"/>
    <n v="348718.94"/>
    <n v="10286.219999999999"/>
    <n v="2.9497164679383344E-2"/>
    <n v="10"/>
    <d v="2023-09-07T00:00:00"/>
    <d v="2023-09-07T00:00:00"/>
    <n v="0"/>
    <x v="0"/>
    <b v="1"/>
    <n v="148"/>
    <n v="447"/>
    <x v="2"/>
    <x v="1"/>
  </r>
  <r>
    <s v="PED-01373"/>
    <d v="2024-04-27T00:00:00"/>
    <x v="0"/>
    <x v="1"/>
    <n v="17"/>
    <x v="8"/>
    <x v="5"/>
    <s v="SKU-ELE-4982"/>
    <x v="4"/>
    <x v="4"/>
    <x v="1"/>
    <s v="FOB"/>
    <n v="720"/>
    <s v="Cajas"/>
    <n v="588.16999999999996"/>
    <n v="423482.4"/>
    <n v="20047.509999999998"/>
    <n v="4.7339653312628807E-2"/>
    <n v="5"/>
    <d v="2024-05-02T00:00:00"/>
    <d v="2024-05-07T00:00:00"/>
    <n v="5"/>
    <x v="2"/>
    <b v="0"/>
    <n v="291"/>
    <n v="115"/>
    <x v="0"/>
    <x v="0"/>
  </r>
  <r>
    <s v="PED-01374"/>
    <d v="2023-01-26T00:00:00"/>
    <x v="1"/>
    <x v="2"/>
    <n v="4"/>
    <x v="5"/>
    <x v="5"/>
    <s v="SKU-ELE-3419"/>
    <x v="1"/>
    <x v="2"/>
    <x v="4"/>
    <s v="CIF"/>
    <n v="567"/>
    <s v="Cajas"/>
    <n v="704.64"/>
    <n v="399530.88"/>
    <n v="22510.35"/>
    <n v="5.6341952842293437E-2"/>
    <n v="27"/>
    <d v="2023-02-22T00:00:00"/>
    <d v="2023-02-22T00:00:00"/>
    <n v="0"/>
    <x v="0"/>
    <b v="1"/>
    <n v="213"/>
    <n v="114"/>
    <x v="0"/>
    <x v="0"/>
  </r>
  <r>
    <s v="PED-01375"/>
    <d v="2024-09-26T00:00:00"/>
    <x v="0"/>
    <x v="3"/>
    <n v="39"/>
    <x v="7"/>
    <x v="3"/>
    <s v="SKU-QUÍ-5713"/>
    <x v="3"/>
    <x v="1"/>
    <x v="0"/>
    <s v="FCA"/>
    <n v="809"/>
    <s v="KG"/>
    <n v="123.45"/>
    <n v="99871.05"/>
    <n v="6143.25"/>
    <n v="6.1511819491233945E-2"/>
    <n v="10"/>
    <d v="2024-10-06T00:00:00"/>
    <d v="2024-10-03T00:00:00"/>
    <n v="-3"/>
    <x v="0"/>
    <b v="1"/>
    <n v="359"/>
    <n v="451"/>
    <x v="0"/>
    <x v="0"/>
  </r>
  <r>
    <s v="PED-01376"/>
    <d v="2024-07-28T00:00:00"/>
    <x v="0"/>
    <x v="7"/>
    <n v="31"/>
    <x v="3"/>
    <x v="0"/>
    <s v="SKU-MAQ-1225"/>
    <x v="1"/>
    <x v="1"/>
    <x v="4"/>
    <s v="CIF"/>
    <n v="536"/>
    <s v="Cajas"/>
    <n v="1775.17"/>
    <n v="951491.12"/>
    <n v="40899.050000000003"/>
    <n v="4.2984163635704772E-2"/>
    <n v="1"/>
    <d v="2024-07-29T00:00:00"/>
    <d v="2024-07-29T00:00:00"/>
    <n v="0"/>
    <x v="0"/>
    <b v="1"/>
    <n v="309"/>
    <n v="141"/>
    <x v="2"/>
    <x v="1"/>
  </r>
  <r>
    <s v="PED-01377"/>
    <d v="2023-12-02T00:00:00"/>
    <x v="1"/>
    <x v="11"/>
    <n v="48"/>
    <x v="5"/>
    <x v="1"/>
    <s v="SKU-FAR-6624"/>
    <x v="2"/>
    <x v="0"/>
    <x v="4"/>
    <s v="FOB"/>
    <n v="565"/>
    <s v="Unidades"/>
    <n v="240.8"/>
    <n v="136052"/>
    <n v="9815.6"/>
    <n v="7.2145944197806719E-2"/>
    <n v="22"/>
    <d v="2023-12-24T00:00:00"/>
    <d v="2023-12-23T00:00:00"/>
    <n v="-1"/>
    <x v="0"/>
    <b v="1"/>
    <n v="146"/>
    <n v="118"/>
    <x v="3"/>
    <x v="1"/>
  </r>
  <r>
    <s v="PED-01378"/>
    <d v="2024-09-16T00:00:00"/>
    <x v="0"/>
    <x v="3"/>
    <n v="38"/>
    <x v="4"/>
    <x v="6"/>
    <s v="SKU-CON-2823"/>
    <x v="4"/>
    <x v="3"/>
    <x v="0"/>
    <s v="CIF"/>
    <n v="410"/>
    <s v="KG"/>
    <n v="206.78"/>
    <n v="84779.8"/>
    <n v="4586.5200000000004"/>
    <n v="5.4099207594261844E-2"/>
    <n v="6"/>
    <d v="2024-09-22T00:00:00"/>
    <d v="2024-09-23T00:00:00"/>
    <n v="1"/>
    <x v="1"/>
    <b v="0"/>
    <n v="24"/>
    <n v="92"/>
    <x v="2"/>
    <x v="1"/>
  </r>
  <r>
    <s v="PED-01379"/>
    <d v="2023-08-15T00:00:00"/>
    <x v="1"/>
    <x v="4"/>
    <n v="33"/>
    <x v="3"/>
    <x v="7"/>
    <s v="SKU-ALI-5999"/>
    <x v="4"/>
    <x v="1"/>
    <x v="2"/>
    <s v="FOB"/>
    <n v="690"/>
    <s v="KG"/>
    <n v="65.239999999999995"/>
    <n v="45015.6"/>
    <n v="2087.39"/>
    <n v="4.6370369383058316E-2"/>
    <n v="13"/>
    <d v="2023-08-28T00:00:00"/>
    <d v="2023-09-02T00:00:00"/>
    <n v="5"/>
    <x v="1"/>
    <b v="0"/>
    <n v="322"/>
    <n v="397"/>
    <x v="3"/>
    <x v="1"/>
  </r>
  <r>
    <s v="PED-01380"/>
    <d v="2024-10-25T00:00:00"/>
    <x v="0"/>
    <x v="0"/>
    <n v="43"/>
    <x v="0"/>
    <x v="6"/>
    <s v="SKU-CON-8373"/>
    <x v="2"/>
    <x v="0"/>
    <x v="3"/>
    <s v="FOB"/>
    <n v="319"/>
    <s v="KG"/>
    <n v="154.97"/>
    <n v="49435.43"/>
    <n v="1188.1500000000001"/>
    <n v="2.4034381818869587E-2"/>
    <n v="15"/>
    <d v="2024-11-09T00:00:00"/>
    <d v="2024-11-09T00:00:00"/>
    <n v="0"/>
    <x v="0"/>
    <b v="1"/>
    <n v="483"/>
    <n v="8"/>
    <x v="0"/>
    <x v="0"/>
  </r>
  <r>
    <s v="PED-01381"/>
    <d v="2023-03-06T00:00:00"/>
    <x v="1"/>
    <x v="8"/>
    <n v="10"/>
    <x v="8"/>
    <x v="1"/>
    <s v="SKU-FAR-8719"/>
    <x v="4"/>
    <x v="2"/>
    <x v="4"/>
    <s v="FOB"/>
    <n v="504"/>
    <s v="Litros"/>
    <n v="142.66999999999999"/>
    <n v="71905.679999999993"/>
    <n v="3442.94"/>
    <n v="4.78813356608268E-2"/>
    <n v="4"/>
    <d v="2023-03-10T00:00:00"/>
    <d v="2023-03-12T00:00:00"/>
    <n v="2"/>
    <x v="1"/>
    <b v="0"/>
    <n v="108"/>
    <n v="72"/>
    <x v="0"/>
    <x v="0"/>
  </r>
  <r>
    <s v="PED-01382"/>
    <d v="2024-10-12T00:00:00"/>
    <x v="0"/>
    <x v="0"/>
    <n v="41"/>
    <x v="1"/>
    <x v="0"/>
    <s v="SKU-MAQ-1372"/>
    <x v="4"/>
    <x v="3"/>
    <x v="3"/>
    <s v="FCA"/>
    <n v="565"/>
    <s v="Palés"/>
    <n v="2098.2399999999998"/>
    <n v="1185505.6000000001"/>
    <n v="82089.33"/>
    <n v="6.9244152030998415E-2"/>
    <n v="13"/>
    <d v="2024-10-25T00:00:00"/>
    <d v="2024-10-20T00:00:00"/>
    <n v="-5"/>
    <x v="0"/>
    <b v="1"/>
    <n v="180"/>
    <n v="25"/>
    <x v="0"/>
    <x v="0"/>
  </r>
  <r>
    <s v="PED-01383"/>
    <d v="2024-04-20T00:00:00"/>
    <x v="0"/>
    <x v="1"/>
    <n v="16"/>
    <x v="8"/>
    <x v="7"/>
    <s v="SKU-ALI-6437"/>
    <x v="0"/>
    <x v="3"/>
    <x v="1"/>
    <s v="DAP"/>
    <n v="619"/>
    <s v="Litros"/>
    <n v="71.13"/>
    <n v="44029.47"/>
    <n v="2504.06"/>
    <n v="5.6872362987789769E-2"/>
    <n v="24"/>
    <d v="2024-05-14T00:00:00"/>
    <d v="2024-05-13T00:00:00"/>
    <n v="-1"/>
    <x v="0"/>
    <b v="1"/>
    <n v="250"/>
    <n v="432"/>
    <x v="0"/>
    <x v="0"/>
  </r>
  <r>
    <s v="PED-01384"/>
    <d v="2024-12-18T00:00:00"/>
    <x v="0"/>
    <x v="11"/>
    <n v="51"/>
    <x v="7"/>
    <x v="1"/>
    <s v="SKU-FAR-4424"/>
    <x v="4"/>
    <x v="4"/>
    <x v="4"/>
    <s v="CIF"/>
    <n v="782"/>
    <s v="Litros"/>
    <n v="173.84"/>
    <n v="135942.88"/>
    <n v="9506.4500000000007"/>
    <n v="6.9929738137076397E-2"/>
    <n v="20"/>
    <d v="2025-01-07T00:00:00"/>
    <d v="2025-01-06T00:00:00"/>
    <n v="-1"/>
    <x v="0"/>
    <b v="1"/>
    <n v="481"/>
    <n v="238"/>
    <x v="2"/>
    <x v="1"/>
  </r>
  <r>
    <s v="PED-01385"/>
    <d v="2023-11-06T00:00:00"/>
    <x v="1"/>
    <x v="6"/>
    <n v="45"/>
    <x v="9"/>
    <x v="3"/>
    <s v="SKU-QUÍ-9814"/>
    <x v="2"/>
    <x v="5"/>
    <x v="1"/>
    <s v="EXW"/>
    <n v="118"/>
    <s v="Litros"/>
    <n v="154.66"/>
    <n v="18249.88"/>
    <n v="905.94"/>
    <n v="4.9640874350954635E-2"/>
    <n v="24"/>
    <d v="2023-11-30T00:00:00"/>
    <d v="2023-12-03T00:00:00"/>
    <n v="3"/>
    <x v="1"/>
    <b v="0"/>
    <n v="202"/>
    <n v="361"/>
    <x v="1"/>
    <x v="1"/>
  </r>
  <r>
    <s v="PED-01386"/>
    <d v="2024-10-26T00:00:00"/>
    <x v="0"/>
    <x v="0"/>
    <n v="43"/>
    <x v="6"/>
    <x v="7"/>
    <s v="SKU-ALI-4471"/>
    <x v="1"/>
    <x v="4"/>
    <x v="2"/>
    <s v="FOB"/>
    <n v="804"/>
    <s v="Palés"/>
    <n v="76.48"/>
    <n v="61489.919999999998"/>
    <n v="1666.85"/>
    <n v="2.7107695049855326E-2"/>
    <n v="15"/>
    <d v="2024-11-10T00:00:00"/>
    <d v="2024-11-10T00:00:00"/>
    <n v="0"/>
    <x v="0"/>
    <b v="1"/>
    <n v="303"/>
    <n v="144"/>
    <x v="4"/>
    <x v="1"/>
  </r>
  <r>
    <s v="PED-01387"/>
    <d v="2024-02-23T00:00:00"/>
    <x v="0"/>
    <x v="9"/>
    <n v="8"/>
    <x v="0"/>
    <x v="5"/>
    <s v="SKU-ELE-4339"/>
    <x v="4"/>
    <x v="2"/>
    <x v="4"/>
    <s v="FCA"/>
    <n v="381"/>
    <s v="Litros"/>
    <n v="552.41999999999996"/>
    <n v="210472.02"/>
    <n v="4381.6899999999996"/>
    <n v="2.0818396668592812E-2"/>
    <n v="29"/>
    <d v="2024-03-23T00:00:00"/>
    <d v="2024-04-04T00:00:00"/>
    <n v="12"/>
    <x v="1"/>
    <b v="0"/>
    <n v="169"/>
    <n v="488"/>
    <x v="4"/>
    <x v="1"/>
  </r>
  <r>
    <s v="PED-01388"/>
    <d v="2023-04-30T00:00:00"/>
    <x v="1"/>
    <x v="1"/>
    <n v="18"/>
    <x v="7"/>
    <x v="1"/>
    <s v="SKU-FAR-9952"/>
    <x v="3"/>
    <x v="4"/>
    <x v="1"/>
    <s v="EXW"/>
    <n v="864"/>
    <s v="Cajas"/>
    <n v="166"/>
    <n v="143424"/>
    <n v="5477.82"/>
    <n v="3.8193189424364123E-2"/>
    <n v="8"/>
    <d v="2023-05-08T00:00:00"/>
    <d v="2023-05-11T00:00:00"/>
    <n v="3"/>
    <x v="2"/>
    <b v="0"/>
    <n v="174"/>
    <n v="67"/>
    <x v="0"/>
    <x v="0"/>
  </r>
  <r>
    <s v="PED-01389"/>
    <d v="2023-05-24T00:00:00"/>
    <x v="1"/>
    <x v="5"/>
    <n v="21"/>
    <x v="3"/>
    <x v="6"/>
    <s v="SKU-CON-9573"/>
    <x v="2"/>
    <x v="3"/>
    <x v="1"/>
    <s v="DAP"/>
    <n v="625"/>
    <s v="KG"/>
    <n v="293.56"/>
    <n v="183475"/>
    <n v="11353.33"/>
    <n v="6.1879438615615207E-2"/>
    <n v="5"/>
    <d v="2023-05-29T00:00:00"/>
    <d v="2023-06-01T00:00:00"/>
    <n v="3"/>
    <x v="2"/>
    <b v="0"/>
    <n v="346"/>
    <n v="187"/>
    <x v="3"/>
    <x v="1"/>
  </r>
  <r>
    <s v="PED-01390"/>
    <d v="2023-02-16T00:00:00"/>
    <x v="1"/>
    <x v="9"/>
    <n v="7"/>
    <x v="5"/>
    <x v="7"/>
    <s v="SKU-ALI-5237"/>
    <x v="5"/>
    <x v="4"/>
    <x v="2"/>
    <s v="CIF"/>
    <n v="777"/>
    <s v="KG"/>
    <n v="110.5"/>
    <n v="85858.5"/>
    <n v="5788.2"/>
    <n v="6.7415573297926232E-2"/>
    <n v="29"/>
    <d v="2023-03-17T00:00:00"/>
    <d v="2023-03-12T00:00:00"/>
    <n v="-5"/>
    <x v="0"/>
    <b v="1"/>
    <n v="169"/>
    <n v="365"/>
    <x v="0"/>
    <x v="0"/>
  </r>
  <r>
    <s v="PED-01391"/>
    <d v="2023-02-08T00:00:00"/>
    <x v="1"/>
    <x v="9"/>
    <n v="6"/>
    <x v="0"/>
    <x v="3"/>
    <s v="SKU-QUÍ-9991"/>
    <x v="0"/>
    <x v="0"/>
    <x v="3"/>
    <s v="FCA"/>
    <n v="900"/>
    <s v="Unidades"/>
    <n v="166.92"/>
    <n v="150228"/>
    <n v="5670.38"/>
    <n v="3.774516068908592E-2"/>
    <n v="15"/>
    <d v="2023-02-23T00:00:00"/>
    <d v="2023-02-20T00:00:00"/>
    <n v="-3"/>
    <x v="0"/>
    <b v="1"/>
    <n v="1"/>
    <n v="130"/>
    <x v="0"/>
    <x v="0"/>
  </r>
  <r>
    <s v="PED-01392"/>
    <d v="2023-11-08T00:00:00"/>
    <x v="1"/>
    <x v="6"/>
    <n v="45"/>
    <x v="9"/>
    <x v="6"/>
    <s v="SKU-CON-8913"/>
    <x v="2"/>
    <x v="4"/>
    <x v="3"/>
    <s v="FOB"/>
    <n v="215"/>
    <s v="Metros"/>
    <n v="205.08"/>
    <n v="44092.2"/>
    <n v="2193.11"/>
    <n v="4.9739182894026616E-2"/>
    <n v="4"/>
    <d v="2023-11-12T00:00:00"/>
    <d v="2023-11-12T00:00:00"/>
    <n v="0"/>
    <x v="2"/>
    <b v="0"/>
    <n v="133"/>
    <n v="220"/>
    <x v="0"/>
    <x v="0"/>
  </r>
  <r>
    <s v="PED-01393"/>
    <d v="2024-05-19T00:00:00"/>
    <x v="0"/>
    <x v="5"/>
    <n v="21"/>
    <x v="1"/>
    <x v="2"/>
    <s v="SKU-AUT-3315"/>
    <x v="1"/>
    <x v="1"/>
    <x v="4"/>
    <s v="FOB"/>
    <n v="856"/>
    <s v="Cajas"/>
    <n v="1047.9100000000001"/>
    <n v="897010.96"/>
    <n v="40605.120000000003"/>
    <n v="4.5267139210874309E-2"/>
    <n v="12"/>
    <d v="2024-05-31T00:00:00"/>
    <d v="2024-05-31T00:00:00"/>
    <n v="0"/>
    <x v="2"/>
    <b v="0"/>
    <n v="126"/>
    <n v="280"/>
    <x v="0"/>
    <x v="0"/>
  </r>
  <r>
    <s v="PED-01394"/>
    <d v="2023-04-29T00:00:00"/>
    <x v="1"/>
    <x v="1"/>
    <n v="17"/>
    <x v="5"/>
    <x v="7"/>
    <s v="SKU-ALI-1301"/>
    <x v="2"/>
    <x v="2"/>
    <x v="2"/>
    <s v="FOB"/>
    <n v="52"/>
    <s v="Palés"/>
    <n v="65.209999999999994"/>
    <n v="3390.92"/>
    <n v="151.34"/>
    <n v="4.463095561086667E-2"/>
    <n v="13"/>
    <d v="2023-05-12T00:00:00"/>
    <d v="2023-05-17T00:00:00"/>
    <n v="5"/>
    <x v="2"/>
    <b v="0"/>
    <n v="45"/>
    <n v="276"/>
    <x v="0"/>
    <x v="0"/>
  </r>
  <r>
    <s v="PED-01395"/>
    <d v="2023-04-10T00:00:00"/>
    <x v="1"/>
    <x v="1"/>
    <n v="15"/>
    <x v="6"/>
    <x v="7"/>
    <s v="SKU-ALI-7170"/>
    <x v="5"/>
    <x v="2"/>
    <x v="4"/>
    <s v="FCA"/>
    <n v="874"/>
    <s v="Metros"/>
    <n v="56.55"/>
    <n v="49424.7"/>
    <n v="1674.55"/>
    <n v="3.3880832862920769E-2"/>
    <n v="2"/>
    <d v="2023-04-12T00:00:00"/>
    <d v="2023-04-15T00:00:00"/>
    <n v="3"/>
    <x v="2"/>
    <b v="0"/>
    <n v="193"/>
    <n v="139"/>
    <x v="1"/>
    <x v="1"/>
  </r>
  <r>
    <s v="PED-01396"/>
    <d v="2023-08-29T00:00:00"/>
    <x v="1"/>
    <x v="4"/>
    <n v="35"/>
    <x v="2"/>
    <x v="3"/>
    <s v="SKU-QUÍ-9631"/>
    <x v="0"/>
    <x v="3"/>
    <x v="3"/>
    <s v="EXW"/>
    <n v="254"/>
    <s v="KG"/>
    <n v="85.92"/>
    <n v="21823.68"/>
    <n v="615.04"/>
    <n v="2.8182231411017753E-2"/>
    <n v="27"/>
    <d v="2023-09-25T00:00:00"/>
    <d v="2023-09-26T00:00:00"/>
    <n v="1"/>
    <x v="2"/>
    <b v="0"/>
    <n v="361"/>
    <n v="53"/>
    <x v="0"/>
    <x v="0"/>
  </r>
  <r>
    <s v="PED-01397"/>
    <d v="2024-07-04T00:00:00"/>
    <x v="0"/>
    <x v="7"/>
    <n v="27"/>
    <x v="6"/>
    <x v="2"/>
    <s v="SKU-AUT-1712"/>
    <x v="3"/>
    <x v="4"/>
    <x v="2"/>
    <s v="DAP"/>
    <n v="296"/>
    <s v="Litros"/>
    <n v="935.43"/>
    <n v="276887.28000000003"/>
    <n v="8805.3799999999992"/>
    <n v="3.1801316405722931E-2"/>
    <n v="19"/>
    <d v="2024-07-23T00:00:00"/>
    <d v="2024-07-23T00:00:00"/>
    <n v="0"/>
    <x v="0"/>
    <b v="1"/>
    <n v="208"/>
    <n v="0"/>
    <x v="2"/>
    <x v="1"/>
  </r>
  <r>
    <s v="PED-01398"/>
    <d v="2023-05-19T00:00:00"/>
    <x v="1"/>
    <x v="5"/>
    <n v="20"/>
    <x v="8"/>
    <x v="1"/>
    <s v="SKU-FAR-5185"/>
    <x v="5"/>
    <x v="3"/>
    <x v="0"/>
    <s v="CIF"/>
    <n v="364"/>
    <s v="Unidades"/>
    <n v="212.86"/>
    <n v="77481.039999999994"/>
    <n v="1806.85"/>
    <n v="2.3319898648753296E-2"/>
    <n v="19"/>
    <d v="2023-06-07T00:00:00"/>
    <d v="2023-06-08T00:00:00"/>
    <n v="1"/>
    <x v="1"/>
    <b v="0"/>
    <n v="295"/>
    <n v="127"/>
    <x v="0"/>
    <x v="0"/>
  </r>
  <r>
    <s v="PED-01399"/>
    <d v="2024-02-02T00:00:00"/>
    <x v="0"/>
    <x v="9"/>
    <n v="5"/>
    <x v="0"/>
    <x v="4"/>
    <s v="SKU-TEX-3790"/>
    <x v="2"/>
    <x v="3"/>
    <x v="2"/>
    <s v="DAP"/>
    <n v="794"/>
    <s v="Unidades"/>
    <n v="66.86"/>
    <n v="53086.84"/>
    <n v="1692.82"/>
    <n v="3.1887752218817317E-2"/>
    <n v="4"/>
    <d v="2024-02-06T00:00:00"/>
    <d v="2024-02-06T00:00:00"/>
    <n v="0"/>
    <x v="0"/>
    <b v="1"/>
    <n v="57"/>
    <n v="0"/>
    <x v="2"/>
    <x v="1"/>
  </r>
  <r>
    <s v="PED-01400"/>
    <d v="2024-04-09T00:00:00"/>
    <x v="0"/>
    <x v="1"/>
    <n v="15"/>
    <x v="8"/>
    <x v="1"/>
    <s v="SKU-FAR-1984"/>
    <x v="5"/>
    <x v="0"/>
    <x v="2"/>
    <s v="FOB"/>
    <n v="485"/>
    <s v="KG"/>
    <n v="141.19"/>
    <n v="68477.149999999994"/>
    <n v="1407.35"/>
    <n v="2.0552111178692455E-2"/>
    <n v="4"/>
    <d v="2024-04-13T00:00:00"/>
    <d v="2024-04-13T00:00:00"/>
    <n v="0"/>
    <x v="0"/>
    <b v="1"/>
    <n v="495"/>
    <n v="172"/>
    <x v="0"/>
    <x v="0"/>
  </r>
  <r>
    <s v="PED-01401"/>
    <d v="2024-01-15T00:00:00"/>
    <x v="0"/>
    <x v="2"/>
    <n v="3"/>
    <x v="7"/>
    <x v="2"/>
    <s v="SKU-AUT-5653"/>
    <x v="2"/>
    <x v="5"/>
    <x v="0"/>
    <s v="DAP"/>
    <n v="92"/>
    <s v="Cajas"/>
    <n v="830.52"/>
    <n v="76407.839999999997"/>
    <n v="4403.8"/>
    <n v="5.7635446833728066E-2"/>
    <n v="26"/>
    <d v="2024-02-10T00:00:00"/>
    <d v="2024-02-12T00:00:00"/>
    <n v="2"/>
    <x v="1"/>
    <b v="0"/>
    <n v="77"/>
    <n v="429"/>
    <x v="4"/>
    <x v="1"/>
  </r>
  <r>
    <s v="PED-01402"/>
    <d v="2024-11-17T00:00:00"/>
    <x v="0"/>
    <x v="6"/>
    <n v="47"/>
    <x v="4"/>
    <x v="0"/>
    <s v="SKU-MAQ-4288"/>
    <x v="3"/>
    <x v="3"/>
    <x v="1"/>
    <s v="EXW"/>
    <n v="119"/>
    <s v="Metros"/>
    <n v="1911.68"/>
    <n v="227489.92000000001"/>
    <n v="8868.1299999999992"/>
    <n v="3.8982518434223366E-2"/>
    <n v="11"/>
    <d v="2024-11-28T00:00:00"/>
    <d v="2024-11-25T00:00:00"/>
    <n v="-3"/>
    <x v="0"/>
    <b v="1"/>
    <n v="201"/>
    <n v="431"/>
    <x v="0"/>
    <x v="0"/>
  </r>
  <r>
    <s v="PED-01403"/>
    <d v="2024-12-14T00:00:00"/>
    <x v="0"/>
    <x v="11"/>
    <n v="50"/>
    <x v="7"/>
    <x v="6"/>
    <s v="SKU-CON-5444"/>
    <x v="3"/>
    <x v="5"/>
    <x v="1"/>
    <s v="DDP"/>
    <n v="959"/>
    <s v="Unidades"/>
    <n v="210.83"/>
    <n v="202185.97"/>
    <n v="15849.09"/>
    <n v="7.8388673556330349E-2"/>
    <n v="27"/>
    <d v="2025-01-10T00:00:00"/>
    <d v="2025-01-22T00:00:00"/>
    <n v="12"/>
    <x v="2"/>
    <b v="0"/>
    <n v="492"/>
    <n v="390"/>
    <x v="4"/>
    <x v="1"/>
  </r>
  <r>
    <s v="PED-01404"/>
    <d v="2024-07-07T00:00:00"/>
    <x v="0"/>
    <x v="7"/>
    <n v="28"/>
    <x v="1"/>
    <x v="3"/>
    <s v="SKU-QUÍ-1869"/>
    <x v="1"/>
    <x v="5"/>
    <x v="1"/>
    <s v="DDP"/>
    <n v="199"/>
    <s v="KG"/>
    <n v="154.29"/>
    <n v="30703.71"/>
    <n v="970.94"/>
    <n v="3.1622888569492094E-2"/>
    <n v="5"/>
    <d v="2024-07-12T00:00:00"/>
    <d v="2024-07-17T00:00:00"/>
    <n v="5"/>
    <x v="2"/>
    <b v="0"/>
    <n v="288"/>
    <n v="265"/>
    <x v="0"/>
    <x v="0"/>
  </r>
  <r>
    <s v="PED-01405"/>
    <d v="2024-03-05T00:00:00"/>
    <x v="0"/>
    <x v="8"/>
    <n v="10"/>
    <x v="0"/>
    <x v="1"/>
    <s v="SKU-FAR-8617"/>
    <x v="3"/>
    <x v="2"/>
    <x v="3"/>
    <s v="CIF"/>
    <n v="992"/>
    <s v="Cajas"/>
    <n v="177.28"/>
    <n v="175861.76000000001"/>
    <n v="7166.32"/>
    <n v="4.0749734336788163E-2"/>
    <n v="20"/>
    <d v="2024-03-25T00:00:00"/>
    <d v="2024-04-02T00:00:00"/>
    <n v="8"/>
    <x v="1"/>
    <b v="0"/>
    <n v="489"/>
    <n v="398"/>
    <x v="0"/>
    <x v="0"/>
  </r>
  <r>
    <s v="PED-01406"/>
    <d v="2024-08-24T00:00:00"/>
    <x v="0"/>
    <x v="4"/>
    <n v="34"/>
    <x v="4"/>
    <x v="7"/>
    <s v="SKU-ALI-1136"/>
    <x v="4"/>
    <x v="1"/>
    <x v="2"/>
    <s v="CIF"/>
    <n v="809"/>
    <s v="KG"/>
    <n v="108.04"/>
    <n v="87404.36"/>
    <n v="3624.7"/>
    <n v="4.1470471267108414E-2"/>
    <n v="11"/>
    <d v="2024-09-04T00:00:00"/>
    <d v="2024-09-07T00:00:00"/>
    <n v="3"/>
    <x v="2"/>
    <b v="0"/>
    <n v="61"/>
    <n v="295"/>
    <x v="1"/>
    <x v="1"/>
  </r>
  <r>
    <s v="PED-01407"/>
    <d v="2023-06-08T00:00:00"/>
    <x v="1"/>
    <x v="10"/>
    <n v="23"/>
    <x v="5"/>
    <x v="3"/>
    <s v="SKU-QUÍ-2091"/>
    <x v="5"/>
    <x v="1"/>
    <x v="0"/>
    <s v="DAP"/>
    <n v="945"/>
    <s v="KG"/>
    <n v="140.49"/>
    <n v="132763.04999999999"/>
    <n v="2722.58"/>
    <n v="2.0507061264410542E-2"/>
    <n v="10"/>
    <d v="2023-06-18T00:00:00"/>
    <d v="2023-06-19T00:00:00"/>
    <n v="1"/>
    <x v="1"/>
    <b v="0"/>
    <n v="267"/>
    <n v="255"/>
    <x v="0"/>
    <x v="0"/>
  </r>
  <r>
    <s v="PED-01408"/>
    <d v="2024-02-29T00:00:00"/>
    <x v="0"/>
    <x v="9"/>
    <n v="9"/>
    <x v="4"/>
    <x v="5"/>
    <s v="SKU-ELE-7367"/>
    <x v="5"/>
    <x v="4"/>
    <x v="3"/>
    <s v="CIF"/>
    <n v="918"/>
    <s v="Cajas"/>
    <n v="434.31"/>
    <n v="398696.58"/>
    <n v="28049.29"/>
    <n v="7.0352472047791326E-2"/>
    <n v="8"/>
    <d v="2024-03-08T00:00:00"/>
    <d v="2024-03-08T00:00:00"/>
    <n v="0"/>
    <x v="0"/>
    <b v="1"/>
    <n v="125"/>
    <n v="394"/>
    <x v="0"/>
    <x v="0"/>
  </r>
  <r>
    <s v="PED-01409"/>
    <d v="2024-11-01T00:00:00"/>
    <x v="0"/>
    <x v="6"/>
    <n v="44"/>
    <x v="1"/>
    <x v="2"/>
    <s v="SKU-AUT-5445"/>
    <x v="2"/>
    <x v="0"/>
    <x v="0"/>
    <s v="FCA"/>
    <n v="260"/>
    <s v="Cajas"/>
    <n v="711.5"/>
    <n v="184990"/>
    <n v="4054.92"/>
    <n v="2.1919671333585598E-2"/>
    <n v="6"/>
    <d v="2024-11-07T00:00:00"/>
    <d v="2024-11-02T00:00:00"/>
    <n v="-5"/>
    <x v="0"/>
    <b v="1"/>
    <n v="479"/>
    <n v="439"/>
    <x v="0"/>
    <x v="0"/>
  </r>
  <r>
    <s v="PED-01410"/>
    <d v="2023-04-12T00:00:00"/>
    <x v="1"/>
    <x v="1"/>
    <n v="15"/>
    <x v="3"/>
    <x v="6"/>
    <s v="SKU-CON-6901"/>
    <x v="3"/>
    <x v="0"/>
    <x v="3"/>
    <s v="EXW"/>
    <n v="733"/>
    <s v="Cajas"/>
    <n v="240.48"/>
    <n v="176271.84"/>
    <n v="13469.07"/>
    <n v="7.641078688462094E-2"/>
    <n v="6"/>
    <d v="2023-04-18T00:00:00"/>
    <d v="2023-04-13T00:00:00"/>
    <n v="-5"/>
    <x v="0"/>
    <b v="1"/>
    <n v="48"/>
    <n v="173"/>
    <x v="0"/>
    <x v="0"/>
  </r>
  <r>
    <s v="PED-01411"/>
    <d v="2024-05-16T00:00:00"/>
    <x v="0"/>
    <x v="5"/>
    <n v="20"/>
    <x v="8"/>
    <x v="1"/>
    <s v="SKU-FAR-2767"/>
    <x v="1"/>
    <x v="1"/>
    <x v="3"/>
    <s v="FOB"/>
    <n v="300"/>
    <s v="KG"/>
    <n v="272.79000000000002"/>
    <n v="81837"/>
    <n v="6017.02"/>
    <n v="7.3524444933220925E-2"/>
    <n v="8"/>
    <d v="2024-05-24T00:00:00"/>
    <d v="2024-05-21T00:00:00"/>
    <n v="-3"/>
    <x v="0"/>
    <b v="1"/>
    <n v="87"/>
    <n v="44"/>
    <x v="2"/>
    <x v="1"/>
  </r>
  <r>
    <s v="PED-01412"/>
    <d v="2024-09-22T00:00:00"/>
    <x v="0"/>
    <x v="3"/>
    <n v="39"/>
    <x v="9"/>
    <x v="3"/>
    <s v="SKU-QUÍ-1312"/>
    <x v="1"/>
    <x v="4"/>
    <x v="3"/>
    <s v="FOB"/>
    <n v="654"/>
    <s v="Unidades"/>
    <n v="123.9"/>
    <n v="81030.600000000006"/>
    <n v="4224.2299999999996"/>
    <n v="5.2131293610068283E-2"/>
    <n v="23"/>
    <d v="2024-10-15T00:00:00"/>
    <d v="2024-10-15T00:00:00"/>
    <n v="0"/>
    <x v="0"/>
    <b v="1"/>
    <n v="333"/>
    <n v="342"/>
    <x v="1"/>
    <x v="1"/>
  </r>
  <r>
    <s v="PED-01413"/>
    <d v="2024-02-22T00:00:00"/>
    <x v="0"/>
    <x v="9"/>
    <n v="8"/>
    <x v="7"/>
    <x v="6"/>
    <s v="SKU-CON-5792"/>
    <x v="1"/>
    <x v="1"/>
    <x v="0"/>
    <s v="DAP"/>
    <n v="210"/>
    <s v="Palés"/>
    <n v="181.33"/>
    <n v="38079.300000000003"/>
    <n v="2003.57"/>
    <n v="5.2615725604199651E-2"/>
    <n v="15"/>
    <d v="2024-03-08T00:00:00"/>
    <d v="2024-03-08T00:00:00"/>
    <n v="0"/>
    <x v="0"/>
    <b v="1"/>
    <n v="260"/>
    <n v="140"/>
    <x v="0"/>
    <x v="0"/>
  </r>
  <r>
    <s v="PED-01414"/>
    <d v="2023-10-14T00:00:00"/>
    <x v="1"/>
    <x v="0"/>
    <n v="41"/>
    <x v="0"/>
    <x v="1"/>
    <s v="SKU-FAR-7332"/>
    <x v="0"/>
    <x v="4"/>
    <x v="4"/>
    <s v="FOB"/>
    <n v="806"/>
    <s v="Palés"/>
    <n v="278.72000000000003"/>
    <n v="224648.32000000001"/>
    <n v="13305.17"/>
    <n v="5.9226661476925353E-2"/>
    <n v="26"/>
    <d v="2023-11-09T00:00:00"/>
    <d v="2023-11-06T00:00:00"/>
    <n v="-3"/>
    <x v="0"/>
    <b v="1"/>
    <n v="178"/>
    <n v="26"/>
    <x v="4"/>
    <x v="1"/>
  </r>
  <r>
    <s v="PED-01415"/>
    <d v="2023-02-03T00:00:00"/>
    <x v="1"/>
    <x v="9"/>
    <n v="5"/>
    <x v="1"/>
    <x v="3"/>
    <s v="SKU-QUÍ-4787"/>
    <x v="4"/>
    <x v="4"/>
    <x v="3"/>
    <s v="DAP"/>
    <n v="335"/>
    <s v="KG"/>
    <n v="148.25"/>
    <n v="49663.75"/>
    <n v="2146.62"/>
    <n v="4.322307518058946E-2"/>
    <n v="14"/>
    <d v="2023-02-17T00:00:00"/>
    <d v="2023-02-12T00:00:00"/>
    <n v="-5"/>
    <x v="2"/>
    <b v="0"/>
    <n v="68"/>
    <n v="232"/>
    <x v="0"/>
    <x v="0"/>
  </r>
  <r>
    <s v="PED-01416"/>
    <d v="2024-12-07T00:00:00"/>
    <x v="0"/>
    <x v="11"/>
    <n v="49"/>
    <x v="2"/>
    <x v="7"/>
    <s v="SKU-ALI-7237"/>
    <x v="3"/>
    <x v="4"/>
    <x v="1"/>
    <s v="CIF"/>
    <n v="520"/>
    <s v="KG"/>
    <n v="84.68"/>
    <n v="44033.599999999999"/>
    <n v="2590.64"/>
    <n v="5.8833254605573926E-2"/>
    <n v="11"/>
    <d v="2024-12-18T00:00:00"/>
    <d v="2024-12-23T00:00:00"/>
    <n v="5"/>
    <x v="2"/>
    <b v="0"/>
    <n v="366"/>
    <n v="208"/>
    <x v="0"/>
    <x v="0"/>
  </r>
  <r>
    <s v="PED-01417"/>
    <d v="2024-01-15T00:00:00"/>
    <x v="0"/>
    <x v="2"/>
    <n v="3"/>
    <x v="9"/>
    <x v="5"/>
    <s v="SKU-ELE-9331"/>
    <x v="1"/>
    <x v="4"/>
    <x v="2"/>
    <s v="CIF"/>
    <n v="418"/>
    <s v="Unidades"/>
    <n v="545.16"/>
    <n v="227876.88"/>
    <n v="5169.6400000000003"/>
    <n v="2.2686110148603052E-2"/>
    <n v="12"/>
    <d v="2024-01-27T00:00:00"/>
    <d v="2024-01-27T00:00:00"/>
    <n v="0"/>
    <x v="0"/>
    <b v="1"/>
    <n v="415"/>
    <n v="49"/>
    <x v="0"/>
    <x v="0"/>
  </r>
  <r>
    <s v="PED-01418"/>
    <d v="2023-08-11T00:00:00"/>
    <x v="1"/>
    <x v="4"/>
    <n v="32"/>
    <x v="1"/>
    <x v="5"/>
    <s v="SKU-ELE-2631"/>
    <x v="4"/>
    <x v="2"/>
    <x v="4"/>
    <s v="FCA"/>
    <n v="616"/>
    <s v="Cajas"/>
    <n v="431.7"/>
    <n v="265927.2"/>
    <n v="6180.91"/>
    <n v="2.3242864964546688E-2"/>
    <n v="26"/>
    <d v="2023-09-06T00:00:00"/>
    <d v="2023-09-06T00:00:00"/>
    <n v="0"/>
    <x v="0"/>
    <b v="1"/>
    <n v="492"/>
    <n v="60"/>
    <x v="2"/>
    <x v="1"/>
  </r>
  <r>
    <s v="PED-01419"/>
    <d v="2024-03-30T00:00:00"/>
    <x v="0"/>
    <x v="8"/>
    <n v="13"/>
    <x v="2"/>
    <x v="0"/>
    <s v="SKU-MAQ-6168"/>
    <x v="5"/>
    <x v="2"/>
    <x v="4"/>
    <s v="FCA"/>
    <n v="799"/>
    <s v="KG"/>
    <n v="1802.16"/>
    <n v="1439925.84"/>
    <n v="68301.19"/>
    <n v="4.7433824786420942E-2"/>
    <n v="13"/>
    <d v="2024-04-12T00:00:00"/>
    <d v="2024-04-09T00:00:00"/>
    <n v="-3"/>
    <x v="1"/>
    <b v="0"/>
    <n v="432"/>
    <n v="242"/>
    <x v="4"/>
    <x v="1"/>
  </r>
  <r>
    <s v="PED-01420"/>
    <d v="2024-03-31T00:00:00"/>
    <x v="0"/>
    <x v="8"/>
    <n v="14"/>
    <x v="2"/>
    <x v="3"/>
    <s v="SKU-QUÍ-8940"/>
    <x v="2"/>
    <x v="1"/>
    <x v="0"/>
    <s v="EXW"/>
    <n v="971"/>
    <s v="Litros"/>
    <n v="118.44"/>
    <n v="115005.24"/>
    <n v="6092.67"/>
    <n v="5.2977325207094909E-2"/>
    <n v="8"/>
    <d v="2024-04-08T00:00:00"/>
    <d v="2024-04-08T00:00:00"/>
    <n v="0"/>
    <x v="0"/>
    <b v="1"/>
    <n v="480"/>
    <n v="268"/>
    <x v="2"/>
    <x v="1"/>
  </r>
  <r>
    <s v="PED-01421"/>
    <d v="2023-08-30T00:00:00"/>
    <x v="1"/>
    <x v="4"/>
    <n v="35"/>
    <x v="2"/>
    <x v="1"/>
    <s v="SKU-FAR-9709"/>
    <x v="3"/>
    <x v="4"/>
    <x v="4"/>
    <s v="FOB"/>
    <n v="950"/>
    <s v="Cajas"/>
    <n v="299.3"/>
    <n v="284335"/>
    <n v="20832.96"/>
    <n v="7.3269066418133535E-2"/>
    <n v="18"/>
    <d v="2023-09-17T00:00:00"/>
    <d v="2023-09-20T00:00:00"/>
    <n v="3"/>
    <x v="1"/>
    <b v="0"/>
    <n v="59"/>
    <n v="139"/>
    <x v="1"/>
    <x v="1"/>
  </r>
  <r>
    <s v="PED-01422"/>
    <d v="2024-01-07T00:00:00"/>
    <x v="0"/>
    <x v="2"/>
    <n v="2"/>
    <x v="3"/>
    <x v="5"/>
    <s v="SKU-ELE-2442"/>
    <x v="3"/>
    <x v="3"/>
    <x v="0"/>
    <s v="FCA"/>
    <n v="846"/>
    <s v="KG"/>
    <n v="542.07000000000005"/>
    <n v="458591.22"/>
    <n v="12051.61"/>
    <n v="2.6279635270819186E-2"/>
    <n v="25"/>
    <d v="2024-02-01T00:00:00"/>
    <d v="2024-01-29T00:00:00"/>
    <n v="-3"/>
    <x v="0"/>
    <b v="1"/>
    <n v="301"/>
    <n v="156"/>
    <x v="4"/>
    <x v="1"/>
  </r>
  <r>
    <s v="PED-01423"/>
    <d v="2023-04-12T00:00:00"/>
    <x v="1"/>
    <x v="1"/>
    <n v="15"/>
    <x v="4"/>
    <x v="2"/>
    <s v="SKU-AUT-4054"/>
    <x v="0"/>
    <x v="4"/>
    <x v="0"/>
    <s v="EXW"/>
    <n v="517"/>
    <s v="Litros"/>
    <n v="870.97"/>
    <n v="450291.49"/>
    <n v="31231.71"/>
    <n v="6.9358872405072547E-2"/>
    <n v="1"/>
    <d v="2023-04-13T00:00:00"/>
    <d v="2023-04-18T00:00:00"/>
    <n v="5"/>
    <x v="2"/>
    <b v="0"/>
    <n v="451"/>
    <n v="84"/>
    <x v="0"/>
    <x v="0"/>
  </r>
  <r>
    <s v="PED-01424"/>
    <d v="2024-12-03T00:00:00"/>
    <x v="0"/>
    <x v="11"/>
    <n v="49"/>
    <x v="6"/>
    <x v="5"/>
    <s v="SKU-ELE-4258"/>
    <x v="5"/>
    <x v="3"/>
    <x v="1"/>
    <s v="DDP"/>
    <n v="740"/>
    <s v="Metros"/>
    <n v="576.34"/>
    <n v="426491.6"/>
    <n v="13904.84"/>
    <n v="3.2602846105292578E-2"/>
    <n v="15"/>
    <d v="2024-12-18T00:00:00"/>
    <d v="2024-12-15T00:00:00"/>
    <n v="-3"/>
    <x v="0"/>
    <b v="1"/>
    <n v="248"/>
    <n v="83"/>
    <x v="4"/>
    <x v="1"/>
  </r>
  <r>
    <s v="PED-01425"/>
    <d v="2024-01-12T00:00:00"/>
    <x v="0"/>
    <x v="2"/>
    <n v="2"/>
    <x v="7"/>
    <x v="4"/>
    <s v="SKU-TEX-9202"/>
    <x v="3"/>
    <x v="2"/>
    <x v="3"/>
    <s v="FCA"/>
    <n v="610"/>
    <s v="Unidades"/>
    <n v="86"/>
    <n v="52460"/>
    <n v="2289.62"/>
    <n v="4.3645062905070531E-2"/>
    <n v="8"/>
    <d v="2024-01-20T00:00:00"/>
    <d v="2024-01-19T00:00:00"/>
    <n v="-1"/>
    <x v="0"/>
    <b v="1"/>
    <n v="477"/>
    <n v="275"/>
    <x v="4"/>
    <x v="1"/>
  </r>
  <r>
    <s v="PED-01426"/>
    <d v="2024-07-11T00:00:00"/>
    <x v="0"/>
    <x v="7"/>
    <n v="28"/>
    <x v="2"/>
    <x v="4"/>
    <s v="SKU-TEX-8503"/>
    <x v="0"/>
    <x v="4"/>
    <x v="4"/>
    <s v="EXW"/>
    <n v="81"/>
    <s v="Litros"/>
    <n v="80.44"/>
    <n v="6515.64"/>
    <n v="254.08"/>
    <n v="3.8995401833127677E-2"/>
    <n v="28"/>
    <d v="2024-08-08T00:00:00"/>
    <d v="2024-08-09T00:00:00"/>
    <n v="1"/>
    <x v="2"/>
    <b v="0"/>
    <n v="168"/>
    <n v="30"/>
    <x v="0"/>
    <x v="0"/>
  </r>
  <r>
    <s v="PED-01427"/>
    <d v="2024-10-22T00:00:00"/>
    <x v="0"/>
    <x v="0"/>
    <n v="43"/>
    <x v="1"/>
    <x v="5"/>
    <s v="SKU-ELE-1352"/>
    <x v="0"/>
    <x v="5"/>
    <x v="3"/>
    <s v="DAP"/>
    <n v="256"/>
    <s v="KG"/>
    <n v="530.45000000000005"/>
    <n v="135795.20000000001"/>
    <n v="5976.25"/>
    <n v="4.4009287515317179E-2"/>
    <n v="11"/>
    <d v="2024-11-02T00:00:00"/>
    <d v="2024-11-02T00:00:00"/>
    <n v="0"/>
    <x v="0"/>
    <b v="1"/>
    <n v="464"/>
    <n v="7"/>
    <x v="0"/>
    <x v="0"/>
  </r>
  <r>
    <s v="PED-01428"/>
    <d v="2024-01-03T00:00:00"/>
    <x v="0"/>
    <x v="2"/>
    <n v="1"/>
    <x v="5"/>
    <x v="3"/>
    <s v="SKU-QUÍ-1651"/>
    <x v="0"/>
    <x v="1"/>
    <x v="3"/>
    <s v="DAP"/>
    <n v="650"/>
    <s v="Palés"/>
    <n v="153"/>
    <n v="99450"/>
    <n v="2887.01"/>
    <n v="2.9029763700351936E-2"/>
    <n v="12"/>
    <d v="2024-01-15T00:00:00"/>
    <d v="2024-01-27T00:00:00"/>
    <n v="12"/>
    <x v="2"/>
    <b v="0"/>
    <n v="450"/>
    <n v="279"/>
    <x v="2"/>
    <x v="1"/>
  </r>
  <r>
    <s v="PED-01429"/>
    <d v="2023-03-04T00:00:00"/>
    <x v="1"/>
    <x v="8"/>
    <n v="9"/>
    <x v="5"/>
    <x v="0"/>
    <s v="SKU-MAQ-5053"/>
    <x v="3"/>
    <x v="4"/>
    <x v="3"/>
    <s v="EXW"/>
    <n v="733"/>
    <s v="KG"/>
    <n v="1753.48"/>
    <n v="1285300.8400000001"/>
    <n v="64540.36"/>
    <n v="5.0214205103919482E-2"/>
    <n v="12"/>
    <d v="2023-03-16T00:00:00"/>
    <d v="2023-03-18T00:00:00"/>
    <n v="2"/>
    <x v="1"/>
    <b v="0"/>
    <n v="268"/>
    <n v="202"/>
    <x v="4"/>
    <x v="1"/>
  </r>
  <r>
    <s v="PED-01430"/>
    <d v="2024-02-12T00:00:00"/>
    <x v="0"/>
    <x v="9"/>
    <n v="7"/>
    <x v="0"/>
    <x v="5"/>
    <s v="SKU-ELE-9673"/>
    <x v="3"/>
    <x v="0"/>
    <x v="0"/>
    <s v="CIF"/>
    <n v="949"/>
    <s v="Palés"/>
    <n v="546.95000000000005"/>
    <n v="519055.55"/>
    <n v="35346.93"/>
    <n v="6.8098549374917577E-2"/>
    <n v="4"/>
    <d v="2024-02-16T00:00:00"/>
    <d v="2024-02-18T00:00:00"/>
    <n v="2"/>
    <x v="2"/>
    <b v="0"/>
    <n v="363"/>
    <n v="422"/>
    <x v="2"/>
    <x v="1"/>
  </r>
  <r>
    <s v="PED-01431"/>
    <d v="2023-10-10T00:00:00"/>
    <x v="1"/>
    <x v="0"/>
    <n v="41"/>
    <x v="8"/>
    <x v="7"/>
    <s v="SKU-ALI-5995"/>
    <x v="3"/>
    <x v="3"/>
    <x v="3"/>
    <s v="DDP"/>
    <n v="864"/>
    <s v="Unidades"/>
    <n v="68.31"/>
    <n v="59019.839999999997"/>
    <n v="2743.95"/>
    <n v="4.64919932009304E-2"/>
    <n v="16"/>
    <d v="2023-10-26T00:00:00"/>
    <d v="2023-10-26T00:00:00"/>
    <n v="0"/>
    <x v="0"/>
    <b v="1"/>
    <n v="111"/>
    <n v="32"/>
    <x v="0"/>
    <x v="0"/>
  </r>
  <r>
    <s v="PED-01432"/>
    <d v="2023-07-14T00:00:00"/>
    <x v="1"/>
    <x v="7"/>
    <n v="28"/>
    <x v="2"/>
    <x v="6"/>
    <s v="SKU-CON-6465"/>
    <x v="4"/>
    <x v="4"/>
    <x v="4"/>
    <s v="EXW"/>
    <n v="617"/>
    <s v="Unidades"/>
    <n v="214.23"/>
    <n v="132179.91"/>
    <n v="6534.55"/>
    <n v="4.9436786573693388E-2"/>
    <n v="4"/>
    <d v="2023-07-18T00:00:00"/>
    <d v="2023-07-30T00:00:00"/>
    <n v="12"/>
    <x v="2"/>
    <b v="0"/>
    <n v="99"/>
    <n v="297"/>
    <x v="4"/>
    <x v="1"/>
  </r>
  <r>
    <s v="PED-01433"/>
    <d v="2023-05-06T00:00:00"/>
    <x v="1"/>
    <x v="5"/>
    <n v="18"/>
    <x v="1"/>
    <x v="1"/>
    <s v="SKU-FAR-9027"/>
    <x v="0"/>
    <x v="5"/>
    <x v="0"/>
    <s v="FCA"/>
    <n v="596"/>
    <s v="Cajas"/>
    <n v="179.33"/>
    <n v="106880.68"/>
    <n v="7580.63"/>
    <n v="7.092610189231581E-2"/>
    <n v="5"/>
    <d v="2023-05-11T00:00:00"/>
    <d v="2023-05-19T00:00:00"/>
    <n v="8"/>
    <x v="2"/>
    <b v="0"/>
    <n v="401"/>
    <n v="142"/>
    <x v="0"/>
    <x v="0"/>
  </r>
  <r>
    <s v="PED-01434"/>
    <d v="2024-04-10T00:00:00"/>
    <x v="0"/>
    <x v="1"/>
    <n v="15"/>
    <x v="2"/>
    <x v="0"/>
    <s v="SKU-MAQ-7445"/>
    <x v="4"/>
    <x v="3"/>
    <x v="4"/>
    <s v="CIF"/>
    <n v="944"/>
    <s v="Cajas"/>
    <n v="2147.81"/>
    <n v="1639255.3774000001"/>
    <n v="96548.6302"/>
    <n v="5.8897857851248549E-2"/>
    <n v="24"/>
    <d v="2024-05-04T00:00:00"/>
    <d v="2024-05-09T00:00:00"/>
    <n v="5"/>
    <x v="2"/>
    <b v="0"/>
    <n v="214"/>
    <n v="451"/>
    <x v="1"/>
    <x v="1"/>
  </r>
  <r>
    <s v="PED-01435"/>
    <d v="2023-04-04T00:00:00"/>
    <x v="1"/>
    <x v="1"/>
    <n v="14"/>
    <x v="3"/>
    <x v="7"/>
    <s v="SKU-ALI-3572"/>
    <x v="2"/>
    <x v="5"/>
    <x v="0"/>
    <s v="EXW"/>
    <n v="575"/>
    <s v="Palés"/>
    <n v="77.47"/>
    <n v="44545.25"/>
    <n v="2201.75"/>
    <n v="4.942726777827041E-2"/>
    <n v="5"/>
    <d v="2023-04-09T00:00:00"/>
    <d v="2023-04-08T00:00:00"/>
    <n v="-1"/>
    <x v="0"/>
    <b v="1"/>
    <n v="482"/>
    <n v="448"/>
    <x v="0"/>
    <x v="0"/>
  </r>
  <r>
    <s v="PED-01436"/>
    <d v="2024-11-09T00:00:00"/>
    <x v="0"/>
    <x v="6"/>
    <n v="45"/>
    <x v="8"/>
    <x v="0"/>
    <s v="SKU-MAQ-1301"/>
    <x v="3"/>
    <x v="1"/>
    <x v="2"/>
    <s v="FOB"/>
    <n v="353"/>
    <s v="Palés"/>
    <n v="2192.7199999999998"/>
    <n v="774030.16"/>
    <n v="27448.46"/>
    <n v="3.5461744798161353E-2"/>
    <n v="8"/>
    <d v="2024-11-17T00:00:00"/>
    <d v="2024-11-16T00:00:00"/>
    <n v="-1"/>
    <x v="0"/>
    <b v="1"/>
    <n v="112"/>
    <n v="415"/>
    <x v="0"/>
    <x v="0"/>
  </r>
  <r>
    <s v="PED-01437"/>
    <d v="2023-08-06T00:00:00"/>
    <x v="1"/>
    <x v="4"/>
    <n v="32"/>
    <x v="2"/>
    <x v="7"/>
    <s v="SKU-ALI-6681"/>
    <x v="5"/>
    <x v="1"/>
    <x v="2"/>
    <s v="FCA"/>
    <n v="980"/>
    <s v="Unidades"/>
    <n v="90.12"/>
    <n v="88317.6"/>
    <n v="6455.63"/>
    <n v="7.3095623069467458E-2"/>
    <n v="10"/>
    <d v="2023-08-16T00:00:00"/>
    <d v="2023-08-11T00:00:00"/>
    <n v="-5"/>
    <x v="0"/>
    <b v="1"/>
    <n v="96"/>
    <n v="394"/>
    <x v="0"/>
    <x v="0"/>
  </r>
  <r>
    <s v="PED-01438"/>
    <d v="2024-10-19T00:00:00"/>
    <x v="0"/>
    <x v="0"/>
    <n v="42"/>
    <x v="7"/>
    <x v="1"/>
    <s v="SKU-FAR-6765"/>
    <x v="1"/>
    <x v="1"/>
    <x v="2"/>
    <s v="FCA"/>
    <n v="934"/>
    <s v="Litros"/>
    <n v="241.05"/>
    <n v="225140.7"/>
    <n v="12297.46"/>
    <n v="5.4621221307386884E-2"/>
    <n v="17"/>
    <d v="2024-11-05T00:00:00"/>
    <d v="2024-11-06T00:00:00"/>
    <n v="1"/>
    <x v="2"/>
    <b v="0"/>
    <n v="306"/>
    <n v="349"/>
    <x v="2"/>
    <x v="1"/>
  </r>
  <r>
    <s v="PED-01439"/>
    <d v="2024-10-16T00:00:00"/>
    <x v="0"/>
    <x v="0"/>
    <n v="42"/>
    <x v="5"/>
    <x v="1"/>
    <s v="SKU-FAR-6822"/>
    <x v="2"/>
    <x v="2"/>
    <x v="2"/>
    <s v="DAP"/>
    <n v="63"/>
    <s v="Palés"/>
    <n v="226.87"/>
    <n v="14292.81"/>
    <n v="475.51"/>
    <n v="3.3269175200677827E-2"/>
    <n v="28"/>
    <d v="2024-11-13T00:00:00"/>
    <d v="2024-11-13T00:00:00"/>
    <n v="0"/>
    <x v="0"/>
    <b v="1"/>
    <n v="117"/>
    <n v="36"/>
    <x v="4"/>
    <x v="1"/>
  </r>
  <r>
    <s v="PED-01440"/>
    <d v="2024-09-03T00:00:00"/>
    <x v="0"/>
    <x v="3"/>
    <n v="36"/>
    <x v="2"/>
    <x v="4"/>
    <s v="SKU-TEX-5953"/>
    <x v="1"/>
    <x v="5"/>
    <x v="0"/>
    <s v="FOB"/>
    <n v="739"/>
    <s v="Palés"/>
    <n v="48.21"/>
    <n v="35627.19"/>
    <n v="1287.82"/>
    <n v="3.6147111237232007E-2"/>
    <n v="26"/>
    <d v="2024-09-29T00:00:00"/>
    <d v="2024-09-29T00:00:00"/>
    <n v="0"/>
    <x v="0"/>
    <b v="1"/>
    <n v="35"/>
    <n v="146"/>
    <x v="0"/>
    <x v="0"/>
  </r>
  <r>
    <s v="PED-01441"/>
    <d v="2023-01-22T00:00:00"/>
    <x v="1"/>
    <x v="2"/>
    <n v="4"/>
    <x v="7"/>
    <x v="3"/>
    <s v="SKU-QUÍ-4869"/>
    <x v="1"/>
    <x v="4"/>
    <x v="3"/>
    <s v="FOB"/>
    <n v="537"/>
    <s v="Litros"/>
    <n v="120.08"/>
    <n v="64482.96"/>
    <n v="4396.96"/>
    <n v="6.8187936782058395E-2"/>
    <n v="9"/>
    <d v="2023-01-31T00:00:00"/>
    <d v="2023-02-05T00:00:00"/>
    <n v="5"/>
    <x v="1"/>
    <b v="0"/>
    <n v="336"/>
    <n v="434"/>
    <x v="1"/>
    <x v="1"/>
  </r>
  <r>
    <s v="PED-01442"/>
    <d v="2023-02-21T00:00:00"/>
    <x v="1"/>
    <x v="9"/>
    <n v="8"/>
    <x v="7"/>
    <x v="7"/>
    <s v="SKU-ALI-9212"/>
    <x v="3"/>
    <x v="0"/>
    <x v="1"/>
    <s v="FCA"/>
    <n v="620"/>
    <s v="Cajas"/>
    <n v="62.35"/>
    <n v="38657"/>
    <n v="875.53"/>
    <n v="2.2648679411232119E-2"/>
    <n v="22"/>
    <d v="2023-03-15T00:00:00"/>
    <d v="2023-03-15T00:00:00"/>
    <n v="0"/>
    <x v="0"/>
    <b v="1"/>
    <n v="358"/>
    <n v="227"/>
    <x v="0"/>
    <x v="0"/>
  </r>
  <r>
    <s v="PED-01443"/>
    <d v="2023-12-08T00:00:00"/>
    <x v="1"/>
    <x v="11"/>
    <n v="49"/>
    <x v="4"/>
    <x v="6"/>
    <s v="SKU-CON-5519"/>
    <x v="5"/>
    <x v="0"/>
    <x v="1"/>
    <s v="DDP"/>
    <n v="541"/>
    <s v="Cajas"/>
    <n v="239.67"/>
    <n v="129661.47"/>
    <n v="10311.4"/>
    <n v="7.9525552193724161E-2"/>
    <n v="19"/>
    <d v="2023-12-27T00:00:00"/>
    <d v="2023-12-27T00:00:00"/>
    <n v="0"/>
    <x v="0"/>
    <b v="1"/>
    <n v="289"/>
    <n v="33"/>
    <x v="0"/>
    <x v="0"/>
  </r>
  <r>
    <s v="PED-01444"/>
    <d v="2023-09-07T00:00:00"/>
    <x v="1"/>
    <x v="3"/>
    <n v="36"/>
    <x v="7"/>
    <x v="4"/>
    <s v="SKU-TEX-2015"/>
    <x v="1"/>
    <x v="1"/>
    <x v="2"/>
    <s v="CIF"/>
    <n v="567"/>
    <s v="Palés"/>
    <n v="63.45"/>
    <n v="35976.15"/>
    <n v="1000.9"/>
    <n v="2.7821209328958211E-2"/>
    <n v="29"/>
    <d v="2023-10-06T00:00:00"/>
    <d v="2023-10-06T00:00:00"/>
    <n v="0"/>
    <x v="0"/>
    <b v="1"/>
    <n v="395"/>
    <n v="454"/>
    <x v="4"/>
    <x v="1"/>
  </r>
  <r>
    <s v="PED-01445"/>
    <d v="2023-05-09T00:00:00"/>
    <x v="1"/>
    <x v="5"/>
    <n v="19"/>
    <x v="8"/>
    <x v="7"/>
    <s v="SKU-ALI-5221"/>
    <x v="0"/>
    <x v="0"/>
    <x v="3"/>
    <s v="DAP"/>
    <n v="972"/>
    <s v="Cajas"/>
    <n v="105.79"/>
    <n v="102827.88"/>
    <n v="6968.04"/>
    <n v="6.7764112223260842E-2"/>
    <n v="14"/>
    <d v="2023-05-23T00:00:00"/>
    <d v="2023-05-25T00:00:00"/>
    <n v="2"/>
    <x v="1"/>
    <b v="0"/>
    <n v="388"/>
    <n v="443"/>
    <x v="2"/>
    <x v="1"/>
  </r>
  <r>
    <s v="PED-01446"/>
    <d v="2024-08-01T00:00:00"/>
    <x v="0"/>
    <x v="4"/>
    <n v="31"/>
    <x v="5"/>
    <x v="4"/>
    <s v="SKU-TEX-7343"/>
    <x v="1"/>
    <x v="3"/>
    <x v="4"/>
    <s v="FOB"/>
    <n v="202"/>
    <s v="Cajas"/>
    <n v="52.58"/>
    <n v="10621.16"/>
    <n v="464"/>
    <n v="4.3686377005901431E-2"/>
    <n v="8"/>
    <d v="2024-08-09T00:00:00"/>
    <d v="2024-08-11T00:00:00"/>
    <n v="2"/>
    <x v="1"/>
    <b v="0"/>
    <n v="303"/>
    <n v="236"/>
    <x v="1"/>
    <x v="1"/>
  </r>
  <r>
    <s v="PED-01447"/>
    <d v="2023-07-30T00:00:00"/>
    <x v="1"/>
    <x v="7"/>
    <n v="31"/>
    <x v="0"/>
    <x v="1"/>
    <s v="SKU-FAR-1482"/>
    <x v="2"/>
    <x v="5"/>
    <x v="3"/>
    <s v="DAP"/>
    <n v="904"/>
    <s v="Metros"/>
    <n v="166.33"/>
    <n v="150362.32"/>
    <n v="7447.89"/>
    <n v="4.9532954798782038E-2"/>
    <n v="9"/>
    <d v="2023-08-08T00:00:00"/>
    <d v="2023-08-08T00:00:00"/>
    <n v="0"/>
    <x v="0"/>
    <b v="1"/>
    <n v="359"/>
    <n v="211"/>
    <x v="3"/>
    <x v="1"/>
  </r>
  <r>
    <s v="PED-01448"/>
    <d v="2023-03-12T00:00:00"/>
    <x v="1"/>
    <x v="8"/>
    <n v="11"/>
    <x v="3"/>
    <x v="0"/>
    <s v="SKU-MAQ-5590"/>
    <x v="5"/>
    <x v="5"/>
    <x v="4"/>
    <s v="FCA"/>
    <n v="67"/>
    <s v="Cajas"/>
    <n v="1537.6"/>
    <n v="103019.2"/>
    <n v="7503.82"/>
    <n v="7.2839043595756908E-2"/>
    <n v="22"/>
    <d v="2023-04-03T00:00:00"/>
    <d v="2023-04-03T00:00:00"/>
    <n v="0"/>
    <x v="0"/>
    <b v="1"/>
    <n v="346"/>
    <n v="308"/>
    <x v="0"/>
    <x v="0"/>
  </r>
  <r>
    <s v="PED-01449"/>
    <d v="2024-07-21T00:00:00"/>
    <x v="0"/>
    <x v="7"/>
    <n v="30"/>
    <x v="5"/>
    <x v="2"/>
    <s v="SKU-AUT-4695"/>
    <x v="5"/>
    <x v="5"/>
    <x v="1"/>
    <s v="CIF"/>
    <n v="446"/>
    <s v="Unidades"/>
    <n v="1153.01"/>
    <n v="514242.46"/>
    <n v="23025.040000000001"/>
    <n v="4.4774676910187459E-2"/>
    <n v="11"/>
    <d v="2024-08-01T00:00:00"/>
    <d v="2024-08-01T00:00:00"/>
    <n v="0"/>
    <x v="0"/>
    <b v="1"/>
    <n v="123"/>
    <n v="139"/>
    <x v="1"/>
    <x v="1"/>
  </r>
  <r>
    <s v="PED-01450"/>
    <d v="2023-08-01T00:00:00"/>
    <x v="1"/>
    <x v="4"/>
    <n v="31"/>
    <x v="1"/>
    <x v="4"/>
    <s v="SKU-TEX-3485"/>
    <x v="1"/>
    <x v="3"/>
    <x v="3"/>
    <s v="EXW"/>
    <n v="120"/>
    <s v="KG"/>
    <n v="76.099999999999994"/>
    <n v="9132"/>
    <n v="477.14"/>
    <n v="5.2249233464739378E-2"/>
    <n v="23"/>
    <d v="2023-08-24T00:00:00"/>
    <d v="2023-09-05T00:00:00"/>
    <n v="12"/>
    <x v="2"/>
    <b v="0"/>
    <n v="39"/>
    <n v="189"/>
    <x v="4"/>
    <x v="1"/>
  </r>
  <r>
    <s v="PED-01451"/>
    <d v="2024-08-23T00:00:00"/>
    <x v="0"/>
    <x v="4"/>
    <n v="34"/>
    <x v="0"/>
    <x v="7"/>
    <s v="SKU-ALI-6599"/>
    <x v="5"/>
    <x v="4"/>
    <x v="3"/>
    <s v="FOB"/>
    <n v="138"/>
    <s v="Palés"/>
    <n v="82.81"/>
    <n v="11427.78"/>
    <n v="262.36"/>
    <n v="2.2958089847721956E-2"/>
    <n v="1"/>
    <d v="2024-08-24T00:00:00"/>
    <d v="2024-09-01T00:00:00"/>
    <n v="8"/>
    <x v="2"/>
    <b v="0"/>
    <n v="140"/>
    <n v="95"/>
    <x v="0"/>
    <x v="0"/>
  </r>
  <r>
    <s v="PED-01452"/>
    <d v="2023-08-10T00:00:00"/>
    <x v="1"/>
    <x v="4"/>
    <n v="32"/>
    <x v="7"/>
    <x v="7"/>
    <s v="SKU-ALI-7436"/>
    <x v="2"/>
    <x v="2"/>
    <x v="1"/>
    <s v="CIF"/>
    <n v="858"/>
    <s v="Palés"/>
    <n v="89.11"/>
    <n v="76456.38"/>
    <n v="1539.9"/>
    <n v="2.0140896024635223E-2"/>
    <n v="14"/>
    <d v="2023-08-24T00:00:00"/>
    <d v="2023-08-27T00:00:00"/>
    <n v="3"/>
    <x v="2"/>
    <b v="0"/>
    <n v="25"/>
    <n v="193"/>
    <x v="3"/>
    <x v="1"/>
  </r>
  <r>
    <s v="PED-01453"/>
    <d v="2023-08-27T00:00:00"/>
    <x v="1"/>
    <x v="4"/>
    <n v="35"/>
    <x v="2"/>
    <x v="2"/>
    <s v="SKU-AUT-3248"/>
    <x v="2"/>
    <x v="3"/>
    <x v="3"/>
    <s v="DAP"/>
    <n v="715"/>
    <s v="Unidades"/>
    <n v="613.9"/>
    <n v="438938.5"/>
    <n v="15225.9"/>
    <n v="3.4688002989029215E-2"/>
    <n v="5"/>
    <d v="2023-09-01T00:00:00"/>
    <d v="2023-09-03T00:00:00"/>
    <n v="2"/>
    <x v="2"/>
    <b v="0"/>
    <n v="141"/>
    <n v="469"/>
    <x v="1"/>
    <x v="1"/>
  </r>
  <r>
    <s v="PED-01454"/>
    <d v="2023-12-03T00:00:00"/>
    <x v="1"/>
    <x v="11"/>
    <n v="49"/>
    <x v="4"/>
    <x v="3"/>
    <s v="SKU-QUÍ-2438"/>
    <x v="2"/>
    <x v="5"/>
    <x v="4"/>
    <s v="FCA"/>
    <n v="934"/>
    <s v="KG"/>
    <n v="178.52"/>
    <n v="166737.68"/>
    <n v="10143.48"/>
    <n v="6.0834959440481597E-2"/>
    <n v="21"/>
    <d v="2023-12-24T00:00:00"/>
    <d v="2023-12-29T00:00:00"/>
    <n v="5"/>
    <x v="2"/>
    <b v="0"/>
    <n v="351"/>
    <n v="360"/>
    <x v="0"/>
    <x v="0"/>
  </r>
  <r>
    <s v="PED-01455"/>
    <d v="2023-06-01T00:00:00"/>
    <x v="1"/>
    <x v="10"/>
    <n v="22"/>
    <x v="0"/>
    <x v="6"/>
    <s v="SKU-CON-7262"/>
    <x v="0"/>
    <x v="5"/>
    <x v="3"/>
    <s v="CIF"/>
    <n v="861"/>
    <s v="KG"/>
    <n v="246.63"/>
    <n v="212348.43"/>
    <n v="5791.99"/>
    <n v="2.7275878611393547E-2"/>
    <n v="26"/>
    <d v="2023-06-27T00:00:00"/>
    <d v="2023-07-09T00:00:00"/>
    <n v="12"/>
    <x v="1"/>
    <b v="0"/>
    <n v="394"/>
    <n v="303"/>
    <x v="0"/>
    <x v="0"/>
  </r>
  <r>
    <s v="PED-01456"/>
    <d v="2024-09-02T00:00:00"/>
    <x v="0"/>
    <x v="3"/>
    <n v="36"/>
    <x v="1"/>
    <x v="1"/>
    <s v="SKU-FAR-9531"/>
    <x v="3"/>
    <x v="5"/>
    <x v="4"/>
    <s v="EXW"/>
    <n v="335"/>
    <s v="Unidades"/>
    <n v="185.66"/>
    <n v="62196.1"/>
    <n v="1668.46"/>
    <n v="2.6825797759023478E-2"/>
    <n v="14"/>
    <d v="2024-09-16T00:00:00"/>
    <d v="2024-09-21T00:00:00"/>
    <n v="5"/>
    <x v="1"/>
    <b v="0"/>
    <n v="421"/>
    <n v="295"/>
    <x v="2"/>
    <x v="1"/>
  </r>
  <r>
    <s v="PED-01457"/>
    <d v="2023-01-03T00:00:00"/>
    <x v="1"/>
    <x v="2"/>
    <n v="1"/>
    <x v="1"/>
    <x v="7"/>
    <s v="SKU-ALI-4726"/>
    <x v="1"/>
    <x v="4"/>
    <x v="2"/>
    <s v="CIF"/>
    <n v="17"/>
    <s v="Litros"/>
    <n v="93.49"/>
    <n v="3302.8089"/>
    <n v="142.36009999999999"/>
    <n v="4.3102735977246516E-2"/>
    <n v="4"/>
    <d v="2023-01-07T00:00:00"/>
    <d v="2023-01-07T00:00:00"/>
    <n v="0"/>
    <x v="0"/>
    <b v="1"/>
    <n v="335"/>
    <n v="151"/>
    <x v="0"/>
    <x v="0"/>
  </r>
  <r>
    <s v="PED-01458"/>
    <d v="2023-10-11T00:00:00"/>
    <x v="1"/>
    <x v="0"/>
    <n v="41"/>
    <x v="0"/>
    <x v="5"/>
    <s v="SKU-ELE-7837"/>
    <x v="5"/>
    <x v="0"/>
    <x v="3"/>
    <s v="FCA"/>
    <n v="38"/>
    <s v="Litros"/>
    <n v="393.79"/>
    <n v="14964.02"/>
    <n v="880.94"/>
    <n v="5.8870544145223011E-2"/>
    <n v="22"/>
    <d v="2023-11-02T00:00:00"/>
    <d v="2023-10-30T00:00:00"/>
    <n v="-3"/>
    <x v="0"/>
    <b v="1"/>
    <n v="56"/>
    <n v="433"/>
    <x v="3"/>
    <x v="1"/>
  </r>
  <r>
    <s v="PED-01459"/>
    <d v="2023-05-29T00:00:00"/>
    <x v="1"/>
    <x v="5"/>
    <n v="22"/>
    <x v="4"/>
    <x v="0"/>
    <s v="SKU-MAQ-4938"/>
    <x v="2"/>
    <x v="2"/>
    <x v="4"/>
    <s v="DAP"/>
    <n v="121"/>
    <s v="KG"/>
    <n v="2209"/>
    <n v="267289"/>
    <n v="16765.52"/>
    <n v="6.2724317124909737E-2"/>
    <n v="23"/>
    <d v="2023-06-21T00:00:00"/>
    <d v="2023-06-24T00:00:00"/>
    <n v="3"/>
    <x v="2"/>
    <b v="0"/>
    <n v="149"/>
    <n v="222"/>
    <x v="3"/>
    <x v="1"/>
  </r>
  <r>
    <s v="PED-01460"/>
    <d v="2023-05-14T00:00:00"/>
    <x v="1"/>
    <x v="5"/>
    <n v="20"/>
    <x v="7"/>
    <x v="4"/>
    <s v="SKU-TEX-3502"/>
    <x v="1"/>
    <x v="3"/>
    <x v="1"/>
    <s v="FOB"/>
    <n v="956"/>
    <s v="Litros"/>
    <n v="50.39"/>
    <n v="48172.84"/>
    <n v="1479.25"/>
    <n v="3.0707137050670047E-2"/>
    <n v="25"/>
    <d v="2023-06-08T00:00:00"/>
    <d v="2023-06-10T00:00:00"/>
    <n v="2"/>
    <x v="1"/>
    <b v="0"/>
    <n v="366"/>
    <n v="195"/>
    <x v="0"/>
    <x v="0"/>
  </r>
  <r>
    <s v="PED-01461"/>
    <d v="2024-07-07T00:00:00"/>
    <x v="0"/>
    <x v="7"/>
    <n v="28"/>
    <x v="8"/>
    <x v="3"/>
    <s v="SKU-QUÍ-7987"/>
    <x v="1"/>
    <x v="5"/>
    <x v="2"/>
    <s v="FOB"/>
    <n v="682"/>
    <s v="Litros"/>
    <n v="146.21"/>
    <n v="99715.22"/>
    <n v="2470.4699999999998"/>
    <n v="2.4775254971106716E-2"/>
    <n v="1"/>
    <d v="2024-07-08T00:00:00"/>
    <d v="2024-07-07T00:00:00"/>
    <n v="-1"/>
    <x v="0"/>
    <b v="1"/>
    <n v="399"/>
    <n v="87"/>
    <x v="4"/>
    <x v="1"/>
  </r>
  <r>
    <s v="PED-01462"/>
    <d v="2023-09-14T00:00:00"/>
    <x v="1"/>
    <x v="3"/>
    <n v="37"/>
    <x v="1"/>
    <x v="6"/>
    <s v="SKU-CON-6118"/>
    <x v="3"/>
    <x v="1"/>
    <x v="3"/>
    <s v="DDP"/>
    <n v="140"/>
    <s v="Litros"/>
    <n v="179.27"/>
    <n v="25097.8"/>
    <n v="1918.07"/>
    <n v="7.6423829977129473E-2"/>
    <n v="22"/>
    <d v="2023-10-06T00:00:00"/>
    <d v="2023-10-08T00:00:00"/>
    <n v="2"/>
    <x v="2"/>
    <b v="0"/>
    <n v="204"/>
    <n v="298"/>
    <x v="0"/>
    <x v="0"/>
  </r>
  <r>
    <s v="PED-01463"/>
    <d v="2023-06-28T00:00:00"/>
    <x v="1"/>
    <x v="10"/>
    <n v="26"/>
    <x v="7"/>
    <x v="2"/>
    <s v="SKU-AUT-6395"/>
    <x v="0"/>
    <x v="2"/>
    <x v="4"/>
    <s v="DAP"/>
    <n v="197"/>
    <s v="KG"/>
    <n v="1019.24"/>
    <n v="200790.28"/>
    <n v="7156.16"/>
    <n v="3.5639972213794412E-2"/>
    <n v="23"/>
    <d v="2023-07-21T00:00:00"/>
    <d v="2023-08-02T00:00:00"/>
    <n v="12"/>
    <x v="2"/>
    <b v="0"/>
    <n v="75"/>
    <n v="16"/>
    <x v="3"/>
    <x v="1"/>
  </r>
  <r>
    <s v="PED-01464"/>
    <d v="2023-04-23T00:00:00"/>
    <x v="1"/>
    <x v="1"/>
    <n v="17"/>
    <x v="8"/>
    <x v="0"/>
    <s v="SKU-MAQ-8359"/>
    <x v="5"/>
    <x v="1"/>
    <x v="3"/>
    <s v="DDP"/>
    <n v="684"/>
    <s v="Litros"/>
    <n v="1982.19"/>
    <n v="1355817.96"/>
    <n v="96535.31"/>
    <n v="7.1200790111970488E-2"/>
    <n v="19"/>
    <d v="2023-05-12T00:00:00"/>
    <d v="2023-05-07T00:00:00"/>
    <n v="-5"/>
    <x v="0"/>
    <b v="1"/>
    <n v="465"/>
    <n v="487"/>
    <x v="0"/>
    <x v="0"/>
  </r>
  <r>
    <s v="PED-01465"/>
    <d v="2024-11-07T00:00:00"/>
    <x v="0"/>
    <x v="6"/>
    <n v="45"/>
    <x v="8"/>
    <x v="1"/>
    <s v="SKU-FAR-9883"/>
    <x v="0"/>
    <x v="2"/>
    <x v="4"/>
    <s v="DDP"/>
    <n v="718"/>
    <s v="Palés"/>
    <n v="247.75"/>
    <n v="177884.5"/>
    <n v="12773.79"/>
    <n v="7.1809460633163652E-2"/>
    <n v="8"/>
    <d v="2024-11-15T00:00:00"/>
    <d v="2024-11-20T00:00:00"/>
    <n v="5"/>
    <x v="2"/>
    <b v="0"/>
    <n v="284"/>
    <n v="210"/>
    <x v="2"/>
    <x v="1"/>
  </r>
  <r>
    <s v="PED-01466"/>
    <d v="2023-01-27T00:00:00"/>
    <x v="1"/>
    <x v="2"/>
    <n v="4"/>
    <x v="1"/>
    <x v="3"/>
    <s v="SKU-QUÍ-3158"/>
    <x v="5"/>
    <x v="5"/>
    <x v="3"/>
    <s v="FCA"/>
    <n v="484"/>
    <s v="Metros"/>
    <n v="142.99"/>
    <n v="69207.16"/>
    <n v="4591.99"/>
    <n v="6.6351371736681569E-2"/>
    <n v="15"/>
    <d v="2023-02-11T00:00:00"/>
    <d v="2023-02-11T00:00:00"/>
    <n v="0"/>
    <x v="0"/>
    <b v="1"/>
    <n v="209"/>
    <n v="231"/>
    <x v="0"/>
    <x v="0"/>
  </r>
  <r>
    <s v="PED-01467"/>
    <d v="2023-05-15T00:00:00"/>
    <x v="1"/>
    <x v="5"/>
    <n v="20"/>
    <x v="0"/>
    <x v="6"/>
    <s v="SKU-CON-4387"/>
    <x v="2"/>
    <x v="2"/>
    <x v="2"/>
    <s v="FCA"/>
    <n v="373"/>
    <s v="KG"/>
    <n v="282.8"/>
    <n v="105484.4"/>
    <n v="3178.25"/>
    <n v="3.0130047665815989E-2"/>
    <n v="21"/>
    <d v="2023-06-05T00:00:00"/>
    <d v="2023-06-04T00:00:00"/>
    <n v="-1"/>
    <x v="0"/>
    <b v="1"/>
    <n v="493"/>
    <n v="357"/>
    <x v="0"/>
    <x v="0"/>
  </r>
  <r>
    <s v="PED-01468"/>
    <d v="2023-01-16T00:00:00"/>
    <x v="1"/>
    <x v="2"/>
    <n v="3"/>
    <x v="8"/>
    <x v="4"/>
    <s v="SKU-TEX-3270"/>
    <x v="2"/>
    <x v="2"/>
    <x v="2"/>
    <s v="FCA"/>
    <n v="213"/>
    <s v="Unidades"/>
    <n v="45.77"/>
    <n v="9749.01"/>
    <n v="675.69"/>
    <n v="6.9308575947711615E-2"/>
    <n v="15"/>
    <d v="2023-01-31T00:00:00"/>
    <d v="2023-01-31T00:00:00"/>
    <n v="0"/>
    <x v="0"/>
    <b v="1"/>
    <n v="385"/>
    <n v="182"/>
    <x v="3"/>
    <x v="1"/>
  </r>
  <r>
    <s v="PED-01469"/>
    <d v="2024-01-02T00:00:00"/>
    <x v="0"/>
    <x v="2"/>
    <n v="1"/>
    <x v="2"/>
    <x v="4"/>
    <s v="SKU-TEX-9869"/>
    <x v="1"/>
    <x v="5"/>
    <x v="3"/>
    <s v="EXW"/>
    <n v="221"/>
    <s v="Litros"/>
    <n v="57.88"/>
    <n v="12791.48"/>
    <n v="846.22"/>
    <n v="6.6154971903173057E-2"/>
    <n v="9"/>
    <d v="2024-01-11T00:00:00"/>
    <d v="2024-01-12T00:00:00"/>
    <n v="1"/>
    <x v="1"/>
    <b v="0"/>
    <n v="437"/>
    <n v="161"/>
    <x v="0"/>
    <x v="0"/>
  </r>
  <r>
    <s v="PED-01470"/>
    <d v="2023-09-01T00:00:00"/>
    <x v="1"/>
    <x v="3"/>
    <n v="35"/>
    <x v="5"/>
    <x v="2"/>
    <s v="SKU-AUT-4314"/>
    <x v="5"/>
    <x v="4"/>
    <x v="3"/>
    <s v="DAP"/>
    <n v="630"/>
    <s v="Cajas"/>
    <n v="718.9"/>
    <n v="452907"/>
    <n v="25273.74"/>
    <n v="5.580337685220145E-2"/>
    <n v="21"/>
    <d v="2023-09-22T00:00:00"/>
    <d v="2023-09-22T00:00:00"/>
    <n v="0"/>
    <x v="0"/>
    <b v="1"/>
    <n v="257"/>
    <n v="366"/>
    <x v="4"/>
    <x v="1"/>
  </r>
  <r>
    <s v="PED-01471"/>
    <d v="2024-08-25T00:00:00"/>
    <x v="0"/>
    <x v="4"/>
    <n v="35"/>
    <x v="3"/>
    <x v="5"/>
    <s v="SKU-ELE-3262"/>
    <x v="5"/>
    <x v="1"/>
    <x v="0"/>
    <s v="FOB"/>
    <n v="285"/>
    <s v="KG"/>
    <n v="745.21"/>
    <n v="212384.85"/>
    <n v="8544.69"/>
    <n v="4.0232106951131399E-2"/>
    <n v="9"/>
    <d v="2024-09-03T00:00:00"/>
    <d v="2024-09-04T00:00:00"/>
    <n v="1"/>
    <x v="1"/>
    <b v="0"/>
    <n v="258"/>
    <n v="480"/>
    <x v="0"/>
    <x v="0"/>
  </r>
  <r>
    <s v="PED-01472"/>
    <d v="2023-11-28T00:00:00"/>
    <x v="1"/>
    <x v="6"/>
    <n v="48"/>
    <x v="1"/>
    <x v="2"/>
    <s v="SKU-AUT-6062"/>
    <x v="0"/>
    <x v="4"/>
    <x v="3"/>
    <s v="DAP"/>
    <n v="82"/>
    <s v="Unidades"/>
    <n v="809.21"/>
    <n v="66355.22"/>
    <n v="2372.23"/>
    <n v="3.5750465449440147E-2"/>
    <n v="10"/>
    <d v="2023-12-08T00:00:00"/>
    <d v="2023-12-11T00:00:00"/>
    <n v="3"/>
    <x v="1"/>
    <b v="0"/>
    <n v="476"/>
    <n v="69"/>
    <x v="3"/>
    <x v="1"/>
  </r>
  <r>
    <s v="PED-01473"/>
    <d v="2023-01-17T00:00:00"/>
    <x v="1"/>
    <x v="2"/>
    <n v="3"/>
    <x v="9"/>
    <x v="1"/>
    <s v="SKU-FAR-9582"/>
    <x v="2"/>
    <x v="1"/>
    <x v="3"/>
    <s v="FCA"/>
    <n v="688"/>
    <s v="Metros"/>
    <n v="257.22000000000003"/>
    <n v="176967.36"/>
    <n v="4833.57"/>
    <n v="2.7313341850158133E-2"/>
    <n v="20"/>
    <d v="2023-02-06T00:00:00"/>
    <d v="2023-02-14T00:00:00"/>
    <n v="8"/>
    <x v="2"/>
    <b v="0"/>
    <n v="183"/>
    <n v="59"/>
    <x v="2"/>
    <x v="1"/>
  </r>
  <r>
    <s v="PED-01474"/>
    <d v="2023-06-28T00:00:00"/>
    <x v="1"/>
    <x v="10"/>
    <n v="26"/>
    <x v="8"/>
    <x v="3"/>
    <s v="SKU-QUÍ-3215"/>
    <x v="4"/>
    <x v="0"/>
    <x v="2"/>
    <s v="EXW"/>
    <n v="781"/>
    <s v="Palés"/>
    <n v="149.72999999999999"/>
    <n v="116939.13"/>
    <n v="5915.42"/>
    <n v="5.0585462710386164E-2"/>
    <n v="25"/>
    <d v="2023-07-23T00:00:00"/>
    <d v="2023-07-20T00:00:00"/>
    <n v="-3"/>
    <x v="2"/>
    <b v="0"/>
    <n v="327"/>
    <n v="178"/>
    <x v="0"/>
    <x v="0"/>
  </r>
  <r>
    <s v="PED-01475"/>
    <d v="2023-09-29T00:00:00"/>
    <x v="1"/>
    <x v="3"/>
    <n v="39"/>
    <x v="6"/>
    <x v="3"/>
    <s v="SKU-QUÍ-8046"/>
    <x v="1"/>
    <x v="1"/>
    <x v="3"/>
    <s v="DAP"/>
    <n v="252"/>
    <s v="Unidades"/>
    <n v="104.36"/>
    <n v="26298.720000000001"/>
    <n v="1449.47"/>
    <n v="5.5115610189393247E-2"/>
    <n v="21"/>
    <d v="2023-10-20T00:00:00"/>
    <d v="2023-10-28T00:00:00"/>
    <n v="8"/>
    <x v="1"/>
    <b v="0"/>
    <n v="10"/>
    <n v="483"/>
    <x v="1"/>
    <x v="1"/>
  </r>
  <r>
    <s v="PED-01476"/>
    <d v="2023-02-23T00:00:00"/>
    <x v="1"/>
    <x v="9"/>
    <n v="8"/>
    <x v="2"/>
    <x v="7"/>
    <s v="SKU-ALI-3378"/>
    <x v="5"/>
    <x v="1"/>
    <x v="1"/>
    <s v="DAP"/>
    <n v="796"/>
    <s v="Litros"/>
    <n v="71.3"/>
    <n v="56754.8"/>
    <n v="2358.75"/>
    <n v="4.1560361414364949E-2"/>
    <n v="26"/>
    <d v="2023-03-21T00:00:00"/>
    <d v="2023-03-20T00:00:00"/>
    <n v="-1"/>
    <x v="0"/>
    <b v="1"/>
    <n v="459"/>
    <n v="76"/>
    <x v="0"/>
    <x v="0"/>
  </r>
  <r>
    <s v="PED-01477"/>
    <d v="2023-05-10T00:00:00"/>
    <x v="1"/>
    <x v="5"/>
    <n v="19"/>
    <x v="9"/>
    <x v="5"/>
    <s v="SKU-ELE-3589"/>
    <x v="3"/>
    <x v="2"/>
    <x v="3"/>
    <s v="DDP"/>
    <n v="111"/>
    <s v="Cajas"/>
    <n v="462.51"/>
    <n v="51338.61"/>
    <n v="2491.0300000000002"/>
    <n v="4.8521570802170143E-2"/>
    <n v="9"/>
    <d v="2023-05-19T00:00:00"/>
    <d v="2023-05-19T00:00:00"/>
    <n v="0"/>
    <x v="0"/>
    <b v="1"/>
    <n v="159"/>
    <n v="494"/>
    <x v="4"/>
    <x v="1"/>
  </r>
  <r>
    <s v="PED-01478"/>
    <d v="2024-03-07T00:00:00"/>
    <x v="0"/>
    <x v="8"/>
    <n v="10"/>
    <x v="7"/>
    <x v="5"/>
    <s v="SKU-ELE-6201"/>
    <x v="3"/>
    <x v="0"/>
    <x v="0"/>
    <s v="DAP"/>
    <n v="996"/>
    <s v="Litros"/>
    <n v="514.45000000000005"/>
    <n v="512392.2"/>
    <n v="21423.56"/>
    <n v="4.1810862850761583E-2"/>
    <n v="3"/>
    <d v="2024-03-10T00:00:00"/>
    <d v="2024-03-09T00:00:00"/>
    <n v="-1"/>
    <x v="0"/>
    <b v="1"/>
    <n v="259"/>
    <n v="456"/>
    <x v="1"/>
    <x v="1"/>
  </r>
  <r>
    <s v="PED-01479"/>
    <d v="2024-06-22T00:00:00"/>
    <x v="0"/>
    <x v="10"/>
    <n v="25"/>
    <x v="3"/>
    <x v="3"/>
    <s v="SKU-QUÍ-2111"/>
    <x v="4"/>
    <x v="5"/>
    <x v="4"/>
    <s v="DDP"/>
    <n v="694"/>
    <s v="Unidades"/>
    <n v="106.5"/>
    <n v="73911"/>
    <n v="4320.8599999999997"/>
    <n v="5.8460310373286785E-2"/>
    <n v="20"/>
    <d v="2024-07-12T00:00:00"/>
    <d v="2024-07-20T00:00:00"/>
    <n v="8"/>
    <x v="1"/>
    <b v="0"/>
    <n v="392"/>
    <n v="34"/>
    <x v="0"/>
    <x v="0"/>
  </r>
  <r>
    <s v="PED-01480"/>
    <d v="2023-04-27T00:00:00"/>
    <x v="1"/>
    <x v="1"/>
    <n v="17"/>
    <x v="4"/>
    <x v="3"/>
    <s v="SKU-QUÍ-9732"/>
    <x v="2"/>
    <x v="5"/>
    <x v="2"/>
    <s v="DDP"/>
    <n v="180"/>
    <s v="KG"/>
    <n v="85.89"/>
    <n v="15460.2"/>
    <n v="1145.22"/>
    <n v="7.4075367718399496E-2"/>
    <n v="25"/>
    <d v="2023-05-22T00:00:00"/>
    <d v="2023-05-24T00:00:00"/>
    <n v="2"/>
    <x v="1"/>
    <b v="0"/>
    <n v="87"/>
    <n v="417"/>
    <x v="0"/>
    <x v="0"/>
  </r>
  <r>
    <s v="PED-01481"/>
    <d v="2023-03-07T00:00:00"/>
    <x v="1"/>
    <x v="8"/>
    <n v="10"/>
    <x v="8"/>
    <x v="0"/>
    <s v="SKU-MAQ-2939"/>
    <x v="2"/>
    <x v="3"/>
    <x v="1"/>
    <s v="CIF"/>
    <n v="662"/>
    <s v="Cajas"/>
    <n v="2105.27"/>
    <n v="1393688.74"/>
    <n v="41581"/>
    <n v="2.983521270323243E-2"/>
    <n v="26"/>
    <d v="2023-04-02T00:00:00"/>
    <d v="2023-04-14T00:00:00"/>
    <n v="12"/>
    <x v="1"/>
    <b v="0"/>
    <n v="368"/>
    <n v="15"/>
    <x v="0"/>
    <x v="0"/>
  </r>
  <r>
    <s v="PED-01482"/>
    <d v="2024-05-02T00:00:00"/>
    <x v="0"/>
    <x v="5"/>
    <n v="18"/>
    <x v="4"/>
    <x v="6"/>
    <s v="SKU-CON-4016"/>
    <x v="2"/>
    <x v="0"/>
    <x v="4"/>
    <s v="FCA"/>
    <n v="918"/>
    <s v="Cajas"/>
    <n v="294.5"/>
    <n v="270351"/>
    <n v="11593.88"/>
    <n v="4.2884546385994503E-2"/>
    <n v="11"/>
    <d v="2024-05-13T00:00:00"/>
    <d v="2024-05-18T00:00:00"/>
    <n v="5"/>
    <x v="1"/>
    <b v="0"/>
    <n v="183"/>
    <n v="465"/>
    <x v="3"/>
    <x v="1"/>
  </r>
  <r>
    <s v="PED-01483"/>
    <d v="2024-04-04T00:00:00"/>
    <x v="0"/>
    <x v="1"/>
    <n v="14"/>
    <x v="3"/>
    <x v="0"/>
    <s v="SKU-MAQ-6203"/>
    <x v="0"/>
    <x v="2"/>
    <x v="1"/>
    <s v="EXW"/>
    <n v="197"/>
    <s v="Unidades"/>
    <n v="1459.88"/>
    <n v="287596.36"/>
    <n v="8182.73"/>
    <n v="2.845213339974122E-2"/>
    <n v="6"/>
    <d v="2024-04-10T00:00:00"/>
    <d v="2024-04-12T00:00:00"/>
    <n v="2"/>
    <x v="1"/>
    <b v="0"/>
    <n v="15"/>
    <n v="401"/>
    <x v="0"/>
    <x v="0"/>
  </r>
  <r>
    <s v="PED-01484"/>
    <d v="2024-01-06T00:00:00"/>
    <x v="0"/>
    <x v="2"/>
    <n v="1"/>
    <x v="2"/>
    <x v="0"/>
    <s v="SKU-MAQ-3384"/>
    <x v="3"/>
    <x v="3"/>
    <x v="2"/>
    <s v="DDP"/>
    <n v="450"/>
    <s v="Metros"/>
    <n v="1456.21"/>
    <n v="655294.5"/>
    <n v="37677.22"/>
    <n v="5.7496621747931659E-2"/>
    <n v="2"/>
    <d v="2024-01-08T00:00:00"/>
    <d v="2024-01-10T00:00:00"/>
    <n v="2"/>
    <x v="1"/>
    <b v="0"/>
    <n v="464"/>
    <n v="293"/>
    <x v="3"/>
    <x v="1"/>
  </r>
  <r>
    <s v="PED-01485"/>
    <d v="2024-06-09T00:00:00"/>
    <x v="0"/>
    <x v="10"/>
    <n v="24"/>
    <x v="2"/>
    <x v="5"/>
    <s v="SKU-ELE-1483"/>
    <x v="2"/>
    <x v="3"/>
    <x v="0"/>
    <s v="DAP"/>
    <n v="95"/>
    <s v="Metros"/>
    <n v="352.84"/>
    <n v="33519.800000000003"/>
    <n v="2136.29"/>
    <n v="6.3732182172924659E-2"/>
    <n v="7"/>
    <d v="2024-06-16T00:00:00"/>
    <d v="2024-06-28T00:00:00"/>
    <n v="12"/>
    <x v="1"/>
    <b v="0"/>
    <n v="494"/>
    <n v="497"/>
    <x v="0"/>
    <x v="0"/>
  </r>
  <r>
    <s v="PED-01486"/>
    <d v="2024-08-30T00:00:00"/>
    <x v="0"/>
    <x v="4"/>
    <n v="35"/>
    <x v="3"/>
    <x v="7"/>
    <s v="SKU-ALI-6221"/>
    <x v="3"/>
    <x v="5"/>
    <x v="2"/>
    <s v="DDP"/>
    <n v="485"/>
    <s v="Litros"/>
    <n v="99.54"/>
    <n v="48276.9"/>
    <n v="3664.93"/>
    <n v="7.5914774975195165E-2"/>
    <n v="18"/>
    <d v="2024-09-17T00:00:00"/>
    <d v="2024-09-29T00:00:00"/>
    <n v="12"/>
    <x v="2"/>
    <b v="0"/>
    <n v="243"/>
    <n v="170"/>
    <x v="3"/>
    <x v="1"/>
  </r>
  <r>
    <s v="PED-01487"/>
    <d v="2023-04-22T00:00:00"/>
    <x v="1"/>
    <x v="1"/>
    <n v="16"/>
    <x v="2"/>
    <x v="4"/>
    <s v="SKU-TEX-7783"/>
    <x v="4"/>
    <x v="1"/>
    <x v="1"/>
    <s v="DDP"/>
    <n v="61"/>
    <s v="Unidades"/>
    <n v="81.62"/>
    <n v="4978.82"/>
    <n v="182.88"/>
    <n v="3.6731595036574929E-2"/>
    <n v="27"/>
    <d v="2023-05-19T00:00:00"/>
    <d v="2023-05-22T00:00:00"/>
    <n v="3"/>
    <x v="1"/>
    <b v="0"/>
    <n v="85"/>
    <n v="31"/>
    <x v="4"/>
    <x v="1"/>
  </r>
  <r>
    <s v="PED-01488"/>
    <d v="2024-04-07T00:00:00"/>
    <x v="0"/>
    <x v="1"/>
    <n v="15"/>
    <x v="8"/>
    <x v="0"/>
    <s v="SKU-MAQ-7737"/>
    <x v="1"/>
    <x v="2"/>
    <x v="1"/>
    <s v="DDP"/>
    <n v="120"/>
    <s v="Cajas"/>
    <n v="1225.93"/>
    <n v="147111.6"/>
    <n v="11329.46"/>
    <n v="7.7012689685925506E-2"/>
    <n v="2"/>
    <d v="2024-04-09T00:00:00"/>
    <d v="2024-04-09T00:00:00"/>
    <n v="0"/>
    <x v="0"/>
    <b v="1"/>
    <n v="198"/>
    <n v="262"/>
    <x v="1"/>
    <x v="1"/>
  </r>
  <r>
    <s v="PED-01489"/>
    <d v="2024-05-30T00:00:00"/>
    <x v="0"/>
    <x v="5"/>
    <n v="22"/>
    <x v="3"/>
    <x v="7"/>
    <s v="SKU-ALI-5970"/>
    <x v="0"/>
    <x v="0"/>
    <x v="2"/>
    <s v="FOB"/>
    <n v="958"/>
    <s v="Unidades"/>
    <n v="66.22"/>
    <n v="63438.76"/>
    <n v="1509.57"/>
    <n v="2.3795704707973483E-2"/>
    <n v="27"/>
    <d v="2024-06-26T00:00:00"/>
    <d v="2024-06-26T00:00:00"/>
    <n v="0"/>
    <x v="0"/>
    <b v="1"/>
    <n v="9"/>
    <n v="214"/>
    <x v="0"/>
    <x v="0"/>
  </r>
  <r>
    <s v="PED-01490"/>
    <d v="2023-08-15T00:00:00"/>
    <x v="1"/>
    <x v="4"/>
    <n v="33"/>
    <x v="1"/>
    <x v="2"/>
    <s v="SKU-AUT-8258"/>
    <x v="5"/>
    <x v="3"/>
    <x v="3"/>
    <s v="FOB"/>
    <n v="886"/>
    <s v="Cajas"/>
    <n v="1065.6500000000001"/>
    <n v="944165.9"/>
    <n v="53044.03"/>
    <n v="5.6180836439867189E-2"/>
    <n v="17"/>
    <d v="2023-09-01T00:00:00"/>
    <d v="2023-09-01T00:00:00"/>
    <n v="0"/>
    <x v="0"/>
    <b v="1"/>
    <n v="476"/>
    <n v="470"/>
    <x v="1"/>
    <x v="1"/>
  </r>
  <r>
    <s v="PED-01491"/>
    <d v="2024-09-21T00:00:00"/>
    <x v="0"/>
    <x v="3"/>
    <n v="38"/>
    <x v="6"/>
    <x v="1"/>
    <s v="SKU-FAR-5485"/>
    <x v="4"/>
    <x v="2"/>
    <x v="2"/>
    <s v="FOB"/>
    <n v="863"/>
    <s v="Litros"/>
    <n v="238.61"/>
    <n v="205920.43"/>
    <n v="4824.3"/>
    <n v="2.3427981380963511E-2"/>
    <n v="11"/>
    <d v="2024-10-02T00:00:00"/>
    <d v="2024-10-04T00:00:00"/>
    <n v="2"/>
    <x v="2"/>
    <b v="0"/>
    <n v="163"/>
    <n v="45"/>
    <x v="2"/>
    <x v="1"/>
  </r>
  <r>
    <s v="PED-01492"/>
    <d v="2023-02-14T00:00:00"/>
    <x v="1"/>
    <x v="9"/>
    <n v="7"/>
    <x v="7"/>
    <x v="0"/>
    <s v="SKU-MAQ-3489"/>
    <x v="3"/>
    <x v="5"/>
    <x v="0"/>
    <s v="FOB"/>
    <n v="52"/>
    <s v="KG"/>
    <n v="1103.83"/>
    <n v="57399.16"/>
    <n v="4226.1000000000004"/>
    <n v="7.3626513001235558E-2"/>
    <n v="27"/>
    <d v="2023-03-13T00:00:00"/>
    <d v="2023-03-14T00:00:00"/>
    <n v="1"/>
    <x v="1"/>
    <b v="0"/>
    <n v="23"/>
    <n v="188"/>
    <x v="3"/>
    <x v="1"/>
  </r>
  <r>
    <s v="PED-01493"/>
    <d v="2024-11-05T00:00:00"/>
    <x v="0"/>
    <x v="6"/>
    <n v="45"/>
    <x v="5"/>
    <x v="2"/>
    <s v="SKU-AUT-4079"/>
    <x v="4"/>
    <x v="3"/>
    <x v="2"/>
    <s v="CIF"/>
    <n v="220"/>
    <s v="KG"/>
    <n v="958.43"/>
    <n v="210854.6"/>
    <n v="10919.85"/>
    <n v="5.1788531054100785E-2"/>
    <n v="12"/>
    <d v="2024-11-17T00:00:00"/>
    <d v="2024-11-20T00:00:00"/>
    <n v="3"/>
    <x v="2"/>
    <b v="0"/>
    <n v="63"/>
    <n v="273"/>
    <x v="0"/>
    <x v="0"/>
  </r>
  <r>
    <s v="PED-01494"/>
    <d v="2024-06-17T00:00:00"/>
    <x v="0"/>
    <x v="10"/>
    <n v="25"/>
    <x v="0"/>
    <x v="4"/>
    <s v="SKU-TEX-2749"/>
    <x v="5"/>
    <x v="3"/>
    <x v="4"/>
    <s v="DDP"/>
    <n v="977"/>
    <s v="Unidades"/>
    <n v="56.83"/>
    <n v="55522.91"/>
    <n v="3340.31"/>
    <n v="6.0160931766724761E-2"/>
    <n v="27"/>
    <d v="2024-07-14T00:00:00"/>
    <d v="2024-07-16T00:00:00"/>
    <n v="2"/>
    <x v="2"/>
    <b v="0"/>
    <n v="311"/>
    <n v="70"/>
    <x v="4"/>
    <x v="1"/>
  </r>
  <r>
    <s v="PED-01495"/>
    <d v="2023-11-05T00:00:00"/>
    <x v="1"/>
    <x v="6"/>
    <n v="45"/>
    <x v="6"/>
    <x v="1"/>
    <s v="SKU-FAR-3155"/>
    <x v="0"/>
    <x v="4"/>
    <x v="3"/>
    <s v="CIF"/>
    <n v="209"/>
    <s v="Cajas"/>
    <n v="199"/>
    <n v="41591"/>
    <n v="2906.98"/>
    <n v="6.9894448318145758E-2"/>
    <n v="19"/>
    <d v="2023-11-24T00:00:00"/>
    <d v="2023-11-21T00:00:00"/>
    <n v="-3"/>
    <x v="0"/>
    <b v="1"/>
    <n v="237"/>
    <n v="489"/>
    <x v="3"/>
    <x v="1"/>
  </r>
  <r>
    <s v="PED-01496"/>
    <d v="2024-04-14T00:00:00"/>
    <x v="0"/>
    <x v="1"/>
    <n v="16"/>
    <x v="5"/>
    <x v="1"/>
    <s v="SKU-FAR-4026"/>
    <x v="1"/>
    <x v="5"/>
    <x v="4"/>
    <s v="DAP"/>
    <n v="819"/>
    <s v="KG"/>
    <n v="263.16000000000003"/>
    <n v="215528.04"/>
    <n v="6254.33"/>
    <n v="2.9018637203771722E-2"/>
    <n v="22"/>
    <d v="2024-05-06T00:00:00"/>
    <d v="2024-05-11T00:00:00"/>
    <n v="5"/>
    <x v="2"/>
    <b v="0"/>
    <n v="461"/>
    <n v="295"/>
    <x v="0"/>
    <x v="0"/>
  </r>
  <r>
    <s v="PED-01497"/>
    <d v="2024-10-20T00:00:00"/>
    <x v="0"/>
    <x v="0"/>
    <n v="43"/>
    <x v="0"/>
    <x v="4"/>
    <s v="SKU-TEX-1429"/>
    <x v="5"/>
    <x v="4"/>
    <x v="2"/>
    <s v="FCA"/>
    <n v="867"/>
    <s v="Cajas"/>
    <n v="80.92"/>
    <n v="70157.64"/>
    <n v="1565.6"/>
    <n v="2.2315459870086849E-2"/>
    <n v="24"/>
    <d v="2024-11-13T00:00:00"/>
    <d v="2024-11-25T00:00:00"/>
    <n v="12"/>
    <x v="2"/>
    <b v="0"/>
    <n v="461"/>
    <n v="87"/>
    <x v="2"/>
    <x v="1"/>
  </r>
  <r>
    <s v="PED-01498"/>
    <d v="2023-02-01T00:00:00"/>
    <x v="1"/>
    <x v="9"/>
    <n v="5"/>
    <x v="4"/>
    <x v="0"/>
    <s v="SKU-MAQ-5372"/>
    <x v="0"/>
    <x v="5"/>
    <x v="3"/>
    <s v="EXW"/>
    <n v="761"/>
    <s v="Litros"/>
    <n v="1530.43"/>
    <n v="1164657.23"/>
    <n v="84708.86"/>
    <n v="7.2732867506433638E-2"/>
    <n v="25"/>
    <d v="2023-02-26T00:00:00"/>
    <d v="2023-02-26T00:00:00"/>
    <n v="0"/>
    <x v="0"/>
    <b v="1"/>
    <n v="344"/>
    <n v="333"/>
    <x v="3"/>
    <x v="1"/>
  </r>
  <r>
    <s v="PED-01499"/>
    <d v="2023-03-04T00:00:00"/>
    <x v="1"/>
    <x v="8"/>
    <n v="9"/>
    <x v="6"/>
    <x v="5"/>
    <s v="SKU-ELE-4783"/>
    <x v="3"/>
    <x v="5"/>
    <x v="4"/>
    <s v="CIF"/>
    <n v="636"/>
    <s v="Unidades"/>
    <n v="728.86"/>
    <n v="463554.96"/>
    <n v="18030.43"/>
    <n v="3.8895991966087472E-2"/>
    <n v="7"/>
    <d v="2023-03-11T00:00:00"/>
    <d v="2023-03-11T00:00:00"/>
    <n v="0"/>
    <x v="0"/>
    <b v="1"/>
    <n v="237"/>
    <n v="433"/>
    <x v="0"/>
    <x v="0"/>
  </r>
  <r>
    <s v="PED-01500"/>
    <d v="2024-05-05T00:00:00"/>
    <x v="0"/>
    <x v="5"/>
    <n v="19"/>
    <x v="9"/>
    <x v="4"/>
    <s v="SKU-TEX-4804"/>
    <x v="5"/>
    <x v="4"/>
    <x v="4"/>
    <s v="FOB"/>
    <n v="35"/>
    <s v="Cajas"/>
    <n v="61.51"/>
    <n v="3302.8089"/>
    <n v="142.36009999999999"/>
    <n v="4.3102735977246516E-2"/>
    <n v="20"/>
    <d v="2024-05-25T00:00:00"/>
    <d v="2024-06-06T00:00:00"/>
    <n v="12"/>
    <x v="1"/>
    <b v="0"/>
    <n v="21"/>
    <n v="260"/>
    <x v="2"/>
    <x v="1"/>
  </r>
  <r>
    <s v="PED-01501"/>
    <d v="2024-02-16T00:00:00"/>
    <x v="0"/>
    <x v="9"/>
    <n v="7"/>
    <x v="6"/>
    <x v="4"/>
    <s v="SKU-TEX-4783"/>
    <x v="4"/>
    <x v="2"/>
    <x v="3"/>
    <s v="FOB"/>
    <n v="928"/>
    <s v="Unidades"/>
    <n v="79.05"/>
    <n v="73358.399999999994"/>
    <n v="3529.1"/>
    <n v="4.8107646840716264E-2"/>
    <n v="6"/>
    <d v="2024-02-22T00:00:00"/>
    <d v="2024-02-19T00:00:00"/>
    <n v="-3"/>
    <x v="0"/>
    <b v="1"/>
    <n v="179"/>
    <n v="493"/>
    <x v="0"/>
    <x v="0"/>
  </r>
  <r>
    <s v="PED-01502"/>
    <d v="2024-03-12T00:00:00"/>
    <x v="0"/>
    <x v="8"/>
    <n v="11"/>
    <x v="2"/>
    <x v="4"/>
    <s v="SKU-TEX-1427"/>
    <x v="2"/>
    <x v="2"/>
    <x v="3"/>
    <s v="DAP"/>
    <n v="308"/>
    <s v="Cajas"/>
    <n v="65.23"/>
    <n v="20090.84"/>
    <n v="1123.05"/>
    <n v="5.5898608520101693E-2"/>
    <n v="21"/>
    <d v="2024-04-02T00:00:00"/>
    <d v="2024-04-03T00:00:00"/>
    <n v="1"/>
    <x v="1"/>
    <b v="0"/>
    <n v="305"/>
    <n v="181"/>
    <x v="2"/>
    <x v="1"/>
  </r>
  <r>
    <s v="PED-01503"/>
    <d v="2024-12-03T00:00:00"/>
    <x v="0"/>
    <x v="11"/>
    <n v="49"/>
    <x v="8"/>
    <x v="1"/>
    <s v="SKU-FAR-6886"/>
    <x v="4"/>
    <x v="2"/>
    <x v="1"/>
    <s v="DDP"/>
    <n v="86"/>
    <s v="Metros"/>
    <n v="283.61"/>
    <n v="24390.46"/>
    <n v="533.13"/>
    <n v="2.1858136336912054E-2"/>
    <n v="24"/>
    <d v="2024-12-27T00:00:00"/>
    <d v="2024-12-26T00:00:00"/>
    <n v="-1"/>
    <x v="0"/>
    <b v="1"/>
    <n v="46"/>
    <n v="341"/>
    <x v="2"/>
    <x v="1"/>
  </r>
  <r>
    <s v="PED-01504"/>
    <d v="2023-04-21T00:00:00"/>
    <x v="1"/>
    <x v="1"/>
    <n v="16"/>
    <x v="8"/>
    <x v="6"/>
    <s v="SKU-CON-2302"/>
    <x v="3"/>
    <x v="1"/>
    <x v="3"/>
    <s v="EXW"/>
    <n v="933"/>
    <s v="Metros"/>
    <n v="285.24"/>
    <n v="266128.92"/>
    <n v="9712.0400000000009"/>
    <n v="3.6493741454329737E-2"/>
    <n v="1"/>
    <d v="2023-04-22T00:00:00"/>
    <d v="2023-04-21T00:00:00"/>
    <n v="-1"/>
    <x v="0"/>
    <b v="1"/>
    <n v="278"/>
    <n v="441"/>
    <x v="3"/>
    <x v="1"/>
  </r>
  <r>
    <s v="PED-01505"/>
    <d v="2024-05-17T00:00:00"/>
    <x v="0"/>
    <x v="5"/>
    <n v="20"/>
    <x v="5"/>
    <x v="7"/>
    <s v="SKU-ALI-8808"/>
    <x v="1"/>
    <x v="3"/>
    <x v="2"/>
    <s v="CIF"/>
    <n v="146"/>
    <s v="Cajas"/>
    <n v="61.59"/>
    <n v="8992.14"/>
    <n v="197.54"/>
    <n v="2.1968074340479576E-2"/>
    <n v="17"/>
    <d v="2024-06-03T00:00:00"/>
    <d v="2024-06-11T00:00:00"/>
    <n v="8"/>
    <x v="1"/>
    <b v="0"/>
    <n v="223"/>
    <n v="21"/>
    <x v="1"/>
    <x v="1"/>
  </r>
  <r>
    <s v="PED-01506"/>
    <d v="2024-12-30T00:00:00"/>
    <x v="0"/>
    <x v="11"/>
    <n v="53"/>
    <x v="2"/>
    <x v="2"/>
    <s v="SKU-AUT-3196"/>
    <x v="5"/>
    <x v="2"/>
    <x v="0"/>
    <s v="DDP"/>
    <n v="29"/>
    <s v="Litros"/>
    <n v="1159.3599999999999"/>
    <n v="33621.440000000002"/>
    <n v="1520.37"/>
    <n v="4.5220252315189349E-2"/>
    <n v="29"/>
    <d v="2025-01-28T00:00:00"/>
    <d v="2025-01-25T00:00:00"/>
    <n v="-3"/>
    <x v="0"/>
    <b v="1"/>
    <n v="217"/>
    <n v="73"/>
    <x v="0"/>
    <x v="0"/>
  </r>
  <r>
    <s v="PED-01507"/>
    <d v="2024-03-30T00:00:00"/>
    <x v="0"/>
    <x v="8"/>
    <n v="13"/>
    <x v="4"/>
    <x v="5"/>
    <s v="SKU-ELE-9230"/>
    <x v="1"/>
    <x v="1"/>
    <x v="1"/>
    <s v="DDP"/>
    <n v="449"/>
    <s v="Unidades"/>
    <n v="680.21"/>
    <n v="305414.28999999998"/>
    <n v="22510.87"/>
    <n v="7.3706014214331622E-2"/>
    <n v="11"/>
    <d v="2024-04-10T00:00:00"/>
    <d v="2024-04-18T00:00:00"/>
    <n v="8"/>
    <x v="2"/>
    <b v="0"/>
    <n v="498"/>
    <n v="89"/>
    <x v="0"/>
    <x v="0"/>
  </r>
  <r>
    <s v="PED-01508"/>
    <d v="2023-03-17T00:00:00"/>
    <x v="1"/>
    <x v="8"/>
    <n v="11"/>
    <x v="8"/>
    <x v="0"/>
    <s v="SKU-MAQ-8680"/>
    <x v="3"/>
    <x v="3"/>
    <x v="3"/>
    <s v="FCA"/>
    <n v="220"/>
    <s v="Palés"/>
    <n v="1999.57"/>
    <n v="439905.4"/>
    <n v="34734.550000000003"/>
    <n v="7.8959135304999664E-2"/>
    <n v="22"/>
    <d v="2023-04-08T00:00:00"/>
    <d v="2023-04-10T00:00:00"/>
    <n v="2"/>
    <x v="2"/>
    <b v="0"/>
    <n v="474"/>
    <n v="334"/>
    <x v="0"/>
    <x v="0"/>
  </r>
  <r>
    <s v="PED-01509"/>
    <d v="2023-03-24T00:00:00"/>
    <x v="1"/>
    <x v="8"/>
    <n v="12"/>
    <x v="7"/>
    <x v="0"/>
    <s v="SKU-MAQ-7126"/>
    <x v="5"/>
    <x v="2"/>
    <x v="0"/>
    <s v="FCA"/>
    <n v="761"/>
    <s v="Cajas"/>
    <n v="1291.0899999999999"/>
    <n v="982519.49"/>
    <n v="57205.09"/>
    <n v="5.8222855202597554E-2"/>
    <n v="26"/>
    <d v="2023-04-19T00:00:00"/>
    <d v="2023-04-19T00:00:00"/>
    <n v="0"/>
    <x v="0"/>
    <b v="1"/>
    <n v="236"/>
    <n v="165"/>
    <x v="1"/>
    <x v="1"/>
  </r>
  <r>
    <s v="PED-01510"/>
    <d v="2023-11-26T00:00:00"/>
    <x v="1"/>
    <x v="6"/>
    <n v="48"/>
    <x v="4"/>
    <x v="2"/>
    <s v="SKU-AUT-4014"/>
    <x v="0"/>
    <x v="5"/>
    <x v="1"/>
    <s v="CIF"/>
    <n v="560"/>
    <s v="Cajas"/>
    <n v="1075.28"/>
    <n v="602156.80000000005"/>
    <n v="17883.009999999998"/>
    <n v="2.9698261316653731E-2"/>
    <n v="28"/>
    <d v="2023-12-24T00:00:00"/>
    <d v="2023-12-19T00:00:00"/>
    <n v="-5"/>
    <x v="0"/>
    <b v="1"/>
    <n v="203"/>
    <n v="488"/>
    <x v="3"/>
    <x v="1"/>
  </r>
  <r>
    <s v="PED-01511"/>
    <d v="2024-09-14T00:00:00"/>
    <x v="0"/>
    <x v="3"/>
    <n v="37"/>
    <x v="2"/>
    <x v="7"/>
    <s v="SKU-ALI-7348"/>
    <x v="0"/>
    <x v="0"/>
    <x v="2"/>
    <s v="CIF"/>
    <n v="444"/>
    <s v="Metros"/>
    <n v="110.41"/>
    <n v="49022.04"/>
    <n v="3644.84"/>
    <n v="7.435104699845213E-2"/>
    <n v="18"/>
    <d v="2024-10-02T00:00:00"/>
    <d v="2024-10-14T00:00:00"/>
    <n v="12"/>
    <x v="2"/>
    <b v="0"/>
    <n v="338"/>
    <n v="233"/>
    <x v="1"/>
    <x v="1"/>
  </r>
  <r>
    <s v="PED-01512"/>
    <d v="2023-06-01T00:00:00"/>
    <x v="1"/>
    <x v="10"/>
    <n v="22"/>
    <x v="2"/>
    <x v="4"/>
    <s v="SKU-TEX-9051"/>
    <x v="4"/>
    <x v="2"/>
    <x v="0"/>
    <s v="CIF"/>
    <n v="789"/>
    <s v="KG"/>
    <n v="55.88"/>
    <n v="44089.32"/>
    <n v="2247.4499999999998"/>
    <n v="5.097492998304351E-2"/>
    <n v="21"/>
    <d v="2023-06-22T00:00:00"/>
    <d v="2023-06-17T00:00:00"/>
    <n v="-5"/>
    <x v="0"/>
    <b v="1"/>
    <n v="18"/>
    <n v="374"/>
    <x v="0"/>
    <x v="0"/>
  </r>
  <r>
    <s v="PED-01513"/>
    <d v="2023-03-09T00:00:00"/>
    <x v="1"/>
    <x v="8"/>
    <n v="10"/>
    <x v="5"/>
    <x v="6"/>
    <s v="SKU-CON-8763"/>
    <x v="4"/>
    <x v="0"/>
    <x v="3"/>
    <s v="CIF"/>
    <n v="216"/>
    <s v="Metros"/>
    <n v="292.36"/>
    <n v="63149.760000000002"/>
    <n v="1845.55"/>
    <n v="2.9224972509792592E-2"/>
    <n v="17"/>
    <d v="2023-03-26T00:00:00"/>
    <d v="2023-03-27T00:00:00"/>
    <n v="1"/>
    <x v="1"/>
    <b v="0"/>
    <n v="179"/>
    <n v="432"/>
    <x v="3"/>
    <x v="1"/>
  </r>
  <r>
    <s v="PED-01514"/>
    <d v="2023-05-10T00:00:00"/>
    <x v="1"/>
    <x v="5"/>
    <n v="19"/>
    <x v="1"/>
    <x v="5"/>
    <s v="SKU-ELE-3253"/>
    <x v="3"/>
    <x v="2"/>
    <x v="3"/>
    <s v="FOB"/>
    <n v="448"/>
    <s v="Unidades"/>
    <n v="369.94"/>
    <n v="165733.12"/>
    <n v="12480.3"/>
    <n v="7.5303596529166891E-2"/>
    <n v="7"/>
    <d v="2023-05-17T00:00:00"/>
    <d v="2023-05-19T00:00:00"/>
    <n v="2"/>
    <x v="2"/>
    <b v="0"/>
    <n v="161"/>
    <n v="128"/>
    <x v="3"/>
    <x v="1"/>
  </r>
  <r>
    <s v="PED-01515"/>
    <d v="2023-10-09T00:00:00"/>
    <x v="1"/>
    <x v="0"/>
    <n v="41"/>
    <x v="8"/>
    <x v="0"/>
    <s v="SKU-MAQ-3683"/>
    <x v="0"/>
    <x v="5"/>
    <x v="2"/>
    <s v="DDP"/>
    <n v="983"/>
    <s v="Metros"/>
    <n v="1229.8900000000001"/>
    <n v="1208981.8700000001"/>
    <n v="79125.62"/>
    <n v="6.5448144396077657E-2"/>
    <n v="17"/>
    <d v="2023-10-26T00:00:00"/>
    <d v="2023-10-26T00:00:00"/>
    <n v="0"/>
    <x v="0"/>
    <b v="1"/>
    <n v="479"/>
    <n v="333"/>
    <x v="4"/>
    <x v="1"/>
  </r>
  <r>
    <s v="PED-01516"/>
    <d v="2024-10-01T00:00:00"/>
    <x v="0"/>
    <x v="0"/>
    <n v="40"/>
    <x v="2"/>
    <x v="2"/>
    <s v="SKU-AUT-4166"/>
    <x v="5"/>
    <x v="0"/>
    <x v="1"/>
    <s v="DDP"/>
    <n v="788"/>
    <s v="Palés"/>
    <n v="904.05"/>
    <n v="712391.4"/>
    <n v="45523.46"/>
    <n v="6.390231549679011E-2"/>
    <n v="20"/>
    <d v="2024-10-21T00:00:00"/>
    <d v="2024-11-02T00:00:00"/>
    <n v="12"/>
    <x v="2"/>
    <b v="0"/>
    <n v="284"/>
    <n v="291"/>
    <x v="1"/>
    <x v="1"/>
  </r>
  <r>
    <s v="PED-01517"/>
    <d v="2024-10-10T00:00:00"/>
    <x v="0"/>
    <x v="0"/>
    <n v="41"/>
    <x v="2"/>
    <x v="3"/>
    <s v="SKU-QUÍ-4707"/>
    <x v="0"/>
    <x v="1"/>
    <x v="0"/>
    <s v="FOB"/>
    <n v="675"/>
    <s v="Litros"/>
    <n v="139.28"/>
    <n v="94014"/>
    <n v="5880.65"/>
    <n v="6.2550790307826495E-2"/>
    <n v="9"/>
    <d v="2024-10-19T00:00:00"/>
    <d v="2024-10-27T00:00:00"/>
    <n v="8"/>
    <x v="2"/>
    <b v="0"/>
    <n v="60"/>
    <n v="94"/>
    <x v="1"/>
    <x v="1"/>
  </r>
  <r>
    <s v="PED-01518"/>
    <d v="2024-08-22T00:00:00"/>
    <x v="0"/>
    <x v="4"/>
    <n v="34"/>
    <x v="7"/>
    <x v="6"/>
    <s v="SKU-CON-1528"/>
    <x v="4"/>
    <x v="5"/>
    <x v="2"/>
    <s v="DDP"/>
    <n v="51"/>
    <s v="Palés"/>
    <n v="243.22"/>
    <n v="12404.22"/>
    <n v="397.19"/>
    <n v="3.2020554295231783E-2"/>
    <n v="17"/>
    <d v="2024-09-08T00:00:00"/>
    <d v="2024-09-08T00:00:00"/>
    <n v="0"/>
    <x v="0"/>
    <b v="1"/>
    <n v="84"/>
    <n v="27"/>
    <x v="0"/>
    <x v="0"/>
  </r>
  <r>
    <s v="PED-01519"/>
    <d v="2024-07-15T00:00:00"/>
    <x v="0"/>
    <x v="7"/>
    <n v="29"/>
    <x v="6"/>
    <x v="2"/>
    <s v="SKU-AUT-7694"/>
    <x v="3"/>
    <x v="0"/>
    <x v="1"/>
    <s v="CIF"/>
    <n v="420"/>
    <s v="Litros"/>
    <n v="570.86"/>
    <n v="239761.2"/>
    <n v="7830.7"/>
    <n v="3.2660413778376148E-2"/>
    <n v="20"/>
    <d v="2024-08-04T00:00:00"/>
    <d v="2024-08-04T00:00:00"/>
    <n v="0"/>
    <x v="0"/>
    <b v="1"/>
    <n v="34"/>
    <n v="353"/>
    <x v="0"/>
    <x v="0"/>
  </r>
  <r>
    <s v="PED-01520"/>
    <d v="2024-12-30T00:00:00"/>
    <x v="0"/>
    <x v="11"/>
    <n v="53"/>
    <x v="6"/>
    <x v="6"/>
    <s v="SKU-CON-1245"/>
    <x v="0"/>
    <x v="0"/>
    <x v="4"/>
    <s v="EXW"/>
    <n v="532"/>
    <s v="Palés"/>
    <n v="293.66000000000003"/>
    <n v="156227.12"/>
    <n v="9576.34"/>
    <n v="6.1297551923123209E-2"/>
    <n v="22"/>
    <d v="2025-01-21T00:00:00"/>
    <d v="2025-01-21T00:00:00"/>
    <n v="0"/>
    <x v="0"/>
    <b v="1"/>
    <n v="489"/>
    <n v="34"/>
    <x v="0"/>
    <x v="0"/>
  </r>
  <r>
    <s v="PED-01521"/>
    <d v="2023-11-29T00:00:00"/>
    <x v="1"/>
    <x v="6"/>
    <n v="48"/>
    <x v="2"/>
    <x v="0"/>
    <s v="SKU-MAQ-5421"/>
    <x v="3"/>
    <x v="4"/>
    <x v="4"/>
    <s v="FCA"/>
    <n v="815"/>
    <s v="Metros"/>
    <n v="1103.51"/>
    <n v="899360.65"/>
    <n v="29843.81"/>
    <n v="3.3183361980535842E-2"/>
    <n v="22"/>
    <d v="2023-12-21T00:00:00"/>
    <d v="2023-12-21T00:00:00"/>
    <n v="0"/>
    <x v="0"/>
    <b v="1"/>
    <n v="4"/>
    <n v="443"/>
    <x v="3"/>
    <x v="1"/>
  </r>
  <r>
    <s v="PED-01522"/>
    <d v="2024-01-26T00:00:00"/>
    <x v="0"/>
    <x v="2"/>
    <n v="4"/>
    <x v="4"/>
    <x v="4"/>
    <s v="SKU-TEX-7767"/>
    <x v="0"/>
    <x v="4"/>
    <x v="1"/>
    <s v="FCA"/>
    <n v="619"/>
    <s v="Palés"/>
    <n v="48.87"/>
    <n v="30250.53"/>
    <n v="1401.21"/>
    <n v="4.6320180175355607E-2"/>
    <n v="28"/>
    <d v="2024-02-23T00:00:00"/>
    <d v="2024-02-22T00:00:00"/>
    <n v="-1"/>
    <x v="0"/>
    <b v="1"/>
    <n v="75"/>
    <n v="230"/>
    <x v="3"/>
    <x v="1"/>
  </r>
  <r>
    <s v="PED-01523"/>
    <d v="2024-09-03T00:00:00"/>
    <x v="0"/>
    <x v="3"/>
    <n v="36"/>
    <x v="7"/>
    <x v="3"/>
    <s v="SKU-QUÍ-4646"/>
    <x v="1"/>
    <x v="5"/>
    <x v="3"/>
    <s v="DDP"/>
    <n v="436"/>
    <s v="Metros"/>
    <n v="85.35"/>
    <n v="37212.6"/>
    <n v="2490.27"/>
    <n v="6.6920075458312508E-2"/>
    <n v="29"/>
    <d v="2024-10-02T00:00:00"/>
    <d v="2024-10-05T00:00:00"/>
    <n v="3"/>
    <x v="1"/>
    <b v="0"/>
    <n v="252"/>
    <n v="317"/>
    <x v="1"/>
    <x v="1"/>
  </r>
  <r>
    <s v="PED-01524"/>
    <d v="2024-06-27T00:00:00"/>
    <x v="0"/>
    <x v="10"/>
    <n v="26"/>
    <x v="4"/>
    <x v="7"/>
    <s v="SKU-ALI-4323"/>
    <x v="0"/>
    <x v="5"/>
    <x v="3"/>
    <s v="EXW"/>
    <n v="284"/>
    <s v="Metros"/>
    <n v="92.28"/>
    <n v="26207.52"/>
    <n v="1756.88"/>
    <n v="6.7037247324432073E-2"/>
    <n v="8"/>
    <d v="2024-07-05T00:00:00"/>
    <d v="2024-07-17T00:00:00"/>
    <n v="12"/>
    <x v="2"/>
    <b v="0"/>
    <n v="6"/>
    <n v="342"/>
    <x v="4"/>
    <x v="1"/>
  </r>
  <r>
    <s v="PED-01525"/>
    <d v="2023-10-29T00:00:00"/>
    <x v="1"/>
    <x v="0"/>
    <n v="44"/>
    <x v="0"/>
    <x v="5"/>
    <s v="SKU-ELE-4351"/>
    <x v="4"/>
    <x v="5"/>
    <x v="4"/>
    <s v="FCA"/>
    <n v="457"/>
    <s v="Unidades"/>
    <n v="722.91"/>
    <n v="330369.87"/>
    <n v="15592.04"/>
    <n v="4.7195708252692661E-2"/>
    <n v="17"/>
    <d v="2023-11-15T00:00:00"/>
    <d v="2023-11-23T00:00:00"/>
    <n v="8"/>
    <x v="1"/>
    <b v="0"/>
    <n v="168"/>
    <n v="429"/>
    <x v="0"/>
    <x v="0"/>
  </r>
  <r>
    <s v="PED-01526"/>
    <d v="2024-04-09T00:00:00"/>
    <x v="0"/>
    <x v="1"/>
    <n v="15"/>
    <x v="1"/>
    <x v="7"/>
    <s v="SKU-ALI-2083"/>
    <x v="5"/>
    <x v="3"/>
    <x v="3"/>
    <s v="EXW"/>
    <n v="911"/>
    <s v="Metros"/>
    <n v="98.62"/>
    <n v="89842.82"/>
    <n v="6067.21"/>
    <n v="6.7531384255302751E-2"/>
    <n v="7"/>
    <d v="2024-04-16T00:00:00"/>
    <d v="2024-04-17T00:00:00"/>
    <n v="1"/>
    <x v="2"/>
    <b v="0"/>
    <n v="129"/>
    <n v="363"/>
    <x v="1"/>
    <x v="1"/>
  </r>
  <r>
    <s v="PED-01527"/>
    <d v="2024-06-01T00:00:00"/>
    <x v="0"/>
    <x v="10"/>
    <n v="22"/>
    <x v="6"/>
    <x v="7"/>
    <s v="SKU-ALI-3901"/>
    <x v="4"/>
    <x v="1"/>
    <x v="3"/>
    <s v="FOB"/>
    <n v="951"/>
    <s v="KG"/>
    <n v="108.65"/>
    <n v="103326.15"/>
    <n v="7265.62"/>
    <n v="7.0317339802170115E-2"/>
    <n v="1"/>
    <d v="2024-06-02T00:00:00"/>
    <d v="2024-06-02T00:00:00"/>
    <n v="0"/>
    <x v="0"/>
    <b v="1"/>
    <n v="472"/>
    <n v="466"/>
    <x v="0"/>
    <x v="0"/>
  </r>
  <r>
    <s v="PED-01528"/>
    <d v="2024-09-11T00:00:00"/>
    <x v="0"/>
    <x v="3"/>
    <n v="37"/>
    <x v="6"/>
    <x v="2"/>
    <s v="SKU-AUT-8197"/>
    <x v="4"/>
    <x v="2"/>
    <x v="1"/>
    <s v="DAP"/>
    <n v="893"/>
    <s v="Palés"/>
    <n v="568.5"/>
    <n v="507670.5"/>
    <n v="30098.03"/>
    <n v="5.9286545111445314E-2"/>
    <n v="13"/>
    <d v="2024-09-24T00:00:00"/>
    <d v="2024-09-25T00:00:00"/>
    <n v="1"/>
    <x v="1"/>
    <b v="0"/>
    <n v="137"/>
    <n v="124"/>
    <x v="0"/>
    <x v="0"/>
  </r>
  <r>
    <s v="PED-01529"/>
    <d v="2024-03-16T00:00:00"/>
    <x v="0"/>
    <x v="8"/>
    <n v="11"/>
    <x v="7"/>
    <x v="6"/>
    <s v="SKU-CON-9027"/>
    <x v="4"/>
    <x v="4"/>
    <x v="1"/>
    <s v="DDP"/>
    <n v="751"/>
    <s v="Cajas"/>
    <n v="226.72"/>
    <n v="170266.72"/>
    <n v="5738.93"/>
    <n v="3.3705529771173137E-2"/>
    <n v="23"/>
    <d v="2024-04-08T00:00:00"/>
    <d v="2024-04-08T00:00:00"/>
    <n v="0"/>
    <x v="0"/>
    <b v="1"/>
    <n v="357"/>
    <n v="465"/>
    <x v="0"/>
    <x v="0"/>
  </r>
  <r>
    <s v="PED-01530"/>
    <d v="2023-04-12T00:00:00"/>
    <x v="1"/>
    <x v="1"/>
    <n v="15"/>
    <x v="3"/>
    <x v="5"/>
    <s v="SKU-ELE-6323"/>
    <x v="3"/>
    <x v="0"/>
    <x v="3"/>
    <s v="FOB"/>
    <n v="378"/>
    <s v="Cajas"/>
    <n v="533.83000000000004"/>
    <n v="201787.74"/>
    <n v="7353.29"/>
    <n v="3.6440717359736523E-2"/>
    <n v="19"/>
    <d v="2023-05-01T00:00:00"/>
    <d v="2023-05-01T00:00:00"/>
    <n v="0"/>
    <x v="0"/>
    <b v="1"/>
    <n v="299"/>
    <n v="78"/>
    <x v="0"/>
    <x v="0"/>
  </r>
  <r>
    <s v="PED-01531"/>
    <d v="2024-12-19T00:00:00"/>
    <x v="0"/>
    <x v="11"/>
    <n v="51"/>
    <x v="4"/>
    <x v="5"/>
    <s v="SKU-ELE-8496"/>
    <x v="2"/>
    <x v="4"/>
    <x v="1"/>
    <s v="FOB"/>
    <n v="947"/>
    <s v="Cajas"/>
    <n v="549.59"/>
    <n v="520461.73"/>
    <n v="20241"/>
    <n v="3.8890467508533241E-2"/>
    <n v="27"/>
    <d v="2025-01-15T00:00:00"/>
    <d v="2025-01-12T00:00:00"/>
    <n v="-3"/>
    <x v="2"/>
    <b v="0"/>
    <n v="325"/>
    <n v="380"/>
    <x v="0"/>
    <x v="0"/>
  </r>
  <r>
    <s v="PED-01532"/>
    <d v="2023-04-28T00:00:00"/>
    <x v="1"/>
    <x v="1"/>
    <n v="17"/>
    <x v="8"/>
    <x v="0"/>
    <s v="SKU-MAQ-5043"/>
    <x v="2"/>
    <x v="2"/>
    <x v="0"/>
    <s v="EXW"/>
    <n v="229"/>
    <s v="KG"/>
    <n v="1136.6600000000001"/>
    <n v="260295.14"/>
    <n v="7030.12"/>
    <n v="2.7008264541550794E-2"/>
    <n v="24"/>
    <d v="2023-05-22T00:00:00"/>
    <d v="2023-05-22T00:00:00"/>
    <n v="0"/>
    <x v="0"/>
    <b v="1"/>
    <n v="90"/>
    <n v="60"/>
    <x v="0"/>
    <x v="0"/>
  </r>
  <r>
    <s v="PED-01533"/>
    <d v="2024-11-01T00:00:00"/>
    <x v="0"/>
    <x v="6"/>
    <n v="44"/>
    <x v="7"/>
    <x v="0"/>
    <s v="SKU-MAQ-8005"/>
    <x v="1"/>
    <x v="5"/>
    <x v="4"/>
    <s v="DDP"/>
    <n v="586"/>
    <s v="Metros"/>
    <n v="1871.32"/>
    <n v="1096593.52"/>
    <n v="39904.57"/>
    <n v="3.6389573047996851E-2"/>
    <n v="19"/>
    <d v="2024-11-20T00:00:00"/>
    <d v="2024-12-02T00:00:00"/>
    <n v="12"/>
    <x v="1"/>
    <b v="0"/>
    <n v="162"/>
    <n v="448"/>
    <x v="4"/>
    <x v="1"/>
  </r>
  <r>
    <s v="PED-01534"/>
    <d v="2024-10-28T00:00:00"/>
    <x v="0"/>
    <x v="0"/>
    <n v="44"/>
    <x v="5"/>
    <x v="5"/>
    <s v="SKU-ELE-7633"/>
    <x v="4"/>
    <x v="4"/>
    <x v="0"/>
    <s v="FOB"/>
    <n v="876"/>
    <s v="Palés"/>
    <n v="551.29"/>
    <n v="482930.04"/>
    <n v="15729.59"/>
    <n v="3.2571156683481525E-2"/>
    <n v="29"/>
    <d v="2024-11-26T00:00:00"/>
    <d v="2024-11-26T00:00:00"/>
    <n v="0"/>
    <x v="0"/>
    <b v="1"/>
    <n v="317"/>
    <n v="216"/>
    <x v="2"/>
    <x v="1"/>
  </r>
  <r>
    <s v="PED-01535"/>
    <d v="2024-07-18T00:00:00"/>
    <x v="0"/>
    <x v="7"/>
    <n v="29"/>
    <x v="3"/>
    <x v="3"/>
    <s v="SKU-QUÍ-1685"/>
    <x v="2"/>
    <x v="1"/>
    <x v="0"/>
    <s v="CIF"/>
    <n v="241"/>
    <s v="Litros"/>
    <n v="157.44999999999999"/>
    <n v="37945.449999999997"/>
    <n v="1795.57"/>
    <n v="4.7319770881620857E-2"/>
    <n v="17"/>
    <d v="2024-08-04T00:00:00"/>
    <d v="2024-08-09T00:00:00"/>
    <n v="5"/>
    <x v="1"/>
    <b v="0"/>
    <n v="457"/>
    <n v="281"/>
    <x v="3"/>
    <x v="1"/>
  </r>
  <r>
    <s v="PED-01536"/>
    <d v="2023-08-09T00:00:00"/>
    <x v="1"/>
    <x v="4"/>
    <n v="32"/>
    <x v="9"/>
    <x v="1"/>
    <s v="SKU-FAR-7232"/>
    <x v="1"/>
    <x v="1"/>
    <x v="3"/>
    <s v="FOB"/>
    <n v="337"/>
    <s v="Litros"/>
    <n v="217.65"/>
    <n v="73348.05"/>
    <n v="5464.89"/>
    <n v="7.4506275217950585E-2"/>
    <n v="13"/>
    <d v="2023-08-22T00:00:00"/>
    <d v="2023-08-30T00:00:00"/>
    <n v="8"/>
    <x v="1"/>
    <b v="0"/>
    <n v="252"/>
    <n v="162"/>
    <x v="0"/>
    <x v="0"/>
  </r>
  <r>
    <s v="PED-01537"/>
    <d v="2024-03-16T00:00:00"/>
    <x v="0"/>
    <x v="8"/>
    <n v="11"/>
    <x v="4"/>
    <x v="0"/>
    <s v="SKU-MAQ-6126"/>
    <x v="3"/>
    <x v="3"/>
    <x v="3"/>
    <s v="CIF"/>
    <n v="452"/>
    <s v="Unidades"/>
    <n v="1229.26"/>
    <n v="555625.52"/>
    <n v="14595.63"/>
    <n v="2.6268825809152897E-2"/>
    <n v="29"/>
    <d v="2024-04-14T00:00:00"/>
    <d v="2024-04-15T00:00:00"/>
    <n v="1"/>
    <x v="1"/>
    <b v="0"/>
    <n v="200"/>
    <n v="56"/>
    <x v="0"/>
    <x v="0"/>
  </r>
  <r>
    <s v="PED-01538"/>
    <d v="2024-04-07T00:00:00"/>
    <x v="0"/>
    <x v="1"/>
    <n v="15"/>
    <x v="3"/>
    <x v="1"/>
    <s v="SKU-FAR-7457"/>
    <x v="4"/>
    <x v="4"/>
    <x v="0"/>
    <s v="DAP"/>
    <n v="61"/>
    <s v="KG"/>
    <n v="243.72"/>
    <n v="14866.92"/>
    <n v="939.83"/>
    <n v="6.3216187347480177E-2"/>
    <n v="16"/>
    <d v="2024-04-23T00:00:00"/>
    <d v="2024-05-01T00:00:00"/>
    <n v="8"/>
    <x v="1"/>
    <b v="0"/>
    <n v="19"/>
    <n v="462"/>
    <x v="2"/>
    <x v="1"/>
  </r>
  <r>
    <s v="PED-01539"/>
    <d v="2023-08-22T00:00:00"/>
    <x v="1"/>
    <x v="4"/>
    <n v="34"/>
    <x v="7"/>
    <x v="2"/>
    <s v="SKU-AUT-9784"/>
    <x v="5"/>
    <x v="5"/>
    <x v="0"/>
    <s v="CIF"/>
    <n v="895"/>
    <s v="Palés"/>
    <n v="670.33"/>
    <n v="599945.35"/>
    <n v="36738.839999999997"/>
    <n v="6.123697766804926E-2"/>
    <n v="8"/>
    <d v="2023-08-30T00:00:00"/>
    <d v="2023-08-30T00:00:00"/>
    <n v="0"/>
    <x v="0"/>
    <b v="1"/>
    <n v="228"/>
    <n v="190"/>
    <x v="3"/>
    <x v="1"/>
  </r>
  <r>
    <s v="PED-01540"/>
    <d v="2024-02-28T00:00:00"/>
    <x v="0"/>
    <x v="9"/>
    <n v="9"/>
    <x v="8"/>
    <x v="3"/>
    <s v="SKU-QUÍ-9605"/>
    <x v="3"/>
    <x v="0"/>
    <x v="2"/>
    <s v="CIF"/>
    <n v="952"/>
    <s v="Metros"/>
    <n v="167.75"/>
    <n v="159698"/>
    <n v="4111.47"/>
    <n v="2.5745281719245075E-2"/>
    <n v="19"/>
    <d v="2024-03-18T00:00:00"/>
    <d v="2024-03-21T00:00:00"/>
    <n v="3"/>
    <x v="1"/>
    <b v="0"/>
    <n v="162"/>
    <n v="131"/>
    <x v="1"/>
    <x v="1"/>
  </r>
  <r>
    <s v="PED-01541"/>
    <d v="2023-12-14T00:00:00"/>
    <x v="1"/>
    <x v="11"/>
    <n v="50"/>
    <x v="5"/>
    <x v="5"/>
    <s v="SKU-ELE-1630"/>
    <x v="1"/>
    <x v="3"/>
    <x v="2"/>
    <s v="EXW"/>
    <n v="385"/>
    <s v="Cajas"/>
    <n v="595.25"/>
    <n v="229171.25"/>
    <n v="17269.05"/>
    <n v="7.5354347458505375E-2"/>
    <n v="18"/>
    <d v="2024-01-01T00:00:00"/>
    <d v="2023-12-31T00:00:00"/>
    <n v="-1"/>
    <x v="0"/>
    <b v="1"/>
    <n v="164"/>
    <n v="462"/>
    <x v="3"/>
    <x v="1"/>
  </r>
  <r>
    <s v="PED-01542"/>
    <d v="2024-04-09T00:00:00"/>
    <x v="0"/>
    <x v="1"/>
    <n v="15"/>
    <x v="1"/>
    <x v="3"/>
    <s v="SKU-QUÍ-9530"/>
    <x v="3"/>
    <x v="5"/>
    <x v="4"/>
    <s v="FOB"/>
    <n v="272"/>
    <s v="KG"/>
    <n v="99.09"/>
    <n v="26952.48"/>
    <n v="1458.35"/>
    <n v="5.4108193383317599E-2"/>
    <n v="1"/>
    <d v="2024-04-10T00:00:00"/>
    <d v="2024-04-10T00:00:00"/>
    <n v="0"/>
    <x v="0"/>
    <b v="1"/>
    <n v="231"/>
    <n v="41"/>
    <x v="0"/>
    <x v="0"/>
  </r>
  <r>
    <s v="PED-01543"/>
    <d v="2024-02-13T00:00:00"/>
    <x v="0"/>
    <x v="9"/>
    <n v="7"/>
    <x v="3"/>
    <x v="0"/>
    <s v="SKU-MAQ-2791"/>
    <x v="5"/>
    <x v="3"/>
    <x v="0"/>
    <s v="DAP"/>
    <n v="276"/>
    <s v="KG"/>
    <n v="2204.81"/>
    <n v="608527.56000000006"/>
    <n v="25450.77"/>
    <n v="4.1823528912971496E-2"/>
    <n v="14"/>
    <d v="2024-02-27T00:00:00"/>
    <d v="2024-02-27T00:00:00"/>
    <n v="0"/>
    <x v="0"/>
    <b v="1"/>
    <n v="327"/>
    <n v="485"/>
    <x v="2"/>
    <x v="1"/>
  </r>
  <r>
    <s v="PED-01544"/>
    <d v="2024-03-01T00:00:00"/>
    <x v="0"/>
    <x v="8"/>
    <n v="9"/>
    <x v="1"/>
    <x v="7"/>
    <s v="SKU-ALI-8399"/>
    <x v="3"/>
    <x v="4"/>
    <x v="1"/>
    <s v="FOB"/>
    <n v="368"/>
    <s v="Palés"/>
    <n v="89.18"/>
    <n v="32818.239999999998"/>
    <n v="2146.06"/>
    <n v="6.5392294041362362E-2"/>
    <n v="19"/>
    <d v="2024-03-20T00:00:00"/>
    <d v="2024-03-23T00:00:00"/>
    <n v="3"/>
    <x v="2"/>
    <b v="0"/>
    <n v="237"/>
    <n v="172"/>
    <x v="1"/>
    <x v="1"/>
  </r>
  <r>
    <s v="PED-01545"/>
    <d v="2023-04-08T00:00:00"/>
    <x v="1"/>
    <x v="1"/>
    <n v="14"/>
    <x v="2"/>
    <x v="2"/>
    <s v="SKU-AUT-8485"/>
    <x v="1"/>
    <x v="2"/>
    <x v="2"/>
    <s v="CIF"/>
    <n v="326"/>
    <s v="Metros"/>
    <n v="606.66"/>
    <n v="197771.16"/>
    <n v="7009.39"/>
    <n v="3.5441921865655236E-2"/>
    <n v="15"/>
    <d v="2023-04-23T00:00:00"/>
    <d v="2023-04-23T00:00:00"/>
    <n v="0"/>
    <x v="0"/>
    <b v="1"/>
    <n v="119"/>
    <n v="166"/>
    <x v="2"/>
    <x v="1"/>
  </r>
  <r>
    <s v="PED-01546"/>
    <d v="2023-11-17T00:00:00"/>
    <x v="1"/>
    <x v="6"/>
    <n v="46"/>
    <x v="6"/>
    <x v="5"/>
    <s v="SKU-ELE-1694"/>
    <x v="5"/>
    <x v="4"/>
    <x v="3"/>
    <s v="FCA"/>
    <n v="333"/>
    <s v="Unidades"/>
    <n v="600.73"/>
    <n v="200043.09"/>
    <n v="12324.77"/>
    <n v="6.1610576001400505E-2"/>
    <n v="18"/>
    <d v="2023-12-05T00:00:00"/>
    <d v="2023-12-02T00:00:00"/>
    <n v="-3"/>
    <x v="0"/>
    <b v="1"/>
    <n v="437"/>
    <n v="249"/>
    <x v="4"/>
    <x v="1"/>
  </r>
  <r>
    <s v="PED-01547"/>
    <d v="2024-03-13T00:00:00"/>
    <x v="0"/>
    <x v="8"/>
    <n v="11"/>
    <x v="0"/>
    <x v="4"/>
    <s v="SKU-TEX-5025"/>
    <x v="5"/>
    <x v="5"/>
    <x v="0"/>
    <s v="CIF"/>
    <n v="930"/>
    <s v="Metros"/>
    <n v="54.15"/>
    <n v="50359.5"/>
    <n v="1127.18"/>
    <n v="2.2382668612674871E-2"/>
    <n v="2"/>
    <d v="2024-03-15T00:00:00"/>
    <d v="2024-03-20T00:00:00"/>
    <n v="5"/>
    <x v="2"/>
    <b v="0"/>
    <n v="350"/>
    <n v="192"/>
    <x v="4"/>
    <x v="1"/>
  </r>
  <r>
    <s v="PED-01548"/>
    <d v="2023-11-17T00:00:00"/>
    <x v="1"/>
    <x v="6"/>
    <n v="46"/>
    <x v="6"/>
    <x v="2"/>
    <s v="SKU-AUT-9498"/>
    <x v="3"/>
    <x v="0"/>
    <x v="1"/>
    <s v="FOB"/>
    <n v="917"/>
    <s v="Unidades"/>
    <n v="1074.3599999999999"/>
    <n v="985188.12"/>
    <n v="69322.25"/>
    <n v="7.0364480237540827E-2"/>
    <n v="22"/>
    <d v="2023-12-09T00:00:00"/>
    <d v="2023-12-09T00:00:00"/>
    <n v="0"/>
    <x v="0"/>
    <b v="1"/>
    <n v="382"/>
    <n v="277"/>
    <x v="0"/>
    <x v="0"/>
  </r>
  <r>
    <s v="PED-01549"/>
    <d v="2024-11-12T00:00:00"/>
    <x v="0"/>
    <x v="6"/>
    <n v="46"/>
    <x v="9"/>
    <x v="6"/>
    <s v="SKU-CON-9812"/>
    <x v="5"/>
    <x v="0"/>
    <x v="1"/>
    <s v="DAP"/>
    <n v="675"/>
    <s v="Unidades"/>
    <n v="270.85000000000002"/>
    <n v="182823.75"/>
    <n v="8572.65"/>
    <n v="4.6890242651734249E-2"/>
    <n v="28"/>
    <d v="2024-12-10T00:00:00"/>
    <d v="2024-12-09T00:00:00"/>
    <n v="-1"/>
    <x v="0"/>
    <b v="1"/>
    <n v="368"/>
    <n v="394"/>
    <x v="2"/>
    <x v="1"/>
  </r>
  <r>
    <s v="PED-01550"/>
    <d v="2023-09-19T00:00:00"/>
    <x v="1"/>
    <x v="3"/>
    <n v="38"/>
    <x v="8"/>
    <x v="1"/>
    <s v="SKU-FAR-7481"/>
    <x v="3"/>
    <x v="5"/>
    <x v="1"/>
    <s v="FCA"/>
    <n v="879"/>
    <s v="Cajas"/>
    <n v="296.63"/>
    <n v="260737.77"/>
    <n v="15175.35"/>
    <n v="5.8201579310891559E-2"/>
    <n v="17"/>
    <d v="2023-10-06T00:00:00"/>
    <d v="2023-10-18T00:00:00"/>
    <n v="12"/>
    <x v="1"/>
    <b v="0"/>
    <n v="106"/>
    <n v="237"/>
    <x v="2"/>
    <x v="1"/>
  </r>
  <r>
    <s v="PED-01551"/>
    <d v="2024-01-19T00:00:00"/>
    <x v="0"/>
    <x v="2"/>
    <n v="3"/>
    <x v="5"/>
    <x v="3"/>
    <s v="SKU-QUÍ-1643"/>
    <x v="4"/>
    <x v="3"/>
    <x v="3"/>
    <s v="DAP"/>
    <n v="887"/>
    <s v="Cajas"/>
    <n v="132.18"/>
    <n v="117243.66"/>
    <n v="3901.2"/>
    <n v="3.3274293893588783E-2"/>
    <n v="18"/>
    <d v="2024-02-06T00:00:00"/>
    <d v="2024-02-09T00:00:00"/>
    <n v="3"/>
    <x v="1"/>
    <b v="0"/>
    <n v="249"/>
    <n v="229"/>
    <x v="2"/>
    <x v="1"/>
  </r>
  <r>
    <s v="PED-01552"/>
    <d v="2023-06-06T00:00:00"/>
    <x v="1"/>
    <x v="10"/>
    <n v="23"/>
    <x v="1"/>
    <x v="5"/>
    <s v="SKU-ELE-7347"/>
    <x v="5"/>
    <x v="1"/>
    <x v="2"/>
    <s v="EXW"/>
    <n v="661"/>
    <s v="Palés"/>
    <n v="531.98"/>
    <n v="351638.78"/>
    <n v="21317.9"/>
    <n v="6.0624428284047627E-2"/>
    <n v="6"/>
    <d v="2023-06-12T00:00:00"/>
    <d v="2023-06-12T00:00:00"/>
    <n v="0"/>
    <x v="0"/>
    <b v="1"/>
    <n v="335"/>
    <n v="164"/>
    <x v="1"/>
    <x v="1"/>
  </r>
  <r>
    <s v="PED-01553"/>
    <d v="2024-12-04T00:00:00"/>
    <x v="0"/>
    <x v="11"/>
    <n v="49"/>
    <x v="7"/>
    <x v="2"/>
    <s v="SKU-AUT-9456"/>
    <x v="3"/>
    <x v="5"/>
    <x v="1"/>
    <s v="CIF"/>
    <n v="948"/>
    <s v="Metros"/>
    <n v="1042.22"/>
    <n v="988024.56"/>
    <n v="65540.03"/>
    <n v="6.6334413792304911E-2"/>
    <n v="19"/>
    <d v="2024-12-23T00:00:00"/>
    <d v="2024-12-23T00:00:00"/>
    <n v="0"/>
    <x v="0"/>
    <b v="1"/>
    <n v="283"/>
    <n v="242"/>
    <x v="3"/>
    <x v="1"/>
  </r>
  <r>
    <s v="PED-01554"/>
    <d v="2024-04-30T00:00:00"/>
    <x v="0"/>
    <x v="1"/>
    <n v="18"/>
    <x v="1"/>
    <x v="3"/>
    <s v="SKU-QUÍ-1807"/>
    <x v="4"/>
    <x v="4"/>
    <x v="2"/>
    <s v="CIF"/>
    <n v="572"/>
    <s v="Unidades"/>
    <n v="96.72"/>
    <n v="55323.839999999997"/>
    <n v="2677.28"/>
    <n v="4.8392880899084383E-2"/>
    <n v="4"/>
    <d v="2024-05-04T00:00:00"/>
    <d v="2024-05-01T00:00:00"/>
    <n v="-3"/>
    <x v="0"/>
    <b v="1"/>
    <n v="197"/>
    <n v="89"/>
    <x v="0"/>
    <x v="0"/>
  </r>
  <r>
    <s v="PED-01555"/>
    <d v="2023-03-10T00:00:00"/>
    <x v="1"/>
    <x v="8"/>
    <n v="10"/>
    <x v="8"/>
    <x v="5"/>
    <s v="SKU-ELE-4110"/>
    <x v="5"/>
    <x v="0"/>
    <x v="4"/>
    <s v="EXW"/>
    <n v="638"/>
    <s v="Palés"/>
    <n v="568.77"/>
    <n v="362875.26"/>
    <n v="20706.97"/>
    <n v="5.7063603619601957E-2"/>
    <n v="1"/>
    <d v="2023-03-11T00:00:00"/>
    <d v="2023-03-11T00:00:00"/>
    <n v="0"/>
    <x v="0"/>
    <b v="1"/>
    <n v="415"/>
    <n v="178"/>
    <x v="3"/>
    <x v="1"/>
  </r>
  <r>
    <s v="PED-01556"/>
    <d v="2023-04-04T00:00:00"/>
    <x v="1"/>
    <x v="1"/>
    <n v="14"/>
    <x v="7"/>
    <x v="0"/>
    <s v="SKU-MAQ-5770"/>
    <x v="4"/>
    <x v="2"/>
    <x v="3"/>
    <s v="FOB"/>
    <n v="430"/>
    <s v="Unidades"/>
    <n v="1705.5"/>
    <n v="733365"/>
    <n v="34746.51"/>
    <n v="4.7379558609969119E-2"/>
    <n v="8"/>
    <d v="2023-04-12T00:00:00"/>
    <d v="2023-04-11T00:00:00"/>
    <n v="-1"/>
    <x v="0"/>
    <b v="1"/>
    <n v="219"/>
    <n v="474"/>
    <x v="1"/>
    <x v="1"/>
  </r>
  <r>
    <s v="PED-01557"/>
    <d v="2023-03-29T00:00:00"/>
    <x v="1"/>
    <x v="8"/>
    <n v="13"/>
    <x v="7"/>
    <x v="2"/>
    <s v="SKU-AUT-8201"/>
    <x v="0"/>
    <x v="0"/>
    <x v="2"/>
    <s v="CIF"/>
    <n v="55"/>
    <s v="KG"/>
    <n v="617.26"/>
    <n v="33949.300000000003"/>
    <n v="2500.21"/>
    <n v="7.3645406532682547E-2"/>
    <n v="29"/>
    <d v="2023-04-27T00:00:00"/>
    <d v="2023-05-09T00:00:00"/>
    <n v="12"/>
    <x v="2"/>
    <b v="0"/>
    <n v="394"/>
    <n v="57"/>
    <x v="4"/>
    <x v="1"/>
  </r>
  <r>
    <s v="PED-01558"/>
    <d v="2023-04-06T00:00:00"/>
    <x v="1"/>
    <x v="1"/>
    <n v="14"/>
    <x v="9"/>
    <x v="0"/>
    <s v="SKU-MAQ-7521"/>
    <x v="5"/>
    <x v="1"/>
    <x v="2"/>
    <s v="FOB"/>
    <n v="830"/>
    <s v="Litros"/>
    <n v="1551.58"/>
    <n v="1287811.3999999999"/>
    <n v="64225.919999999998"/>
    <n v="4.9872147427798823E-2"/>
    <n v="23"/>
    <d v="2023-04-29T00:00:00"/>
    <d v="2023-05-11T00:00:00"/>
    <n v="12"/>
    <x v="1"/>
    <b v="0"/>
    <n v="425"/>
    <n v="460"/>
    <x v="3"/>
    <x v="1"/>
  </r>
  <r>
    <s v="PED-01559"/>
    <d v="2024-03-18T00:00:00"/>
    <x v="0"/>
    <x v="8"/>
    <n v="12"/>
    <x v="8"/>
    <x v="2"/>
    <s v="SKU-AUT-5989"/>
    <x v="0"/>
    <x v="0"/>
    <x v="1"/>
    <s v="DAP"/>
    <n v="609"/>
    <s v="Litros"/>
    <n v="1106.0999999999999"/>
    <n v="673614.9"/>
    <n v="47495.59"/>
    <n v="7.0508520521146423E-2"/>
    <n v="7"/>
    <d v="2024-03-25T00:00:00"/>
    <d v="2024-03-28T00:00:00"/>
    <n v="3"/>
    <x v="1"/>
    <b v="0"/>
    <n v="150"/>
    <n v="262"/>
    <x v="3"/>
    <x v="1"/>
  </r>
  <r>
    <s v="PED-01560"/>
    <d v="2023-04-09T00:00:00"/>
    <x v="1"/>
    <x v="1"/>
    <n v="15"/>
    <x v="3"/>
    <x v="0"/>
    <s v="SKU-MAQ-5684"/>
    <x v="1"/>
    <x v="1"/>
    <x v="1"/>
    <s v="FCA"/>
    <n v="729"/>
    <s v="Unidades"/>
    <n v="2077.38"/>
    <n v="1514410.02"/>
    <n v="96548.6302"/>
    <n v="6.3753295953496131E-2"/>
    <n v="3"/>
    <d v="2023-04-12T00:00:00"/>
    <d v="2023-04-20T00:00:00"/>
    <n v="8"/>
    <x v="1"/>
    <b v="0"/>
    <n v="285"/>
    <n v="135"/>
    <x v="4"/>
    <x v="1"/>
  </r>
  <r>
    <s v="PED-01561"/>
    <d v="2024-01-17T00:00:00"/>
    <x v="0"/>
    <x v="2"/>
    <n v="3"/>
    <x v="6"/>
    <x v="6"/>
    <s v="SKU-CON-8558"/>
    <x v="1"/>
    <x v="5"/>
    <x v="3"/>
    <s v="FCA"/>
    <n v="898"/>
    <s v="Palés"/>
    <n v="155.88"/>
    <n v="139980.24"/>
    <n v="6247.36"/>
    <n v="4.4630299247950998E-2"/>
    <n v="10"/>
    <d v="2024-01-27T00:00:00"/>
    <d v="2024-01-24T00:00:00"/>
    <n v="-3"/>
    <x v="0"/>
    <b v="1"/>
    <n v="264"/>
    <n v="237"/>
    <x v="0"/>
    <x v="0"/>
  </r>
  <r>
    <s v="PED-01562"/>
    <d v="2023-05-14T00:00:00"/>
    <x v="1"/>
    <x v="5"/>
    <n v="20"/>
    <x v="2"/>
    <x v="3"/>
    <s v="SKU-QUÍ-3727"/>
    <x v="3"/>
    <x v="0"/>
    <x v="2"/>
    <s v="FCA"/>
    <n v="278"/>
    <s v="Cajas"/>
    <n v="92.71"/>
    <n v="25773.38"/>
    <n v="871.27"/>
    <n v="3.3805034496833551E-2"/>
    <n v="10"/>
    <d v="2023-05-24T00:00:00"/>
    <d v="2023-06-05T00:00:00"/>
    <n v="12"/>
    <x v="1"/>
    <b v="0"/>
    <n v="219"/>
    <n v="306"/>
    <x v="0"/>
    <x v="0"/>
  </r>
  <r>
    <s v="PED-01563"/>
    <d v="2024-07-23T00:00:00"/>
    <x v="0"/>
    <x v="7"/>
    <n v="30"/>
    <x v="1"/>
    <x v="4"/>
    <s v="SKU-TEX-7921"/>
    <x v="2"/>
    <x v="3"/>
    <x v="0"/>
    <s v="DDP"/>
    <n v="610"/>
    <s v="Metros"/>
    <n v="54.61"/>
    <n v="33312.1"/>
    <n v="1477.89"/>
    <n v="4.4364960479825653E-2"/>
    <n v="19"/>
    <d v="2024-08-11T00:00:00"/>
    <d v="2024-08-23T00:00:00"/>
    <n v="12"/>
    <x v="2"/>
    <b v="0"/>
    <n v="215"/>
    <n v="242"/>
    <x v="2"/>
    <x v="1"/>
  </r>
  <r>
    <s v="PED-01564"/>
    <d v="2023-03-03T00:00:00"/>
    <x v="1"/>
    <x v="8"/>
    <n v="9"/>
    <x v="3"/>
    <x v="2"/>
    <s v="SKU-AUT-5823"/>
    <x v="0"/>
    <x v="4"/>
    <x v="1"/>
    <s v="EXW"/>
    <n v="390"/>
    <s v="Unidades"/>
    <n v="1119.8499999999999"/>
    <n v="436741.5"/>
    <n v="30385.43"/>
    <n v="6.9573031186640155E-2"/>
    <n v="14"/>
    <d v="2023-03-17T00:00:00"/>
    <d v="2023-03-20T00:00:00"/>
    <n v="3"/>
    <x v="2"/>
    <b v="0"/>
    <n v="314"/>
    <n v="150"/>
    <x v="3"/>
    <x v="1"/>
  </r>
  <r>
    <s v="PED-01565"/>
    <d v="2024-08-23T00:00:00"/>
    <x v="0"/>
    <x v="4"/>
    <n v="34"/>
    <x v="2"/>
    <x v="6"/>
    <s v="SKU-CON-1893"/>
    <x v="0"/>
    <x v="3"/>
    <x v="1"/>
    <s v="FCA"/>
    <n v="127"/>
    <s v="Unidades"/>
    <n v="160.62"/>
    <n v="20398.740000000002"/>
    <n v="686.58"/>
    <n v="3.3657961227016961E-2"/>
    <n v="2"/>
    <d v="2024-08-25T00:00:00"/>
    <d v="2024-08-25T00:00:00"/>
    <n v="0"/>
    <x v="0"/>
    <b v="1"/>
    <n v="155"/>
    <n v="345"/>
    <x v="0"/>
    <x v="0"/>
  </r>
  <r>
    <s v="PED-01566"/>
    <d v="2024-07-29T00:00:00"/>
    <x v="0"/>
    <x v="7"/>
    <n v="31"/>
    <x v="5"/>
    <x v="2"/>
    <s v="SKU-AUT-9470"/>
    <x v="1"/>
    <x v="4"/>
    <x v="4"/>
    <s v="CIF"/>
    <n v="575"/>
    <s v="Metros"/>
    <n v="1020.8"/>
    <n v="586960"/>
    <n v="30208.59"/>
    <n v="5.1466181681886332E-2"/>
    <n v="28"/>
    <d v="2024-08-26T00:00:00"/>
    <d v="2024-08-28T00:00:00"/>
    <n v="2"/>
    <x v="2"/>
    <b v="0"/>
    <n v="215"/>
    <n v="363"/>
    <x v="0"/>
    <x v="0"/>
  </r>
  <r>
    <s v="PED-01567"/>
    <d v="2024-07-29T00:00:00"/>
    <x v="0"/>
    <x v="7"/>
    <n v="31"/>
    <x v="0"/>
    <x v="0"/>
    <s v="SKU-MAQ-3330"/>
    <x v="0"/>
    <x v="0"/>
    <x v="3"/>
    <s v="EXW"/>
    <n v="962"/>
    <s v="Cajas"/>
    <n v="1171.4000000000001"/>
    <n v="1126886.8"/>
    <n v="77040.52"/>
    <n v="6.8365802137357545E-2"/>
    <n v="1"/>
    <d v="2024-07-30T00:00:00"/>
    <d v="2024-07-30T00:00:00"/>
    <n v="0"/>
    <x v="0"/>
    <b v="1"/>
    <n v="334"/>
    <n v="246"/>
    <x v="0"/>
    <x v="0"/>
  </r>
  <r>
    <s v="PED-01568"/>
    <d v="2023-12-04T00:00:00"/>
    <x v="1"/>
    <x v="11"/>
    <n v="49"/>
    <x v="1"/>
    <x v="5"/>
    <s v="SKU-ELE-8595"/>
    <x v="2"/>
    <x v="0"/>
    <x v="2"/>
    <s v="DAP"/>
    <n v="125"/>
    <s v="Unidades"/>
    <n v="599.26"/>
    <n v="74907.5"/>
    <n v="3086.84"/>
    <n v="4.1208690718552883E-2"/>
    <n v="23"/>
    <d v="2023-12-27T00:00:00"/>
    <d v="2023-12-27T00:00:00"/>
    <n v="0"/>
    <x v="0"/>
    <b v="1"/>
    <n v="358"/>
    <n v="218"/>
    <x v="3"/>
    <x v="1"/>
  </r>
  <r>
    <s v="PED-01569"/>
    <d v="2024-11-17T00:00:00"/>
    <x v="0"/>
    <x v="6"/>
    <n v="47"/>
    <x v="9"/>
    <x v="2"/>
    <s v="SKU-AUT-8400"/>
    <x v="4"/>
    <x v="4"/>
    <x v="2"/>
    <s v="DAP"/>
    <n v="639"/>
    <s v="KG"/>
    <n v="787.88"/>
    <n v="503455.32"/>
    <n v="29468.54"/>
    <n v="5.8532582394799207E-2"/>
    <n v="23"/>
    <d v="2024-12-10T00:00:00"/>
    <d v="2024-12-09T00:00:00"/>
    <n v="-1"/>
    <x v="0"/>
    <b v="1"/>
    <n v="113"/>
    <n v="8"/>
    <x v="3"/>
    <x v="1"/>
  </r>
  <r>
    <s v="PED-01570"/>
    <d v="2023-05-06T00:00:00"/>
    <x v="1"/>
    <x v="5"/>
    <n v="18"/>
    <x v="2"/>
    <x v="6"/>
    <s v="SKU-CON-2481"/>
    <x v="4"/>
    <x v="2"/>
    <x v="2"/>
    <s v="DAP"/>
    <n v="269"/>
    <s v="Cajas"/>
    <n v="266.23"/>
    <n v="71615.87"/>
    <n v="2487.7800000000002"/>
    <n v="3.4737831153904858E-2"/>
    <n v="28"/>
    <d v="2023-06-03T00:00:00"/>
    <d v="2023-06-15T00:00:00"/>
    <n v="12"/>
    <x v="2"/>
    <b v="0"/>
    <n v="160"/>
    <n v="429"/>
    <x v="0"/>
    <x v="0"/>
  </r>
  <r>
    <s v="PED-01571"/>
    <d v="2024-02-25T00:00:00"/>
    <x v="0"/>
    <x v="9"/>
    <n v="9"/>
    <x v="7"/>
    <x v="0"/>
    <s v="SKU-MAQ-9202"/>
    <x v="2"/>
    <x v="0"/>
    <x v="1"/>
    <s v="DAP"/>
    <n v="84"/>
    <s v="KG"/>
    <n v="1330.43"/>
    <n v="111756.12"/>
    <n v="2967.88"/>
    <n v="2.6556755907416973E-2"/>
    <n v="18"/>
    <d v="2024-03-14T00:00:00"/>
    <d v="2024-03-26T00:00:00"/>
    <n v="12"/>
    <x v="2"/>
    <b v="0"/>
    <n v="302"/>
    <n v="293"/>
    <x v="1"/>
    <x v="1"/>
  </r>
  <r>
    <s v="PED-01572"/>
    <d v="2023-12-29T00:00:00"/>
    <x v="1"/>
    <x v="11"/>
    <n v="52"/>
    <x v="3"/>
    <x v="7"/>
    <s v="SKU-ALI-2854"/>
    <x v="0"/>
    <x v="2"/>
    <x v="3"/>
    <s v="DDP"/>
    <n v="489"/>
    <s v="Litros"/>
    <n v="96.91"/>
    <n v="47388.99"/>
    <n v="3206.48"/>
    <n v="6.7662974036796317E-2"/>
    <n v="7"/>
    <d v="2024-01-05T00:00:00"/>
    <d v="2024-01-10T00:00:00"/>
    <n v="5"/>
    <x v="2"/>
    <b v="0"/>
    <n v="97"/>
    <n v="366"/>
    <x v="0"/>
    <x v="0"/>
  </r>
  <r>
    <s v="PED-01573"/>
    <d v="2024-11-12T00:00:00"/>
    <x v="0"/>
    <x v="6"/>
    <n v="46"/>
    <x v="6"/>
    <x v="0"/>
    <s v="SKU-MAQ-3945"/>
    <x v="0"/>
    <x v="2"/>
    <x v="2"/>
    <s v="FOB"/>
    <n v="314"/>
    <s v="Metros"/>
    <n v="1332.82"/>
    <n v="418505.48"/>
    <n v="10855.24"/>
    <n v="2.5938107190376578E-2"/>
    <n v="29"/>
    <d v="2024-12-11T00:00:00"/>
    <d v="2024-12-11T00:00:00"/>
    <n v="0"/>
    <x v="0"/>
    <b v="1"/>
    <n v="405"/>
    <n v="12"/>
    <x v="0"/>
    <x v="0"/>
  </r>
  <r>
    <s v="PED-01574"/>
    <d v="2024-03-09T00:00:00"/>
    <x v="0"/>
    <x v="8"/>
    <n v="10"/>
    <x v="9"/>
    <x v="3"/>
    <s v="SKU-QUÍ-9952"/>
    <x v="0"/>
    <x v="4"/>
    <x v="0"/>
    <s v="FOB"/>
    <n v="16"/>
    <s v="Cajas"/>
    <n v="152.51"/>
    <n v="3302.8089"/>
    <n v="142.36009999999999"/>
    <n v="4.3102735977246516E-2"/>
    <n v="8"/>
    <d v="2024-03-17T00:00:00"/>
    <d v="2024-03-29T00:00:00"/>
    <n v="12"/>
    <x v="2"/>
    <b v="0"/>
    <n v="156"/>
    <n v="262"/>
    <x v="0"/>
    <x v="0"/>
  </r>
  <r>
    <s v="PED-01575"/>
    <d v="2023-02-22T00:00:00"/>
    <x v="1"/>
    <x v="9"/>
    <n v="8"/>
    <x v="1"/>
    <x v="4"/>
    <s v="SKU-TEX-3216"/>
    <x v="3"/>
    <x v="2"/>
    <x v="4"/>
    <s v="FCA"/>
    <n v="375"/>
    <s v="Cajas"/>
    <n v="83.94"/>
    <n v="31477.5"/>
    <n v="2244.5500000000002"/>
    <n v="7.1306488761814002E-2"/>
    <n v="1"/>
    <d v="2023-02-23T00:00:00"/>
    <d v="2023-02-25T00:00:00"/>
    <n v="2"/>
    <x v="2"/>
    <b v="0"/>
    <n v="161"/>
    <n v="394"/>
    <x v="1"/>
    <x v="1"/>
  </r>
  <r>
    <s v="PED-01576"/>
    <d v="2023-10-22T00:00:00"/>
    <x v="1"/>
    <x v="0"/>
    <n v="43"/>
    <x v="8"/>
    <x v="7"/>
    <s v="SKU-ALI-7440"/>
    <x v="5"/>
    <x v="2"/>
    <x v="4"/>
    <s v="DDP"/>
    <n v="643"/>
    <s v="Palés"/>
    <n v="64.12"/>
    <n v="41229.160000000003"/>
    <n v="1681.66"/>
    <n v="4.0788121805052542E-2"/>
    <n v="25"/>
    <d v="2023-11-16T00:00:00"/>
    <d v="2023-11-21T00:00:00"/>
    <n v="5"/>
    <x v="1"/>
    <b v="0"/>
    <n v="41"/>
    <n v="457"/>
    <x v="0"/>
    <x v="0"/>
  </r>
  <r>
    <s v="PED-01577"/>
    <d v="2024-09-06T00:00:00"/>
    <x v="0"/>
    <x v="3"/>
    <n v="36"/>
    <x v="3"/>
    <x v="3"/>
    <s v="SKU-QUÍ-7775"/>
    <x v="2"/>
    <x v="5"/>
    <x v="2"/>
    <s v="FOB"/>
    <n v="532"/>
    <s v="Palés"/>
    <n v="167.19"/>
    <n v="88945.08"/>
    <n v="6971.76"/>
    <n v="7.8382750344369811E-2"/>
    <n v="23"/>
    <d v="2024-09-29T00:00:00"/>
    <d v="2024-09-24T00:00:00"/>
    <n v="-5"/>
    <x v="0"/>
    <b v="1"/>
    <n v="179"/>
    <n v="224"/>
    <x v="2"/>
    <x v="1"/>
  </r>
  <r>
    <s v="PED-01578"/>
    <d v="2023-11-16T00:00:00"/>
    <x v="1"/>
    <x v="6"/>
    <n v="46"/>
    <x v="9"/>
    <x v="3"/>
    <s v="SKU-QUÍ-6299"/>
    <x v="2"/>
    <x v="3"/>
    <x v="1"/>
    <s v="DAP"/>
    <n v="357"/>
    <s v="Metros"/>
    <n v="140.97999999999999"/>
    <n v="50329.86"/>
    <n v="3965.19"/>
    <n v="7.8784045892438412E-2"/>
    <n v="3"/>
    <d v="2023-11-19T00:00:00"/>
    <d v="2023-11-19T00:00:00"/>
    <n v="0"/>
    <x v="0"/>
    <b v="1"/>
    <n v="302"/>
    <n v="230"/>
    <x v="0"/>
    <x v="0"/>
  </r>
  <r>
    <s v="PED-01579"/>
    <d v="2023-12-27T00:00:00"/>
    <x v="1"/>
    <x v="11"/>
    <n v="52"/>
    <x v="0"/>
    <x v="3"/>
    <s v="SKU-QUÍ-8387"/>
    <x v="2"/>
    <x v="2"/>
    <x v="4"/>
    <s v="FOB"/>
    <n v="447"/>
    <s v="Cajas"/>
    <n v="96.2"/>
    <n v="43001.4"/>
    <n v="1552.2"/>
    <n v="3.6096499183747507E-2"/>
    <n v="24"/>
    <d v="2024-01-20T00:00:00"/>
    <d v="2024-01-19T00:00:00"/>
    <n v="-1"/>
    <x v="0"/>
    <b v="1"/>
    <n v="329"/>
    <n v="177"/>
    <x v="3"/>
    <x v="1"/>
  </r>
  <r>
    <s v="PED-01580"/>
    <d v="2023-04-17T00:00:00"/>
    <x v="1"/>
    <x v="1"/>
    <n v="16"/>
    <x v="1"/>
    <x v="5"/>
    <s v="SKU-ELE-1408"/>
    <x v="2"/>
    <x v="3"/>
    <x v="4"/>
    <s v="EXW"/>
    <n v="224"/>
    <s v="Litros"/>
    <n v="521.02"/>
    <n v="116708.48"/>
    <n v="2621.12"/>
    <n v="2.2458693661334635E-2"/>
    <n v="23"/>
    <d v="2023-05-10T00:00:00"/>
    <d v="2023-05-10T00:00:00"/>
    <n v="0"/>
    <x v="0"/>
    <b v="1"/>
    <n v="50"/>
    <n v="246"/>
    <x v="1"/>
    <x v="1"/>
  </r>
  <r>
    <s v="PED-01581"/>
    <d v="2024-08-14T00:00:00"/>
    <x v="0"/>
    <x v="4"/>
    <n v="33"/>
    <x v="5"/>
    <x v="3"/>
    <s v="SKU-QUÍ-3930"/>
    <x v="2"/>
    <x v="2"/>
    <x v="4"/>
    <s v="FCA"/>
    <n v="438"/>
    <s v="Unidades"/>
    <n v="99.44"/>
    <n v="43554.720000000001"/>
    <n v="2713.62"/>
    <n v="6.230369521374491E-2"/>
    <n v="27"/>
    <d v="2024-09-10T00:00:00"/>
    <d v="2024-09-07T00:00:00"/>
    <n v="-3"/>
    <x v="0"/>
    <b v="1"/>
    <n v="251"/>
    <n v="66"/>
    <x v="0"/>
    <x v="0"/>
  </r>
  <r>
    <s v="PED-01582"/>
    <d v="2024-06-03T00:00:00"/>
    <x v="0"/>
    <x v="10"/>
    <n v="23"/>
    <x v="6"/>
    <x v="5"/>
    <s v="SKU-ELE-8433"/>
    <x v="0"/>
    <x v="3"/>
    <x v="4"/>
    <s v="FOB"/>
    <n v="800"/>
    <s v="Metros"/>
    <n v="630.14"/>
    <n v="504112"/>
    <n v="23723.1"/>
    <n v="4.7059185260418315E-2"/>
    <n v="29"/>
    <d v="2024-07-02T00:00:00"/>
    <d v="2024-07-05T00:00:00"/>
    <n v="3"/>
    <x v="2"/>
    <b v="0"/>
    <n v="428"/>
    <n v="296"/>
    <x v="0"/>
    <x v="0"/>
  </r>
  <r>
    <s v="PED-01583"/>
    <d v="2023-08-06T00:00:00"/>
    <x v="1"/>
    <x v="4"/>
    <n v="32"/>
    <x v="5"/>
    <x v="3"/>
    <s v="SKU-QUÍ-4308"/>
    <x v="3"/>
    <x v="0"/>
    <x v="2"/>
    <s v="EXW"/>
    <n v="507"/>
    <s v="Metros"/>
    <n v="156.85"/>
    <n v="79522.95"/>
    <n v="2071.19"/>
    <n v="2.6045185697965181E-2"/>
    <n v="8"/>
    <d v="2023-08-14T00:00:00"/>
    <d v="2023-08-13T00:00:00"/>
    <n v="-1"/>
    <x v="0"/>
    <b v="1"/>
    <n v="349"/>
    <n v="156"/>
    <x v="3"/>
    <x v="1"/>
  </r>
  <r>
    <s v="PED-01584"/>
    <d v="2023-06-08T00:00:00"/>
    <x v="1"/>
    <x v="10"/>
    <n v="23"/>
    <x v="2"/>
    <x v="1"/>
    <s v="SKU-FAR-8449"/>
    <x v="1"/>
    <x v="0"/>
    <x v="3"/>
    <s v="CIF"/>
    <n v="549"/>
    <s v="Palés"/>
    <n v="156.93"/>
    <n v="86154.57"/>
    <n v="5380.47"/>
    <n v="6.2451359225633649E-2"/>
    <n v="22"/>
    <d v="2023-06-30T00:00:00"/>
    <d v="2023-06-27T00:00:00"/>
    <n v="-3"/>
    <x v="0"/>
    <b v="1"/>
    <n v="119"/>
    <n v="164"/>
    <x v="4"/>
    <x v="1"/>
  </r>
  <r>
    <s v="PED-01585"/>
    <d v="2024-11-03T00:00:00"/>
    <x v="0"/>
    <x v="6"/>
    <n v="45"/>
    <x v="8"/>
    <x v="6"/>
    <s v="SKU-CON-2477"/>
    <x v="0"/>
    <x v="3"/>
    <x v="3"/>
    <s v="EXW"/>
    <n v="756"/>
    <s v="Litros"/>
    <n v="220.98"/>
    <n v="167060.88"/>
    <n v="3653.7"/>
    <n v="2.1870470214211728E-2"/>
    <n v="25"/>
    <d v="2024-11-28T00:00:00"/>
    <d v="2024-12-03T00:00:00"/>
    <n v="5"/>
    <x v="2"/>
    <b v="0"/>
    <n v="74"/>
    <n v="183"/>
    <x v="1"/>
    <x v="1"/>
  </r>
  <r>
    <s v="PED-01586"/>
    <d v="2024-05-08T00:00:00"/>
    <x v="0"/>
    <x v="5"/>
    <n v="19"/>
    <x v="2"/>
    <x v="7"/>
    <s v="SKU-ALI-5097"/>
    <x v="0"/>
    <x v="2"/>
    <x v="1"/>
    <s v="EXW"/>
    <n v="376"/>
    <s v="Metros"/>
    <n v="108.14"/>
    <n v="40660.639999999999"/>
    <n v="2936.18"/>
    <n v="7.22118491002601E-2"/>
    <n v="15"/>
    <d v="2024-05-23T00:00:00"/>
    <d v="2024-05-31T00:00:00"/>
    <n v="8"/>
    <x v="2"/>
    <b v="0"/>
    <n v="161"/>
    <n v="492"/>
    <x v="0"/>
    <x v="0"/>
  </r>
  <r>
    <s v="PED-01587"/>
    <d v="2023-08-18T00:00:00"/>
    <x v="1"/>
    <x v="4"/>
    <n v="33"/>
    <x v="6"/>
    <x v="1"/>
    <s v="SKU-FAR-6309"/>
    <x v="5"/>
    <x v="5"/>
    <x v="0"/>
    <s v="DAP"/>
    <n v="322"/>
    <s v="Litros"/>
    <n v="289.79000000000002"/>
    <n v="93312.38"/>
    <n v="2642.53"/>
    <n v="2.831917908427585E-2"/>
    <n v="5"/>
    <d v="2023-08-23T00:00:00"/>
    <d v="2023-08-26T00:00:00"/>
    <n v="3"/>
    <x v="1"/>
    <b v="0"/>
    <n v="148"/>
    <n v="207"/>
    <x v="0"/>
    <x v="0"/>
  </r>
  <r>
    <s v="PED-01588"/>
    <d v="2023-04-21T00:00:00"/>
    <x v="1"/>
    <x v="1"/>
    <n v="16"/>
    <x v="3"/>
    <x v="3"/>
    <s v="SKU-QUÍ-3686"/>
    <x v="1"/>
    <x v="3"/>
    <x v="3"/>
    <s v="DAP"/>
    <n v="547"/>
    <s v="Metros"/>
    <n v="133.30000000000001"/>
    <n v="72915.100000000006"/>
    <n v="2015.28"/>
    <n v="2.7638719551917226E-2"/>
    <n v="3"/>
    <d v="2023-04-24T00:00:00"/>
    <d v="2023-04-25T00:00:00"/>
    <n v="1"/>
    <x v="1"/>
    <b v="0"/>
    <n v="122"/>
    <n v="15"/>
    <x v="0"/>
    <x v="0"/>
  </r>
  <r>
    <s v="PED-01589"/>
    <d v="2023-12-25T00:00:00"/>
    <x v="1"/>
    <x v="11"/>
    <n v="52"/>
    <x v="2"/>
    <x v="7"/>
    <s v="SKU-ALI-3024"/>
    <x v="2"/>
    <x v="1"/>
    <x v="0"/>
    <s v="FCA"/>
    <n v="930"/>
    <s v="Palés"/>
    <n v="116.82"/>
    <n v="108642.6"/>
    <n v="3317.98"/>
    <n v="3.0540322120420533E-2"/>
    <n v="19"/>
    <d v="2024-01-13T00:00:00"/>
    <d v="2024-01-13T00:00:00"/>
    <n v="0"/>
    <x v="0"/>
    <b v="1"/>
    <n v="140"/>
    <n v="299"/>
    <x v="4"/>
    <x v="1"/>
  </r>
  <r>
    <s v="PED-01590"/>
    <d v="2024-07-23T00:00:00"/>
    <x v="0"/>
    <x v="7"/>
    <n v="30"/>
    <x v="8"/>
    <x v="7"/>
    <s v="SKU-ALI-2494"/>
    <x v="1"/>
    <x v="5"/>
    <x v="3"/>
    <s v="DAP"/>
    <n v="63"/>
    <s v="Unidades"/>
    <n v="90.28"/>
    <n v="5687.64"/>
    <n v="441.45"/>
    <n v="7.761567187796696E-2"/>
    <n v="1"/>
    <d v="2024-07-24T00:00:00"/>
    <d v="2024-07-24T00:00:00"/>
    <n v="0"/>
    <x v="0"/>
    <b v="1"/>
    <n v="181"/>
    <n v="305"/>
    <x v="4"/>
    <x v="1"/>
  </r>
  <r>
    <s v="PED-01591"/>
    <d v="2024-01-12T00:00:00"/>
    <x v="0"/>
    <x v="2"/>
    <n v="2"/>
    <x v="4"/>
    <x v="2"/>
    <s v="SKU-AUT-2870"/>
    <x v="3"/>
    <x v="1"/>
    <x v="3"/>
    <s v="EXW"/>
    <n v="550"/>
    <s v="Palés"/>
    <n v="812.28"/>
    <n v="446754"/>
    <n v="27515.65"/>
    <n v="6.1590159237522216E-2"/>
    <n v="28"/>
    <d v="2024-02-09T00:00:00"/>
    <d v="2024-02-09T00:00:00"/>
    <n v="0"/>
    <x v="0"/>
    <b v="1"/>
    <n v="408"/>
    <n v="490"/>
    <x v="0"/>
    <x v="0"/>
  </r>
  <r>
    <s v="PED-01592"/>
    <d v="2023-04-28T00:00:00"/>
    <x v="1"/>
    <x v="1"/>
    <n v="17"/>
    <x v="4"/>
    <x v="4"/>
    <s v="SKU-TEX-8362"/>
    <x v="4"/>
    <x v="3"/>
    <x v="1"/>
    <s v="DDP"/>
    <n v="476"/>
    <s v="Metros"/>
    <n v="82.71"/>
    <n v="39369.96"/>
    <n v="2680.4"/>
    <n v="6.8082365336413861E-2"/>
    <n v="15"/>
    <d v="2023-05-13T00:00:00"/>
    <d v="2023-05-25T00:00:00"/>
    <n v="12"/>
    <x v="2"/>
    <b v="0"/>
    <n v="377"/>
    <n v="240"/>
    <x v="2"/>
    <x v="1"/>
  </r>
  <r>
    <s v="PED-01593"/>
    <d v="2023-10-13T00:00:00"/>
    <x v="1"/>
    <x v="0"/>
    <n v="41"/>
    <x v="9"/>
    <x v="1"/>
    <s v="SKU-FAR-6946"/>
    <x v="0"/>
    <x v="2"/>
    <x v="4"/>
    <s v="DAP"/>
    <n v="874"/>
    <s v="Litros"/>
    <n v="218.88"/>
    <n v="191301.12"/>
    <n v="8390.1"/>
    <n v="4.3858080914528891E-2"/>
    <n v="8"/>
    <d v="2023-10-21T00:00:00"/>
    <d v="2023-10-29T00:00:00"/>
    <n v="8"/>
    <x v="2"/>
    <b v="0"/>
    <n v="276"/>
    <n v="454"/>
    <x v="0"/>
    <x v="0"/>
  </r>
  <r>
    <s v="PED-01594"/>
    <d v="2024-08-10T00:00:00"/>
    <x v="0"/>
    <x v="4"/>
    <n v="32"/>
    <x v="9"/>
    <x v="4"/>
    <s v="SKU-TEX-2397"/>
    <x v="1"/>
    <x v="1"/>
    <x v="1"/>
    <s v="DAP"/>
    <n v="173"/>
    <s v="KG"/>
    <n v="64.650000000000006"/>
    <n v="11184.45"/>
    <n v="449.38"/>
    <n v="4.0178998520266976E-2"/>
    <n v="2"/>
    <d v="2024-08-12T00:00:00"/>
    <d v="2024-08-20T00:00:00"/>
    <n v="8"/>
    <x v="2"/>
    <b v="0"/>
    <n v="256"/>
    <n v="462"/>
    <x v="1"/>
    <x v="1"/>
  </r>
  <r>
    <s v="PED-01595"/>
    <d v="2023-08-20T00:00:00"/>
    <x v="1"/>
    <x v="4"/>
    <n v="34"/>
    <x v="1"/>
    <x v="7"/>
    <s v="SKU-ALI-9582"/>
    <x v="5"/>
    <x v="3"/>
    <x v="3"/>
    <s v="EXW"/>
    <n v="791"/>
    <s v="Palés"/>
    <n v="87.38"/>
    <n v="69117.58"/>
    <n v="2354.77"/>
    <n v="3.4069045820180624E-2"/>
    <n v="3"/>
    <d v="2023-08-23T00:00:00"/>
    <d v="2023-08-22T00:00:00"/>
    <n v="-1"/>
    <x v="0"/>
    <b v="1"/>
    <n v="441"/>
    <n v="229"/>
    <x v="2"/>
    <x v="1"/>
  </r>
  <r>
    <s v="PED-01596"/>
    <d v="2024-03-15T00:00:00"/>
    <x v="0"/>
    <x v="8"/>
    <n v="11"/>
    <x v="9"/>
    <x v="5"/>
    <s v="SKU-ELE-7292"/>
    <x v="3"/>
    <x v="5"/>
    <x v="4"/>
    <s v="CIF"/>
    <n v="343"/>
    <s v="Litros"/>
    <n v="688.71"/>
    <n v="236227.53"/>
    <n v="11537.09"/>
    <n v="4.8838888507194742E-2"/>
    <n v="24"/>
    <d v="2024-04-08T00:00:00"/>
    <d v="2024-04-03T00:00:00"/>
    <n v="-5"/>
    <x v="0"/>
    <b v="1"/>
    <n v="324"/>
    <n v="389"/>
    <x v="4"/>
    <x v="1"/>
  </r>
  <r>
    <s v="PED-01597"/>
    <d v="2024-07-28T00:00:00"/>
    <x v="0"/>
    <x v="7"/>
    <n v="31"/>
    <x v="0"/>
    <x v="7"/>
    <s v="SKU-ALI-9383"/>
    <x v="4"/>
    <x v="2"/>
    <x v="4"/>
    <s v="CIF"/>
    <n v="556"/>
    <s v="Palés"/>
    <n v="109.24"/>
    <n v="60737.440000000002"/>
    <n v="3225.75"/>
    <n v="5.3109745817406857E-2"/>
    <n v="14"/>
    <d v="2024-08-11T00:00:00"/>
    <d v="2024-08-11T00:00:00"/>
    <n v="0"/>
    <x v="0"/>
    <b v="1"/>
    <n v="244"/>
    <n v="17"/>
    <x v="2"/>
    <x v="1"/>
  </r>
  <r>
    <s v="PED-01598"/>
    <d v="2024-09-28T00:00:00"/>
    <x v="0"/>
    <x v="3"/>
    <n v="39"/>
    <x v="9"/>
    <x v="4"/>
    <s v="SKU-TEX-3619"/>
    <x v="3"/>
    <x v="1"/>
    <x v="4"/>
    <s v="FOB"/>
    <n v="807"/>
    <s v="Metros"/>
    <n v="61.37"/>
    <n v="49525.59"/>
    <n v="2867.85"/>
    <n v="5.7906427767947848E-2"/>
    <n v="24"/>
    <d v="2024-10-22T00:00:00"/>
    <d v="2024-10-19T00:00:00"/>
    <n v="-3"/>
    <x v="0"/>
    <b v="1"/>
    <n v="85"/>
    <n v="146"/>
    <x v="3"/>
    <x v="1"/>
  </r>
  <r>
    <s v="PED-01599"/>
    <d v="2024-09-20T00:00:00"/>
    <x v="0"/>
    <x v="3"/>
    <n v="38"/>
    <x v="0"/>
    <x v="1"/>
    <s v="SKU-FAR-7204"/>
    <x v="2"/>
    <x v="3"/>
    <x v="0"/>
    <s v="FCA"/>
    <n v="357"/>
    <s v="Litros"/>
    <n v="193.33"/>
    <n v="69018.81"/>
    <n v="2445.14"/>
    <n v="3.5427153844002815E-2"/>
    <n v="14"/>
    <d v="2024-10-04T00:00:00"/>
    <d v="2024-10-01T00:00:00"/>
    <n v="-3"/>
    <x v="0"/>
    <b v="1"/>
    <n v="70"/>
    <n v="243"/>
    <x v="2"/>
    <x v="1"/>
  </r>
  <r>
    <s v="PED-01600"/>
    <d v="2024-11-22T00:00:00"/>
    <x v="0"/>
    <x v="6"/>
    <n v="47"/>
    <x v="9"/>
    <x v="3"/>
    <s v="SKU-QUÍ-7235"/>
    <x v="4"/>
    <x v="2"/>
    <x v="3"/>
    <s v="CIF"/>
    <n v="282"/>
    <s v="Unidades"/>
    <n v="131.22999999999999"/>
    <n v="37006.86"/>
    <n v="2846.54"/>
    <n v="7.6919252268363214E-2"/>
    <n v="11"/>
    <d v="2024-12-03T00:00:00"/>
    <d v="2024-12-02T00:00:00"/>
    <n v="-1"/>
    <x v="0"/>
    <b v="1"/>
    <n v="268"/>
    <n v="50"/>
    <x v="3"/>
    <x v="1"/>
  </r>
  <r>
    <s v="PED-01601"/>
    <d v="2024-10-20T00:00:00"/>
    <x v="0"/>
    <x v="0"/>
    <n v="43"/>
    <x v="5"/>
    <x v="2"/>
    <s v="SKU-AUT-1719"/>
    <x v="5"/>
    <x v="2"/>
    <x v="2"/>
    <s v="DAP"/>
    <n v="972"/>
    <s v="Litros"/>
    <n v="926.57"/>
    <n v="900626.04"/>
    <n v="27185.86"/>
    <n v="3.0185514067525739E-2"/>
    <n v="16"/>
    <d v="2024-11-05T00:00:00"/>
    <d v="2024-11-07T00:00:00"/>
    <n v="2"/>
    <x v="1"/>
    <b v="0"/>
    <n v="492"/>
    <n v="449"/>
    <x v="0"/>
    <x v="0"/>
  </r>
  <r>
    <s v="PED-01602"/>
    <d v="2024-07-24T00:00:00"/>
    <x v="0"/>
    <x v="7"/>
    <n v="30"/>
    <x v="7"/>
    <x v="2"/>
    <s v="SKU-AUT-3799"/>
    <x v="4"/>
    <x v="0"/>
    <x v="1"/>
    <s v="DDP"/>
    <n v="729"/>
    <s v="Cajas"/>
    <n v="712.54"/>
    <n v="519441.66"/>
    <n v="40484.86"/>
    <n v="7.7939185701816835E-2"/>
    <n v="4"/>
    <d v="2024-07-28T00:00:00"/>
    <d v="2024-07-30T00:00:00"/>
    <n v="2"/>
    <x v="2"/>
    <b v="0"/>
    <n v="179"/>
    <n v="258"/>
    <x v="0"/>
    <x v="0"/>
  </r>
  <r>
    <s v="PED-01603"/>
    <d v="2023-01-27T00:00:00"/>
    <x v="1"/>
    <x v="2"/>
    <n v="4"/>
    <x v="0"/>
    <x v="2"/>
    <s v="SKU-AUT-6491"/>
    <x v="5"/>
    <x v="2"/>
    <x v="0"/>
    <s v="FOB"/>
    <n v="759"/>
    <s v="KG"/>
    <n v="1068.1300000000001"/>
    <n v="810710.67"/>
    <n v="16936.849999999999"/>
    <n v="2.0891361896100365E-2"/>
    <n v="20"/>
    <d v="2023-02-16T00:00:00"/>
    <d v="2023-02-28T00:00:00"/>
    <n v="12"/>
    <x v="1"/>
    <b v="0"/>
    <n v="278"/>
    <n v="237"/>
    <x v="1"/>
    <x v="1"/>
  </r>
  <r>
    <s v="PED-01604"/>
    <d v="2024-09-15T00:00:00"/>
    <x v="0"/>
    <x v="3"/>
    <n v="38"/>
    <x v="3"/>
    <x v="3"/>
    <s v="SKU-QUÍ-3459"/>
    <x v="2"/>
    <x v="3"/>
    <x v="1"/>
    <s v="FCA"/>
    <n v="423"/>
    <s v="Metros"/>
    <n v="130.69999999999999"/>
    <n v="55286.1"/>
    <n v="2701.7"/>
    <n v="4.8867617719462936E-2"/>
    <n v="5"/>
    <d v="2024-09-20T00:00:00"/>
    <d v="2024-09-21T00:00:00"/>
    <n v="1"/>
    <x v="2"/>
    <b v="0"/>
    <n v="148"/>
    <n v="245"/>
    <x v="3"/>
    <x v="1"/>
  </r>
  <r>
    <s v="PED-01605"/>
    <d v="2024-11-04T00:00:00"/>
    <x v="0"/>
    <x v="6"/>
    <n v="45"/>
    <x v="1"/>
    <x v="2"/>
    <s v="SKU-AUT-3656"/>
    <x v="5"/>
    <x v="5"/>
    <x v="2"/>
    <s v="DDP"/>
    <n v="509"/>
    <s v="Litros"/>
    <n v="773.79"/>
    <n v="393859.11"/>
    <n v="15755.18"/>
    <n v="4.0002070791253251E-2"/>
    <n v="22"/>
    <d v="2024-11-26T00:00:00"/>
    <d v="2024-11-26T00:00:00"/>
    <n v="0"/>
    <x v="0"/>
    <b v="1"/>
    <n v="5"/>
    <n v="344"/>
    <x v="3"/>
    <x v="1"/>
  </r>
  <r>
    <s v="PED-01606"/>
    <d v="2024-12-11T00:00:00"/>
    <x v="0"/>
    <x v="11"/>
    <n v="50"/>
    <x v="6"/>
    <x v="1"/>
    <s v="SKU-FAR-3369"/>
    <x v="3"/>
    <x v="4"/>
    <x v="4"/>
    <s v="DDP"/>
    <n v="102"/>
    <s v="Metros"/>
    <n v="157.09"/>
    <n v="16023.18"/>
    <n v="752.25"/>
    <n v="4.6947609650518807E-2"/>
    <n v="21"/>
    <d v="2025-01-01T00:00:00"/>
    <d v="2025-01-04T00:00:00"/>
    <n v="3"/>
    <x v="2"/>
    <b v="0"/>
    <n v="147"/>
    <n v="483"/>
    <x v="4"/>
    <x v="1"/>
  </r>
  <r>
    <s v="PED-01607"/>
    <d v="2023-10-01T00:00:00"/>
    <x v="1"/>
    <x v="0"/>
    <n v="40"/>
    <x v="0"/>
    <x v="3"/>
    <s v="SKU-QUÍ-3930"/>
    <x v="1"/>
    <x v="0"/>
    <x v="2"/>
    <s v="DAP"/>
    <n v="694"/>
    <s v="Palés"/>
    <n v="106.93"/>
    <n v="74209.42"/>
    <n v="4025.11"/>
    <n v="5.4239879519338653E-2"/>
    <n v="14"/>
    <d v="2023-10-15T00:00:00"/>
    <d v="2023-10-15T00:00:00"/>
    <n v="0"/>
    <x v="0"/>
    <b v="1"/>
    <n v="331"/>
    <n v="309"/>
    <x v="0"/>
    <x v="0"/>
  </r>
  <r>
    <s v="PED-01608"/>
    <d v="2023-01-30T00:00:00"/>
    <x v="1"/>
    <x v="2"/>
    <n v="5"/>
    <x v="2"/>
    <x v="2"/>
    <s v="SKU-AUT-1840"/>
    <x v="3"/>
    <x v="3"/>
    <x v="1"/>
    <s v="EXW"/>
    <n v="88"/>
    <s v="Palés"/>
    <n v="1167.54"/>
    <n v="102743.52"/>
    <n v="4740.1099999999997"/>
    <n v="4.6135366979834828E-2"/>
    <n v="23"/>
    <d v="2023-02-22T00:00:00"/>
    <d v="2023-03-06T00:00:00"/>
    <n v="12"/>
    <x v="2"/>
    <b v="0"/>
    <n v="167"/>
    <n v="48"/>
    <x v="4"/>
    <x v="1"/>
  </r>
  <r>
    <s v="PED-01609"/>
    <d v="2023-07-04T00:00:00"/>
    <x v="1"/>
    <x v="7"/>
    <n v="27"/>
    <x v="7"/>
    <x v="3"/>
    <s v="SKU-QUÍ-7874"/>
    <x v="0"/>
    <x v="3"/>
    <x v="2"/>
    <s v="EXW"/>
    <n v="631"/>
    <s v="Litros"/>
    <n v="113.29"/>
    <n v="71485.990000000005"/>
    <n v="3209.06"/>
    <n v="4.4890754118394383E-2"/>
    <n v="16"/>
    <d v="2023-07-20T00:00:00"/>
    <d v="2023-07-15T00:00:00"/>
    <n v="-5"/>
    <x v="0"/>
    <b v="1"/>
    <n v="8"/>
    <n v="283"/>
    <x v="0"/>
    <x v="0"/>
  </r>
  <r>
    <s v="PED-01610"/>
    <d v="2023-10-07T00:00:00"/>
    <x v="1"/>
    <x v="0"/>
    <n v="40"/>
    <x v="5"/>
    <x v="4"/>
    <s v="SKU-TEX-6047"/>
    <x v="3"/>
    <x v="3"/>
    <x v="3"/>
    <s v="EXW"/>
    <n v="226"/>
    <s v="Cajas"/>
    <n v="50.11"/>
    <n v="11324.86"/>
    <n v="724.38"/>
    <n v="6.3963704628578186E-2"/>
    <n v="18"/>
    <d v="2023-10-25T00:00:00"/>
    <d v="2023-10-27T00:00:00"/>
    <n v="2"/>
    <x v="2"/>
    <b v="0"/>
    <n v="177"/>
    <n v="37"/>
    <x v="2"/>
    <x v="1"/>
  </r>
  <r>
    <s v="PED-01611"/>
    <d v="2024-12-20T00:00:00"/>
    <x v="0"/>
    <x v="11"/>
    <n v="51"/>
    <x v="4"/>
    <x v="6"/>
    <s v="SKU-CON-6071"/>
    <x v="4"/>
    <x v="1"/>
    <x v="2"/>
    <s v="CIF"/>
    <n v="956"/>
    <s v="Litros"/>
    <n v="213.71"/>
    <n v="204306.76"/>
    <n v="12493.88"/>
    <n v="6.1152553150957897E-2"/>
    <n v="7"/>
    <d v="2024-12-27T00:00:00"/>
    <d v="2024-12-28T00:00:00"/>
    <n v="1"/>
    <x v="2"/>
    <b v="0"/>
    <n v="283"/>
    <n v="283"/>
    <x v="2"/>
    <x v="1"/>
  </r>
  <r>
    <s v="PED-01612"/>
    <d v="2023-11-13T00:00:00"/>
    <x v="1"/>
    <x v="6"/>
    <n v="46"/>
    <x v="5"/>
    <x v="6"/>
    <s v="SKU-CON-8311"/>
    <x v="2"/>
    <x v="1"/>
    <x v="3"/>
    <s v="EXW"/>
    <n v="367"/>
    <s v="Unidades"/>
    <n v="189.13"/>
    <n v="69410.710000000006"/>
    <n v="4858.49"/>
    <n v="6.9996258502470293E-2"/>
    <n v="10"/>
    <d v="2023-11-23T00:00:00"/>
    <d v="2023-11-24T00:00:00"/>
    <n v="1"/>
    <x v="2"/>
    <b v="0"/>
    <n v="394"/>
    <n v="31"/>
    <x v="4"/>
    <x v="1"/>
  </r>
  <r>
    <s v="PED-01613"/>
    <d v="2023-12-14T00:00:00"/>
    <x v="1"/>
    <x v="11"/>
    <n v="50"/>
    <x v="9"/>
    <x v="1"/>
    <s v="SKU-FAR-5731"/>
    <x v="0"/>
    <x v="5"/>
    <x v="2"/>
    <s v="FCA"/>
    <n v="627"/>
    <s v="Cajas"/>
    <n v="145.63"/>
    <n v="91310.01"/>
    <n v="3195.63"/>
    <n v="3.4997586792510485E-2"/>
    <n v="7"/>
    <d v="2023-12-21T00:00:00"/>
    <d v="2023-12-20T00:00:00"/>
    <n v="-1"/>
    <x v="0"/>
    <b v="1"/>
    <n v="115"/>
    <n v="242"/>
    <x v="4"/>
    <x v="1"/>
  </r>
  <r>
    <s v="PED-01614"/>
    <d v="2023-12-26T00:00:00"/>
    <x v="1"/>
    <x v="11"/>
    <n v="52"/>
    <x v="1"/>
    <x v="0"/>
    <s v="SKU-MAQ-3960"/>
    <x v="0"/>
    <x v="3"/>
    <x v="3"/>
    <s v="DAP"/>
    <n v="516"/>
    <s v="Metros"/>
    <n v="1437.77"/>
    <n v="741889.32"/>
    <n v="41969.95"/>
    <n v="5.657171341946262E-2"/>
    <n v="1"/>
    <d v="2023-12-27T00:00:00"/>
    <d v="2023-12-27T00:00:00"/>
    <n v="0"/>
    <x v="0"/>
    <b v="1"/>
    <n v="95"/>
    <n v="40"/>
    <x v="0"/>
    <x v="0"/>
  </r>
  <r>
    <s v="PED-01615"/>
    <d v="2023-01-07T00:00:00"/>
    <x v="1"/>
    <x v="2"/>
    <n v="1"/>
    <x v="7"/>
    <x v="5"/>
    <s v="SKU-ELE-2926"/>
    <x v="0"/>
    <x v="1"/>
    <x v="3"/>
    <s v="CIF"/>
    <n v="568"/>
    <s v="Litros"/>
    <n v="567.64"/>
    <n v="322419.52"/>
    <n v="17769.080000000002"/>
    <n v="5.5111675620632398E-2"/>
    <n v="23"/>
    <d v="2023-01-30T00:00:00"/>
    <d v="2023-02-04T00:00:00"/>
    <n v="5"/>
    <x v="1"/>
    <b v="0"/>
    <n v="330"/>
    <n v="291"/>
    <x v="2"/>
    <x v="1"/>
  </r>
  <r>
    <s v="PED-01616"/>
    <d v="2023-07-05T00:00:00"/>
    <x v="1"/>
    <x v="7"/>
    <n v="27"/>
    <x v="2"/>
    <x v="2"/>
    <s v="SKU-AUT-3155"/>
    <x v="1"/>
    <x v="1"/>
    <x v="2"/>
    <s v="FCA"/>
    <n v="190"/>
    <s v="Metros"/>
    <n v="913.1"/>
    <n v="173489"/>
    <n v="7318.51"/>
    <n v="4.2184288341047559E-2"/>
    <n v="21"/>
    <d v="2023-07-26T00:00:00"/>
    <d v="2023-07-29T00:00:00"/>
    <n v="3"/>
    <x v="1"/>
    <b v="0"/>
    <n v="343"/>
    <n v="102"/>
    <x v="0"/>
    <x v="0"/>
  </r>
  <r>
    <s v="PED-01617"/>
    <d v="2023-05-27T00:00:00"/>
    <x v="1"/>
    <x v="5"/>
    <n v="21"/>
    <x v="0"/>
    <x v="5"/>
    <s v="SKU-ELE-4323"/>
    <x v="5"/>
    <x v="1"/>
    <x v="0"/>
    <s v="EXW"/>
    <n v="585"/>
    <s v="KG"/>
    <n v="492.62"/>
    <n v="288182.7"/>
    <n v="14168.06"/>
    <n v="4.9163464704855629E-2"/>
    <n v="19"/>
    <d v="2023-06-15T00:00:00"/>
    <d v="2023-06-15T00:00:00"/>
    <n v="0"/>
    <x v="0"/>
    <b v="1"/>
    <n v="55"/>
    <n v="291"/>
    <x v="3"/>
    <x v="1"/>
  </r>
  <r>
    <s v="PED-01618"/>
    <d v="2024-08-02T00:00:00"/>
    <x v="0"/>
    <x v="4"/>
    <n v="31"/>
    <x v="5"/>
    <x v="3"/>
    <s v="SKU-QUÍ-1057"/>
    <x v="4"/>
    <x v="5"/>
    <x v="4"/>
    <s v="FCA"/>
    <n v="255"/>
    <s v="Cajas"/>
    <n v="126.94"/>
    <n v="32369.7"/>
    <n v="1256.82"/>
    <n v="3.8827051223829692E-2"/>
    <n v="16"/>
    <d v="2024-08-18T00:00:00"/>
    <d v="2024-08-18T00:00:00"/>
    <n v="0"/>
    <x v="0"/>
    <b v="1"/>
    <n v="206"/>
    <n v="106"/>
    <x v="0"/>
    <x v="0"/>
  </r>
  <r>
    <s v="PED-01619"/>
    <d v="2024-11-04T00:00:00"/>
    <x v="0"/>
    <x v="6"/>
    <n v="45"/>
    <x v="7"/>
    <x v="5"/>
    <s v="SKU-ELE-5146"/>
    <x v="2"/>
    <x v="5"/>
    <x v="4"/>
    <s v="DDP"/>
    <n v="253"/>
    <s v="Litros"/>
    <n v="736.21"/>
    <n v="186261.13"/>
    <n v="5310.43"/>
    <n v="2.8510672087085482E-2"/>
    <n v="29"/>
    <d v="2024-12-03T00:00:00"/>
    <d v="2024-12-02T00:00:00"/>
    <n v="-1"/>
    <x v="0"/>
    <b v="1"/>
    <n v="104"/>
    <n v="245"/>
    <x v="3"/>
    <x v="1"/>
  </r>
  <r>
    <s v="PED-01620"/>
    <d v="2024-02-15T00:00:00"/>
    <x v="0"/>
    <x v="9"/>
    <n v="7"/>
    <x v="0"/>
    <x v="1"/>
    <s v="SKU-FAR-1200"/>
    <x v="1"/>
    <x v="3"/>
    <x v="4"/>
    <s v="DAP"/>
    <n v="515"/>
    <s v="KG"/>
    <n v="200.38"/>
    <n v="103195.7"/>
    <n v="3387.72"/>
    <n v="3.2828112024047514E-2"/>
    <n v="19"/>
    <d v="2024-03-05T00:00:00"/>
    <d v="2024-03-08T00:00:00"/>
    <n v="3"/>
    <x v="1"/>
    <b v="0"/>
    <n v="34"/>
    <n v="381"/>
    <x v="3"/>
    <x v="1"/>
  </r>
  <r>
    <s v="PED-01621"/>
    <d v="2023-03-13T00:00:00"/>
    <x v="1"/>
    <x v="8"/>
    <n v="11"/>
    <x v="1"/>
    <x v="1"/>
    <s v="SKU-FAR-8514"/>
    <x v="3"/>
    <x v="0"/>
    <x v="3"/>
    <s v="DAP"/>
    <n v="431"/>
    <s v="Litros"/>
    <n v="181.32"/>
    <n v="78148.92"/>
    <n v="2057.73"/>
    <n v="2.6330882115837301E-2"/>
    <n v="4"/>
    <d v="2023-03-17T00:00:00"/>
    <d v="2023-03-17T00:00:00"/>
    <n v="0"/>
    <x v="0"/>
    <b v="1"/>
    <n v="208"/>
    <n v="86"/>
    <x v="0"/>
    <x v="0"/>
  </r>
  <r>
    <s v="PED-01622"/>
    <d v="2023-05-26T00:00:00"/>
    <x v="1"/>
    <x v="5"/>
    <n v="21"/>
    <x v="6"/>
    <x v="7"/>
    <s v="SKU-ALI-9153"/>
    <x v="2"/>
    <x v="3"/>
    <x v="4"/>
    <s v="FCA"/>
    <n v="329"/>
    <s v="Unidades"/>
    <n v="71.58"/>
    <n v="23549.82"/>
    <n v="1436.17"/>
    <n v="6.0984330241165327E-2"/>
    <n v="29"/>
    <d v="2023-06-24T00:00:00"/>
    <d v="2023-06-24T00:00:00"/>
    <n v="0"/>
    <x v="0"/>
    <b v="1"/>
    <n v="280"/>
    <n v="65"/>
    <x v="2"/>
    <x v="1"/>
  </r>
  <r>
    <s v="PED-01623"/>
    <d v="2024-10-10T00:00:00"/>
    <x v="0"/>
    <x v="0"/>
    <n v="41"/>
    <x v="4"/>
    <x v="6"/>
    <s v="SKU-CON-9169"/>
    <x v="0"/>
    <x v="1"/>
    <x v="3"/>
    <s v="FOB"/>
    <n v="96"/>
    <s v="Palés"/>
    <n v="213.24"/>
    <n v="20471.04"/>
    <n v="1220.97"/>
    <n v="5.9643769930594635E-2"/>
    <n v="28"/>
    <d v="2024-11-07T00:00:00"/>
    <d v="2024-11-07T00:00:00"/>
    <n v="0"/>
    <x v="0"/>
    <b v="1"/>
    <n v="368"/>
    <n v="137"/>
    <x v="3"/>
    <x v="1"/>
  </r>
  <r>
    <s v="PED-01624"/>
    <d v="2023-02-01T00:00:00"/>
    <x v="1"/>
    <x v="9"/>
    <n v="5"/>
    <x v="1"/>
    <x v="2"/>
    <s v="SKU-AUT-9904"/>
    <x v="2"/>
    <x v="4"/>
    <x v="0"/>
    <s v="DAP"/>
    <n v="226"/>
    <s v="Metros"/>
    <n v="1046.0899999999999"/>
    <n v="236416.34"/>
    <n v="18212.66"/>
    <n v="7.703638420254709E-2"/>
    <n v="18"/>
    <d v="2023-02-19T00:00:00"/>
    <d v="2023-02-19T00:00:00"/>
    <n v="0"/>
    <x v="0"/>
    <b v="1"/>
    <n v="354"/>
    <n v="325"/>
    <x v="3"/>
    <x v="1"/>
  </r>
  <r>
    <s v="PED-01625"/>
    <d v="2023-04-04T00:00:00"/>
    <x v="1"/>
    <x v="1"/>
    <n v="14"/>
    <x v="9"/>
    <x v="7"/>
    <s v="SKU-ALI-1094"/>
    <x v="2"/>
    <x v="1"/>
    <x v="2"/>
    <s v="DDP"/>
    <n v="499"/>
    <s v="Litros"/>
    <n v="69.180000000000007"/>
    <n v="34520.82"/>
    <n v="2201.7600000000002"/>
    <n v="6.3780640204954581E-2"/>
    <n v="2"/>
    <d v="2023-04-06T00:00:00"/>
    <d v="2023-04-18T00:00:00"/>
    <n v="12"/>
    <x v="1"/>
    <b v="0"/>
    <n v="146"/>
    <n v="199"/>
    <x v="3"/>
    <x v="1"/>
  </r>
  <r>
    <s v="PED-01626"/>
    <d v="2024-06-27T00:00:00"/>
    <x v="0"/>
    <x v="10"/>
    <n v="26"/>
    <x v="8"/>
    <x v="5"/>
    <s v="SKU-ELE-9084"/>
    <x v="3"/>
    <x v="2"/>
    <x v="2"/>
    <s v="DAP"/>
    <n v="528"/>
    <s v="Cajas"/>
    <n v="633.72"/>
    <n v="334604.15999999997"/>
    <n v="7736.97"/>
    <n v="2.3122754959173254E-2"/>
    <n v="1"/>
    <d v="2024-06-28T00:00:00"/>
    <d v="2024-06-28T00:00:00"/>
    <n v="0"/>
    <x v="0"/>
    <b v="1"/>
    <n v="488"/>
    <n v="334"/>
    <x v="0"/>
    <x v="0"/>
  </r>
  <r>
    <s v="PED-01627"/>
    <d v="2023-08-09T00:00:00"/>
    <x v="1"/>
    <x v="4"/>
    <n v="32"/>
    <x v="6"/>
    <x v="0"/>
    <s v="SKU-MAQ-4897"/>
    <x v="5"/>
    <x v="4"/>
    <x v="3"/>
    <s v="FOB"/>
    <n v="287"/>
    <s v="Litros"/>
    <n v="1075.3800000000001"/>
    <n v="308634.06"/>
    <n v="22547.17"/>
    <n v="7.3054704331725409E-2"/>
    <n v="15"/>
    <d v="2023-08-24T00:00:00"/>
    <d v="2023-08-25T00:00:00"/>
    <n v="1"/>
    <x v="2"/>
    <b v="0"/>
    <n v="286"/>
    <n v="492"/>
    <x v="0"/>
    <x v="0"/>
  </r>
  <r>
    <s v="PED-01628"/>
    <d v="2024-01-21T00:00:00"/>
    <x v="0"/>
    <x v="2"/>
    <n v="4"/>
    <x v="9"/>
    <x v="7"/>
    <s v="SKU-ALI-4553"/>
    <x v="4"/>
    <x v="4"/>
    <x v="3"/>
    <s v="DAP"/>
    <n v="858"/>
    <s v="Litros"/>
    <n v="82.81"/>
    <n v="71050.98"/>
    <n v="5098.6499999999996"/>
    <n v="7.1760445809473702E-2"/>
    <n v="5"/>
    <d v="2024-01-26T00:00:00"/>
    <d v="2024-01-29T00:00:00"/>
    <n v="3"/>
    <x v="2"/>
    <b v="0"/>
    <n v="80"/>
    <n v="92"/>
    <x v="0"/>
    <x v="0"/>
  </r>
  <r>
    <s v="PED-01629"/>
    <d v="2024-03-05T00:00:00"/>
    <x v="0"/>
    <x v="8"/>
    <n v="10"/>
    <x v="5"/>
    <x v="7"/>
    <s v="SKU-ALI-8794"/>
    <x v="0"/>
    <x v="3"/>
    <x v="0"/>
    <s v="DAP"/>
    <n v="731"/>
    <s v="Litros"/>
    <n v="105.66"/>
    <n v="77237.460000000006"/>
    <n v="3599.21"/>
    <n v="4.6599279675949984E-2"/>
    <n v="20"/>
    <d v="2024-03-25T00:00:00"/>
    <d v="2024-03-24T00:00:00"/>
    <n v="-1"/>
    <x v="0"/>
    <b v="1"/>
    <n v="49"/>
    <n v="446"/>
    <x v="4"/>
    <x v="1"/>
  </r>
  <r>
    <s v="PED-01630"/>
    <d v="2024-04-09T00:00:00"/>
    <x v="0"/>
    <x v="1"/>
    <n v="15"/>
    <x v="6"/>
    <x v="1"/>
    <s v="SKU-FAR-8434"/>
    <x v="5"/>
    <x v="1"/>
    <x v="4"/>
    <s v="FOB"/>
    <n v="178"/>
    <s v="Litros"/>
    <n v="194.2"/>
    <n v="34567.599999999999"/>
    <n v="1906.46"/>
    <n v="5.5151644892905499E-2"/>
    <n v="11"/>
    <d v="2024-04-20T00:00:00"/>
    <d v="2024-05-02T00:00:00"/>
    <n v="12"/>
    <x v="1"/>
    <b v="0"/>
    <n v="86"/>
    <n v="347"/>
    <x v="1"/>
    <x v="1"/>
  </r>
  <r>
    <s v="PED-01631"/>
    <d v="2023-12-16T00:00:00"/>
    <x v="1"/>
    <x v="11"/>
    <n v="50"/>
    <x v="9"/>
    <x v="0"/>
    <s v="SKU-MAQ-7719"/>
    <x v="1"/>
    <x v="1"/>
    <x v="0"/>
    <s v="DAP"/>
    <n v="339"/>
    <s v="Cajas"/>
    <n v="1726.48"/>
    <n v="585276.72"/>
    <n v="45982.09"/>
    <n v="7.8564700130222154E-2"/>
    <n v="10"/>
    <d v="2023-12-26T00:00:00"/>
    <d v="2023-12-23T00:00:00"/>
    <n v="-3"/>
    <x v="0"/>
    <b v="1"/>
    <n v="190"/>
    <n v="277"/>
    <x v="2"/>
    <x v="1"/>
  </r>
  <r>
    <s v="PED-01632"/>
    <d v="2023-06-11T00:00:00"/>
    <x v="1"/>
    <x v="10"/>
    <n v="24"/>
    <x v="6"/>
    <x v="3"/>
    <s v="SKU-QUÍ-8239"/>
    <x v="0"/>
    <x v="0"/>
    <x v="2"/>
    <s v="FCA"/>
    <n v="659"/>
    <s v="Cajas"/>
    <n v="103.68"/>
    <n v="68325.119999999995"/>
    <n v="3548.69"/>
    <n v="5.1938291509769766E-2"/>
    <n v="2"/>
    <d v="2023-06-13T00:00:00"/>
    <d v="2023-06-12T00:00:00"/>
    <n v="-1"/>
    <x v="0"/>
    <b v="1"/>
    <n v="302"/>
    <n v="481"/>
    <x v="2"/>
    <x v="1"/>
  </r>
  <r>
    <s v="PED-01633"/>
    <d v="2024-01-14T00:00:00"/>
    <x v="0"/>
    <x v="2"/>
    <n v="3"/>
    <x v="1"/>
    <x v="5"/>
    <s v="SKU-ELE-2300"/>
    <x v="4"/>
    <x v="2"/>
    <x v="2"/>
    <s v="CIF"/>
    <n v="450"/>
    <s v="Litros"/>
    <n v="646.79999999999995"/>
    <n v="291060"/>
    <n v="21631.38"/>
    <n v="7.4319315605029898E-2"/>
    <n v="3"/>
    <d v="2024-01-17T00:00:00"/>
    <d v="2024-01-17T00:00:00"/>
    <n v="0"/>
    <x v="0"/>
    <b v="1"/>
    <n v="0"/>
    <n v="19"/>
    <x v="0"/>
    <x v="0"/>
  </r>
  <r>
    <s v="PED-01634"/>
    <d v="2023-11-16T00:00:00"/>
    <x v="1"/>
    <x v="6"/>
    <n v="46"/>
    <x v="7"/>
    <x v="7"/>
    <s v="SKU-ALI-1107"/>
    <x v="1"/>
    <x v="3"/>
    <x v="4"/>
    <s v="FCA"/>
    <n v="400"/>
    <s v="Palés"/>
    <n v="59.35"/>
    <n v="23740"/>
    <n v="593.08000000000004"/>
    <n v="2.4982308340353834E-2"/>
    <n v="23"/>
    <d v="2023-12-09T00:00:00"/>
    <d v="2023-12-09T00:00:00"/>
    <n v="0"/>
    <x v="0"/>
    <b v="1"/>
    <n v="380"/>
    <n v="288"/>
    <x v="1"/>
    <x v="1"/>
  </r>
  <r>
    <s v="PED-01635"/>
    <d v="2023-11-29T00:00:00"/>
    <x v="1"/>
    <x v="6"/>
    <n v="48"/>
    <x v="4"/>
    <x v="0"/>
    <s v="SKU-MAQ-5009"/>
    <x v="3"/>
    <x v="5"/>
    <x v="2"/>
    <s v="DAP"/>
    <n v="505"/>
    <s v="Litros"/>
    <n v="2073.0500000000002"/>
    <n v="1046890.25"/>
    <n v="32938.43"/>
    <n v="3.1463116596988083E-2"/>
    <n v="23"/>
    <d v="2023-12-22T00:00:00"/>
    <d v="2023-12-30T00:00:00"/>
    <n v="8"/>
    <x v="1"/>
    <b v="0"/>
    <n v="441"/>
    <n v="398"/>
    <x v="0"/>
    <x v="0"/>
  </r>
  <r>
    <s v="PED-01636"/>
    <d v="2024-08-04T00:00:00"/>
    <x v="0"/>
    <x v="4"/>
    <n v="32"/>
    <x v="4"/>
    <x v="6"/>
    <s v="SKU-CON-9967"/>
    <x v="5"/>
    <x v="3"/>
    <x v="3"/>
    <s v="EXW"/>
    <n v="390"/>
    <s v="Metros"/>
    <n v="171.71"/>
    <n v="66966.899999999994"/>
    <n v="3110.3"/>
    <n v="4.644533344084914E-2"/>
    <n v="12"/>
    <d v="2024-08-16T00:00:00"/>
    <d v="2024-08-24T00:00:00"/>
    <n v="8"/>
    <x v="2"/>
    <b v="0"/>
    <n v="137"/>
    <n v="390"/>
    <x v="3"/>
    <x v="1"/>
  </r>
  <r>
    <s v="PED-01637"/>
    <d v="2024-09-02T00:00:00"/>
    <x v="0"/>
    <x v="3"/>
    <n v="36"/>
    <x v="9"/>
    <x v="2"/>
    <s v="SKU-AUT-5556"/>
    <x v="0"/>
    <x v="4"/>
    <x v="2"/>
    <s v="EXW"/>
    <n v="315"/>
    <s v="Metros"/>
    <n v="1119.6099999999999"/>
    <n v="352677.15"/>
    <n v="19427.36"/>
    <n v="5.508539467328688E-2"/>
    <n v="20"/>
    <d v="2024-09-22T00:00:00"/>
    <d v="2024-09-23T00:00:00"/>
    <n v="1"/>
    <x v="2"/>
    <b v="0"/>
    <n v="135"/>
    <n v="471"/>
    <x v="3"/>
    <x v="1"/>
  </r>
  <r>
    <s v="PED-01638"/>
    <d v="2023-03-28T00:00:00"/>
    <x v="1"/>
    <x v="8"/>
    <n v="13"/>
    <x v="9"/>
    <x v="0"/>
    <s v="SKU-MAQ-4401"/>
    <x v="2"/>
    <x v="3"/>
    <x v="1"/>
    <s v="CIF"/>
    <n v="751"/>
    <s v="Cajas"/>
    <n v="1473.04"/>
    <n v="1106253.04"/>
    <n v="76302.33"/>
    <n v="6.8973668085920023E-2"/>
    <n v="5"/>
    <d v="2023-04-02T00:00:00"/>
    <d v="2023-04-10T00:00:00"/>
    <n v="8"/>
    <x v="2"/>
    <b v="0"/>
    <n v="361"/>
    <n v="89"/>
    <x v="0"/>
    <x v="0"/>
  </r>
  <r>
    <s v="PED-01639"/>
    <d v="2023-02-23T00:00:00"/>
    <x v="1"/>
    <x v="9"/>
    <n v="8"/>
    <x v="6"/>
    <x v="6"/>
    <s v="SKU-CON-1801"/>
    <x v="4"/>
    <x v="0"/>
    <x v="4"/>
    <s v="DAP"/>
    <n v="996"/>
    <s v="Metros"/>
    <n v="255.63"/>
    <n v="254607.48"/>
    <n v="20189.29"/>
    <n v="7.9295745749496438E-2"/>
    <n v="5"/>
    <d v="2023-02-28T00:00:00"/>
    <d v="2023-03-08T00:00:00"/>
    <n v="8"/>
    <x v="2"/>
    <b v="0"/>
    <n v="380"/>
    <n v="49"/>
    <x v="0"/>
    <x v="0"/>
  </r>
  <r>
    <s v="PED-01640"/>
    <d v="2023-06-09T00:00:00"/>
    <x v="1"/>
    <x v="10"/>
    <n v="23"/>
    <x v="5"/>
    <x v="5"/>
    <s v="SKU-ELE-4028"/>
    <x v="0"/>
    <x v="3"/>
    <x v="4"/>
    <s v="DDP"/>
    <n v="829"/>
    <s v="Metros"/>
    <n v="477.69"/>
    <n v="396005.01"/>
    <n v="17159.330000000002"/>
    <n v="4.3331093210159134E-2"/>
    <n v="6"/>
    <d v="2023-06-15T00:00:00"/>
    <d v="2023-06-12T00:00:00"/>
    <n v="-3"/>
    <x v="0"/>
    <b v="1"/>
    <n v="153"/>
    <n v="9"/>
    <x v="1"/>
    <x v="1"/>
  </r>
  <r>
    <s v="PED-01641"/>
    <d v="2023-06-11T00:00:00"/>
    <x v="1"/>
    <x v="10"/>
    <n v="24"/>
    <x v="9"/>
    <x v="0"/>
    <s v="SKU-MAQ-3429"/>
    <x v="2"/>
    <x v="0"/>
    <x v="4"/>
    <s v="DAP"/>
    <n v="682"/>
    <s v="Unidades"/>
    <n v="2137.09"/>
    <n v="1457495.38"/>
    <n v="33296.39"/>
    <n v="2.2844936908136205E-2"/>
    <n v="9"/>
    <d v="2023-06-20T00:00:00"/>
    <d v="2023-06-22T00:00:00"/>
    <n v="2"/>
    <x v="2"/>
    <b v="0"/>
    <n v="161"/>
    <n v="78"/>
    <x v="3"/>
    <x v="1"/>
  </r>
  <r>
    <s v="PED-01642"/>
    <d v="2024-09-24T00:00:00"/>
    <x v="0"/>
    <x v="3"/>
    <n v="39"/>
    <x v="6"/>
    <x v="6"/>
    <s v="SKU-CON-1902"/>
    <x v="0"/>
    <x v="4"/>
    <x v="1"/>
    <s v="EXW"/>
    <n v="522"/>
    <s v="Litros"/>
    <n v="160.26"/>
    <n v="83655.72"/>
    <n v="5694.47"/>
    <n v="6.8070300512624846E-2"/>
    <n v="2"/>
    <d v="2024-09-26T00:00:00"/>
    <d v="2024-09-26T00:00:00"/>
    <n v="0"/>
    <x v="0"/>
    <b v="1"/>
    <n v="18"/>
    <n v="36"/>
    <x v="3"/>
    <x v="1"/>
  </r>
  <r>
    <s v="PED-01643"/>
    <d v="2023-02-20T00:00:00"/>
    <x v="1"/>
    <x v="9"/>
    <n v="8"/>
    <x v="3"/>
    <x v="0"/>
    <s v="SKU-MAQ-6718"/>
    <x v="1"/>
    <x v="0"/>
    <x v="0"/>
    <s v="FOB"/>
    <n v="757"/>
    <s v="Litros"/>
    <n v="1264.22"/>
    <n v="957014.54"/>
    <n v="53844.36"/>
    <n v="5.6262844240590117E-2"/>
    <n v="21"/>
    <d v="2023-03-13T00:00:00"/>
    <d v="2023-03-13T00:00:00"/>
    <n v="0"/>
    <x v="0"/>
    <b v="1"/>
    <n v="461"/>
    <n v="58"/>
    <x v="2"/>
    <x v="1"/>
  </r>
  <r>
    <s v="PED-01644"/>
    <d v="2024-11-21T00:00:00"/>
    <x v="0"/>
    <x v="6"/>
    <n v="47"/>
    <x v="4"/>
    <x v="0"/>
    <s v="SKU-MAQ-1601"/>
    <x v="2"/>
    <x v="1"/>
    <x v="3"/>
    <s v="CIF"/>
    <n v="958"/>
    <s v="Litros"/>
    <n v="1641.64"/>
    <n v="1572691.12"/>
    <n v="50188.62"/>
    <n v="3.1912572889710215E-2"/>
    <n v="12"/>
    <d v="2024-12-03T00:00:00"/>
    <d v="2024-12-03T00:00:00"/>
    <n v="0"/>
    <x v="0"/>
    <b v="1"/>
    <n v="327"/>
    <n v="87"/>
    <x v="0"/>
    <x v="0"/>
  </r>
  <r>
    <s v="PED-01645"/>
    <d v="2023-03-25T00:00:00"/>
    <x v="1"/>
    <x v="8"/>
    <n v="12"/>
    <x v="9"/>
    <x v="2"/>
    <s v="SKU-AUT-3381"/>
    <x v="2"/>
    <x v="5"/>
    <x v="4"/>
    <s v="FOB"/>
    <n v="197"/>
    <s v="Litros"/>
    <n v="612.44000000000005"/>
    <n v="120650.68"/>
    <n v="5995.1"/>
    <n v="4.9689732374488073E-2"/>
    <n v="3"/>
    <d v="2023-03-28T00:00:00"/>
    <d v="2023-03-30T00:00:00"/>
    <n v="2"/>
    <x v="2"/>
    <b v="0"/>
    <n v="242"/>
    <n v="458"/>
    <x v="4"/>
    <x v="1"/>
  </r>
  <r>
    <s v="PED-01646"/>
    <d v="2023-10-06T00:00:00"/>
    <x v="1"/>
    <x v="0"/>
    <n v="40"/>
    <x v="1"/>
    <x v="6"/>
    <s v="SKU-CON-1531"/>
    <x v="0"/>
    <x v="4"/>
    <x v="2"/>
    <s v="DDP"/>
    <n v="939"/>
    <s v="KG"/>
    <n v="171.36"/>
    <n v="160907.04"/>
    <n v="10384.719999999999"/>
    <n v="6.4538630503674657E-2"/>
    <n v="20"/>
    <d v="2023-10-26T00:00:00"/>
    <d v="2023-10-25T00:00:00"/>
    <n v="-1"/>
    <x v="0"/>
    <b v="1"/>
    <n v="128"/>
    <n v="103"/>
    <x v="1"/>
    <x v="1"/>
  </r>
  <r>
    <s v="PED-01647"/>
    <d v="2024-03-29T00:00:00"/>
    <x v="0"/>
    <x v="8"/>
    <n v="13"/>
    <x v="2"/>
    <x v="6"/>
    <s v="SKU-CON-5889"/>
    <x v="3"/>
    <x v="0"/>
    <x v="3"/>
    <s v="DAP"/>
    <n v="525"/>
    <s v="Litros"/>
    <n v="291"/>
    <n v="152775"/>
    <n v="10117.48"/>
    <n v="6.6224709540173454E-2"/>
    <n v="26"/>
    <d v="2024-04-24T00:00:00"/>
    <d v="2024-04-23T00:00:00"/>
    <n v="-1"/>
    <x v="1"/>
    <b v="0"/>
    <n v="175"/>
    <n v="318"/>
    <x v="3"/>
    <x v="1"/>
  </r>
  <r>
    <s v="PED-01648"/>
    <d v="2024-11-08T00:00:00"/>
    <x v="0"/>
    <x v="6"/>
    <n v="45"/>
    <x v="6"/>
    <x v="7"/>
    <s v="SKU-ALI-6424"/>
    <x v="3"/>
    <x v="2"/>
    <x v="2"/>
    <s v="DDP"/>
    <n v="922"/>
    <s v="Cajas"/>
    <n v="118.5"/>
    <n v="109257"/>
    <n v="5460.35"/>
    <n v="4.9977118170918114E-2"/>
    <n v="22"/>
    <d v="2024-11-30T00:00:00"/>
    <d v="2024-12-08T00:00:00"/>
    <n v="8"/>
    <x v="1"/>
    <b v="0"/>
    <n v="408"/>
    <n v="276"/>
    <x v="1"/>
    <x v="1"/>
  </r>
  <r>
    <s v="PED-01649"/>
    <d v="2024-03-10T00:00:00"/>
    <x v="0"/>
    <x v="8"/>
    <n v="11"/>
    <x v="4"/>
    <x v="5"/>
    <s v="SKU-ELE-2436"/>
    <x v="5"/>
    <x v="4"/>
    <x v="3"/>
    <s v="FOB"/>
    <n v="653"/>
    <s v="Cajas"/>
    <n v="500.5"/>
    <n v="326826.5"/>
    <n v="12521.66"/>
    <n v="3.8312866306740731E-2"/>
    <n v="12"/>
    <d v="2024-03-22T00:00:00"/>
    <d v="2024-03-22T00:00:00"/>
    <n v="0"/>
    <x v="0"/>
    <b v="1"/>
    <n v="279"/>
    <n v="103"/>
    <x v="4"/>
    <x v="1"/>
  </r>
  <r>
    <s v="PED-01650"/>
    <d v="2024-05-12T00:00:00"/>
    <x v="0"/>
    <x v="5"/>
    <n v="20"/>
    <x v="9"/>
    <x v="2"/>
    <s v="SKU-AUT-1803"/>
    <x v="1"/>
    <x v="2"/>
    <x v="3"/>
    <s v="DAP"/>
    <n v="436"/>
    <s v="KG"/>
    <n v="1150.9000000000001"/>
    <n v="501792.4"/>
    <n v="39352.85"/>
    <n v="7.8424563624319529E-2"/>
    <n v="24"/>
    <d v="2024-06-05T00:00:00"/>
    <d v="2024-05-31T00:00:00"/>
    <n v="-5"/>
    <x v="0"/>
    <b v="1"/>
    <n v="430"/>
    <n v="253"/>
    <x v="1"/>
    <x v="1"/>
  </r>
  <r>
    <s v="PED-01651"/>
    <d v="2024-09-13T00:00:00"/>
    <x v="0"/>
    <x v="3"/>
    <n v="37"/>
    <x v="7"/>
    <x v="0"/>
    <s v="SKU-MAQ-2784"/>
    <x v="3"/>
    <x v="5"/>
    <x v="2"/>
    <s v="FCA"/>
    <n v="511"/>
    <s v="Litros"/>
    <n v="1703.79"/>
    <n v="870636.69"/>
    <n v="52065.599999999999"/>
    <n v="5.9801752669072561E-2"/>
    <n v="17"/>
    <d v="2024-09-30T00:00:00"/>
    <d v="2024-10-03T00:00:00"/>
    <n v="3"/>
    <x v="2"/>
    <b v="0"/>
    <n v="83"/>
    <n v="229"/>
    <x v="4"/>
    <x v="1"/>
  </r>
  <r>
    <s v="PED-01652"/>
    <d v="2024-03-28T00:00:00"/>
    <x v="0"/>
    <x v="8"/>
    <n v="13"/>
    <x v="6"/>
    <x v="0"/>
    <s v="SKU-MAQ-7831"/>
    <x v="0"/>
    <x v="0"/>
    <x v="2"/>
    <s v="FCA"/>
    <n v="739"/>
    <s v="Palés"/>
    <n v="1373.69"/>
    <n v="1015156.91"/>
    <n v="45168.65"/>
    <n v="4.4494254587697186E-2"/>
    <n v="10"/>
    <d v="2024-04-07T00:00:00"/>
    <d v="2024-04-09T00:00:00"/>
    <n v="2"/>
    <x v="1"/>
    <b v="0"/>
    <n v="375"/>
    <n v="334"/>
    <x v="4"/>
    <x v="1"/>
  </r>
  <r>
    <s v="PED-01653"/>
    <d v="2024-02-29T00:00:00"/>
    <x v="0"/>
    <x v="9"/>
    <n v="9"/>
    <x v="5"/>
    <x v="7"/>
    <s v="SKU-ALI-3920"/>
    <x v="3"/>
    <x v="4"/>
    <x v="3"/>
    <s v="DDP"/>
    <n v="269"/>
    <s v="Litros"/>
    <n v="100.95"/>
    <n v="27155.55"/>
    <n v="1000.08"/>
    <n v="3.6827830774924464E-2"/>
    <n v="24"/>
    <d v="2024-03-24T00:00:00"/>
    <d v="2024-03-26T00:00:00"/>
    <n v="2"/>
    <x v="2"/>
    <b v="0"/>
    <n v="221"/>
    <n v="462"/>
    <x v="3"/>
    <x v="1"/>
  </r>
  <r>
    <s v="PED-01654"/>
    <d v="2023-10-07T00:00:00"/>
    <x v="1"/>
    <x v="0"/>
    <n v="40"/>
    <x v="9"/>
    <x v="5"/>
    <s v="SKU-ELE-3643"/>
    <x v="5"/>
    <x v="4"/>
    <x v="4"/>
    <s v="FCA"/>
    <n v="522"/>
    <s v="Cajas"/>
    <n v="613.55999999999995"/>
    <n v="320278.32"/>
    <n v="20454.95"/>
    <n v="6.3866171147644341E-2"/>
    <n v="27"/>
    <d v="2023-11-03T00:00:00"/>
    <d v="2023-11-08T00:00:00"/>
    <n v="5"/>
    <x v="2"/>
    <b v="0"/>
    <n v="324"/>
    <n v="36"/>
    <x v="3"/>
    <x v="1"/>
  </r>
  <r>
    <s v="PED-01655"/>
    <d v="2023-08-09T00:00:00"/>
    <x v="1"/>
    <x v="4"/>
    <n v="32"/>
    <x v="6"/>
    <x v="1"/>
    <s v="SKU-FAR-5659"/>
    <x v="4"/>
    <x v="5"/>
    <x v="2"/>
    <s v="FCA"/>
    <n v="80"/>
    <s v="Unidades"/>
    <n v="298.26"/>
    <n v="23860.799999999999"/>
    <n v="823.94"/>
    <n v="3.4531113793334678E-2"/>
    <n v="14"/>
    <d v="2023-08-23T00:00:00"/>
    <d v="2023-08-23T00:00:00"/>
    <n v="0"/>
    <x v="0"/>
    <b v="1"/>
    <n v="450"/>
    <n v="300"/>
    <x v="4"/>
    <x v="1"/>
  </r>
  <r>
    <s v="PED-01656"/>
    <d v="2024-06-08T00:00:00"/>
    <x v="0"/>
    <x v="10"/>
    <n v="23"/>
    <x v="9"/>
    <x v="2"/>
    <s v="SKU-AUT-3906"/>
    <x v="5"/>
    <x v="1"/>
    <x v="1"/>
    <s v="EXW"/>
    <n v="487"/>
    <s v="Metros"/>
    <n v="729.63"/>
    <n v="355329.81"/>
    <n v="10767.42"/>
    <n v="3.0302608160007741E-2"/>
    <n v="23"/>
    <d v="2024-07-01T00:00:00"/>
    <d v="2024-07-02T00:00:00"/>
    <n v="1"/>
    <x v="2"/>
    <b v="0"/>
    <n v="415"/>
    <n v="141"/>
    <x v="2"/>
    <x v="1"/>
  </r>
  <r>
    <s v="PED-01657"/>
    <d v="2023-04-27T00:00:00"/>
    <x v="1"/>
    <x v="1"/>
    <n v="17"/>
    <x v="8"/>
    <x v="7"/>
    <s v="SKU-ALI-8460"/>
    <x v="2"/>
    <x v="2"/>
    <x v="1"/>
    <s v="FCA"/>
    <n v="187"/>
    <s v="Unidades"/>
    <n v="99.01"/>
    <n v="18514.87"/>
    <n v="958.89"/>
    <n v="5.1790263717757676E-2"/>
    <n v="17"/>
    <d v="2023-05-14T00:00:00"/>
    <d v="2023-05-14T00:00:00"/>
    <n v="0"/>
    <x v="0"/>
    <b v="1"/>
    <n v="144"/>
    <n v="42"/>
    <x v="0"/>
    <x v="0"/>
  </r>
  <r>
    <s v="PED-01658"/>
    <d v="2023-12-20T00:00:00"/>
    <x v="1"/>
    <x v="11"/>
    <n v="51"/>
    <x v="2"/>
    <x v="5"/>
    <s v="SKU-ELE-6901"/>
    <x v="2"/>
    <x v="4"/>
    <x v="3"/>
    <s v="EXW"/>
    <n v="466"/>
    <s v="Palés"/>
    <n v="370.81"/>
    <n v="172797.46"/>
    <n v="6462.49"/>
    <n v="3.7399218715367694E-2"/>
    <n v="18"/>
    <d v="2024-01-07T00:00:00"/>
    <d v="2024-01-10T00:00:00"/>
    <n v="3"/>
    <x v="1"/>
    <b v="0"/>
    <n v="444"/>
    <n v="115"/>
    <x v="4"/>
    <x v="1"/>
  </r>
  <r>
    <s v="PED-01659"/>
    <d v="2024-03-16T00:00:00"/>
    <x v="0"/>
    <x v="8"/>
    <n v="11"/>
    <x v="0"/>
    <x v="2"/>
    <s v="SKU-AUT-1587"/>
    <x v="3"/>
    <x v="3"/>
    <x v="0"/>
    <s v="CIF"/>
    <n v="198"/>
    <s v="Litros"/>
    <n v="632.73"/>
    <n v="125280.54"/>
    <n v="7232.99"/>
    <n v="5.7734345653363245E-2"/>
    <n v="19"/>
    <d v="2024-04-04T00:00:00"/>
    <d v="2024-04-03T00:00:00"/>
    <n v="-1"/>
    <x v="0"/>
    <b v="1"/>
    <n v="105"/>
    <n v="340"/>
    <x v="0"/>
    <x v="0"/>
  </r>
  <r>
    <s v="PED-01660"/>
    <d v="2023-04-24T00:00:00"/>
    <x v="1"/>
    <x v="1"/>
    <n v="17"/>
    <x v="0"/>
    <x v="0"/>
    <s v="SKU-MAQ-2525"/>
    <x v="3"/>
    <x v="2"/>
    <x v="3"/>
    <s v="EXW"/>
    <n v="300"/>
    <s v="KG"/>
    <n v="1054.7"/>
    <n v="316410"/>
    <n v="8567.2199999999993"/>
    <n v="2.7076325021333079E-2"/>
    <n v="17"/>
    <d v="2023-05-11T00:00:00"/>
    <d v="2023-05-10T00:00:00"/>
    <n v="-1"/>
    <x v="0"/>
    <b v="1"/>
    <n v="324"/>
    <n v="491"/>
    <x v="3"/>
    <x v="1"/>
  </r>
  <r>
    <s v="PED-01661"/>
    <d v="2023-10-18T00:00:00"/>
    <x v="1"/>
    <x v="0"/>
    <n v="42"/>
    <x v="8"/>
    <x v="5"/>
    <s v="SKU-ELE-5903"/>
    <x v="5"/>
    <x v="0"/>
    <x v="3"/>
    <s v="EXW"/>
    <n v="529"/>
    <s v="Litros"/>
    <n v="749.78"/>
    <n v="396633.62"/>
    <n v="23518.97"/>
    <n v="5.9296461051385412E-2"/>
    <n v="14"/>
    <d v="2023-11-01T00:00:00"/>
    <d v="2023-10-31T00:00:00"/>
    <n v="-1"/>
    <x v="0"/>
    <b v="1"/>
    <n v="10"/>
    <n v="83"/>
    <x v="0"/>
    <x v="0"/>
  </r>
  <r>
    <s v="PED-01662"/>
    <d v="2024-11-25T00:00:00"/>
    <x v="0"/>
    <x v="6"/>
    <n v="48"/>
    <x v="6"/>
    <x v="5"/>
    <s v="SKU-ELE-6289"/>
    <x v="5"/>
    <x v="5"/>
    <x v="4"/>
    <s v="FOB"/>
    <n v="774"/>
    <s v="Palés"/>
    <n v="670.91"/>
    <n v="519284.34"/>
    <n v="19212.37"/>
    <n v="3.6997784296749638E-2"/>
    <n v="9"/>
    <d v="2024-12-04T00:00:00"/>
    <d v="2024-12-09T00:00:00"/>
    <n v="5"/>
    <x v="1"/>
    <b v="0"/>
    <n v="165"/>
    <n v="416"/>
    <x v="3"/>
    <x v="1"/>
  </r>
  <r>
    <s v="PED-01663"/>
    <d v="2024-11-25T00:00:00"/>
    <x v="0"/>
    <x v="6"/>
    <n v="48"/>
    <x v="5"/>
    <x v="3"/>
    <s v="SKU-QUÍ-7038"/>
    <x v="0"/>
    <x v="2"/>
    <x v="4"/>
    <s v="EXW"/>
    <n v="929"/>
    <s v="Palés"/>
    <n v="159.53"/>
    <n v="148203.37"/>
    <n v="2966.23"/>
    <n v="2.0014592110827172E-2"/>
    <n v="8"/>
    <d v="2024-12-03T00:00:00"/>
    <d v="2024-12-02T00:00:00"/>
    <n v="-1"/>
    <x v="0"/>
    <b v="1"/>
    <n v="195"/>
    <n v="258"/>
    <x v="4"/>
    <x v="1"/>
  </r>
  <r>
    <s v="PED-01664"/>
    <d v="2024-08-30T00:00:00"/>
    <x v="0"/>
    <x v="4"/>
    <n v="35"/>
    <x v="9"/>
    <x v="5"/>
    <s v="SKU-ELE-7208"/>
    <x v="1"/>
    <x v="3"/>
    <x v="0"/>
    <s v="EXW"/>
    <n v="988"/>
    <s v="Metros"/>
    <n v="553.89"/>
    <n v="547243.31999999995"/>
    <n v="15112.76"/>
    <n v="2.7616161673750538E-2"/>
    <n v="2"/>
    <d v="2024-09-01T00:00:00"/>
    <d v="2024-09-04T00:00:00"/>
    <n v="3"/>
    <x v="2"/>
    <b v="0"/>
    <n v="230"/>
    <n v="359"/>
    <x v="3"/>
    <x v="1"/>
  </r>
  <r>
    <s v="PED-01665"/>
    <d v="2024-05-13T00:00:00"/>
    <x v="0"/>
    <x v="5"/>
    <n v="20"/>
    <x v="6"/>
    <x v="1"/>
    <s v="SKU-FAR-2108"/>
    <x v="0"/>
    <x v="3"/>
    <x v="0"/>
    <s v="FOB"/>
    <n v="301"/>
    <s v="Palés"/>
    <n v="188.01"/>
    <n v="56591.01"/>
    <n v="4301.87"/>
    <n v="7.6016844371570677E-2"/>
    <n v="13"/>
    <d v="2024-05-26T00:00:00"/>
    <d v="2024-06-07T00:00:00"/>
    <n v="12"/>
    <x v="1"/>
    <b v="0"/>
    <n v="146"/>
    <n v="86"/>
    <x v="4"/>
    <x v="1"/>
  </r>
  <r>
    <s v="PED-01666"/>
    <d v="2024-06-23T00:00:00"/>
    <x v="0"/>
    <x v="10"/>
    <n v="26"/>
    <x v="7"/>
    <x v="5"/>
    <s v="SKU-ELE-8001"/>
    <x v="2"/>
    <x v="5"/>
    <x v="0"/>
    <s v="EXW"/>
    <n v="955"/>
    <s v="Unidades"/>
    <n v="410.51"/>
    <n v="392037.05"/>
    <n v="28242.85"/>
    <n v="7.2041277731275652E-2"/>
    <n v="25"/>
    <d v="2024-07-18T00:00:00"/>
    <d v="2024-07-18T00:00:00"/>
    <n v="0"/>
    <x v="0"/>
    <b v="1"/>
    <n v="358"/>
    <n v="427"/>
    <x v="1"/>
    <x v="1"/>
  </r>
  <r>
    <s v="PED-01667"/>
    <d v="2024-11-14T00:00:00"/>
    <x v="0"/>
    <x v="6"/>
    <n v="46"/>
    <x v="5"/>
    <x v="1"/>
    <s v="SKU-FAR-2063"/>
    <x v="0"/>
    <x v="5"/>
    <x v="0"/>
    <s v="FCA"/>
    <n v="765"/>
    <s v="Metros"/>
    <n v="185.55"/>
    <n v="141945.75"/>
    <n v="4828.5"/>
    <n v="3.4016516873523861E-2"/>
    <n v="7"/>
    <d v="2024-11-21T00:00:00"/>
    <d v="2024-11-22T00:00:00"/>
    <n v="1"/>
    <x v="2"/>
    <b v="0"/>
    <n v="237"/>
    <n v="366"/>
    <x v="0"/>
    <x v="0"/>
  </r>
  <r>
    <s v="PED-01668"/>
    <d v="2023-11-12T00:00:00"/>
    <x v="1"/>
    <x v="6"/>
    <n v="46"/>
    <x v="7"/>
    <x v="0"/>
    <s v="SKU-MAQ-5797"/>
    <x v="5"/>
    <x v="2"/>
    <x v="0"/>
    <s v="EXW"/>
    <n v="644"/>
    <s v="Litros"/>
    <n v="1501.17"/>
    <n v="966753.48"/>
    <n v="64484.69"/>
    <n v="6.6702309672575483E-2"/>
    <n v="9"/>
    <d v="2023-11-21T00:00:00"/>
    <d v="2023-11-24T00:00:00"/>
    <n v="3"/>
    <x v="1"/>
    <b v="0"/>
    <n v="496"/>
    <n v="342"/>
    <x v="2"/>
    <x v="1"/>
  </r>
  <r>
    <s v="PED-01669"/>
    <d v="2023-02-16T00:00:00"/>
    <x v="1"/>
    <x v="9"/>
    <n v="7"/>
    <x v="8"/>
    <x v="1"/>
    <s v="SKU-FAR-8713"/>
    <x v="0"/>
    <x v="0"/>
    <x v="3"/>
    <s v="CIF"/>
    <n v="820"/>
    <s v="Litros"/>
    <n v="261.01"/>
    <n v="214028.2"/>
    <n v="12095.65"/>
    <n v="5.6514281762870495E-2"/>
    <n v="22"/>
    <d v="2023-03-10T00:00:00"/>
    <d v="2023-03-18T00:00:00"/>
    <n v="8"/>
    <x v="2"/>
    <b v="0"/>
    <n v="470"/>
    <n v="346"/>
    <x v="0"/>
    <x v="0"/>
  </r>
  <r>
    <s v="PED-01670"/>
    <d v="2023-08-14T00:00:00"/>
    <x v="1"/>
    <x v="4"/>
    <n v="33"/>
    <x v="1"/>
    <x v="2"/>
    <s v="SKU-AUT-3204"/>
    <x v="4"/>
    <x v="1"/>
    <x v="3"/>
    <s v="EXW"/>
    <n v="292"/>
    <s v="KG"/>
    <n v="905.38"/>
    <n v="264370.96000000002"/>
    <n v="20688.16"/>
    <n v="7.8254283299497032E-2"/>
    <n v="22"/>
    <d v="2023-09-05T00:00:00"/>
    <d v="2023-09-17T00:00:00"/>
    <n v="12"/>
    <x v="1"/>
    <b v="0"/>
    <n v="400"/>
    <n v="290"/>
    <x v="0"/>
    <x v="0"/>
  </r>
  <r>
    <s v="PED-01671"/>
    <d v="2024-02-09T00:00:00"/>
    <x v="0"/>
    <x v="9"/>
    <n v="6"/>
    <x v="0"/>
    <x v="0"/>
    <s v="SKU-MAQ-2999"/>
    <x v="1"/>
    <x v="3"/>
    <x v="1"/>
    <s v="EXW"/>
    <n v="553"/>
    <s v="Palés"/>
    <n v="1142.98"/>
    <n v="632067.93999999994"/>
    <n v="26810.01"/>
    <n v="4.2416342141953917E-2"/>
    <n v="11"/>
    <d v="2024-02-20T00:00:00"/>
    <d v="2024-02-21T00:00:00"/>
    <n v="1"/>
    <x v="2"/>
    <b v="0"/>
    <n v="12"/>
    <n v="408"/>
    <x v="0"/>
    <x v="0"/>
  </r>
  <r>
    <s v="PED-01672"/>
    <d v="2024-09-05T00:00:00"/>
    <x v="0"/>
    <x v="3"/>
    <n v="36"/>
    <x v="0"/>
    <x v="0"/>
    <s v="SKU-MAQ-5496"/>
    <x v="5"/>
    <x v="5"/>
    <x v="1"/>
    <s v="CIF"/>
    <n v="855"/>
    <s v="Palés"/>
    <n v="1071.6300000000001"/>
    <n v="916243.65"/>
    <n v="55787.91"/>
    <n v="6.0887636165336594E-2"/>
    <n v="14"/>
    <d v="2024-09-19T00:00:00"/>
    <d v="2024-09-22T00:00:00"/>
    <n v="3"/>
    <x v="1"/>
    <b v="0"/>
    <n v="218"/>
    <n v="95"/>
    <x v="0"/>
    <x v="0"/>
  </r>
  <r>
    <s v="PED-01673"/>
    <d v="2023-02-26T00:00:00"/>
    <x v="1"/>
    <x v="9"/>
    <n v="9"/>
    <x v="9"/>
    <x v="1"/>
    <s v="SKU-FAR-6393"/>
    <x v="3"/>
    <x v="1"/>
    <x v="2"/>
    <s v="FOB"/>
    <n v="386"/>
    <s v="Cajas"/>
    <n v="156.37"/>
    <n v="60358.82"/>
    <n v="1437.27"/>
    <n v="2.3812095730168351E-2"/>
    <n v="4"/>
    <d v="2023-03-02T00:00:00"/>
    <d v="2023-03-14T00:00:00"/>
    <n v="12"/>
    <x v="1"/>
    <b v="0"/>
    <n v="256"/>
    <n v="254"/>
    <x v="4"/>
    <x v="1"/>
  </r>
  <r>
    <s v="PED-01674"/>
    <d v="2023-01-08T00:00:00"/>
    <x v="1"/>
    <x v="2"/>
    <n v="2"/>
    <x v="2"/>
    <x v="6"/>
    <s v="SKU-CON-9635"/>
    <x v="0"/>
    <x v="1"/>
    <x v="3"/>
    <s v="FCA"/>
    <n v="667"/>
    <s v="Metros"/>
    <n v="205.68"/>
    <n v="137188.56"/>
    <n v="6005.41"/>
    <n v="4.3774859944590135E-2"/>
    <n v="26"/>
    <d v="2023-02-03T00:00:00"/>
    <d v="2023-02-02T00:00:00"/>
    <n v="-1"/>
    <x v="0"/>
    <b v="1"/>
    <n v="1"/>
    <n v="341"/>
    <x v="0"/>
    <x v="0"/>
  </r>
  <r>
    <s v="PED-01675"/>
    <d v="2023-07-29T00:00:00"/>
    <x v="1"/>
    <x v="7"/>
    <n v="30"/>
    <x v="8"/>
    <x v="7"/>
    <s v="SKU-ALI-7779"/>
    <x v="5"/>
    <x v="1"/>
    <x v="0"/>
    <s v="EXW"/>
    <n v="165"/>
    <s v="Cajas"/>
    <n v="115.72"/>
    <n v="19093.8"/>
    <n v="1486.05"/>
    <n v="7.7828928762216004E-2"/>
    <n v="26"/>
    <d v="2023-08-24T00:00:00"/>
    <d v="2023-08-24T00:00:00"/>
    <n v="0"/>
    <x v="0"/>
    <b v="1"/>
    <n v="209"/>
    <n v="135"/>
    <x v="0"/>
    <x v="0"/>
  </r>
  <r>
    <s v="PED-01676"/>
    <d v="2023-11-05T00:00:00"/>
    <x v="1"/>
    <x v="6"/>
    <n v="45"/>
    <x v="6"/>
    <x v="4"/>
    <s v="SKU-TEX-9595"/>
    <x v="3"/>
    <x v="0"/>
    <x v="2"/>
    <s v="FCA"/>
    <n v="517"/>
    <s v="Metros"/>
    <n v="72.599999999999994"/>
    <n v="37534.199999999997"/>
    <n v="1964.5"/>
    <n v="5.2338933559260628E-2"/>
    <n v="29"/>
    <d v="2023-12-04T00:00:00"/>
    <d v="2023-12-06T00:00:00"/>
    <n v="2"/>
    <x v="2"/>
    <b v="0"/>
    <n v="483"/>
    <n v="247"/>
    <x v="2"/>
    <x v="1"/>
  </r>
  <r>
    <s v="PED-01677"/>
    <d v="2023-08-05T00:00:00"/>
    <x v="1"/>
    <x v="4"/>
    <n v="31"/>
    <x v="8"/>
    <x v="6"/>
    <s v="SKU-CON-4438"/>
    <x v="3"/>
    <x v="5"/>
    <x v="4"/>
    <s v="DDP"/>
    <n v="422"/>
    <s v="Unidades"/>
    <n v="268.29000000000002"/>
    <n v="113218.38"/>
    <n v="4219.96"/>
    <n v="3.7272746704201207E-2"/>
    <n v="13"/>
    <d v="2023-08-18T00:00:00"/>
    <d v="2023-08-18T00:00:00"/>
    <n v="0"/>
    <x v="0"/>
    <b v="1"/>
    <n v="364"/>
    <n v="498"/>
    <x v="0"/>
    <x v="0"/>
  </r>
  <r>
    <s v="PED-01678"/>
    <d v="2023-05-21T00:00:00"/>
    <x v="1"/>
    <x v="5"/>
    <n v="21"/>
    <x v="6"/>
    <x v="5"/>
    <s v="SKU-ELE-4425"/>
    <x v="2"/>
    <x v="3"/>
    <x v="3"/>
    <s v="FCA"/>
    <n v="537"/>
    <s v="Metros"/>
    <n v="536.54999999999995"/>
    <n v="288127.34999999998"/>
    <n v="7841.75"/>
    <n v="2.7216263919409251E-2"/>
    <n v="2"/>
    <d v="2023-05-23T00:00:00"/>
    <d v="2023-05-23T00:00:00"/>
    <n v="0"/>
    <x v="0"/>
    <b v="1"/>
    <n v="224"/>
    <n v="371"/>
    <x v="0"/>
    <x v="0"/>
  </r>
  <r>
    <s v="PED-01679"/>
    <d v="2023-09-19T00:00:00"/>
    <x v="1"/>
    <x v="3"/>
    <n v="38"/>
    <x v="8"/>
    <x v="3"/>
    <s v="SKU-QUÍ-1953"/>
    <x v="2"/>
    <x v="5"/>
    <x v="1"/>
    <s v="FOB"/>
    <n v="364"/>
    <s v="Litros"/>
    <n v="118.72"/>
    <n v="43214.080000000002"/>
    <n v="2688.42"/>
    <n v="6.2211668048932196E-2"/>
    <n v="23"/>
    <d v="2023-10-12T00:00:00"/>
    <d v="2023-10-12T00:00:00"/>
    <n v="0"/>
    <x v="0"/>
    <b v="1"/>
    <n v="483"/>
    <n v="445"/>
    <x v="2"/>
    <x v="1"/>
  </r>
  <r>
    <s v="PED-01680"/>
    <d v="2023-10-24T00:00:00"/>
    <x v="1"/>
    <x v="0"/>
    <n v="43"/>
    <x v="1"/>
    <x v="4"/>
    <s v="SKU-TEX-2790"/>
    <x v="5"/>
    <x v="2"/>
    <x v="3"/>
    <s v="FOB"/>
    <n v="568"/>
    <s v="KG"/>
    <n v="47.2"/>
    <n v="26809.599999999999"/>
    <n v="1573.49"/>
    <n v="5.8691289687276202E-2"/>
    <n v="5"/>
    <d v="2023-10-29T00:00:00"/>
    <d v="2023-10-31T00:00:00"/>
    <n v="2"/>
    <x v="1"/>
    <b v="0"/>
    <n v="193"/>
    <n v="485"/>
    <x v="1"/>
    <x v="1"/>
  </r>
  <r>
    <s v="PED-01681"/>
    <d v="2023-12-02T00:00:00"/>
    <x v="1"/>
    <x v="11"/>
    <n v="48"/>
    <x v="3"/>
    <x v="5"/>
    <s v="SKU-ELE-9666"/>
    <x v="5"/>
    <x v="3"/>
    <x v="3"/>
    <s v="EXW"/>
    <n v="772"/>
    <s v="Metros"/>
    <n v="700.37"/>
    <n v="540685.64"/>
    <n v="22944.71"/>
    <n v="4.243632214830044E-2"/>
    <n v="11"/>
    <d v="2023-12-13T00:00:00"/>
    <d v="2023-12-08T00:00:00"/>
    <n v="-5"/>
    <x v="0"/>
    <b v="1"/>
    <n v="195"/>
    <n v="401"/>
    <x v="4"/>
    <x v="1"/>
  </r>
  <r>
    <s v="PED-01682"/>
    <d v="2023-05-03T00:00:00"/>
    <x v="1"/>
    <x v="5"/>
    <n v="18"/>
    <x v="2"/>
    <x v="6"/>
    <s v="SKU-CON-2436"/>
    <x v="4"/>
    <x v="5"/>
    <x v="3"/>
    <s v="CIF"/>
    <n v="196"/>
    <s v="Metros"/>
    <n v="265.31"/>
    <n v="52000.76"/>
    <n v="4007"/>
    <n v="7.7056566096341664E-2"/>
    <n v="6"/>
    <d v="2023-05-09T00:00:00"/>
    <d v="2023-05-12T00:00:00"/>
    <n v="3"/>
    <x v="2"/>
    <b v="0"/>
    <n v="399"/>
    <n v="91"/>
    <x v="0"/>
    <x v="0"/>
  </r>
  <r>
    <s v="PED-01683"/>
    <d v="2023-01-08T00:00:00"/>
    <x v="1"/>
    <x v="2"/>
    <n v="2"/>
    <x v="6"/>
    <x v="6"/>
    <s v="SKU-CON-8924"/>
    <x v="1"/>
    <x v="3"/>
    <x v="3"/>
    <s v="FOB"/>
    <n v="40"/>
    <s v="Metros"/>
    <n v="166.9"/>
    <n v="6676"/>
    <n v="142.41"/>
    <n v="2.133163571000599E-2"/>
    <n v="18"/>
    <d v="2023-01-26T00:00:00"/>
    <d v="2023-01-21T00:00:00"/>
    <n v="-5"/>
    <x v="0"/>
    <b v="1"/>
    <n v="259"/>
    <n v="411"/>
    <x v="2"/>
    <x v="1"/>
  </r>
  <r>
    <s v="PED-01684"/>
    <d v="2024-05-24T00:00:00"/>
    <x v="0"/>
    <x v="5"/>
    <n v="21"/>
    <x v="2"/>
    <x v="5"/>
    <s v="SKU-ELE-5705"/>
    <x v="1"/>
    <x v="2"/>
    <x v="4"/>
    <s v="CIF"/>
    <n v="269"/>
    <s v="KG"/>
    <n v="554.9"/>
    <n v="149268.1"/>
    <n v="5705.54"/>
    <n v="3.8223438229601635E-2"/>
    <n v="21"/>
    <d v="2024-06-14T00:00:00"/>
    <d v="2024-06-16T00:00:00"/>
    <n v="2"/>
    <x v="2"/>
    <b v="0"/>
    <n v="56"/>
    <n v="458"/>
    <x v="1"/>
    <x v="1"/>
  </r>
  <r>
    <s v="PED-01685"/>
    <d v="2024-03-16T00:00:00"/>
    <x v="0"/>
    <x v="8"/>
    <n v="11"/>
    <x v="5"/>
    <x v="0"/>
    <s v="SKU-MAQ-7996"/>
    <x v="5"/>
    <x v="4"/>
    <x v="1"/>
    <s v="DDP"/>
    <n v="430"/>
    <s v="Palés"/>
    <n v="1634.85"/>
    <n v="702985.5"/>
    <n v="52909.62"/>
    <n v="7.5264169744610671E-2"/>
    <n v="10"/>
    <d v="2024-03-26T00:00:00"/>
    <d v="2024-03-26T00:00:00"/>
    <n v="0"/>
    <x v="0"/>
    <b v="1"/>
    <n v="456"/>
    <n v="395"/>
    <x v="0"/>
    <x v="0"/>
  </r>
  <r>
    <s v="PED-01686"/>
    <d v="2023-06-29T00:00:00"/>
    <x v="1"/>
    <x v="10"/>
    <n v="26"/>
    <x v="8"/>
    <x v="5"/>
    <s v="SKU-ELE-6185"/>
    <x v="2"/>
    <x v="3"/>
    <x v="3"/>
    <s v="CIF"/>
    <n v="538"/>
    <s v="KG"/>
    <n v="600.04"/>
    <n v="322821.52"/>
    <n v="12672.72"/>
    <n v="3.9256118984880559E-2"/>
    <n v="4"/>
    <d v="2023-07-03T00:00:00"/>
    <d v="2023-07-06T00:00:00"/>
    <n v="3"/>
    <x v="2"/>
    <b v="0"/>
    <n v="112"/>
    <n v="447"/>
    <x v="3"/>
    <x v="1"/>
  </r>
  <r>
    <s v="PED-01687"/>
    <d v="2023-05-13T00:00:00"/>
    <x v="1"/>
    <x v="5"/>
    <n v="19"/>
    <x v="9"/>
    <x v="3"/>
    <s v="SKU-QUÍ-5254"/>
    <x v="0"/>
    <x v="4"/>
    <x v="4"/>
    <s v="DAP"/>
    <n v="560"/>
    <s v="Palés"/>
    <n v="174.83"/>
    <n v="97904.8"/>
    <n v="3439.9"/>
    <n v="3.5135151698384555E-2"/>
    <n v="9"/>
    <d v="2023-05-22T00:00:00"/>
    <d v="2023-05-30T00:00:00"/>
    <n v="8"/>
    <x v="2"/>
    <b v="0"/>
    <n v="212"/>
    <n v="246"/>
    <x v="0"/>
    <x v="0"/>
  </r>
  <r>
    <s v="PED-01688"/>
    <d v="2024-01-25T00:00:00"/>
    <x v="0"/>
    <x v="2"/>
    <n v="4"/>
    <x v="4"/>
    <x v="6"/>
    <s v="SKU-CON-9608"/>
    <x v="4"/>
    <x v="1"/>
    <x v="2"/>
    <s v="CIF"/>
    <n v="313"/>
    <s v="Litros"/>
    <n v="232.76"/>
    <n v="72853.88"/>
    <n v="3792.28"/>
    <n v="5.2053233129107195E-2"/>
    <n v="6"/>
    <d v="2024-01-31T00:00:00"/>
    <d v="2024-01-31T00:00:00"/>
    <n v="0"/>
    <x v="0"/>
    <b v="1"/>
    <n v="278"/>
    <n v="257"/>
    <x v="3"/>
    <x v="1"/>
  </r>
  <r>
    <s v="PED-01689"/>
    <d v="2024-06-29T00:00:00"/>
    <x v="0"/>
    <x v="10"/>
    <n v="26"/>
    <x v="5"/>
    <x v="5"/>
    <s v="SKU-ELE-6797"/>
    <x v="1"/>
    <x v="0"/>
    <x v="3"/>
    <s v="FOB"/>
    <n v="951"/>
    <s v="KG"/>
    <n v="566.09"/>
    <n v="538351.59"/>
    <n v="37376.730000000003"/>
    <n v="6.942810366734499E-2"/>
    <n v="2"/>
    <d v="2024-07-01T00:00:00"/>
    <d v="2024-06-30T00:00:00"/>
    <n v="-1"/>
    <x v="0"/>
    <b v="1"/>
    <n v="243"/>
    <n v="186"/>
    <x v="0"/>
    <x v="0"/>
  </r>
  <r>
    <s v="PED-01690"/>
    <d v="2024-12-21T00:00:00"/>
    <x v="0"/>
    <x v="11"/>
    <n v="51"/>
    <x v="7"/>
    <x v="1"/>
    <s v="SKU-FAR-3125"/>
    <x v="5"/>
    <x v="2"/>
    <x v="4"/>
    <s v="CIF"/>
    <n v="995"/>
    <s v="Palés"/>
    <n v="148.05000000000001"/>
    <n v="147309.75"/>
    <n v="3857.87"/>
    <n v="2.6188829999372071E-2"/>
    <n v="17"/>
    <d v="2025-01-07T00:00:00"/>
    <d v="2025-01-10T00:00:00"/>
    <n v="3"/>
    <x v="2"/>
    <b v="0"/>
    <n v="379"/>
    <n v="420"/>
    <x v="0"/>
    <x v="0"/>
  </r>
  <r>
    <s v="PED-01691"/>
    <d v="2023-08-24T00:00:00"/>
    <x v="1"/>
    <x v="4"/>
    <n v="34"/>
    <x v="0"/>
    <x v="4"/>
    <s v="SKU-TEX-9132"/>
    <x v="2"/>
    <x v="3"/>
    <x v="0"/>
    <s v="CIF"/>
    <n v="953"/>
    <s v="Litros"/>
    <n v="45.02"/>
    <n v="42904.06"/>
    <n v="3285.65"/>
    <n v="7.6581330531422909E-2"/>
    <n v="5"/>
    <d v="2023-08-29T00:00:00"/>
    <d v="2023-09-06T00:00:00"/>
    <n v="8"/>
    <x v="2"/>
    <b v="0"/>
    <n v="116"/>
    <n v="123"/>
    <x v="3"/>
    <x v="1"/>
  </r>
  <r>
    <s v="PED-01692"/>
    <d v="2024-05-27T00:00:00"/>
    <x v="0"/>
    <x v="5"/>
    <n v="22"/>
    <x v="4"/>
    <x v="1"/>
    <s v="SKU-FAR-9514"/>
    <x v="2"/>
    <x v="2"/>
    <x v="2"/>
    <s v="DAP"/>
    <n v="48"/>
    <s v="Litros"/>
    <n v="169.98"/>
    <n v="8159.04"/>
    <n v="552.4"/>
    <n v="6.770404361297408E-2"/>
    <n v="25"/>
    <d v="2024-06-21T00:00:00"/>
    <d v="2024-06-24T00:00:00"/>
    <n v="3"/>
    <x v="2"/>
    <b v="0"/>
    <n v="385"/>
    <n v="259"/>
    <x v="0"/>
    <x v="0"/>
  </r>
  <r>
    <s v="PED-01693"/>
    <d v="2024-07-26T00:00:00"/>
    <x v="0"/>
    <x v="7"/>
    <n v="30"/>
    <x v="1"/>
    <x v="3"/>
    <s v="SKU-QUÍ-9154"/>
    <x v="2"/>
    <x v="1"/>
    <x v="1"/>
    <s v="DAP"/>
    <n v="498"/>
    <s v="Palés"/>
    <n v="87.12"/>
    <n v="43385.760000000002"/>
    <n v="1339.54"/>
    <n v="3.087510740851376E-2"/>
    <n v="6"/>
    <d v="2024-08-01T00:00:00"/>
    <d v="2024-08-01T00:00:00"/>
    <n v="0"/>
    <x v="0"/>
    <b v="1"/>
    <n v="450"/>
    <n v="168"/>
    <x v="0"/>
    <x v="0"/>
  </r>
  <r>
    <s v="PED-01694"/>
    <d v="2024-11-15T00:00:00"/>
    <x v="0"/>
    <x v="6"/>
    <n v="46"/>
    <x v="8"/>
    <x v="5"/>
    <s v="SKU-ELE-9069"/>
    <x v="0"/>
    <x v="4"/>
    <x v="3"/>
    <s v="EXW"/>
    <n v="653"/>
    <s v="Palés"/>
    <n v="647.34"/>
    <n v="422713.02"/>
    <n v="26512.76"/>
    <n v="6.2720471680763459E-2"/>
    <n v="26"/>
    <d v="2024-12-11T00:00:00"/>
    <d v="2024-12-19T00:00:00"/>
    <n v="8"/>
    <x v="1"/>
    <b v="0"/>
    <n v="86"/>
    <n v="428"/>
    <x v="1"/>
    <x v="1"/>
  </r>
  <r>
    <s v="PED-01695"/>
    <d v="2023-12-29T00:00:00"/>
    <x v="1"/>
    <x v="11"/>
    <n v="52"/>
    <x v="3"/>
    <x v="2"/>
    <s v="SKU-AUT-3947"/>
    <x v="3"/>
    <x v="0"/>
    <x v="3"/>
    <s v="FOB"/>
    <n v="551"/>
    <s v="Unidades"/>
    <n v="1022.93"/>
    <n v="563634.43000000005"/>
    <n v="24291.25"/>
    <n v="4.3097526884580128E-2"/>
    <n v="12"/>
    <d v="2024-01-10T00:00:00"/>
    <d v="2024-01-10T00:00:00"/>
    <n v="0"/>
    <x v="0"/>
    <b v="1"/>
    <n v="409"/>
    <n v="364"/>
    <x v="0"/>
    <x v="0"/>
  </r>
  <r>
    <s v="PED-01696"/>
    <d v="2023-03-15T00:00:00"/>
    <x v="1"/>
    <x v="8"/>
    <n v="11"/>
    <x v="1"/>
    <x v="3"/>
    <s v="SKU-QUÍ-4812"/>
    <x v="0"/>
    <x v="2"/>
    <x v="4"/>
    <s v="EXW"/>
    <n v="679"/>
    <s v="Litros"/>
    <n v="97.06"/>
    <n v="65903.740000000005"/>
    <n v="2908.84"/>
    <n v="4.4137707510984961E-2"/>
    <n v="23"/>
    <d v="2023-04-07T00:00:00"/>
    <d v="2023-04-19T00:00:00"/>
    <n v="12"/>
    <x v="2"/>
    <b v="0"/>
    <n v="380"/>
    <n v="110"/>
    <x v="0"/>
    <x v="0"/>
  </r>
  <r>
    <s v="PED-01697"/>
    <d v="2024-02-11T00:00:00"/>
    <x v="0"/>
    <x v="9"/>
    <n v="7"/>
    <x v="6"/>
    <x v="0"/>
    <s v="SKU-MAQ-5759"/>
    <x v="2"/>
    <x v="4"/>
    <x v="1"/>
    <s v="DAP"/>
    <n v="287"/>
    <s v="Palés"/>
    <n v="2053.29"/>
    <n v="589294.23"/>
    <n v="39481.18"/>
    <n v="6.6997397887299873E-2"/>
    <n v="21"/>
    <d v="2024-03-03T00:00:00"/>
    <d v="2024-03-05T00:00:00"/>
    <n v="2"/>
    <x v="1"/>
    <b v="0"/>
    <n v="366"/>
    <n v="289"/>
    <x v="0"/>
    <x v="0"/>
  </r>
  <r>
    <s v="PED-01698"/>
    <d v="2023-02-13T00:00:00"/>
    <x v="1"/>
    <x v="9"/>
    <n v="7"/>
    <x v="4"/>
    <x v="1"/>
    <s v="SKU-FAR-4171"/>
    <x v="5"/>
    <x v="1"/>
    <x v="0"/>
    <s v="CIF"/>
    <n v="212"/>
    <s v="Litros"/>
    <n v="164.77"/>
    <n v="34931.24"/>
    <n v="2716.5"/>
    <n v="7.7767064667615585E-2"/>
    <n v="10"/>
    <d v="2023-02-23T00:00:00"/>
    <d v="2023-02-20T00:00:00"/>
    <n v="-3"/>
    <x v="0"/>
    <b v="1"/>
    <n v="262"/>
    <n v="86"/>
    <x v="1"/>
    <x v="1"/>
  </r>
  <r>
    <s v="PED-01699"/>
    <d v="2024-03-22T00:00:00"/>
    <x v="0"/>
    <x v="8"/>
    <n v="12"/>
    <x v="0"/>
    <x v="1"/>
    <s v="SKU-FAR-1025"/>
    <x v="4"/>
    <x v="1"/>
    <x v="2"/>
    <s v="DAP"/>
    <n v="75"/>
    <s v="KG"/>
    <n v="188.19"/>
    <n v="14114.25"/>
    <n v="389.54"/>
    <n v="2.7599057689923306E-2"/>
    <n v="22"/>
    <d v="2024-04-13T00:00:00"/>
    <d v="2024-04-16T00:00:00"/>
    <n v="3"/>
    <x v="1"/>
    <b v="0"/>
    <n v="483"/>
    <n v="12"/>
    <x v="0"/>
    <x v="0"/>
  </r>
  <r>
    <s v="PED-01700"/>
    <d v="2023-01-20T00:00:00"/>
    <x v="1"/>
    <x v="2"/>
    <n v="3"/>
    <x v="9"/>
    <x v="7"/>
    <s v="SKU-ALI-2936"/>
    <x v="0"/>
    <x v="1"/>
    <x v="1"/>
    <s v="DDP"/>
    <n v="117"/>
    <s v="Cajas"/>
    <n v="71.930000000000007"/>
    <n v="8415.81"/>
    <n v="380.71"/>
    <n v="4.5237475655938053E-2"/>
    <n v="21"/>
    <d v="2023-02-10T00:00:00"/>
    <d v="2023-02-10T00:00:00"/>
    <n v="0"/>
    <x v="0"/>
    <b v="1"/>
    <n v="299"/>
    <n v="262"/>
    <x v="4"/>
    <x v="1"/>
  </r>
  <r>
    <s v="PED-01701"/>
    <d v="2024-04-15T00:00:00"/>
    <x v="0"/>
    <x v="1"/>
    <n v="16"/>
    <x v="3"/>
    <x v="5"/>
    <s v="SKU-ELE-1392"/>
    <x v="5"/>
    <x v="4"/>
    <x v="3"/>
    <s v="CIF"/>
    <n v="277"/>
    <s v="Cajas"/>
    <n v="498.92"/>
    <n v="138200.84"/>
    <n v="6752.01"/>
    <n v="4.885650477956574E-2"/>
    <n v="27"/>
    <d v="2024-05-12T00:00:00"/>
    <d v="2024-05-15T00:00:00"/>
    <n v="3"/>
    <x v="2"/>
    <b v="0"/>
    <n v="416"/>
    <n v="287"/>
    <x v="0"/>
    <x v="0"/>
  </r>
  <r>
    <s v="PED-01702"/>
    <d v="2023-03-21T00:00:00"/>
    <x v="1"/>
    <x v="8"/>
    <n v="12"/>
    <x v="2"/>
    <x v="0"/>
    <s v="SKU-MAQ-8616"/>
    <x v="2"/>
    <x v="3"/>
    <x v="4"/>
    <s v="EXW"/>
    <n v="231"/>
    <s v="Metros"/>
    <n v="1355.6"/>
    <n v="313143.59999999998"/>
    <n v="13333.25"/>
    <n v="4.2578708298684695E-2"/>
    <n v="25"/>
    <d v="2023-04-15T00:00:00"/>
    <d v="2023-04-17T00:00:00"/>
    <n v="2"/>
    <x v="1"/>
    <b v="0"/>
    <n v="112"/>
    <n v="22"/>
    <x v="1"/>
    <x v="1"/>
  </r>
  <r>
    <s v="PED-01703"/>
    <d v="2023-11-17T00:00:00"/>
    <x v="1"/>
    <x v="6"/>
    <n v="46"/>
    <x v="8"/>
    <x v="2"/>
    <s v="SKU-AUT-2932"/>
    <x v="4"/>
    <x v="5"/>
    <x v="0"/>
    <s v="CIF"/>
    <n v="813"/>
    <s v="Palés"/>
    <n v="872.93"/>
    <n v="709692.09"/>
    <n v="29658.99"/>
    <n v="4.1791349259648648E-2"/>
    <n v="6"/>
    <d v="2023-11-23T00:00:00"/>
    <d v="2023-11-24T00:00:00"/>
    <n v="1"/>
    <x v="1"/>
    <b v="0"/>
    <n v="447"/>
    <n v="432"/>
    <x v="0"/>
    <x v="0"/>
  </r>
  <r>
    <s v="PED-01704"/>
    <d v="2024-08-12T00:00:00"/>
    <x v="0"/>
    <x v="4"/>
    <n v="33"/>
    <x v="6"/>
    <x v="1"/>
    <s v="SKU-FAR-4396"/>
    <x v="1"/>
    <x v="2"/>
    <x v="4"/>
    <s v="DDP"/>
    <n v="539"/>
    <s v="Palés"/>
    <n v="205.19"/>
    <n v="110597.41"/>
    <n v="2558.79"/>
    <n v="2.3136075248055086E-2"/>
    <n v="27"/>
    <d v="2024-09-08T00:00:00"/>
    <d v="2024-09-03T00:00:00"/>
    <n v="-5"/>
    <x v="2"/>
    <b v="0"/>
    <n v="163"/>
    <n v="199"/>
    <x v="2"/>
    <x v="1"/>
  </r>
  <r>
    <s v="PED-01705"/>
    <d v="2024-03-15T00:00:00"/>
    <x v="0"/>
    <x v="8"/>
    <n v="11"/>
    <x v="8"/>
    <x v="1"/>
    <s v="SKU-FAR-7793"/>
    <x v="1"/>
    <x v="5"/>
    <x v="2"/>
    <s v="DAP"/>
    <n v="99"/>
    <s v="Litros"/>
    <n v="297.85000000000002"/>
    <n v="29487.15"/>
    <n v="1802.62"/>
    <n v="6.113239156717417E-2"/>
    <n v="8"/>
    <d v="2024-03-23T00:00:00"/>
    <d v="2024-04-04T00:00:00"/>
    <n v="12"/>
    <x v="2"/>
    <b v="0"/>
    <n v="3"/>
    <n v="241"/>
    <x v="0"/>
    <x v="0"/>
  </r>
  <r>
    <s v="PED-01706"/>
    <d v="2024-08-10T00:00:00"/>
    <x v="0"/>
    <x v="4"/>
    <n v="32"/>
    <x v="1"/>
    <x v="0"/>
    <s v="SKU-MAQ-7783"/>
    <x v="5"/>
    <x v="1"/>
    <x v="1"/>
    <s v="FOB"/>
    <n v="702"/>
    <s v="Metros"/>
    <n v="1117.1099999999999"/>
    <n v="784211.22"/>
    <n v="36209.279999999999"/>
    <n v="4.6172866539705974E-2"/>
    <n v="2"/>
    <d v="2024-08-12T00:00:00"/>
    <d v="2024-08-11T00:00:00"/>
    <n v="-1"/>
    <x v="0"/>
    <b v="1"/>
    <n v="117"/>
    <n v="238"/>
    <x v="0"/>
    <x v="0"/>
  </r>
  <r>
    <s v="PED-01707"/>
    <d v="2024-02-19T00:00:00"/>
    <x v="0"/>
    <x v="9"/>
    <n v="8"/>
    <x v="4"/>
    <x v="3"/>
    <s v="SKU-QUÍ-1745"/>
    <x v="4"/>
    <x v="5"/>
    <x v="4"/>
    <s v="FCA"/>
    <n v="264"/>
    <s v="Palés"/>
    <n v="97.65"/>
    <n v="25779.599999999999"/>
    <n v="816.89"/>
    <n v="3.1687458300361529E-2"/>
    <n v="12"/>
    <d v="2024-03-02T00:00:00"/>
    <d v="2024-03-10T00:00:00"/>
    <n v="8"/>
    <x v="2"/>
    <b v="0"/>
    <n v="22"/>
    <n v="302"/>
    <x v="0"/>
    <x v="0"/>
  </r>
  <r>
    <s v="PED-01708"/>
    <d v="2024-12-27T00:00:00"/>
    <x v="0"/>
    <x v="11"/>
    <n v="52"/>
    <x v="1"/>
    <x v="3"/>
    <s v="SKU-QUÍ-6468"/>
    <x v="5"/>
    <x v="4"/>
    <x v="4"/>
    <s v="FOB"/>
    <n v="464"/>
    <s v="Litros"/>
    <n v="89.07"/>
    <n v="41328.480000000003"/>
    <n v="2850.1"/>
    <n v="6.8962129746847692E-2"/>
    <n v="13"/>
    <d v="2025-01-09T00:00:00"/>
    <d v="2025-01-06T00:00:00"/>
    <n v="-3"/>
    <x v="0"/>
    <b v="1"/>
    <n v="408"/>
    <n v="164"/>
    <x v="0"/>
    <x v="0"/>
  </r>
  <r>
    <s v="PED-01709"/>
    <d v="2024-10-17T00:00:00"/>
    <x v="0"/>
    <x v="0"/>
    <n v="42"/>
    <x v="4"/>
    <x v="5"/>
    <s v="SKU-ELE-6728"/>
    <x v="4"/>
    <x v="1"/>
    <x v="3"/>
    <s v="FOB"/>
    <n v="262"/>
    <s v="Palés"/>
    <n v="600.34"/>
    <n v="157289.07999999999"/>
    <n v="10719.82"/>
    <n v="6.8153618801762975E-2"/>
    <n v="25"/>
    <d v="2024-11-11T00:00:00"/>
    <d v="2024-11-11T00:00:00"/>
    <n v="0"/>
    <x v="0"/>
    <b v="1"/>
    <n v="232"/>
    <n v="225"/>
    <x v="0"/>
    <x v="0"/>
  </r>
  <r>
    <s v="PED-01710"/>
    <d v="2024-03-03T00:00:00"/>
    <x v="0"/>
    <x v="8"/>
    <n v="10"/>
    <x v="9"/>
    <x v="6"/>
    <s v="SKU-CON-4478"/>
    <x v="4"/>
    <x v="1"/>
    <x v="4"/>
    <s v="DAP"/>
    <n v="266"/>
    <s v="Litros"/>
    <n v="148.72"/>
    <n v="39559.519999999997"/>
    <n v="1945.68"/>
    <n v="4.9183609912354855E-2"/>
    <n v="21"/>
    <d v="2024-03-24T00:00:00"/>
    <d v="2024-03-24T00:00:00"/>
    <n v="0"/>
    <x v="0"/>
    <b v="1"/>
    <n v="89"/>
    <n v="175"/>
    <x v="4"/>
    <x v="1"/>
  </r>
  <r>
    <s v="PED-01711"/>
    <d v="2023-10-24T00:00:00"/>
    <x v="1"/>
    <x v="0"/>
    <n v="43"/>
    <x v="0"/>
    <x v="7"/>
    <s v="SKU-ALI-1185"/>
    <x v="5"/>
    <x v="0"/>
    <x v="0"/>
    <s v="FOB"/>
    <n v="392"/>
    <s v="Palés"/>
    <n v="109.53"/>
    <n v="42935.76"/>
    <n v="1627.57"/>
    <n v="3.7907096555412079E-2"/>
    <n v="7"/>
    <d v="2023-10-31T00:00:00"/>
    <d v="2023-10-31T00:00:00"/>
    <n v="0"/>
    <x v="0"/>
    <b v="1"/>
    <n v="475"/>
    <n v="28"/>
    <x v="0"/>
    <x v="0"/>
  </r>
  <r>
    <s v="PED-01712"/>
    <d v="2023-04-28T00:00:00"/>
    <x v="1"/>
    <x v="1"/>
    <n v="17"/>
    <x v="2"/>
    <x v="1"/>
    <s v="SKU-FAR-4296"/>
    <x v="4"/>
    <x v="0"/>
    <x v="1"/>
    <s v="DDP"/>
    <n v="451"/>
    <s v="Unidades"/>
    <n v="221.91"/>
    <n v="100081.41"/>
    <n v="5833.3"/>
    <n v="5.8285549733961585E-2"/>
    <n v="10"/>
    <d v="2023-05-08T00:00:00"/>
    <d v="2023-05-08T00:00:00"/>
    <n v="0"/>
    <x v="0"/>
    <b v="1"/>
    <n v="254"/>
    <n v="164"/>
    <x v="0"/>
    <x v="0"/>
  </r>
  <r>
    <s v="PED-01713"/>
    <d v="2024-02-19T00:00:00"/>
    <x v="0"/>
    <x v="9"/>
    <n v="8"/>
    <x v="9"/>
    <x v="6"/>
    <s v="SKU-CON-5614"/>
    <x v="0"/>
    <x v="4"/>
    <x v="2"/>
    <s v="DAP"/>
    <n v="867"/>
    <s v="Litros"/>
    <n v="224.32"/>
    <n v="194485.44"/>
    <n v="7252.19"/>
    <n v="3.7289115318863968E-2"/>
    <n v="13"/>
    <d v="2024-03-03T00:00:00"/>
    <d v="2024-03-03T00:00:00"/>
    <n v="0"/>
    <x v="0"/>
    <b v="1"/>
    <n v="91"/>
    <n v="22"/>
    <x v="3"/>
    <x v="1"/>
  </r>
  <r>
    <s v="PED-01714"/>
    <d v="2023-01-22T00:00:00"/>
    <x v="1"/>
    <x v="2"/>
    <n v="4"/>
    <x v="5"/>
    <x v="6"/>
    <s v="SKU-CON-5168"/>
    <x v="2"/>
    <x v="4"/>
    <x v="4"/>
    <s v="FOB"/>
    <n v="608"/>
    <s v="Unidades"/>
    <n v="229.86"/>
    <n v="139754.88"/>
    <n v="4774.09"/>
    <n v="3.4160452930158861E-2"/>
    <n v="17"/>
    <d v="2023-02-08T00:00:00"/>
    <d v="2023-02-07T00:00:00"/>
    <n v="-1"/>
    <x v="0"/>
    <b v="1"/>
    <n v="468"/>
    <n v="293"/>
    <x v="1"/>
    <x v="1"/>
  </r>
  <r>
    <s v="PED-01715"/>
    <d v="2023-11-29T00:00:00"/>
    <x v="1"/>
    <x v="6"/>
    <n v="48"/>
    <x v="0"/>
    <x v="7"/>
    <s v="SKU-ALI-2111"/>
    <x v="4"/>
    <x v="5"/>
    <x v="0"/>
    <s v="FCA"/>
    <n v="99"/>
    <s v="Unidades"/>
    <n v="66.930000000000007"/>
    <n v="6626.07"/>
    <n v="422.95"/>
    <n v="6.3831200092966112E-2"/>
    <n v="26"/>
    <d v="2023-12-25T00:00:00"/>
    <d v="2024-01-06T00:00:00"/>
    <n v="12"/>
    <x v="1"/>
    <b v="0"/>
    <n v="457"/>
    <n v="476"/>
    <x v="2"/>
    <x v="1"/>
  </r>
  <r>
    <s v="PED-01716"/>
    <d v="2023-06-25T00:00:00"/>
    <x v="1"/>
    <x v="10"/>
    <n v="26"/>
    <x v="9"/>
    <x v="6"/>
    <s v="SKU-CON-6042"/>
    <x v="0"/>
    <x v="2"/>
    <x v="2"/>
    <s v="EXW"/>
    <n v="758"/>
    <s v="Unidades"/>
    <n v="171.63"/>
    <n v="130095.54"/>
    <n v="2916.68"/>
    <n v="2.2419523374898172E-2"/>
    <n v="21"/>
    <d v="2023-07-16T00:00:00"/>
    <d v="2023-07-11T00:00:00"/>
    <n v="-5"/>
    <x v="0"/>
    <b v="1"/>
    <n v="154"/>
    <n v="382"/>
    <x v="3"/>
    <x v="1"/>
  </r>
  <r>
    <s v="PED-01717"/>
    <d v="2024-09-24T00:00:00"/>
    <x v="0"/>
    <x v="3"/>
    <n v="39"/>
    <x v="3"/>
    <x v="6"/>
    <s v="SKU-CON-5919"/>
    <x v="4"/>
    <x v="5"/>
    <x v="0"/>
    <s v="DAP"/>
    <n v="399"/>
    <s v="Unidades"/>
    <n v="191.01"/>
    <n v="76212.990000000005"/>
    <n v="1957.62"/>
    <n v="2.5686172396595382E-2"/>
    <n v="28"/>
    <d v="2024-10-22T00:00:00"/>
    <d v="2024-10-22T00:00:00"/>
    <n v="0"/>
    <x v="0"/>
    <b v="1"/>
    <n v="306"/>
    <n v="43"/>
    <x v="4"/>
    <x v="1"/>
  </r>
  <r>
    <s v="PED-01718"/>
    <d v="2024-04-16T00:00:00"/>
    <x v="0"/>
    <x v="1"/>
    <n v="16"/>
    <x v="8"/>
    <x v="3"/>
    <s v="SKU-QUÍ-9301"/>
    <x v="0"/>
    <x v="4"/>
    <x v="4"/>
    <s v="DAP"/>
    <n v="591"/>
    <s v="KG"/>
    <n v="140.97999999999999"/>
    <n v="83319.179999999993"/>
    <n v="1700.32"/>
    <n v="2.0407305976847107E-2"/>
    <n v="26"/>
    <d v="2024-05-12T00:00:00"/>
    <d v="2024-05-15T00:00:00"/>
    <n v="3"/>
    <x v="1"/>
    <b v="0"/>
    <n v="114"/>
    <n v="260"/>
    <x v="4"/>
    <x v="1"/>
  </r>
  <r>
    <s v="PED-01719"/>
    <d v="2024-12-07T00:00:00"/>
    <x v="0"/>
    <x v="11"/>
    <n v="49"/>
    <x v="1"/>
    <x v="3"/>
    <s v="SKU-QUÍ-6307"/>
    <x v="5"/>
    <x v="2"/>
    <x v="4"/>
    <s v="CIF"/>
    <n v="53"/>
    <s v="Metros"/>
    <n v="104.17"/>
    <n v="5521.01"/>
    <n v="161.08000000000001"/>
    <n v="2.9175821090706232E-2"/>
    <n v="14"/>
    <d v="2024-12-21T00:00:00"/>
    <d v="2024-12-24T00:00:00"/>
    <n v="3"/>
    <x v="1"/>
    <b v="0"/>
    <n v="206"/>
    <n v="179"/>
    <x v="3"/>
    <x v="1"/>
  </r>
  <r>
    <s v="PED-01720"/>
    <d v="2024-01-06T00:00:00"/>
    <x v="0"/>
    <x v="2"/>
    <n v="1"/>
    <x v="0"/>
    <x v="4"/>
    <s v="SKU-TEX-1100"/>
    <x v="1"/>
    <x v="5"/>
    <x v="1"/>
    <s v="FOB"/>
    <n v="721"/>
    <s v="Cajas"/>
    <n v="47.58"/>
    <n v="34305.18"/>
    <n v="828.11"/>
    <n v="2.413950313043103E-2"/>
    <n v="2"/>
    <d v="2024-01-08T00:00:00"/>
    <d v="2024-01-08T00:00:00"/>
    <n v="0"/>
    <x v="0"/>
    <b v="1"/>
    <n v="80"/>
    <n v="295"/>
    <x v="0"/>
    <x v="0"/>
  </r>
  <r>
    <s v="PED-01721"/>
    <d v="2023-04-01T00:00:00"/>
    <x v="1"/>
    <x v="1"/>
    <n v="13"/>
    <x v="3"/>
    <x v="2"/>
    <s v="SKU-AUT-2865"/>
    <x v="3"/>
    <x v="3"/>
    <x v="3"/>
    <s v="EXW"/>
    <n v="673"/>
    <s v="KG"/>
    <n v="1180.8699999999999"/>
    <n v="794725.51"/>
    <n v="63377.88"/>
    <n v="7.9748138448456241E-2"/>
    <n v="28"/>
    <d v="2023-04-29T00:00:00"/>
    <d v="2023-04-28T00:00:00"/>
    <n v="-1"/>
    <x v="0"/>
    <b v="1"/>
    <n v="102"/>
    <n v="138"/>
    <x v="0"/>
    <x v="0"/>
  </r>
  <r>
    <s v="PED-01722"/>
    <d v="2024-03-23T00:00:00"/>
    <x v="0"/>
    <x v="8"/>
    <n v="12"/>
    <x v="1"/>
    <x v="5"/>
    <s v="SKU-ELE-6460"/>
    <x v="4"/>
    <x v="3"/>
    <x v="0"/>
    <s v="FCA"/>
    <n v="607"/>
    <s v="Palés"/>
    <n v="358.79"/>
    <n v="217785.53"/>
    <n v="8129.63"/>
    <n v="3.7328604889406564E-2"/>
    <n v="22"/>
    <d v="2024-04-14T00:00:00"/>
    <d v="2024-04-09T00:00:00"/>
    <n v="-5"/>
    <x v="0"/>
    <b v="1"/>
    <n v="482"/>
    <n v="333"/>
    <x v="1"/>
    <x v="1"/>
  </r>
  <r>
    <s v="PED-01723"/>
    <d v="2023-04-19T00:00:00"/>
    <x v="1"/>
    <x v="1"/>
    <n v="16"/>
    <x v="5"/>
    <x v="6"/>
    <s v="SKU-CON-6592"/>
    <x v="3"/>
    <x v="2"/>
    <x v="3"/>
    <s v="DDP"/>
    <n v="28"/>
    <s v="Palés"/>
    <n v="268.43"/>
    <n v="7516.04"/>
    <n v="217.64"/>
    <n v="2.8956737856637271E-2"/>
    <n v="11"/>
    <d v="2023-04-30T00:00:00"/>
    <d v="2023-04-27T00:00:00"/>
    <n v="-3"/>
    <x v="0"/>
    <b v="1"/>
    <n v="452"/>
    <n v="247"/>
    <x v="3"/>
    <x v="1"/>
  </r>
  <r>
    <s v="PED-01724"/>
    <d v="2023-09-07T00:00:00"/>
    <x v="1"/>
    <x v="3"/>
    <n v="36"/>
    <x v="7"/>
    <x v="4"/>
    <s v="SKU-TEX-7488"/>
    <x v="4"/>
    <x v="0"/>
    <x v="3"/>
    <s v="DAP"/>
    <n v="110"/>
    <s v="Metros"/>
    <n v="79.83"/>
    <n v="8781.2999999999993"/>
    <n v="302.60000000000002"/>
    <n v="3.4459590265678207E-2"/>
    <n v="1"/>
    <d v="2023-09-08T00:00:00"/>
    <d v="2023-09-10T00:00:00"/>
    <n v="2"/>
    <x v="1"/>
    <b v="0"/>
    <n v="79"/>
    <n v="240"/>
    <x v="4"/>
    <x v="1"/>
  </r>
  <r>
    <s v="PED-01725"/>
    <d v="2024-03-22T00:00:00"/>
    <x v="0"/>
    <x v="8"/>
    <n v="12"/>
    <x v="0"/>
    <x v="2"/>
    <s v="SKU-AUT-1477"/>
    <x v="5"/>
    <x v="2"/>
    <x v="2"/>
    <s v="DDP"/>
    <n v="923"/>
    <s v="Cajas"/>
    <n v="750.22"/>
    <n v="692453.06"/>
    <n v="52742.44"/>
    <n v="7.6167531124781224E-2"/>
    <n v="19"/>
    <d v="2024-04-10T00:00:00"/>
    <d v="2024-04-05T00:00:00"/>
    <n v="-5"/>
    <x v="0"/>
    <b v="1"/>
    <n v="406"/>
    <n v="105"/>
    <x v="0"/>
    <x v="0"/>
  </r>
  <r>
    <s v="PED-01726"/>
    <d v="2024-08-26T00:00:00"/>
    <x v="0"/>
    <x v="4"/>
    <n v="35"/>
    <x v="3"/>
    <x v="4"/>
    <s v="SKU-TEX-3877"/>
    <x v="5"/>
    <x v="5"/>
    <x v="2"/>
    <s v="DDP"/>
    <n v="616"/>
    <s v="Cajas"/>
    <n v="48.51"/>
    <n v="29882.16"/>
    <n v="1530.25"/>
    <n v="5.1209484187220738E-2"/>
    <n v="21"/>
    <d v="2024-09-16T00:00:00"/>
    <d v="2024-09-18T00:00:00"/>
    <n v="2"/>
    <x v="2"/>
    <b v="0"/>
    <n v="102"/>
    <n v="385"/>
    <x v="0"/>
    <x v="0"/>
  </r>
  <r>
    <s v="PED-01727"/>
    <d v="2024-02-15T00:00:00"/>
    <x v="0"/>
    <x v="9"/>
    <n v="7"/>
    <x v="1"/>
    <x v="4"/>
    <s v="SKU-TEX-4178"/>
    <x v="0"/>
    <x v="1"/>
    <x v="0"/>
    <s v="DDP"/>
    <n v="775"/>
    <s v="Cajas"/>
    <n v="48.99"/>
    <n v="37967.25"/>
    <n v="1590.41"/>
    <n v="4.1888996437719352E-2"/>
    <n v="4"/>
    <d v="2024-02-19T00:00:00"/>
    <d v="2024-02-20T00:00:00"/>
    <n v="1"/>
    <x v="2"/>
    <b v="0"/>
    <n v="239"/>
    <n v="418"/>
    <x v="3"/>
    <x v="1"/>
  </r>
  <r>
    <s v="PED-01728"/>
    <d v="2024-06-20T00:00:00"/>
    <x v="0"/>
    <x v="10"/>
    <n v="25"/>
    <x v="1"/>
    <x v="5"/>
    <s v="SKU-ELE-6415"/>
    <x v="4"/>
    <x v="3"/>
    <x v="3"/>
    <s v="CIF"/>
    <n v="366"/>
    <s v="Unidades"/>
    <n v="628.97"/>
    <n v="230203.02"/>
    <n v="16667.5"/>
    <n v="7.240348106640826E-2"/>
    <n v="19"/>
    <d v="2024-07-09T00:00:00"/>
    <d v="2024-07-11T00:00:00"/>
    <n v="2"/>
    <x v="2"/>
    <b v="0"/>
    <n v="264"/>
    <n v="172"/>
    <x v="4"/>
    <x v="1"/>
  </r>
  <r>
    <s v="PED-01729"/>
    <d v="2023-03-22T00:00:00"/>
    <x v="1"/>
    <x v="8"/>
    <n v="12"/>
    <x v="9"/>
    <x v="5"/>
    <s v="SKU-ELE-6536"/>
    <x v="5"/>
    <x v="1"/>
    <x v="1"/>
    <s v="DDP"/>
    <n v="551"/>
    <s v="KG"/>
    <n v="607.12"/>
    <n v="334523.12"/>
    <n v="14618.47"/>
    <n v="4.3699430998969516E-2"/>
    <n v="26"/>
    <d v="2023-04-17T00:00:00"/>
    <d v="2023-04-29T00:00:00"/>
    <n v="12"/>
    <x v="1"/>
    <b v="0"/>
    <n v="32"/>
    <n v="48"/>
    <x v="3"/>
    <x v="1"/>
  </r>
  <r>
    <s v="PED-01730"/>
    <d v="2024-02-10T00:00:00"/>
    <x v="0"/>
    <x v="9"/>
    <n v="6"/>
    <x v="4"/>
    <x v="0"/>
    <s v="SKU-MAQ-8849"/>
    <x v="5"/>
    <x v="3"/>
    <x v="3"/>
    <s v="FOB"/>
    <n v="770"/>
    <s v="Palés"/>
    <n v="1989.29"/>
    <n v="1531753.3"/>
    <n v="61424.09"/>
    <n v="4.0100510963482168E-2"/>
    <n v="29"/>
    <d v="2024-03-10T00:00:00"/>
    <d v="2024-03-10T00:00:00"/>
    <n v="0"/>
    <x v="0"/>
    <b v="1"/>
    <n v="34"/>
    <n v="122"/>
    <x v="0"/>
    <x v="0"/>
  </r>
  <r>
    <s v="PED-01731"/>
    <d v="2023-11-14T00:00:00"/>
    <x v="1"/>
    <x v="6"/>
    <n v="46"/>
    <x v="9"/>
    <x v="7"/>
    <s v="SKU-ALI-8774"/>
    <x v="4"/>
    <x v="5"/>
    <x v="2"/>
    <s v="FOB"/>
    <n v="947"/>
    <s v="KG"/>
    <n v="116"/>
    <n v="109852"/>
    <n v="3563.26"/>
    <n v="3.2436915122164366E-2"/>
    <n v="21"/>
    <d v="2023-12-05T00:00:00"/>
    <d v="2023-12-17T00:00:00"/>
    <n v="12"/>
    <x v="2"/>
    <b v="0"/>
    <n v="248"/>
    <n v="34"/>
    <x v="4"/>
    <x v="1"/>
  </r>
  <r>
    <s v="PED-01732"/>
    <d v="2023-12-14T00:00:00"/>
    <x v="1"/>
    <x v="11"/>
    <n v="50"/>
    <x v="3"/>
    <x v="7"/>
    <s v="SKU-ALI-1582"/>
    <x v="0"/>
    <x v="3"/>
    <x v="3"/>
    <s v="EXW"/>
    <n v="42"/>
    <s v="KG"/>
    <n v="100.28"/>
    <n v="4211.76"/>
    <n v="179.71"/>
    <n v="4.2668623093433625E-2"/>
    <n v="11"/>
    <d v="2023-12-25T00:00:00"/>
    <d v="2023-12-28T00:00:00"/>
    <n v="3"/>
    <x v="1"/>
    <b v="0"/>
    <n v="487"/>
    <n v="105"/>
    <x v="0"/>
    <x v="0"/>
  </r>
  <r>
    <s v="PED-01733"/>
    <d v="2023-08-15T00:00:00"/>
    <x v="1"/>
    <x v="4"/>
    <n v="33"/>
    <x v="6"/>
    <x v="0"/>
    <s v="SKU-MAQ-3224"/>
    <x v="0"/>
    <x v="2"/>
    <x v="4"/>
    <s v="EXW"/>
    <n v="979"/>
    <s v="KG"/>
    <n v="1237.02"/>
    <n v="1211042.58"/>
    <n v="47231.95"/>
    <n v="3.9001064685933666E-2"/>
    <n v="8"/>
    <d v="2023-08-23T00:00:00"/>
    <d v="2023-08-22T00:00:00"/>
    <n v="-1"/>
    <x v="0"/>
    <b v="1"/>
    <n v="49"/>
    <n v="475"/>
    <x v="2"/>
    <x v="1"/>
  </r>
  <r>
    <s v="PED-01734"/>
    <d v="2023-12-08T00:00:00"/>
    <x v="1"/>
    <x v="11"/>
    <n v="49"/>
    <x v="8"/>
    <x v="0"/>
    <s v="SKU-MAQ-8888"/>
    <x v="0"/>
    <x v="1"/>
    <x v="4"/>
    <s v="FCA"/>
    <n v="238"/>
    <s v="Cajas"/>
    <n v="1342.13"/>
    <n v="319426.94"/>
    <n v="19369.490000000002"/>
    <n v="6.0638247982465102E-2"/>
    <n v="11"/>
    <d v="2023-12-19T00:00:00"/>
    <d v="2023-12-24T00:00:00"/>
    <n v="5"/>
    <x v="1"/>
    <b v="0"/>
    <n v="279"/>
    <n v="327"/>
    <x v="3"/>
    <x v="1"/>
  </r>
  <r>
    <s v="PED-01735"/>
    <d v="2023-06-22T00:00:00"/>
    <x v="1"/>
    <x v="10"/>
    <n v="25"/>
    <x v="0"/>
    <x v="3"/>
    <s v="SKU-QUÍ-3545"/>
    <x v="0"/>
    <x v="4"/>
    <x v="1"/>
    <s v="DDP"/>
    <n v="533"/>
    <s v="Metros"/>
    <n v="164.85"/>
    <n v="87865.05"/>
    <n v="3283.95"/>
    <n v="3.7374928939322288E-2"/>
    <n v="4"/>
    <d v="2023-06-26T00:00:00"/>
    <d v="2023-06-26T00:00:00"/>
    <n v="0"/>
    <x v="0"/>
    <b v="1"/>
    <n v="471"/>
    <n v="415"/>
    <x v="0"/>
    <x v="0"/>
  </r>
  <r>
    <s v="PED-01736"/>
    <d v="2023-03-20T00:00:00"/>
    <x v="1"/>
    <x v="8"/>
    <n v="12"/>
    <x v="9"/>
    <x v="2"/>
    <s v="SKU-AUT-8546"/>
    <x v="1"/>
    <x v="1"/>
    <x v="0"/>
    <s v="DDP"/>
    <n v="639"/>
    <s v="Metros"/>
    <n v="693.96"/>
    <n v="443440.44"/>
    <n v="24226.03"/>
    <n v="5.4631981692964217E-2"/>
    <n v="17"/>
    <d v="2023-04-06T00:00:00"/>
    <d v="2023-04-06T00:00:00"/>
    <n v="0"/>
    <x v="0"/>
    <b v="1"/>
    <n v="241"/>
    <n v="195"/>
    <x v="1"/>
    <x v="1"/>
  </r>
  <r>
    <s v="PED-01737"/>
    <d v="2024-06-06T00:00:00"/>
    <x v="0"/>
    <x v="10"/>
    <n v="23"/>
    <x v="1"/>
    <x v="4"/>
    <s v="SKU-TEX-9797"/>
    <x v="4"/>
    <x v="5"/>
    <x v="3"/>
    <s v="CIF"/>
    <n v="871"/>
    <s v="Cajas"/>
    <n v="45.48"/>
    <n v="39613.08"/>
    <n v="948.87"/>
    <n v="2.3953451738668138E-2"/>
    <n v="27"/>
    <d v="2024-07-03T00:00:00"/>
    <d v="2024-07-05T00:00:00"/>
    <n v="2"/>
    <x v="2"/>
    <b v="0"/>
    <n v="151"/>
    <n v="108"/>
    <x v="1"/>
    <x v="1"/>
  </r>
  <r>
    <s v="PED-01738"/>
    <d v="2024-10-10T00:00:00"/>
    <x v="0"/>
    <x v="0"/>
    <n v="41"/>
    <x v="1"/>
    <x v="6"/>
    <s v="SKU-CON-6490"/>
    <x v="1"/>
    <x v="4"/>
    <x v="4"/>
    <s v="DDP"/>
    <n v="164"/>
    <s v="Palés"/>
    <n v="252.52"/>
    <n v="41413.279999999999"/>
    <n v="1303.58"/>
    <n v="3.1477342533602744E-2"/>
    <n v="7"/>
    <d v="2024-10-17T00:00:00"/>
    <d v="2024-10-17T00:00:00"/>
    <n v="0"/>
    <x v="0"/>
    <b v="1"/>
    <n v="146"/>
    <n v="124"/>
    <x v="0"/>
    <x v="0"/>
  </r>
  <r>
    <s v="PED-01739"/>
    <d v="2023-04-27T00:00:00"/>
    <x v="1"/>
    <x v="1"/>
    <n v="17"/>
    <x v="7"/>
    <x v="0"/>
    <s v="SKU-MAQ-8577"/>
    <x v="5"/>
    <x v="1"/>
    <x v="0"/>
    <s v="DDP"/>
    <n v="432"/>
    <s v="Palés"/>
    <n v="1533.03"/>
    <n v="662268.96"/>
    <n v="29434.09"/>
    <n v="4.4444314587837548E-2"/>
    <n v="8"/>
    <d v="2023-05-05T00:00:00"/>
    <d v="2023-05-04T00:00:00"/>
    <n v="-1"/>
    <x v="0"/>
    <b v="1"/>
    <n v="38"/>
    <n v="326"/>
    <x v="0"/>
    <x v="0"/>
  </r>
  <r>
    <s v="PED-01740"/>
    <d v="2024-06-27T00:00:00"/>
    <x v="0"/>
    <x v="10"/>
    <n v="26"/>
    <x v="0"/>
    <x v="1"/>
    <s v="SKU-FAR-7782"/>
    <x v="1"/>
    <x v="5"/>
    <x v="4"/>
    <s v="DDP"/>
    <n v="914"/>
    <s v="Palés"/>
    <n v="287.20999999999998"/>
    <n v="262509.94"/>
    <n v="20007.71"/>
    <n v="7.6216961536770753E-2"/>
    <n v="3"/>
    <d v="2024-06-30T00:00:00"/>
    <d v="2024-06-30T00:00:00"/>
    <n v="0"/>
    <x v="0"/>
    <b v="1"/>
    <n v="188"/>
    <n v="294"/>
    <x v="3"/>
    <x v="1"/>
  </r>
  <r>
    <s v="PED-01741"/>
    <d v="2024-06-06T00:00:00"/>
    <x v="0"/>
    <x v="10"/>
    <n v="23"/>
    <x v="7"/>
    <x v="7"/>
    <s v="SKU-ALI-1917"/>
    <x v="0"/>
    <x v="0"/>
    <x v="0"/>
    <s v="DAP"/>
    <n v="255"/>
    <s v="Metros"/>
    <n v="97.62"/>
    <n v="24893.1"/>
    <n v="1061.32"/>
    <n v="4.2635107720613345E-2"/>
    <n v="22"/>
    <d v="2024-06-28T00:00:00"/>
    <d v="2024-06-28T00:00:00"/>
    <n v="0"/>
    <x v="0"/>
    <b v="1"/>
    <n v="24"/>
    <n v="431"/>
    <x v="4"/>
    <x v="1"/>
  </r>
  <r>
    <s v="PED-01742"/>
    <d v="2023-07-18T00:00:00"/>
    <x v="1"/>
    <x v="7"/>
    <n v="29"/>
    <x v="8"/>
    <x v="0"/>
    <s v="SKU-MAQ-9537"/>
    <x v="5"/>
    <x v="2"/>
    <x v="0"/>
    <s v="DAP"/>
    <n v="414"/>
    <s v="Metros"/>
    <n v="1158.5"/>
    <n v="479619"/>
    <n v="28702.53"/>
    <n v="5.9844439023474881E-2"/>
    <n v="2"/>
    <d v="2023-07-20T00:00:00"/>
    <d v="2023-07-23T00:00:00"/>
    <n v="3"/>
    <x v="2"/>
    <b v="0"/>
    <n v="243"/>
    <n v="346"/>
    <x v="2"/>
    <x v="1"/>
  </r>
  <r>
    <s v="PED-01743"/>
    <d v="2023-12-24T00:00:00"/>
    <x v="1"/>
    <x v="11"/>
    <n v="52"/>
    <x v="5"/>
    <x v="1"/>
    <s v="SKU-FAR-5904"/>
    <x v="1"/>
    <x v="3"/>
    <x v="4"/>
    <s v="CIF"/>
    <n v="853"/>
    <s v="KG"/>
    <n v="291.66000000000003"/>
    <n v="248785.98"/>
    <n v="8783.4500000000007"/>
    <n v="3.530524509459898E-2"/>
    <n v="23"/>
    <d v="2024-01-16T00:00:00"/>
    <d v="2024-01-15T00:00:00"/>
    <n v="-1"/>
    <x v="0"/>
    <b v="1"/>
    <n v="222"/>
    <n v="36"/>
    <x v="2"/>
    <x v="1"/>
  </r>
  <r>
    <s v="PED-01744"/>
    <d v="2023-12-26T00:00:00"/>
    <x v="1"/>
    <x v="11"/>
    <n v="52"/>
    <x v="9"/>
    <x v="1"/>
    <s v="SKU-FAR-6169"/>
    <x v="1"/>
    <x v="3"/>
    <x v="2"/>
    <s v="CIF"/>
    <n v="768"/>
    <s v="Cajas"/>
    <n v="181.37"/>
    <n v="139292.16"/>
    <n v="3847.53"/>
    <n v="2.7622014045873076E-2"/>
    <n v="15"/>
    <d v="2024-01-10T00:00:00"/>
    <d v="2024-01-10T00:00:00"/>
    <n v="0"/>
    <x v="0"/>
    <b v="1"/>
    <n v="229"/>
    <n v="187"/>
    <x v="1"/>
    <x v="1"/>
  </r>
  <r>
    <s v="PED-01745"/>
    <d v="2024-10-22T00:00:00"/>
    <x v="0"/>
    <x v="0"/>
    <n v="43"/>
    <x v="2"/>
    <x v="1"/>
    <s v="SKU-FAR-9779"/>
    <x v="4"/>
    <x v="3"/>
    <x v="0"/>
    <s v="FOB"/>
    <n v="550"/>
    <s v="Unidades"/>
    <n v="193.95"/>
    <n v="106672.5"/>
    <n v="2508.1"/>
    <n v="2.3512151679205041E-2"/>
    <n v="24"/>
    <d v="2024-11-15T00:00:00"/>
    <d v="2024-11-16T00:00:00"/>
    <n v="1"/>
    <x v="1"/>
    <b v="0"/>
    <n v="152"/>
    <n v="336"/>
    <x v="0"/>
    <x v="0"/>
  </r>
  <r>
    <s v="PED-01746"/>
    <d v="2023-06-01T00:00:00"/>
    <x v="1"/>
    <x v="10"/>
    <n v="22"/>
    <x v="3"/>
    <x v="3"/>
    <s v="SKU-QUÍ-1306"/>
    <x v="1"/>
    <x v="0"/>
    <x v="3"/>
    <s v="CIF"/>
    <n v="170"/>
    <s v="KG"/>
    <n v="122.62"/>
    <n v="20845.400000000001"/>
    <n v="798.9"/>
    <n v="3.8325002158749649E-2"/>
    <n v="22"/>
    <d v="2023-06-23T00:00:00"/>
    <d v="2023-06-24T00:00:00"/>
    <n v="1"/>
    <x v="2"/>
    <b v="0"/>
    <n v="410"/>
    <n v="457"/>
    <x v="0"/>
    <x v="0"/>
  </r>
  <r>
    <s v="PED-01747"/>
    <d v="2023-08-30T00:00:00"/>
    <x v="1"/>
    <x v="4"/>
    <n v="35"/>
    <x v="3"/>
    <x v="3"/>
    <s v="SKU-QUÍ-4412"/>
    <x v="5"/>
    <x v="2"/>
    <x v="4"/>
    <s v="FCA"/>
    <n v="756"/>
    <s v="Litros"/>
    <n v="88.92"/>
    <n v="67223.520000000004"/>
    <n v="1980.38"/>
    <n v="2.9459629605828437E-2"/>
    <n v="22"/>
    <d v="2023-09-21T00:00:00"/>
    <d v="2023-10-03T00:00:00"/>
    <n v="12"/>
    <x v="1"/>
    <b v="0"/>
    <n v="287"/>
    <n v="387"/>
    <x v="4"/>
    <x v="1"/>
  </r>
  <r>
    <s v="PED-01748"/>
    <d v="2023-04-16T00:00:00"/>
    <x v="1"/>
    <x v="1"/>
    <n v="16"/>
    <x v="5"/>
    <x v="6"/>
    <s v="SKU-CON-6434"/>
    <x v="0"/>
    <x v="1"/>
    <x v="2"/>
    <s v="FOB"/>
    <n v="711"/>
    <s v="Metros"/>
    <n v="219.44"/>
    <n v="156021.84"/>
    <n v="4749.3999999999996"/>
    <n v="3.0440610109456468E-2"/>
    <n v="5"/>
    <d v="2023-04-21T00:00:00"/>
    <d v="2023-05-03T00:00:00"/>
    <n v="12"/>
    <x v="1"/>
    <b v="0"/>
    <n v="394"/>
    <n v="22"/>
    <x v="0"/>
    <x v="0"/>
  </r>
  <r>
    <s v="PED-01749"/>
    <d v="2023-05-30T00:00:00"/>
    <x v="1"/>
    <x v="5"/>
    <n v="22"/>
    <x v="0"/>
    <x v="6"/>
    <s v="SKU-CON-6793"/>
    <x v="4"/>
    <x v="1"/>
    <x v="4"/>
    <s v="DDP"/>
    <n v="126"/>
    <s v="KG"/>
    <n v="159.72999999999999"/>
    <n v="20125.98"/>
    <n v="1321.18"/>
    <n v="6.5645499001787747E-2"/>
    <n v="24"/>
    <d v="2023-06-23T00:00:00"/>
    <d v="2023-06-23T00:00:00"/>
    <n v="0"/>
    <x v="0"/>
    <b v="1"/>
    <n v="452"/>
    <n v="397"/>
    <x v="0"/>
    <x v="0"/>
  </r>
  <r>
    <s v="PED-01750"/>
    <d v="2023-09-20T00:00:00"/>
    <x v="1"/>
    <x v="3"/>
    <n v="38"/>
    <x v="9"/>
    <x v="1"/>
    <s v="SKU-FAR-2084"/>
    <x v="1"/>
    <x v="2"/>
    <x v="1"/>
    <s v="CIF"/>
    <n v="280"/>
    <s v="Cajas"/>
    <n v="204.16"/>
    <n v="57164.800000000003"/>
    <n v="1197.6199999999999"/>
    <n v="2.0950305082848182E-2"/>
    <n v="1"/>
    <d v="2023-09-21T00:00:00"/>
    <d v="2023-09-21T00:00:00"/>
    <n v="0"/>
    <x v="0"/>
    <b v="1"/>
    <n v="107"/>
    <n v="260"/>
    <x v="3"/>
    <x v="1"/>
  </r>
  <r>
    <s v="PED-01751"/>
    <d v="2023-07-22T00:00:00"/>
    <x v="1"/>
    <x v="7"/>
    <n v="29"/>
    <x v="8"/>
    <x v="2"/>
    <s v="SKU-AUT-3446"/>
    <x v="4"/>
    <x v="4"/>
    <x v="3"/>
    <s v="FCA"/>
    <n v="779"/>
    <s v="Litros"/>
    <n v="784.45"/>
    <n v="611086.55000000005"/>
    <n v="32673.95"/>
    <n v="5.3468612588511398E-2"/>
    <n v="26"/>
    <d v="2023-08-17T00:00:00"/>
    <d v="2023-08-29T00:00:00"/>
    <n v="12"/>
    <x v="2"/>
    <b v="0"/>
    <n v="32"/>
    <n v="193"/>
    <x v="0"/>
    <x v="0"/>
  </r>
  <r>
    <s v="PED-01752"/>
    <d v="2023-06-27T00:00:00"/>
    <x v="1"/>
    <x v="10"/>
    <n v="26"/>
    <x v="4"/>
    <x v="3"/>
    <s v="SKU-QUÍ-5595"/>
    <x v="3"/>
    <x v="2"/>
    <x v="1"/>
    <s v="CIF"/>
    <n v="701"/>
    <s v="KG"/>
    <n v="158.19"/>
    <n v="110891.19"/>
    <n v="4742.5600000000004"/>
    <n v="4.2767689660468074E-2"/>
    <n v="4"/>
    <d v="2023-07-01T00:00:00"/>
    <d v="2023-06-30T00:00:00"/>
    <n v="-1"/>
    <x v="0"/>
    <b v="1"/>
    <n v="402"/>
    <n v="365"/>
    <x v="3"/>
    <x v="1"/>
  </r>
  <r>
    <s v="PED-01753"/>
    <d v="2024-09-08T00:00:00"/>
    <x v="0"/>
    <x v="3"/>
    <n v="37"/>
    <x v="7"/>
    <x v="4"/>
    <s v="SKU-TEX-1510"/>
    <x v="4"/>
    <x v="3"/>
    <x v="0"/>
    <s v="CIF"/>
    <n v="496"/>
    <s v="Cajas"/>
    <n v="80.55"/>
    <n v="39952.800000000003"/>
    <n v="2013.34"/>
    <n v="5.0392963697162646E-2"/>
    <n v="15"/>
    <d v="2024-09-23T00:00:00"/>
    <d v="2024-09-23T00:00:00"/>
    <n v="0"/>
    <x v="0"/>
    <b v="1"/>
    <n v="362"/>
    <n v="151"/>
    <x v="1"/>
    <x v="1"/>
  </r>
  <r>
    <s v="PED-01754"/>
    <d v="2023-06-06T00:00:00"/>
    <x v="1"/>
    <x v="10"/>
    <n v="23"/>
    <x v="5"/>
    <x v="1"/>
    <s v="SKU-FAR-6556"/>
    <x v="0"/>
    <x v="1"/>
    <x v="0"/>
    <s v="FOB"/>
    <n v="894"/>
    <s v="Cajas"/>
    <n v="164.55"/>
    <n v="147107.70000000001"/>
    <n v="7909.95"/>
    <n v="5.3769789072903723E-2"/>
    <n v="20"/>
    <d v="2023-06-26T00:00:00"/>
    <d v="2023-07-08T00:00:00"/>
    <n v="12"/>
    <x v="2"/>
    <b v="0"/>
    <n v="110"/>
    <n v="17"/>
    <x v="2"/>
    <x v="1"/>
  </r>
  <r>
    <s v="PED-01755"/>
    <d v="2024-11-02T00:00:00"/>
    <x v="0"/>
    <x v="6"/>
    <n v="44"/>
    <x v="4"/>
    <x v="4"/>
    <s v="SKU-TEX-7147"/>
    <x v="3"/>
    <x v="2"/>
    <x v="1"/>
    <s v="FOB"/>
    <n v="181"/>
    <s v="Metros"/>
    <n v="59.59"/>
    <n v="10785.79"/>
    <n v="418.51"/>
    <n v="3.880197927087399E-2"/>
    <n v="19"/>
    <d v="2024-11-21T00:00:00"/>
    <d v="2024-11-18T00:00:00"/>
    <n v="-3"/>
    <x v="1"/>
    <b v="0"/>
    <n v="120"/>
    <n v="26"/>
    <x v="2"/>
    <x v="1"/>
  </r>
  <r>
    <s v="PED-01756"/>
    <d v="2023-03-19T00:00:00"/>
    <x v="1"/>
    <x v="8"/>
    <n v="12"/>
    <x v="7"/>
    <x v="4"/>
    <s v="SKU-TEX-9753"/>
    <x v="3"/>
    <x v="1"/>
    <x v="1"/>
    <s v="EXW"/>
    <n v="959"/>
    <s v="Unidades"/>
    <n v="59.92"/>
    <n v="57463.28"/>
    <n v="2166.7399999999998"/>
    <n v="3.7706514490645153E-2"/>
    <n v="3"/>
    <d v="2023-03-22T00:00:00"/>
    <d v="2023-03-24T00:00:00"/>
    <n v="2"/>
    <x v="1"/>
    <b v="0"/>
    <n v="15"/>
    <n v="23"/>
    <x v="0"/>
    <x v="0"/>
  </r>
  <r>
    <s v="PED-01757"/>
    <d v="2023-07-01T00:00:00"/>
    <x v="1"/>
    <x v="7"/>
    <n v="26"/>
    <x v="5"/>
    <x v="1"/>
    <s v="SKU-FAR-3719"/>
    <x v="4"/>
    <x v="2"/>
    <x v="0"/>
    <s v="FOB"/>
    <n v="283"/>
    <s v="KG"/>
    <n v="164.23"/>
    <n v="46477.09"/>
    <n v="2974.72"/>
    <n v="6.4004007135558622E-2"/>
    <n v="20"/>
    <d v="2023-07-21T00:00:00"/>
    <d v="2023-07-18T00:00:00"/>
    <n v="-3"/>
    <x v="0"/>
    <b v="1"/>
    <n v="226"/>
    <n v="28"/>
    <x v="2"/>
    <x v="1"/>
  </r>
  <r>
    <s v="PED-01758"/>
    <d v="2024-10-05T00:00:00"/>
    <x v="0"/>
    <x v="0"/>
    <n v="40"/>
    <x v="3"/>
    <x v="7"/>
    <s v="SKU-ALI-7382"/>
    <x v="5"/>
    <x v="5"/>
    <x v="2"/>
    <s v="FOB"/>
    <n v="268"/>
    <s v="Cajas"/>
    <n v="107.1"/>
    <n v="28702.799999999999"/>
    <n v="2074.54"/>
    <n v="7.2276572320470481E-2"/>
    <n v="11"/>
    <d v="2024-10-16T00:00:00"/>
    <d v="2024-10-24T00:00:00"/>
    <n v="8"/>
    <x v="1"/>
    <b v="0"/>
    <n v="10"/>
    <n v="138"/>
    <x v="2"/>
    <x v="1"/>
  </r>
  <r>
    <s v="PED-01759"/>
    <d v="2024-05-20T00:00:00"/>
    <x v="0"/>
    <x v="5"/>
    <n v="21"/>
    <x v="3"/>
    <x v="2"/>
    <s v="SKU-AUT-4070"/>
    <x v="0"/>
    <x v="3"/>
    <x v="3"/>
    <s v="DAP"/>
    <n v="144"/>
    <s v="Palés"/>
    <n v="1012.63"/>
    <n v="145818.72"/>
    <n v="4601.29"/>
    <n v="3.1554864834912828E-2"/>
    <n v="17"/>
    <d v="2024-06-06T00:00:00"/>
    <d v="2024-06-07T00:00:00"/>
    <n v="1"/>
    <x v="2"/>
    <b v="0"/>
    <n v="202"/>
    <n v="495"/>
    <x v="4"/>
    <x v="1"/>
  </r>
  <r>
    <s v="PED-01760"/>
    <d v="2024-04-20T00:00:00"/>
    <x v="0"/>
    <x v="1"/>
    <n v="16"/>
    <x v="1"/>
    <x v="1"/>
    <s v="SKU-FAR-2914"/>
    <x v="5"/>
    <x v="2"/>
    <x v="4"/>
    <s v="CIF"/>
    <n v="692"/>
    <s v="Cajas"/>
    <n v="170.46"/>
    <n v="117958.32"/>
    <n v="3050.06"/>
    <n v="2.5857099355094237E-2"/>
    <n v="27"/>
    <d v="2024-05-17T00:00:00"/>
    <d v="2024-05-20T00:00:00"/>
    <n v="3"/>
    <x v="1"/>
    <b v="0"/>
    <n v="201"/>
    <n v="145"/>
    <x v="0"/>
    <x v="0"/>
  </r>
  <r>
    <s v="PED-01761"/>
    <d v="2024-07-31T00:00:00"/>
    <x v="0"/>
    <x v="7"/>
    <n v="31"/>
    <x v="7"/>
    <x v="6"/>
    <s v="SKU-CON-6050"/>
    <x v="0"/>
    <x v="0"/>
    <x v="1"/>
    <s v="FOB"/>
    <n v="731"/>
    <s v="Unidades"/>
    <n v="198.68"/>
    <n v="145235.07999999999"/>
    <n v="10728.19"/>
    <n v="7.3867759772638958E-2"/>
    <n v="13"/>
    <d v="2024-08-13T00:00:00"/>
    <d v="2024-08-08T00:00:00"/>
    <n v="-5"/>
    <x v="0"/>
    <b v="1"/>
    <n v="97"/>
    <n v="122"/>
    <x v="0"/>
    <x v="0"/>
  </r>
  <r>
    <s v="PED-01762"/>
    <d v="2024-08-16T00:00:00"/>
    <x v="0"/>
    <x v="4"/>
    <n v="33"/>
    <x v="2"/>
    <x v="1"/>
    <s v="SKU-FAR-6152"/>
    <x v="0"/>
    <x v="2"/>
    <x v="3"/>
    <s v="CIF"/>
    <n v="757"/>
    <s v="Cajas"/>
    <n v="156.93"/>
    <n v="118796.01"/>
    <n v="4869.8900000000003"/>
    <n v="4.0993716876517997E-2"/>
    <n v="11"/>
    <d v="2024-08-27T00:00:00"/>
    <d v="2024-08-29T00:00:00"/>
    <n v="2"/>
    <x v="1"/>
    <b v="0"/>
    <n v="115"/>
    <n v="127"/>
    <x v="0"/>
    <x v="0"/>
  </r>
  <r>
    <s v="PED-01763"/>
    <d v="2024-04-04T00:00:00"/>
    <x v="0"/>
    <x v="1"/>
    <n v="14"/>
    <x v="8"/>
    <x v="3"/>
    <s v="SKU-QUÍ-1518"/>
    <x v="5"/>
    <x v="5"/>
    <x v="4"/>
    <s v="CIF"/>
    <n v="431"/>
    <s v="Metros"/>
    <n v="144.31"/>
    <n v="62197.61"/>
    <n v="3301.39"/>
    <n v="5.3079049178899315E-2"/>
    <n v="2"/>
    <d v="2024-04-06T00:00:00"/>
    <d v="2024-04-07T00:00:00"/>
    <n v="1"/>
    <x v="2"/>
    <b v="0"/>
    <n v="452"/>
    <n v="367"/>
    <x v="0"/>
    <x v="0"/>
  </r>
  <r>
    <s v="PED-01764"/>
    <d v="2024-11-28T00:00:00"/>
    <x v="0"/>
    <x v="6"/>
    <n v="48"/>
    <x v="6"/>
    <x v="1"/>
    <s v="SKU-FAR-5448"/>
    <x v="2"/>
    <x v="0"/>
    <x v="4"/>
    <s v="DAP"/>
    <n v="430"/>
    <s v="KG"/>
    <n v="159.41999999999999"/>
    <n v="68550.600000000006"/>
    <n v="2849.83"/>
    <n v="4.1572648525322893E-2"/>
    <n v="9"/>
    <d v="2024-12-07T00:00:00"/>
    <d v="2024-12-07T00:00:00"/>
    <n v="0"/>
    <x v="0"/>
    <b v="1"/>
    <n v="470"/>
    <n v="116"/>
    <x v="0"/>
    <x v="0"/>
  </r>
  <r>
    <s v="PED-01765"/>
    <d v="2024-08-01T00:00:00"/>
    <x v="0"/>
    <x v="4"/>
    <n v="31"/>
    <x v="0"/>
    <x v="7"/>
    <s v="SKU-ALI-7780"/>
    <x v="3"/>
    <x v="0"/>
    <x v="1"/>
    <s v="CIF"/>
    <n v="195"/>
    <s v="Metros"/>
    <n v="119.1"/>
    <n v="23224.5"/>
    <n v="639.79"/>
    <n v="2.754806346745893E-2"/>
    <n v="26"/>
    <d v="2024-08-27T00:00:00"/>
    <d v="2024-08-27T00:00:00"/>
    <n v="0"/>
    <x v="0"/>
    <b v="1"/>
    <n v="438"/>
    <n v="131"/>
    <x v="4"/>
    <x v="1"/>
  </r>
  <r>
    <s v="PED-01766"/>
    <d v="2024-10-20T00:00:00"/>
    <x v="0"/>
    <x v="0"/>
    <n v="43"/>
    <x v="0"/>
    <x v="3"/>
    <s v="SKU-QUÍ-2422"/>
    <x v="4"/>
    <x v="2"/>
    <x v="2"/>
    <s v="FCA"/>
    <n v="938"/>
    <s v="KG"/>
    <n v="158.94999999999999"/>
    <n v="149095.1"/>
    <n v="8253.89"/>
    <n v="5.5359901163753868E-2"/>
    <n v="2"/>
    <d v="2024-10-22T00:00:00"/>
    <d v="2024-10-22T00:00:00"/>
    <n v="0"/>
    <x v="0"/>
    <b v="1"/>
    <n v="280"/>
    <n v="288"/>
    <x v="3"/>
    <x v="1"/>
  </r>
  <r>
    <s v="PED-01767"/>
    <d v="2024-10-12T00:00:00"/>
    <x v="0"/>
    <x v="0"/>
    <n v="41"/>
    <x v="7"/>
    <x v="6"/>
    <s v="SKU-CON-9143"/>
    <x v="5"/>
    <x v="5"/>
    <x v="2"/>
    <s v="FOB"/>
    <n v="373"/>
    <s v="Litros"/>
    <n v="202.44"/>
    <n v="75510.12"/>
    <n v="3889.41"/>
    <n v="5.1508460058069042E-2"/>
    <n v="21"/>
    <d v="2024-11-02T00:00:00"/>
    <d v="2024-11-05T00:00:00"/>
    <n v="3"/>
    <x v="2"/>
    <b v="0"/>
    <n v="348"/>
    <n v="205"/>
    <x v="2"/>
    <x v="1"/>
  </r>
  <r>
    <s v="PED-01768"/>
    <d v="2024-10-01T00:00:00"/>
    <x v="0"/>
    <x v="0"/>
    <n v="40"/>
    <x v="5"/>
    <x v="5"/>
    <s v="SKU-ELE-4893"/>
    <x v="5"/>
    <x v="0"/>
    <x v="3"/>
    <s v="CIF"/>
    <n v="964"/>
    <s v="KG"/>
    <n v="581.42999999999995"/>
    <n v="560498.52"/>
    <n v="18036.63"/>
    <n v="3.2179621098731896E-2"/>
    <n v="9"/>
    <d v="2024-10-10T00:00:00"/>
    <d v="2024-10-07T00:00:00"/>
    <n v="-3"/>
    <x v="0"/>
    <b v="1"/>
    <n v="231"/>
    <n v="235"/>
    <x v="0"/>
    <x v="0"/>
  </r>
  <r>
    <s v="PED-01769"/>
    <d v="2023-11-27T00:00:00"/>
    <x v="1"/>
    <x v="6"/>
    <n v="48"/>
    <x v="5"/>
    <x v="5"/>
    <s v="SKU-ELE-7088"/>
    <x v="4"/>
    <x v="3"/>
    <x v="3"/>
    <s v="EXW"/>
    <n v="616"/>
    <s v="Litros"/>
    <n v="714.54"/>
    <n v="440156.64"/>
    <n v="20736.72"/>
    <n v="4.7112137170076542E-2"/>
    <n v="9"/>
    <d v="2023-12-06T00:00:00"/>
    <d v="2023-12-01T00:00:00"/>
    <n v="-5"/>
    <x v="0"/>
    <b v="1"/>
    <n v="460"/>
    <n v="41"/>
    <x v="4"/>
    <x v="1"/>
  </r>
  <r>
    <s v="PED-01770"/>
    <d v="2024-10-04T00:00:00"/>
    <x v="0"/>
    <x v="0"/>
    <n v="40"/>
    <x v="6"/>
    <x v="4"/>
    <s v="SKU-TEX-8404"/>
    <x v="3"/>
    <x v="4"/>
    <x v="0"/>
    <s v="EXW"/>
    <n v="387"/>
    <s v="Metros"/>
    <n v="68.599999999999994"/>
    <n v="26548.2"/>
    <n v="1800.42"/>
    <n v="6.7817027143083145E-2"/>
    <n v="8"/>
    <d v="2024-10-12T00:00:00"/>
    <d v="2024-10-24T00:00:00"/>
    <n v="12"/>
    <x v="2"/>
    <b v="0"/>
    <n v="110"/>
    <n v="159"/>
    <x v="1"/>
    <x v="1"/>
  </r>
  <r>
    <s v="PED-01771"/>
    <d v="2023-11-20T00:00:00"/>
    <x v="1"/>
    <x v="6"/>
    <n v="47"/>
    <x v="8"/>
    <x v="2"/>
    <s v="SKU-AUT-5958"/>
    <x v="4"/>
    <x v="3"/>
    <x v="2"/>
    <s v="DAP"/>
    <n v="532"/>
    <s v="Palés"/>
    <n v="671.68"/>
    <n v="357333.76000000001"/>
    <n v="19805.43"/>
    <n v="5.5425577476922415E-2"/>
    <n v="17"/>
    <d v="2023-12-07T00:00:00"/>
    <d v="2023-12-07T00:00:00"/>
    <n v="0"/>
    <x v="0"/>
    <b v="1"/>
    <n v="351"/>
    <n v="251"/>
    <x v="0"/>
    <x v="0"/>
  </r>
  <r>
    <s v="PED-01772"/>
    <d v="2023-06-04T00:00:00"/>
    <x v="1"/>
    <x v="10"/>
    <n v="23"/>
    <x v="9"/>
    <x v="4"/>
    <s v="SKU-TEX-4541"/>
    <x v="0"/>
    <x v="1"/>
    <x v="3"/>
    <s v="FCA"/>
    <n v="589"/>
    <s v="Unidades"/>
    <n v="60.18"/>
    <n v="35446.019999999997"/>
    <n v="915.04"/>
    <n v="2.581502803417704E-2"/>
    <n v="1"/>
    <d v="2023-06-05T00:00:00"/>
    <d v="2023-06-10T00:00:00"/>
    <n v="5"/>
    <x v="2"/>
    <b v="0"/>
    <n v="417"/>
    <n v="178"/>
    <x v="1"/>
    <x v="1"/>
  </r>
  <r>
    <s v="PED-01773"/>
    <d v="2024-03-26T00:00:00"/>
    <x v="0"/>
    <x v="8"/>
    <n v="13"/>
    <x v="8"/>
    <x v="7"/>
    <s v="SKU-ALI-9603"/>
    <x v="2"/>
    <x v="1"/>
    <x v="0"/>
    <s v="FOB"/>
    <n v="900"/>
    <s v="Palés"/>
    <n v="109.96"/>
    <n v="98964"/>
    <n v="5233.34"/>
    <n v="5.288124974738289E-2"/>
    <n v="25"/>
    <d v="2024-04-20T00:00:00"/>
    <d v="2024-04-28T00:00:00"/>
    <n v="8"/>
    <x v="2"/>
    <b v="0"/>
    <n v="11"/>
    <n v="124"/>
    <x v="2"/>
    <x v="1"/>
  </r>
  <r>
    <s v="PED-01774"/>
    <d v="2023-03-11T00:00:00"/>
    <x v="1"/>
    <x v="8"/>
    <n v="10"/>
    <x v="9"/>
    <x v="0"/>
    <s v="SKU-MAQ-5953"/>
    <x v="0"/>
    <x v="5"/>
    <x v="4"/>
    <s v="DAP"/>
    <n v="731"/>
    <s v="Litros"/>
    <n v="1823.06"/>
    <n v="1332656.8600000001"/>
    <n v="82843.679999999993"/>
    <n v="6.2164299368105892E-2"/>
    <n v="29"/>
    <d v="2023-04-09T00:00:00"/>
    <d v="2023-04-11T00:00:00"/>
    <n v="2"/>
    <x v="2"/>
    <b v="0"/>
    <n v="471"/>
    <n v="259"/>
    <x v="4"/>
    <x v="1"/>
  </r>
  <r>
    <s v="PED-01775"/>
    <d v="2024-04-25T00:00:00"/>
    <x v="0"/>
    <x v="1"/>
    <n v="17"/>
    <x v="6"/>
    <x v="6"/>
    <s v="SKU-CON-3867"/>
    <x v="2"/>
    <x v="0"/>
    <x v="3"/>
    <s v="EXW"/>
    <n v="205"/>
    <s v="Cajas"/>
    <n v="244.12"/>
    <n v="50044.6"/>
    <n v="3381.12"/>
    <n v="6.7562134575958249E-2"/>
    <n v="11"/>
    <d v="2024-05-06T00:00:00"/>
    <d v="2024-05-05T00:00:00"/>
    <n v="-1"/>
    <x v="0"/>
    <b v="1"/>
    <n v="487"/>
    <n v="275"/>
    <x v="0"/>
    <x v="0"/>
  </r>
  <r>
    <s v="PED-01776"/>
    <d v="2024-03-28T00:00:00"/>
    <x v="0"/>
    <x v="8"/>
    <n v="13"/>
    <x v="9"/>
    <x v="2"/>
    <s v="SKU-AUT-2838"/>
    <x v="4"/>
    <x v="3"/>
    <x v="0"/>
    <s v="FCA"/>
    <n v="890"/>
    <s v="Cajas"/>
    <n v="1114.77"/>
    <n v="992145.3"/>
    <n v="57293.47"/>
    <n v="5.7747055799185862E-2"/>
    <n v="8"/>
    <d v="2024-04-05T00:00:00"/>
    <d v="2024-04-17T00:00:00"/>
    <n v="12"/>
    <x v="1"/>
    <b v="0"/>
    <n v="20"/>
    <n v="212"/>
    <x v="4"/>
    <x v="1"/>
  </r>
  <r>
    <s v="PED-01777"/>
    <d v="2024-10-08T00:00:00"/>
    <x v="0"/>
    <x v="0"/>
    <n v="41"/>
    <x v="2"/>
    <x v="6"/>
    <s v="SKU-CON-7131"/>
    <x v="0"/>
    <x v="3"/>
    <x v="2"/>
    <s v="FOB"/>
    <n v="107"/>
    <s v="Palés"/>
    <n v="283.04000000000002"/>
    <n v="30285.279999999999"/>
    <n v="883.1"/>
    <n v="2.9159380398662324E-2"/>
    <n v="10"/>
    <d v="2024-10-18T00:00:00"/>
    <d v="2024-10-23T00:00:00"/>
    <n v="5"/>
    <x v="1"/>
    <b v="0"/>
    <n v="126"/>
    <n v="450"/>
    <x v="0"/>
    <x v="0"/>
  </r>
  <r>
    <s v="PED-01778"/>
    <d v="2023-11-07T00:00:00"/>
    <x v="1"/>
    <x v="6"/>
    <n v="45"/>
    <x v="1"/>
    <x v="5"/>
    <s v="SKU-ELE-1612"/>
    <x v="3"/>
    <x v="4"/>
    <x v="4"/>
    <s v="CIF"/>
    <n v="614"/>
    <s v="Cajas"/>
    <n v="717.92"/>
    <n v="440802.88"/>
    <n v="27598.84"/>
    <n v="6.2610389478399045E-2"/>
    <n v="25"/>
    <d v="2023-12-02T00:00:00"/>
    <d v="2023-11-27T00:00:00"/>
    <n v="-5"/>
    <x v="0"/>
    <b v="1"/>
    <n v="284"/>
    <n v="472"/>
    <x v="0"/>
    <x v="0"/>
  </r>
  <r>
    <s v="PED-01779"/>
    <d v="2023-10-09T00:00:00"/>
    <x v="1"/>
    <x v="0"/>
    <n v="41"/>
    <x v="8"/>
    <x v="4"/>
    <s v="SKU-TEX-4311"/>
    <x v="0"/>
    <x v="5"/>
    <x v="3"/>
    <s v="FOB"/>
    <n v="993"/>
    <s v="Litros"/>
    <n v="46.55"/>
    <n v="46224.15"/>
    <n v="2803.06"/>
    <n v="6.0640595878993987E-2"/>
    <n v="7"/>
    <d v="2023-10-16T00:00:00"/>
    <d v="2023-10-19T00:00:00"/>
    <n v="3"/>
    <x v="1"/>
    <b v="0"/>
    <n v="434"/>
    <n v="323"/>
    <x v="0"/>
    <x v="0"/>
  </r>
  <r>
    <s v="PED-01780"/>
    <d v="2024-08-28T00:00:00"/>
    <x v="0"/>
    <x v="4"/>
    <n v="35"/>
    <x v="9"/>
    <x v="6"/>
    <s v="SKU-CON-2517"/>
    <x v="5"/>
    <x v="0"/>
    <x v="2"/>
    <s v="DDP"/>
    <n v="31"/>
    <s v="Metros"/>
    <n v="227.06"/>
    <n v="7038.86"/>
    <n v="151.09"/>
    <n v="2.1465123613767005E-2"/>
    <n v="3"/>
    <d v="2024-08-31T00:00:00"/>
    <d v="2024-08-31T00:00:00"/>
    <n v="0"/>
    <x v="0"/>
    <b v="1"/>
    <n v="120"/>
    <n v="189"/>
    <x v="4"/>
    <x v="1"/>
  </r>
  <r>
    <s v="PED-01781"/>
    <d v="2023-02-27T00:00:00"/>
    <x v="1"/>
    <x v="9"/>
    <n v="9"/>
    <x v="3"/>
    <x v="5"/>
    <s v="SKU-ELE-8270"/>
    <x v="2"/>
    <x v="5"/>
    <x v="4"/>
    <s v="FOB"/>
    <n v="459"/>
    <s v="Unidades"/>
    <n v="646.20000000000005"/>
    <n v="296605.8"/>
    <n v="13259.72"/>
    <n v="4.4704857423556787E-2"/>
    <n v="3"/>
    <d v="2023-03-02T00:00:00"/>
    <d v="2023-03-01T00:00:00"/>
    <n v="-1"/>
    <x v="0"/>
    <b v="1"/>
    <n v="123"/>
    <n v="57"/>
    <x v="2"/>
    <x v="1"/>
  </r>
  <r>
    <s v="PED-01782"/>
    <d v="2023-12-27T00:00:00"/>
    <x v="1"/>
    <x v="11"/>
    <n v="52"/>
    <x v="2"/>
    <x v="7"/>
    <s v="SKU-ALI-9290"/>
    <x v="2"/>
    <x v="2"/>
    <x v="1"/>
    <s v="CIF"/>
    <n v="181"/>
    <s v="KG"/>
    <n v="104.44"/>
    <n v="18903.64"/>
    <n v="755.71"/>
    <n v="3.9976956818898374E-2"/>
    <n v="18"/>
    <d v="2024-01-14T00:00:00"/>
    <d v="2024-01-16T00:00:00"/>
    <n v="2"/>
    <x v="2"/>
    <b v="0"/>
    <n v="406"/>
    <n v="430"/>
    <x v="4"/>
    <x v="1"/>
  </r>
  <r>
    <s v="PED-01783"/>
    <d v="2024-06-03T00:00:00"/>
    <x v="0"/>
    <x v="10"/>
    <n v="23"/>
    <x v="8"/>
    <x v="7"/>
    <s v="SKU-ALI-1408"/>
    <x v="3"/>
    <x v="3"/>
    <x v="2"/>
    <s v="DDP"/>
    <n v="392"/>
    <s v="Litros"/>
    <n v="94.83"/>
    <n v="37173.360000000001"/>
    <n v="2236.52"/>
    <n v="6.0164590986663567E-2"/>
    <n v="5"/>
    <d v="2024-06-08T00:00:00"/>
    <d v="2024-06-07T00:00:00"/>
    <n v="-1"/>
    <x v="0"/>
    <b v="1"/>
    <n v="32"/>
    <n v="202"/>
    <x v="3"/>
    <x v="1"/>
  </r>
  <r>
    <s v="PED-01784"/>
    <d v="2023-03-17T00:00:00"/>
    <x v="1"/>
    <x v="8"/>
    <n v="11"/>
    <x v="9"/>
    <x v="0"/>
    <s v="SKU-MAQ-8907"/>
    <x v="2"/>
    <x v="5"/>
    <x v="1"/>
    <s v="FCA"/>
    <n v="143"/>
    <s v="Litros"/>
    <n v="1250.1400000000001"/>
    <n v="178770.02"/>
    <n v="5893.72"/>
    <n v="3.2968167705077177E-2"/>
    <n v="12"/>
    <d v="2023-03-29T00:00:00"/>
    <d v="2023-03-29T00:00:00"/>
    <n v="0"/>
    <x v="0"/>
    <b v="1"/>
    <n v="391"/>
    <n v="79"/>
    <x v="3"/>
    <x v="1"/>
  </r>
  <r>
    <s v="PED-01785"/>
    <d v="2023-11-14T00:00:00"/>
    <x v="1"/>
    <x v="6"/>
    <n v="46"/>
    <x v="3"/>
    <x v="6"/>
    <s v="SKU-CON-9192"/>
    <x v="2"/>
    <x v="5"/>
    <x v="3"/>
    <s v="DAP"/>
    <n v="435"/>
    <s v="KG"/>
    <n v="267.58999999999997"/>
    <n v="116401.65"/>
    <n v="6454.74"/>
    <n v="5.545230673276539E-2"/>
    <n v="12"/>
    <d v="2023-11-26T00:00:00"/>
    <d v="2023-11-28T00:00:00"/>
    <n v="2"/>
    <x v="1"/>
    <b v="0"/>
    <n v="169"/>
    <n v="442"/>
    <x v="0"/>
    <x v="0"/>
  </r>
  <r>
    <s v="PED-01786"/>
    <d v="2024-04-17T00:00:00"/>
    <x v="0"/>
    <x v="1"/>
    <n v="16"/>
    <x v="6"/>
    <x v="0"/>
    <s v="SKU-MAQ-3524"/>
    <x v="3"/>
    <x v="4"/>
    <x v="0"/>
    <s v="FCA"/>
    <n v="34"/>
    <s v="KG"/>
    <n v="1914.13"/>
    <n v="65080.42"/>
    <n v="4867.5200000000004"/>
    <n v="7.4792387633638518E-2"/>
    <n v="19"/>
    <d v="2024-05-06T00:00:00"/>
    <d v="2024-05-01T00:00:00"/>
    <n v="-5"/>
    <x v="0"/>
    <b v="1"/>
    <n v="76"/>
    <n v="227"/>
    <x v="0"/>
    <x v="0"/>
  </r>
  <r>
    <s v="PED-01787"/>
    <d v="2024-04-07T00:00:00"/>
    <x v="0"/>
    <x v="1"/>
    <n v="15"/>
    <x v="6"/>
    <x v="3"/>
    <s v="SKU-QUÍ-4116"/>
    <x v="0"/>
    <x v="2"/>
    <x v="3"/>
    <s v="FOB"/>
    <n v="512"/>
    <s v="Unidades"/>
    <n v="92.27"/>
    <n v="47242.239999999998"/>
    <n v="3206.24"/>
    <n v="6.7868077381597489E-2"/>
    <n v="6"/>
    <d v="2024-04-13T00:00:00"/>
    <d v="2024-04-13T00:00:00"/>
    <n v="0"/>
    <x v="0"/>
    <b v="1"/>
    <n v="452"/>
    <n v="389"/>
    <x v="2"/>
    <x v="1"/>
  </r>
  <r>
    <s v="PED-01788"/>
    <d v="2023-02-08T00:00:00"/>
    <x v="1"/>
    <x v="9"/>
    <n v="6"/>
    <x v="7"/>
    <x v="2"/>
    <s v="SKU-AUT-6572"/>
    <x v="4"/>
    <x v="1"/>
    <x v="2"/>
    <s v="DAP"/>
    <n v="194"/>
    <s v="Unidades"/>
    <n v="856.84"/>
    <n v="166226.96"/>
    <n v="12514.81"/>
    <n v="7.528748645827367E-2"/>
    <n v="2"/>
    <d v="2023-02-10T00:00:00"/>
    <d v="2023-02-10T00:00:00"/>
    <n v="0"/>
    <x v="0"/>
    <b v="1"/>
    <n v="296"/>
    <n v="94"/>
    <x v="0"/>
    <x v="0"/>
  </r>
  <r>
    <s v="PED-01789"/>
    <d v="2023-02-28T00:00:00"/>
    <x v="1"/>
    <x v="9"/>
    <n v="9"/>
    <x v="0"/>
    <x v="6"/>
    <s v="SKU-CON-8921"/>
    <x v="0"/>
    <x v="3"/>
    <x v="1"/>
    <s v="FOB"/>
    <n v="94"/>
    <s v="Unidades"/>
    <n v="167.84"/>
    <n v="15776.96"/>
    <n v="1241.81"/>
    <n v="7.8710347240533038E-2"/>
    <n v="12"/>
    <d v="2023-03-12T00:00:00"/>
    <d v="2023-03-07T00:00:00"/>
    <n v="-5"/>
    <x v="0"/>
    <b v="1"/>
    <n v="329"/>
    <n v="423"/>
    <x v="1"/>
    <x v="1"/>
  </r>
  <r>
    <s v="PED-01790"/>
    <d v="2024-01-13T00:00:00"/>
    <x v="0"/>
    <x v="2"/>
    <n v="2"/>
    <x v="4"/>
    <x v="7"/>
    <s v="SKU-ALI-9579"/>
    <x v="5"/>
    <x v="4"/>
    <x v="1"/>
    <s v="EXW"/>
    <n v="576"/>
    <s v="Cajas"/>
    <n v="77.599999999999994"/>
    <n v="44697.599999999999"/>
    <n v="922.57"/>
    <n v="2.064025808991982E-2"/>
    <n v="19"/>
    <d v="2024-02-01T00:00:00"/>
    <d v="2024-02-03T00:00:00"/>
    <n v="2"/>
    <x v="2"/>
    <b v="0"/>
    <n v="62"/>
    <n v="460"/>
    <x v="2"/>
    <x v="1"/>
  </r>
  <r>
    <s v="PED-01791"/>
    <d v="2023-10-21T00:00:00"/>
    <x v="1"/>
    <x v="0"/>
    <n v="42"/>
    <x v="3"/>
    <x v="4"/>
    <s v="SKU-TEX-6084"/>
    <x v="5"/>
    <x v="5"/>
    <x v="4"/>
    <s v="EXW"/>
    <n v="772"/>
    <s v="Litros"/>
    <n v="42.87"/>
    <n v="33095.64"/>
    <n v="1898.51"/>
    <n v="5.7364353733603581E-2"/>
    <n v="5"/>
    <d v="2023-10-26T00:00:00"/>
    <d v="2023-11-03T00:00:00"/>
    <n v="8"/>
    <x v="1"/>
    <b v="0"/>
    <n v="269"/>
    <n v="406"/>
    <x v="0"/>
    <x v="0"/>
  </r>
  <r>
    <s v="PED-01792"/>
    <d v="2023-03-20T00:00:00"/>
    <x v="1"/>
    <x v="8"/>
    <n v="12"/>
    <x v="7"/>
    <x v="5"/>
    <s v="SKU-ELE-6363"/>
    <x v="2"/>
    <x v="3"/>
    <x v="3"/>
    <s v="CIF"/>
    <n v="153"/>
    <s v="Metros"/>
    <n v="510.13"/>
    <n v="78049.89"/>
    <n v="3494.32"/>
    <n v="4.4770338561655888E-2"/>
    <n v="12"/>
    <d v="2023-04-01T00:00:00"/>
    <d v="2023-04-01T00:00:00"/>
    <n v="0"/>
    <x v="0"/>
    <b v="1"/>
    <n v="215"/>
    <n v="435"/>
    <x v="4"/>
    <x v="1"/>
  </r>
  <r>
    <s v="PED-01793"/>
    <d v="2024-10-22T00:00:00"/>
    <x v="0"/>
    <x v="0"/>
    <n v="43"/>
    <x v="2"/>
    <x v="1"/>
    <s v="SKU-FAR-3347"/>
    <x v="5"/>
    <x v="1"/>
    <x v="3"/>
    <s v="FCA"/>
    <n v="872"/>
    <s v="KG"/>
    <n v="227.98"/>
    <n v="198798.56"/>
    <n v="14232.24"/>
    <n v="7.1591263035305691E-2"/>
    <n v="27"/>
    <d v="2024-11-18T00:00:00"/>
    <d v="2024-11-30T00:00:00"/>
    <n v="12"/>
    <x v="1"/>
    <b v="0"/>
    <n v="189"/>
    <n v="3"/>
    <x v="2"/>
    <x v="1"/>
  </r>
  <r>
    <s v="PED-01794"/>
    <d v="2023-04-03T00:00:00"/>
    <x v="1"/>
    <x v="1"/>
    <n v="14"/>
    <x v="9"/>
    <x v="0"/>
    <s v="SKU-MAQ-2609"/>
    <x v="4"/>
    <x v="5"/>
    <x v="2"/>
    <s v="EXW"/>
    <n v="919"/>
    <s v="Litros"/>
    <n v="1793.5"/>
    <n v="1639255.3774000001"/>
    <n v="57867.39"/>
    <n v="3.5301021913853745E-2"/>
    <n v="27"/>
    <d v="2023-04-30T00:00:00"/>
    <d v="2023-04-25T00:00:00"/>
    <n v="-5"/>
    <x v="0"/>
    <b v="1"/>
    <n v="74"/>
    <n v="164"/>
    <x v="0"/>
    <x v="0"/>
  </r>
  <r>
    <s v="PED-01795"/>
    <d v="2024-09-21T00:00:00"/>
    <x v="0"/>
    <x v="3"/>
    <n v="38"/>
    <x v="8"/>
    <x v="1"/>
    <s v="SKU-FAR-9456"/>
    <x v="2"/>
    <x v="2"/>
    <x v="1"/>
    <s v="DDP"/>
    <n v="688"/>
    <s v="Litros"/>
    <n v="246.16"/>
    <n v="169358.07999999999"/>
    <n v="13355.88"/>
    <n v="7.8861782089168705E-2"/>
    <n v="17"/>
    <d v="2024-10-08T00:00:00"/>
    <d v="2024-10-13T00:00:00"/>
    <n v="5"/>
    <x v="1"/>
    <b v="0"/>
    <n v="173"/>
    <n v="425"/>
    <x v="3"/>
    <x v="1"/>
  </r>
  <r>
    <s v="PED-01796"/>
    <d v="2024-08-31T00:00:00"/>
    <x v="0"/>
    <x v="4"/>
    <n v="35"/>
    <x v="5"/>
    <x v="6"/>
    <s v="SKU-CON-3174"/>
    <x v="5"/>
    <x v="3"/>
    <x v="2"/>
    <s v="DDP"/>
    <n v="421"/>
    <s v="Unidades"/>
    <n v="273.81"/>
    <n v="115274.01"/>
    <n v="6550.15"/>
    <n v="5.6822435516904461E-2"/>
    <n v="29"/>
    <d v="2024-09-29T00:00:00"/>
    <d v="2024-09-30T00:00:00"/>
    <n v="1"/>
    <x v="1"/>
    <b v="0"/>
    <n v="66"/>
    <n v="484"/>
    <x v="1"/>
    <x v="1"/>
  </r>
  <r>
    <s v="PED-01797"/>
    <d v="2024-06-03T00:00:00"/>
    <x v="0"/>
    <x v="10"/>
    <n v="23"/>
    <x v="3"/>
    <x v="4"/>
    <s v="SKU-TEX-4361"/>
    <x v="1"/>
    <x v="4"/>
    <x v="2"/>
    <s v="FOB"/>
    <n v="233"/>
    <s v="Unidades"/>
    <n v="52.34"/>
    <n v="12195.22"/>
    <n v="824.55"/>
    <n v="6.7612556395046583E-2"/>
    <n v="17"/>
    <d v="2024-06-20T00:00:00"/>
    <d v="2024-06-20T00:00:00"/>
    <n v="0"/>
    <x v="0"/>
    <b v="1"/>
    <n v="92"/>
    <n v="299"/>
    <x v="4"/>
    <x v="1"/>
  </r>
  <r>
    <s v="PED-01798"/>
    <d v="2024-01-29T00:00:00"/>
    <x v="0"/>
    <x v="2"/>
    <n v="5"/>
    <x v="4"/>
    <x v="0"/>
    <s v="SKU-MAQ-1598"/>
    <x v="1"/>
    <x v="2"/>
    <x v="1"/>
    <s v="DAP"/>
    <n v="229"/>
    <s v="Litros"/>
    <n v="1194.58"/>
    <n v="273558.82"/>
    <n v="6876.17"/>
    <n v="2.5135983551910334E-2"/>
    <n v="10"/>
    <d v="2024-02-08T00:00:00"/>
    <d v="2024-02-08T00:00:00"/>
    <n v="0"/>
    <x v="0"/>
    <b v="1"/>
    <n v="52"/>
    <n v="480"/>
    <x v="0"/>
    <x v="0"/>
  </r>
  <r>
    <s v="PED-01799"/>
    <d v="2024-04-18T00:00:00"/>
    <x v="0"/>
    <x v="1"/>
    <n v="16"/>
    <x v="5"/>
    <x v="1"/>
    <s v="SKU-FAR-8526"/>
    <x v="1"/>
    <x v="1"/>
    <x v="2"/>
    <s v="DDP"/>
    <n v="188"/>
    <s v="Unidades"/>
    <n v="276.25"/>
    <n v="51935"/>
    <n v="1610.37"/>
    <n v="3.1007413112544523E-2"/>
    <n v="25"/>
    <d v="2024-05-13T00:00:00"/>
    <d v="2024-05-08T00:00:00"/>
    <n v="-5"/>
    <x v="1"/>
    <b v="0"/>
    <n v="495"/>
    <n v="380"/>
    <x v="0"/>
    <x v="0"/>
  </r>
  <r>
    <s v="PED-01800"/>
    <d v="2024-08-17T00:00:00"/>
    <x v="0"/>
    <x v="4"/>
    <n v="33"/>
    <x v="1"/>
    <x v="2"/>
    <s v="SKU-AUT-7350"/>
    <x v="1"/>
    <x v="1"/>
    <x v="1"/>
    <s v="FOB"/>
    <n v="640"/>
    <s v="Cajas"/>
    <n v="660.23"/>
    <n v="422547.20000000001"/>
    <n v="27678.62"/>
    <n v="6.5504208760583424E-2"/>
    <n v="23"/>
    <d v="2024-09-09T00:00:00"/>
    <d v="2024-09-14T00:00:00"/>
    <n v="5"/>
    <x v="2"/>
    <b v="0"/>
    <n v="435"/>
    <n v="41"/>
    <x v="3"/>
    <x v="1"/>
  </r>
  <r>
    <s v="PED-01801"/>
    <d v="2024-07-21T00:00:00"/>
    <x v="0"/>
    <x v="7"/>
    <n v="30"/>
    <x v="4"/>
    <x v="4"/>
    <s v="SKU-TEX-9558"/>
    <x v="0"/>
    <x v="3"/>
    <x v="2"/>
    <s v="DAP"/>
    <n v="442"/>
    <s v="KG"/>
    <n v="88.79"/>
    <n v="39245.18"/>
    <n v="836.68"/>
    <n v="2.1319305963178152E-2"/>
    <n v="17"/>
    <d v="2024-08-07T00:00:00"/>
    <d v="2024-08-15T00:00:00"/>
    <n v="8"/>
    <x v="2"/>
    <b v="0"/>
    <n v="93"/>
    <n v="284"/>
    <x v="3"/>
    <x v="1"/>
  </r>
  <r>
    <s v="PED-01802"/>
    <d v="2023-02-12T00:00:00"/>
    <x v="1"/>
    <x v="9"/>
    <n v="7"/>
    <x v="7"/>
    <x v="5"/>
    <s v="SKU-ELE-2897"/>
    <x v="1"/>
    <x v="1"/>
    <x v="0"/>
    <s v="EXW"/>
    <n v="274"/>
    <s v="Litros"/>
    <n v="687.02"/>
    <n v="188243.48"/>
    <n v="12991.19"/>
    <n v="6.9012695685396377E-2"/>
    <n v="15"/>
    <d v="2023-02-27T00:00:00"/>
    <d v="2023-02-27T00:00:00"/>
    <n v="0"/>
    <x v="0"/>
    <b v="1"/>
    <n v="112"/>
    <n v="228"/>
    <x v="0"/>
    <x v="0"/>
  </r>
  <r>
    <s v="PED-01803"/>
    <d v="2024-04-05T00:00:00"/>
    <x v="0"/>
    <x v="1"/>
    <n v="14"/>
    <x v="4"/>
    <x v="2"/>
    <s v="SKU-AUT-1067"/>
    <x v="2"/>
    <x v="0"/>
    <x v="2"/>
    <s v="FOB"/>
    <n v="963"/>
    <s v="KG"/>
    <n v="880.56"/>
    <n v="847979.28"/>
    <n v="17669.29"/>
    <n v="2.083693601570076E-2"/>
    <n v="12"/>
    <d v="2024-04-17T00:00:00"/>
    <d v="2024-04-20T00:00:00"/>
    <n v="3"/>
    <x v="1"/>
    <b v="0"/>
    <n v="228"/>
    <n v="402"/>
    <x v="4"/>
    <x v="1"/>
  </r>
  <r>
    <s v="PED-01804"/>
    <d v="2024-08-08T00:00:00"/>
    <x v="0"/>
    <x v="4"/>
    <n v="32"/>
    <x v="9"/>
    <x v="4"/>
    <s v="SKU-TEX-6095"/>
    <x v="3"/>
    <x v="4"/>
    <x v="2"/>
    <s v="DAP"/>
    <n v="438"/>
    <s v="Cajas"/>
    <n v="89.11"/>
    <n v="39030.18"/>
    <n v="2319.4499999999998"/>
    <n v="5.9427089498434282E-2"/>
    <n v="16"/>
    <d v="2024-08-24T00:00:00"/>
    <d v="2024-08-27T00:00:00"/>
    <n v="3"/>
    <x v="1"/>
    <b v="0"/>
    <n v="249"/>
    <n v="242"/>
    <x v="4"/>
    <x v="1"/>
  </r>
  <r>
    <s v="PED-01805"/>
    <d v="2024-10-29T00:00:00"/>
    <x v="0"/>
    <x v="0"/>
    <n v="44"/>
    <x v="8"/>
    <x v="3"/>
    <s v="SKU-QUÍ-1721"/>
    <x v="0"/>
    <x v="3"/>
    <x v="0"/>
    <s v="CIF"/>
    <n v="671"/>
    <s v="Unidades"/>
    <n v="93.35"/>
    <n v="62637.85"/>
    <n v="2624.88"/>
    <n v="4.1905652891981449E-2"/>
    <n v="24"/>
    <d v="2024-11-22T00:00:00"/>
    <d v="2024-11-24T00:00:00"/>
    <n v="2"/>
    <x v="2"/>
    <b v="0"/>
    <n v="390"/>
    <n v="211"/>
    <x v="3"/>
    <x v="1"/>
  </r>
  <r>
    <s v="PED-01806"/>
    <d v="2023-07-12T00:00:00"/>
    <x v="1"/>
    <x v="7"/>
    <n v="28"/>
    <x v="2"/>
    <x v="0"/>
    <s v="SKU-MAQ-2426"/>
    <x v="3"/>
    <x v="0"/>
    <x v="3"/>
    <s v="FCA"/>
    <n v="425"/>
    <s v="Palés"/>
    <n v="1413.68"/>
    <n v="600814"/>
    <n v="34059.96"/>
    <n v="5.6689690985895796E-2"/>
    <n v="19"/>
    <d v="2023-07-31T00:00:00"/>
    <d v="2023-07-31T00:00:00"/>
    <n v="0"/>
    <x v="0"/>
    <b v="1"/>
    <n v="208"/>
    <n v="415"/>
    <x v="1"/>
    <x v="1"/>
  </r>
  <r>
    <s v="PED-01807"/>
    <d v="2023-11-26T00:00:00"/>
    <x v="1"/>
    <x v="6"/>
    <n v="48"/>
    <x v="5"/>
    <x v="7"/>
    <s v="SKU-ALI-6460"/>
    <x v="2"/>
    <x v="1"/>
    <x v="1"/>
    <s v="FCA"/>
    <n v="462"/>
    <s v="Cajas"/>
    <n v="96.85"/>
    <n v="44744.7"/>
    <n v="2763.52"/>
    <n v="6.1761951694837607E-2"/>
    <n v="8"/>
    <d v="2023-12-04T00:00:00"/>
    <d v="2023-11-29T00:00:00"/>
    <n v="-5"/>
    <x v="0"/>
    <b v="1"/>
    <n v="467"/>
    <n v="299"/>
    <x v="2"/>
    <x v="1"/>
  </r>
  <r>
    <s v="PED-01808"/>
    <d v="2024-09-11T00:00:00"/>
    <x v="0"/>
    <x v="3"/>
    <n v="37"/>
    <x v="4"/>
    <x v="5"/>
    <s v="SKU-ELE-8649"/>
    <x v="2"/>
    <x v="3"/>
    <x v="4"/>
    <s v="CIF"/>
    <n v="736"/>
    <s v="Palés"/>
    <n v="490"/>
    <n v="360640"/>
    <n v="14623.42"/>
    <n v="4.0548524844720497E-2"/>
    <n v="21"/>
    <d v="2024-10-02T00:00:00"/>
    <d v="2024-10-05T00:00:00"/>
    <n v="3"/>
    <x v="2"/>
    <b v="0"/>
    <n v="181"/>
    <n v="54"/>
    <x v="4"/>
    <x v="1"/>
  </r>
  <r>
    <s v="PED-01809"/>
    <d v="2024-05-02T00:00:00"/>
    <x v="0"/>
    <x v="5"/>
    <n v="18"/>
    <x v="9"/>
    <x v="6"/>
    <s v="SKU-CON-1755"/>
    <x v="4"/>
    <x v="0"/>
    <x v="0"/>
    <s v="DDP"/>
    <n v="206"/>
    <s v="KG"/>
    <n v="288.54000000000002"/>
    <n v="59439.24"/>
    <n v="1573.82"/>
    <n v="2.6477794803567475E-2"/>
    <n v="17"/>
    <d v="2024-05-19T00:00:00"/>
    <d v="2024-05-14T00:00:00"/>
    <n v="-5"/>
    <x v="0"/>
    <b v="1"/>
    <n v="266"/>
    <n v="335"/>
    <x v="0"/>
    <x v="0"/>
  </r>
  <r>
    <s v="PED-01810"/>
    <d v="2024-05-28T00:00:00"/>
    <x v="0"/>
    <x v="5"/>
    <n v="22"/>
    <x v="6"/>
    <x v="2"/>
    <s v="SKU-AUT-2689"/>
    <x v="0"/>
    <x v="1"/>
    <x v="3"/>
    <s v="FCA"/>
    <n v="563"/>
    <s v="Litros"/>
    <n v="602"/>
    <n v="338926"/>
    <n v="8194.81"/>
    <n v="2.4178758785103532E-2"/>
    <n v="23"/>
    <d v="2024-06-20T00:00:00"/>
    <d v="2024-06-22T00:00:00"/>
    <n v="2"/>
    <x v="1"/>
    <b v="0"/>
    <n v="491"/>
    <n v="388"/>
    <x v="0"/>
    <x v="0"/>
  </r>
  <r>
    <s v="PED-01811"/>
    <d v="2023-06-04T00:00:00"/>
    <x v="1"/>
    <x v="10"/>
    <n v="23"/>
    <x v="4"/>
    <x v="2"/>
    <s v="SKU-AUT-9529"/>
    <x v="3"/>
    <x v="5"/>
    <x v="2"/>
    <s v="DAP"/>
    <n v="62"/>
    <s v="Unidades"/>
    <n v="911.62"/>
    <n v="56520.44"/>
    <n v="3127.62"/>
    <n v="5.5336087263298014E-2"/>
    <n v="5"/>
    <d v="2023-06-09T00:00:00"/>
    <d v="2023-06-09T00:00:00"/>
    <n v="0"/>
    <x v="0"/>
    <b v="1"/>
    <n v="280"/>
    <n v="368"/>
    <x v="1"/>
    <x v="1"/>
  </r>
  <r>
    <s v="PED-01812"/>
    <d v="2023-03-05T00:00:00"/>
    <x v="1"/>
    <x v="8"/>
    <n v="10"/>
    <x v="4"/>
    <x v="1"/>
    <s v="SKU-FAR-6119"/>
    <x v="1"/>
    <x v="5"/>
    <x v="3"/>
    <s v="CIF"/>
    <n v="489"/>
    <s v="Cajas"/>
    <n v="234.54"/>
    <n v="114690.06"/>
    <n v="5876.64"/>
    <n v="5.1239314025993188E-2"/>
    <n v="22"/>
    <d v="2023-03-27T00:00:00"/>
    <d v="2023-03-26T00:00:00"/>
    <n v="-1"/>
    <x v="0"/>
    <b v="1"/>
    <n v="442"/>
    <n v="429"/>
    <x v="1"/>
    <x v="1"/>
  </r>
  <r>
    <s v="PED-01813"/>
    <d v="2024-04-06T00:00:00"/>
    <x v="0"/>
    <x v="1"/>
    <n v="14"/>
    <x v="0"/>
    <x v="0"/>
    <s v="SKU-MAQ-1368"/>
    <x v="2"/>
    <x v="2"/>
    <x v="0"/>
    <s v="DDP"/>
    <n v="452"/>
    <s v="Unidades"/>
    <n v="1833.27"/>
    <n v="828638.04"/>
    <n v="53473.72"/>
    <n v="6.4532060343259159E-2"/>
    <n v="16"/>
    <d v="2024-04-22T00:00:00"/>
    <d v="2024-04-30T00:00:00"/>
    <n v="8"/>
    <x v="1"/>
    <b v="0"/>
    <n v="471"/>
    <n v="459"/>
    <x v="4"/>
    <x v="1"/>
  </r>
  <r>
    <s v="PED-01814"/>
    <d v="2023-04-16T00:00:00"/>
    <x v="1"/>
    <x v="1"/>
    <n v="16"/>
    <x v="5"/>
    <x v="6"/>
    <s v="SKU-CON-6114"/>
    <x v="1"/>
    <x v="5"/>
    <x v="2"/>
    <s v="FOB"/>
    <n v="339"/>
    <s v="Palés"/>
    <n v="180.91"/>
    <n v="61328.49"/>
    <n v="3102.25"/>
    <n v="5.0584157542440715E-2"/>
    <n v="6"/>
    <d v="2023-04-22T00:00:00"/>
    <d v="2023-04-23T00:00:00"/>
    <n v="1"/>
    <x v="1"/>
    <b v="0"/>
    <n v="449"/>
    <n v="172"/>
    <x v="2"/>
    <x v="1"/>
  </r>
  <r>
    <s v="PED-01815"/>
    <d v="2023-12-18T00:00:00"/>
    <x v="1"/>
    <x v="11"/>
    <n v="51"/>
    <x v="0"/>
    <x v="7"/>
    <s v="SKU-ALI-4438"/>
    <x v="3"/>
    <x v="0"/>
    <x v="3"/>
    <s v="FOB"/>
    <n v="260"/>
    <s v="Palés"/>
    <n v="79.33"/>
    <n v="20625.8"/>
    <n v="935.31"/>
    <n v="4.5346604737755626E-2"/>
    <n v="8"/>
    <d v="2023-12-26T00:00:00"/>
    <d v="2023-12-27T00:00:00"/>
    <n v="1"/>
    <x v="2"/>
    <b v="0"/>
    <n v="154"/>
    <n v="276"/>
    <x v="0"/>
    <x v="0"/>
  </r>
  <r>
    <s v="PED-01816"/>
    <d v="2023-03-28T00:00:00"/>
    <x v="1"/>
    <x v="8"/>
    <n v="13"/>
    <x v="0"/>
    <x v="4"/>
    <s v="SKU-TEX-6257"/>
    <x v="0"/>
    <x v="4"/>
    <x v="4"/>
    <s v="DAP"/>
    <n v="816"/>
    <s v="Metros"/>
    <n v="82.5"/>
    <n v="67320"/>
    <n v="2954.35"/>
    <n v="4.3885175282234103E-2"/>
    <n v="25"/>
    <d v="2023-04-22T00:00:00"/>
    <d v="2023-04-25T00:00:00"/>
    <n v="3"/>
    <x v="2"/>
    <b v="0"/>
    <n v="82"/>
    <n v="333"/>
    <x v="4"/>
    <x v="1"/>
  </r>
  <r>
    <s v="PED-01817"/>
    <d v="2024-05-31T00:00:00"/>
    <x v="0"/>
    <x v="5"/>
    <n v="22"/>
    <x v="8"/>
    <x v="7"/>
    <s v="SKU-ALI-4285"/>
    <x v="5"/>
    <x v="5"/>
    <x v="1"/>
    <s v="DAP"/>
    <n v="899"/>
    <s v="Litros"/>
    <n v="68.48"/>
    <n v="61563.519999999997"/>
    <n v="1328.96"/>
    <n v="2.1586809851028663E-2"/>
    <n v="18"/>
    <d v="2024-06-18T00:00:00"/>
    <d v="2024-06-19T00:00:00"/>
    <n v="1"/>
    <x v="2"/>
    <b v="0"/>
    <n v="185"/>
    <n v="228"/>
    <x v="3"/>
    <x v="1"/>
  </r>
  <r>
    <s v="PED-01818"/>
    <d v="2024-10-23T00:00:00"/>
    <x v="0"/>
    <x v="0"/>
    <n v="43"/>
    <x v="9"/>
    <x v="0"/>
    <s v="SKU-MAQ-4154"/>
    <x v="5"/>
    <x v="3"/>
    <x v="1"/>
    <s v="DAP"/>
    <n v="792"/>
    <s v="Palés"/>
    <n v="2042.24"/>
    <n v="1617454.0800000001"/>
    <n v="64913.98"/>
    <n v="4.0133429939476245E-2"/>
    <n v="25"/>
    <d v="2024-11-17T00:00:00"/>
    <d v="2024-11-25T00:00:00"/>
    <n v="8"/>
    <x v="2"/>
    <b v="0"/>
    <n v="348"/>
    <n v="405"/>
    <x v="0"/>
    <x v="0"/>
  </r>
  <r>
    <s v="PED-01819"/>
    <d v="2023-06-26T00:00:00"/>
    <x v="1"/>
    <x v="10"/>
    <n v="26"/>
    <x v="0"/>
    <x v="0"/>
    <s v="SKU-MAQ-5695"/>
    <x v="2"/>
    <x v="3"/>
    <x v="0"/>
    <s v="FCA"/>
    <n v="976"/>
    <s v="Litros"/>
    <n v="1725.19"/>
    <n v="1639255.3774000001"/>
    <n v="96548.6302"/>
    <n v="5.8897857851248549E-2"/>
    <n v="12"/>
    <d v="2023-07-08T00:00:00"/>
    <d v="2023-07-07T00:00:00"/>
    <n v="-1"/>
    <x v="0"/>
    <b v="1"/>
    <n v="484"/>
    <n v="29"/>
    <x v="1"/>
    <x v="1"/>
  </r>
  <r>
    <s v="PED-01820"/>
    <d v="2023-02-10T00:00:00"/>
    <x v="1"/>
    <x v="9"/>
    <n v="6"/>
    <x v="4"/>
    <x v="3"/>
    <s v="SKU-QUÍ-5532"/>
    <x v="4"/>
    <x v="3"/>
    <x v="2"/>
    <s v="DAP"/>
    <n v="934"/>
    <s v="Metros"/>
    <n v="157.16999999999999"/>
    <n v="146796.78"/>
    <n v="10630.04"/>
    <n v="7.2413304978487955E-2"/>
    <n v="15"/>
    <d v="2023-02-25T00:00:00"/>
    <d v="2023-03-05T00:00:00"/>
    <n v="8"/>
    <x v="2"/>
    <b v="0"/>
    <n v="138"/>
    <n v="22"/>
    <x v="2"/>
    <x v="1"/>
  </r>
  <r>
    <s v="PED-01821"/>
    <d v="2023-09-11T00:00:00"/>
    <x v="1"/>
    <x v="3"/>
    <n v="37"/>
    <x v="7"/>
    <x v="3"/>
    <s v="SKU-QUÍ-9720"/>
    <x v="1"/>
    <x v="5"/>
    <x v="2"/>
    <s v="CIF"/>
    <n v="132"/>
    <s v="Cajas"/>
    <n v="152.51"/>
    <n v="20131.32"/>
    <n v="800.48"/>
    <n v="3.9762916689019899E-2"/>
    <n v="27"/>
    <d v="2023-10-08T00:00:00"/>
    <d v="2023-10-03T00:00:00"/>
    <n v="-5"/>
    <x v="0"/>
    <b v="1"/>
    <n v="54"/>
    <n v="4"/>
    <x v="1"/>
    <x v="1"/>
  </r>
  <r>
    <s v="PED-01822"/>
    <d v="2024-12-25T00:00:00"/>
    <x v="0"/>
    <x v="11"/>
    <n v="52"/>
    <x v="7"/>
    <x v="7"/>
    <s v="SKU-ALI-6228"/>
    <x v="2"/>
    <x v="5"/>
    <x v="1"/>
    <s v="CIF"/>
    <n v="888"/>
    <s v="Metros"/>
    <n v="69.28"/>
    <n v="61520.639999999999"/>
    <n v="3400.11"/>
    <n v="5.5267793052868115E-2"/>
    <n v="26"/>
    <d v="2025-01-20T00:00:00"/>
    <d v="2025-01-22T00:00:00"/>
    <n v="2"/>
    <x v="1"/>
    <b v="0"/>
    <n v="18"/>
    <n v="62"/>
    <x v="3"/>
    <x v="1"/>
  </r>
  <r>
    <s v="PED-01823"/>
    <d v="2024-03-24T00:00:00"/>
    <x v="0"/>
    <x v="8"/>
    <n v="13"/>
    <x v="6"/>
    <x v="4"/>
    <s v="SKU-TEX-8227"/>
    <x v="4"/>
    <x v="2"/>
    <x v="3"/>
    <s v="DDP"/>
    <n v="396"/>
    <s v="Litros"/>
    <n v="69.3"/>
    <n v="27442.799999999999"/>
    <n v="1943.99"/>
    <n v="7.0837888262130694E-2"/>
    <n v="9"/>
    <d v="2024-04-02T00:00:00"/>
    <d v="2024-04-14T00:00:00"/>
    <n v="12"/>
    <x v="2"/>
    <b v="0"/>
    <n v="347"/>
    <n v="220"/>
    <x v="0"/>
    <x v="0"/>
  </r>
  <r>
    <s v="PED-01824"/>
    <d v="2024-03-25T00:00:00"/>
    <x v="0"/>
    <x v="8"/>
    <n v="13"/>
    <x v="7"/>
    <x v="7"/>
    <s v="SKU-ALI-2927"/>
    <x v="1"/>
    <x v="4"/>
    <x v="2"/>
    <s v="CIF"/>
    <n v="348"/>
    <s v="Palés"/>
    <n v="111.53"/>
    <n v="38812.44"/>
    <n v="1803.86"/>
    <n v="4.6476335937652977E-2"/>
    <n v="13"/>
    <d v="2024-04-07T00:00:00"/>
    <d v="2024-04-06T00:00:00"/>
    <n v="-1"/>
    <x v="0"/>
    <b v="1"/>
    <n v="422"/>
    <n v="314"/>
    <x v="1"/>
    <x v="1"/>
  </r>
  <r>
    <s v="PED-01825"/>
    <d v="2024-06-20T00:00:00"/>
    <x v="0"/>
    <x v="10"/>
    <n v="25"/>
    <x v="6"/>
    <x v="0"/>
    <s v="SKU-MAQ-5467"/>
    <x v="3"/>
    <x v="4"/>
    <x v="4"/>
    <s v="FCA"/>
    <n v="787"/>
    <s v="KG"/>
    <n v="1568.54"/>
    <n v="1234440.98"/>
    <n v="26018.89"/>
    <n v="2.1077467794369562E-2"/>
    <n v="26"/>
    <d v="2024-07-16T00:00:00"/>
    <d v="2024-07-28T00:00:00"/>
    <n v="12"/>
    <x v="2"/>
    <b v="0"/>
    <n v="468"/>
    <n v="477"/>
    <x v="4"/>
    <x v="1"/>
  </r>
  <r>
    <s v="PED-01826"/>
    <d v="2024-06-19T00:00:00"/>
    <x v="0"/>
    <x v="10"/>
    <n v="25"/>
    <x v="7"/>
    <x v="0"/>
    <s v="SKU-MAQ-3446"/>
    <x v="5"/>
    <x v="1"/>
    <x v="4"/>
    <s v="FOB"/>
    <n v="357"/>
    <s v="Litros"/>
    <n v="2209.91"/>
    <n v="788937.87"/>
    <n v="19305.8"/>
    <n v="2.4470621495200882E-2"/>
    <n v="15"/>
    <d v="2024-07-04T00:00:00"/>
    <d v="2024-07-06T00:00:00"/>
    <n v="2"/>
    <x v="2"/>
    <b v="0"/>
    <n v="345"/>
    <n v="81"/>
    <x v="2"/>
    <x v="1"/>
  </r>
  <r>
    <s v="PED-01827"/>
    <d v="2024-09-16T00:00:00"/>
    <x v="0"/>
    <x v="3"/>
    <n v="38"/>
    <x v="1"/>
    <x v="1"/>
    <s v="SKU-FAR-3580"/>
    <x v="4"/>
    <x v="2"/>
    <x v="2"/>
    <s v="DDP"/>
    <n v="38"/>
    <s v="Unidades"/>
    <n v="212.35"/>
    <n v="8069.3"/>
    <n v="408.5"/>
    <n v="5.0623969861078408E-2"/>
    <n v="10"/>
    <d v="2024-09-26T00:00:00"/>
    <d v="2024-09-28T00:00:00"/>
    <n v="2"/>
    <x v="1"/>
    <b v="0"/>
    <n v="469"/>
    <n v="493"/>
    <x v="4"/>
    <x v="1"/>
  </r>
  <r>
    <s v="PED-01828"/>
    <d v="2023-06-12T00:00:00"/>
    <x v="1"/>
    <x v="10"/>
    <n v="24"/>
    <x v="6"/>
    <x v="3"/>
    <s v="SKU-QUÍ-5483"/>
    <x v="1"/>
    <x v="0"/>
    <x v="2"/>
    <s v="CIF"/>
    <n v="984"/>
    <s v="KG"/>
    <n v="97.71"/>
    <n v="96146.64"/>
    <n v="7515.43"/>
    <n v="7.8166330097442824E-2"/>
    <n v="16"/>
    <d v="2023-06-28T00:00:00"/>
    <d v="2023-06-28T00:00:00"/>
    <n v="0"/>
    <x v="0"/>
    <b v="1"/>
    <n v="453"/>
    <n v="241"/>
    <x v="2"/>
    <x v="1"/>
  </r>
  <r>
    <s v="PED-01829"/>
    <d v="2024-01-08T00:00:00"/>
    <x v="0"/>
    <x v="2"/>
    <n v="2"/>
    <x v="3"/>
    <x v="6"/>
    <s v="SKU-CON-2875"/>
    <x v="2"/>
    <x v="3"/>
    <x v="1"/>
    <s v="DAP"/>
    <n v="44"/>
    <s v="Litros"/>
    <n v="202.31"/>
    <n v="8901.64"/>
    <n v="548.27"/>
    <n v="6.15920212455233E-2"/>
    <n v="7"/>
    <d v="2024-01-15T00:00:00"/>
    <d v="2024-01-27T00:00:00"/>
    <n v="12"/>
    <x v="1"/>
    <b v="0"/>
    <n v="266"/>
    <n v="252"/>
    <x v="2"/>
    <x v="1"/>
  </r>
  <r>
    <s v="PED-01830"/>
    <d v="2024-01-17T00:00:00"/>
    <x v="0"/>
    <x v="2"/>
    <n v="3"/>
    <x v="5"/>
    <x v="6"/>
    <s v="SKU-CON-1249"/>
    <x v="1"/>
    <x v="5"/>
    <x v="0"/>
    <s v="CIF"/>
    <n v="527"/>
    <s v="Unidades"/>
    <n v="292.27"/>
    <n v="154026.29"/>
    <n v="3735.9"/>
    <n v="2.425495024258521E-2"/>
    <n v="17"/>
    <d v="2024-02-03T00:00:00"/>
    <d v="2024-01-29T00:00:00"/>
    <n v="-5"/>
    <x v="0"/>
    <b v="1"/>
    <n v="141"/>
    <n v="51"/>
    <x v="3"/>
    <x v="1"/>
  </r>
  <r>
    <s v="PED-01831"/>
    <d v="2023-10-17T00:00:00"/>
    <x v="1"/>
    <x v="0"/>
    <n v="42"/>
    <x v="5"/>
    <x v="6"/>
    <s v="SKU-CON-9422"/>
    <x v="2"/>
    <x v="1"/>
    <x v="1"/>
    <s v="EXW"/>
    <n v="405"/>
    <s v="Metros"/>
    <n v="191.16"/>
    <n v="77419.8"/>
    <n v="2428.0100000000002"/>
    <n v="3.1361615504044184E-2"/>
    <n v="23"/>
    <d v="2023-11-09T00:00:00"/>
    <d v="2023-11-14T00:00:00"/>
    <n v="5"/>
    <x v="2"/>
    <b v="0"/>
    <n v="315"/>
    <n v="320"/>
    <x v="4"/>
    <x v="1"/>
  </r>
  <r>
    <s v="PED-01832"/>
    <d v="2024-02-01T00:00:00"/>
    <x v="0"/>
    <x v="9"/>
    <n v="5"/>
    <x v="5"/>
    <x v="1"/>
    <s v="SKU-FAR-2677"/>
    <x v="5"/>
    <x v="1"/>
    <x v="0"/>
    <s v="DDP"/>
    <n v="632"/>
    <s v="KG"/>
    <n v="278.89999999999998"/>
    <n v="176264.8"/>
    <n v="11682.72"/>
    <n v="6.6279370583349595E-2"/>
    <n v="26"/>
    <d v="2024-02-27T00:00:00"/>
    <d v="2024-02-28T00:00:00"/>
    <n v="1"/>
    <x v="1"/>
    <b v="0"/>
    <n v="163"/>
    <n v="38"/>
    <x v="1"/>
    <x v="1"/>
  </r>
  <r>
    <s v="PED-01833"/>
    <d v="2024-02-23T00:00:00"/>
    <x v="0"/>
    <x v="9"/>
    <n v="8"/>
    <x v="9"/>
    <x v="5"/>
    <s v="SKU-ELE-4384"/>
    <x v="5"/>
    <x v="5"/>
    <x v="4"/>
    <s v="FCA"/>
    <n v="303"/>
    <s v="Litros"/>
    <n v="702.5"/>
    <n v="212857.5"/>
    <n v="15003.56"/>
    <n v="7.048640522415231E-2"/>
    <n v="21"/>
    <d v="2024-03-15T00:00:00"/>
    <d v="2024-03-27T00:00:00"/>
    <n v="12"/>
    <x v="1"/>
    <b v="0"/>
    <n v="251"/>
    <n v="464"/>
    <x v="1"/>
    <x v="1"/>
  </r>
  <r>
    <s v="PED-01834"/>
    <d v="2023-12-13T00:00:00"/>
    <x v="1"/>
    <x v="11"/>
    <n v="50"/>
    <x v="8"/>
    <x v="6"/>
    <s v="SKU-CON-9888"/>
    <x v="1"/>
    <x v="2"/>
    <x v="0"/>
    <s v="CIF"/>
    <n v="598"/>
    <s v="Cajas"/>
    <n v="196.03"/>
    <n v="117225.94"/>
    <n v="6689.11"/>
    <n v="5.7061687882391895E-2"/>
    <n v="22"/>
    <d v="2024-01-04T00:00:00"/>
    <d v="2024-01-09T00:00:00"/>
    <n v="5"/>
    <x v="1"/>
    <b v="0"/>
    <n v="231"/>
    <n v="258"/>
    <x v="0"/>
    <x v="0"/>
  </r>
  <r>
    <s v="PED-01835"/>
    <d v="2024-11-26T00:00:00"/>
    <x v="0"/>
    <x v="6"/>
    <n v="48"/>
    <x v="2"/>
    <x v="0"/>
    <s v="SKU-MAQ-6739"/>
    <x v="1"/>
    <x v="1"/>
    <x v="1"/>
    <s v="CIF"/>
    <n v="358"/>
    <s v="Metros"/>
    <n v="1149.9100000000001"/>
    <n v="411667.78"/>
    <n v="24150.65"/>
    <n v="5.8665387900894261E-2"/>
    <n v="26"/>
    <d v="2024-12-22T00:00:00"/>
    <d v="2024-12-22T00:00:00"/>
    <n v="0"/>
    <x v="0"/>
    <b v="1"/>
    <n v="296"/>
    <n v="425"/>
    <x v="4"/>
    <x v="1"/>
  </r>
  <r>
    <s v="PED-01836"/>
    <d v="2024-09-04T00:00:00"/>
    <x v="0"/>
    <x v="3"/>
    <n v="36"/>
    <x v="8"/>
    <x v="1"/>
    <s v="SKU-FAR-6218"/>
    <x v="2"/>
    <x v="4"/>
    <x v="2"/>
    <s v="FCA"/>
    <n v="156"/>
    <s v="Unidades"/>
    <n v="255.93"/>
    <n v="39925.08"/>
    <n v="866.38"/>
    <n v="2.170014437040577E-2"/>
    <n v="7"/>
    <d v="2024-09-11T00:00:00"/>
    <d v="2024-09-13T00:00:00"/>
    <n v="2"/>
    <x v="1"/>
    <b v="0"/>
    <n v="385"/>
    <n v="326"/>
    <x v="0"/>
    <x v="0"/>
  </r>
  <r>
    <s v="PED-01837"/>
    <d v="2023-02-23T00:00:00"/>
    <x v="1"/>
    <x v="9"/>
    <n v="8"/>
    <x v="6"/>
    <x v="7"/>
    <s v="SKU-ALI-5440"/>
    <x v="2"/>
    <x v="2"/>
    <x v="0"/>
    <s v="FOB"/>
    <n v="76"/>
    <s v="Cajas"/>
    <n v="75.94"/>
    <n v="5771.44"/>
    <n v="402.34"/>
    <n v="6.9712238193587739E-2"/>
    <n v="14"/>
    <d v="2023-03-09T00:00:00"/>
    <d v="2023-03-12T00:00:00"/>
    <n v="3"/>
    <x v="1"/>
    <b v="0"/>
    <n v="440"/>
    <n v="410"/>
    <x v="0"/>
    <x v="0"/>
  </r>
  <r>
    <s v="PED-01838"/>
    <d v="2024-10-08T00:00:00"/>
    <x v="0"/>
    <x v="0"/>
    <n v="41"/>
    <x v="8"/>
    <x v="3"/>
    <s v="SKU-QUÍ-3319"/>
    <x v="4"/>
    <x v="5"/>
    <x v="1"/>
    <s v="DAP"/>
    <n v="913"/>
    <s v="Palés"/>
    <n v="159.16"/>
    <n v="145313.07999999999"/>
    <n v="9779.06"/>
    <n v="6.729648838218831E-2"/>
    <n v="15"/>
    <d v="2024-10-23T00:00:00"/>
    <d v="2024-10-31T00:00:00"/>
    <n v="8"/>
    <x v="1"/>
    <b v="0"/>
    <n v="362"/>
    <n v="411"/>
    <x v="3"/>
    <x v="1"/>
  </r>
  <r>
    <s v="PED-01839"/>
    <d v="2024-10-24T00:00:00"/>
    <x v="0"/>
    <x v="0"/>
    <n v="43"/>
    <x v="7"/>
    <x v="3"/>
    <s v="SKU-QUÍ-5641"/>
    <x v="4"/>
    <x v="2"/>
    <x v="4"/>
    <s v="DAP"/>
    <n v="529"/>
    <s v="Metros"/>
    <n v="126.49"/>
    <n v="66913.210000000006"/>
    <n v="2378.2399999999998"/>
    <n v="3.5542159761876607E-2"/>
    <n v="21"/>
    <d v="2024-11-14T00:00:00"/>
    <d v="2024-11-15T00:00:00"/>
    <n v="1"/>
    <x v="1"/>
    <b v="0"/>
    <n v="59"/>
    <n v="491"/>
    <x v="0"/>
    <x v="0"/>
  </r>
  <r>
    <s v="PED-01840"/>
    <d v="2023-12-09T00:00:00"/>
    <x v="1"/>
    <x v="11"/>
    <n v="49"/>
    <x v="6"/>
    <x v="4"/>
    <s v="SKU-TEX-5011"/>
    <x v="4"/>
    <x v="4"/>
    <x v="0"/>
    <s v="FOB"/>
    <n v="131"/>
    <s v="Metros"/>
    <n v="65.290000000000006"/>
    <n v="8552.99"/>
    <n v="534.74"/>
    <n v="6.252082605030522E-2"/>
    <n v="7"/>
    <d v="2023-12-16T00:00:00"/>
    <d v="2023-12-17T00:00:00"/>
    <n v="1"/>
    <x v="1"/>
    <b v="0"/>
    <n v="403"/>
    <n v="437"/>
    <x v="0"/>
    <x v="0"/>
  </r>
  <r>
    <s v="PED-01841"/>
    <d v="2023-03-09T00:00:00"/>
    <x v="1"/>
    <x v="8"/>
    <n v="10"/>
    <x v="8"/>
    <x v="7"/>
    <s v="SKU-ALI-3806"/>
    <x v="1"/>
    <x v="3"/>
    <x v="4"/>
    <s v="FOB"/>
    <n v="349"/>
    <s v="Litros"/>
    <n v="105.79"/>
    <n v="36920.71"/>
    <n v="1214.3699999999999"/>
    <n v="3.2891295969118682E-2"/>
    <n v="9"/>
    <d v="2023-03-18T00:00:00"/>
    <d v="2023-03-13T00:00:00"/>
    <n v="-5"/>
    <x v="0"/>
    <b v="1"/>
    <n v="21"/>
    <n v="478"/>
    <x v="0"/>
    <x v="0"/>
  </r>
  <r>
    <s v="PED-01842"/>
    <d v="2023-12-04T00:00:00"/>
    <x v="1"/>
    <x v="11"/>
    <n v="49"/>
    <x v="8"/>
    <x v="4"/>
    <s v="SKU-TEX-2167"/>
    <x v="0"/>
    <x v="5"/>
    <x v="4"/>
    <s v="EXW"/>
    <n v="184"/>
    <s v="Litros"/>
    <n v="60.35"/>
    <n v="11104.4"/>
    <n v="248.96"/>
    <n v="2.2419941644753433E-2"/>
    <n v="19"/>
    <d v="2023-12-23T00:00:00"/>
    <d v="2023-12-23T00:00:00"/>
    <n v="0"/>
    <x v="0"/>
    <b v="1"/>
    <n v="383"/>
    <n v="270"/>
    <x v="1"/>
    <x v="1"/>
  </r>
  <r>
    <s v="PED-01843"/>
    <d v="2023-04-07T00:00:00"/>
    <x v="1"/>
    <x v="1"/>
    <n v="14"/>
    <x v="0"/>
    <x v="1"/>
    <s v="SKU-FAR-6101"/>
    <x v="0"/>
    <x v="4"/>
    <x v="3"/>
    <s v="FCA"/>
    <n v="909"/>
    <s v="Unidades"/>
    <n v="210.9"/>
    <n v="191708.1"/>
    <n v="6147.73"/>
    <n v="3.2068180739363641E-2"/>
    <n v="16"/>
    <d v="2023-04-23T00:00:00"/>
    <d v="2023-04-20T00:00:00"/>
    <n v="-3"/>
    <x v="0"/>
    <b v="1"/>
    <n v="125"/>
    <n v="436"/>
    <x v="1"/>
    <x v="1"/>
  </r>
  <r>
    <s v="PED-01844"/>
    <d v="2024-07-25T00:00:00"/>
    <x v="0"/>
    <x v="7"/>
    <n v="30"/>
    <x v="1"/>
    <x v="2"/>
    <s v="SKU-AUT-6549"/>
    <x v="0"/>
    <x v="5"/>
    <x v="0"/>
    <s v="DDP"/>
    <n v="700"/>
    <s v="Metros"/>
    <n v="800.76"/>
    <n v="560532"/>
    <n v="17218.27"/>
    <n v="3.0717728871857451E-2"/>
    <n v="8"/>
    <d v="2024-08-02T00:00:00"/>
    <d v="2024-07-30T00:00:00"/>
    <n v="-3"/>
    <x v="0"/>
    <b v="1"/>
    <n v="102"/>
    <n v="495"/>
    <x v="2"/>
    <x v="1"/>
  </r>
  <r>
    <s v="PED-01845"/>
    <d v="2024-11-25T00:00:00"/>
    <x v="0"/>
    <x v="6"/>
    <n v="48"/>
    <x v="9"/>
    <x v="6"/>
    <s v="SKU-CON-9856"/>
    <x v="0"/>
    <x v="4"/>
    <x v="1"/>
    <s v="DAP"/>
    <n v="606"/>
    <s v="Litros"/>
    <n v="198.77"/>
    <n v="120454.62"/>
    <n v="4850.09"/>
    <n v="4.0264873194569048E-2"/>
    <n v="18"/>
    <d v="2024-12-13T00:00:00"/>
    <d v="2024-12-10T00:00:00"/>
    <n v="-3"/>
    <x v="0"/>
    <b v="1"/>
    <n v="387"/>
    <n v="71"/>
    <x v="0"/>
    <x v="0"/>
  </r>
  <r>
    <s v="PED-01846"/>
    <d v="2024-01-31T00:00:00"/>
    <x v="0"/>
    <x v="2"/>
    <n v="5"/>
    <x v="6"/>
    <x v="5"/>
    <s v="SKU-ELE-8268"/>
    <x v="4"/>
    <x v="4"/>
    <x v="0"/>
    <s v="FOB"/>
    <n v="460"/>
    <s v="Palés"/>
    <n v="560.38"/>
    <n v="257774.8"/>
    <n v="11627.44"/>
    <n v="4.5106969339128576E-2"/>
    <n v="27"/>
    <d v="2024-02-27T00:00:00"/>
    <d v="2024-02-27T00:00:00"/>
    <n v="0"/>
    <x v="0"/>
    <b v="1"/>
    <n v="439"/>
    <n v="69"/>
    <x v="2"/>
    <x v="1"/>
  </r>
  <r>
    <s v="PED-01847"/>
    <d v="2023-10-18T00:00:00"/>
    <x v="1"/>
    <x v="0"/>
    <n v="42"/>
    <x v="2"/>
    <x v="7"/>
    <s v="SKU-ALI-1831"/>
    <x v="1"/>
    <x v="1"/>
    <x v="0"/>
    <s v="FOB"/>
    <n v="566"/>
    <s v="Litros"/>
    <n v="107.76"/>
    <n v="60992.160000000003"/>
    <n v="3080.86"/>
    <n v="5.0512393724045847E-2"/>
    <n v="23"/>
    <d v="2023-11-10T00:00:00"/>
    <d v="2023-11-05T00:00:00"/>
    <n v="-5"/>
    <x v="0"/>
    <b v="1"/>
    <n v="220"/>
    <n v="219"/>
    <x v="3"/>
    <x v="1"/>
  </r>
  <r>
    <s v="PED-01848"/>
    <d v="2023-09-16T00:00:00"/>
    <x v="1"/>
    <x v="3"/>
    <n v="37"/>
    <x v="5"/>
    <x v="7"/>
    <s v="SKU-ALI-3131"/>
    <x v="0"/>
    <x v="1"/>
    <x v="4"/>
    <s v="FCA"/>
    <n v="145"/>
    <s v="Metros"/>
    <n v="79.150000000000006"/>
    <n v="11476.75"/>
    <n v="557.83000000000004"/>
    <n v="4.8605223604243367E-2"/>
    <n v="29"/>
    <d v="2023-10-15T00:00:00"/>
    <d v="2023-10-15T00:00:00"/>
    <n v="0"/>
    <x v="0"/>
    <b v="1"/>
    <n v="109"/>
    <n v="3"/>
    <x v="3"/>
    <x v="1"/>
  </r>
  <r>
    <s v="PED-01849"/>
    <d v="2024-11-03T00:00:00"/>
    <x v="0"/>
    <x v="6"/>
    <n v="45"/>
    <x v="4"/>
    <x v="7"/>
    <s v="SKU-ALI-1475"/>
    <x v="5"/>
    <x v="1"/>
    <x v="4"/>
    <s v="DDP"/>
    <n v="864"/>
    <s v="KG"/>
    <n v="89.55"/>
    <n v="77371.199999999997"/>
    <n v="2803.97"/>
    <n v="3.6240487416506401E-2"/>
    <n v="18"/>
    <d v="2024-11-21T00:00:00"/>
    <d v="2024-11-18T00:00:00"/>
    <n v="-3"/>
    <x v="0"/>
    <b v="1"/>
    <n v="57"/>
    <n v="349"/>
    <x v="0"/>
    <x v="0"/>
  </r>
  <r>
    <s v="PED-01850"/>
    <d v="2024-09-09T00:00:00"/>
    <x v="0"/>
    <x v="3"/>
    <n v="37"/>
    <x v="3"/>
    <x v="4"/>
    <s v="SKU-TEX-8712"/>
    <x v="3"/>
    <x v="3"/>
    <x v="4"/>
    <s v="FOB"/>
    <n v="25"/>
    <s v="Cajas"/>
    <n v="74.19"/>
    <n v="3302.8089"/>
    <n v="142.36009999999999"/>
    <n v="4.3102735977246516E-2"/>
    <n v="20"/>
    <d v="2024-09-29T00:00:00"/>
    <d v="2024-09-29T00:00:00"/>
    <n v="0"/>
    <x v="0"/>
    <b v="1"/>
    <n v="471"/>
    <n v="490"/>
    <x v="2"/>
    <x v="1"/>
  </r>
  <r>
    <s v="PED-01851"/>
    <d v="2023-06-03T00:00:00"/>
    <x v="1"/>
    <x v="10"/>
    <n v="22"/>
    <x v="8"/>
    <x v="1"/>
    <s v="SKU-FAR-1826"/>
    <x v="5"/>
    <x v="3"/>
    <x v="4"/>
    <s v="EXW"/>
    <n v="342"/>
    <s v="Metros"/>
    <n v="183.11"/>
    <n v="62623.62"/>
    <n v="3526.09"/>
    <n v="5.6306071095858078E-2"/>
    <n v="7"/>
    <d v="2023-06-10T00:00:00"/>
    <d v="2023-06-09T00:00:00"/>
    <n v="-1"/>
    <x v="0"/>
    <b v="1"/>
    <n v="64"/>
    <n v="400"/>
    <x v="2"/>
    <x v="1"/>
  </r>
  <r>
    <s v="PED-01852"/>
    <d v="2023-12-08T00:00:00"/>
    <x v="1"/>
    <x v="11"/>
    <n v="49"/>
    <x v="5"/>
    <x v="7"/>
    <s v="SKU-ALI-2735"/>
    <x v="1"/>
    <x v="4"/>
    <x v="1"/>
    <s v="DDP"/>
    <n v="204"/>
    <s v="Palés"/>
    <n v="73.760000000000005"/>
    <n v="15047.04"/>
    <n v="658.23"/>
    <n v="4.3744816256220488E-2"/>
    <n v="3"/>
    <d v="2023-12-11T00:00:00"/>
    <d v="2023-12-23T00:00:00"/>
    <n v="12"/>
    <x v="2"/>
    <b v="0"/>
    <n v="471"/>
    <n v="289"/>
    <x v="0"/>
    <x v="0"/>
  </r>
  <r>
    <s v="PED-01853"/>
    <d v="2023-03-25T00:00:00"/>
    <x v="1"/>
    <x v="8"/>
    <n v="12"/>
    <x v="7"/>
    <x v="2"/>
    <s v="SKU-AUT-7284"/>
    <x v="1"/>
    <x v="0"/>
    <x v="2"/>
    <s v="EXW"/>
    <n v="505"/>
    <s v="Metros"/>
    <n v="1157.3800000000001"/>
    <n v="584476.9"/>
    <n v="22163.56"/>
    <n v="3.7920335260469659E-2"/>
    <n v="18"/>
    <d v="2023-04-12T00:00:00"/>
    <d v="2023-04-14T00:00:00"/>
    <n v="2"/>
    <x v="1"/>
    <b v="0"/>
    <n v="57"/>
    <n v="379"/>
    <x v="1"/>
    <x v="1"/>
  </r>
  <r>
    <s v="PED-01854"/>
    <d v="2024-08-19T00:00:00"/>
    <x v="0"/>
    <x v="4"/>
    <n v="34"/>
    <x v="3"/>
    <x v="7"/>
    <s v="SKU-ALI-1881"/>
    <x v="3"/>
    <x v="5"/>
    <x v="3"/>
    <s v="CIF"/>
    <n v="18"/>
    <s v="Palés"/>
    <n v="102.31"/>
    <n v="3302.8089"/>
    <n v="142.36009999999999"/>
    <n v="4.3102735977246516E-2"/>
    <n v="27"/>
    <d v="2024-09-15T00:00:00"/>
    <d v="2024-09-15T00:00:00"/>
    <n v="0"/>
    <x v="0"/>
    <b v="1"/>
    <n v="157"/>
    <n v="389"/>
    <x v="0"/>
    <x v="0"/>
  </r>
  <r>
    <s v="PED-01855"/>
    <d v="2024-11-10T00:00:00"/>
    <x v="0"/>
    <x v="6"/>
    <n v="46"/>
    <x v="1"/>
    <x v="3"/>
    <s v="SKU-QUÍ-2410"/>
    <x v="2"/>
    <x v="1"/>
    <x v="4"/>
    <s v="DAP"/>
    <n v="837"/>
    <s v="Metros"/>
    <n v="139.41"/>
    <n v="116686.17"/>
    <n v="7561.8"/>
    <n v="6.4804595094688597E-2"/>
    <n v="10"/>
    <d v="2024-11-20T00:00:00"/>
    <d v="2024-11-15T00:00:00"/>
    <n v="-5"/>
    <x v="0"/>
    <b v="1"/>
    <n v="75"/>
    <n v="291"/>
    <x v="2"/>
    <x v="1"/>
  </r>
  <r>
    <s v="PED-01856"/>
    <d v="2023-05-25T00:00:00"/>
    <x v="1"/>
    <x v="5"/>
    <n v="21"/>
    <x v="5"/>
    <x v="6"/>
    <s v="SKU-CON-7987"/>
    <x v="2"/>
    <x v="5"/>
    <x v="4"/>
    <s v="FOB"/>
    <n v="343"/>
    <s v="Cajas"/>
    <n v="243.64"/>
    <n v="83568.52"/>
    <n v="5972.3"/>
    <n v="7.1465906061277618E-2"/>
    <n v="7"/>
    <d v="2023-06-01T00:00:00"/>
    <d v="2023-05-27T00:00:00"/>
    <n v="-5"/>
    <x v="0"/>
    <b v="1"/>
    <n v="18"/>
    <n v="354"/>
    <x v="3"/>
    <x v="1"/>
  </r>
  <r>
    <s v="PED-01857"/>
    <d v="2023-12-25T00:00:00"/>
    <x v="1"/>
    <x v="11"/>
    <n v="52"/>
    <x v="0"/>
    <x v="5"/>
    <s v="SKU-ELE-7421"/>
    <x v="2"/>
    <x v="4"/>
    <x v="3"/>
    <s v="DDP"/>
    <n v="342"/>
    <s v="Cajas"/>
    <n v="361.72"/>
    <n v="123708.24"/>
    <n v="6148.17"/>
    <n v="4.9698952955761072E-2"/>
    <n v="17"/>
    <d v="2024-01-11T00:00:00"/>
    <d v="2024-01-23T00:00:00"/>
    <n v="12"/>
    <x v="2"/>
    <b v="0"/>
    <n v="383"/>
    <n v="230"/>
    <x v="0"/>
    <x v="0"/>
  </r>
  <r>
    <s v="PED-01858"/>
    <d v="2023-11-14T00:00:00"/>
    <x v="1"/>
    <x v="6"/>
    <n v="46"/>
    <x v="5"/>
    <x v="6"/>
    <s v="SKU-CON-3932"/>
    <x v="4"/>
    <x v="2"/>
    <x v="4"/>
    <s v="EXW"/>
    <n v="336"/>
    <s v="Palés"/>
    <n v="238.9"/>
    <n v="80270.399999999994"/>
    <n v="2236"/>
    <n v="2.7855847236341168E-2"/>
    <n v="14"/>
    <d v="2023-11-28T00:00:00"/>
    <d v="2023-12-03T00:00:00"/>
    <n v="5"/>
    <x v="2"/>
    <b v="0"/>
    <n v="484"/>
    <n v="422"/>
    <x v="2"/>
    <x v="1"/>
  </r>
  <r>
    <s v="PED-01859"/>
    <d v="2024-11-02T00:00:00"/>
    <x v="0"/>
    <x v="6"/>
    <n v="44"/>
    <x v="1"/>
    <x v="3"/>
    <s v="SKU-QUÍ-8304"/>
    <x v="2"/>
    <x v="4"/>
    <x v="2"/>
    <s v="DAP"/>
    <n v="24"/>
    <s v="Metros"/>
    <n v="132.91"/>
    <n v="3302.8089"/>
    <n v="197.05"/>
    <n v="5.9661338565485882E-2"/>
    <n v="24"/>
    <d v="2024-11-26T00:00:00"/>
    <d v="2024-11-25T00:00:00"/>
    <n v="-1"/>
    <x v="0"/>
    <b v="1"/>
    <n v="189"/>
    <n v="79"/>
    <x v="0"/>
    <x v="0"/>
  </r>
  <r>
    <s v="PED-01860"/>
    <d v="2024-12-16T00:00:00"/>
    <x v="0"/>
    <x v="11"/>
    <n v="51"/>
    <x v="5"/>
    <x v="3"/>
    <s v="SKU-QUÍ-6826"/>
    <x v="4"/>
    <x v="3"/>
    <x v="0"/>
    <s v="DAP"/>
    <n v="848"/>
    <s v="Cajas"/>
    <n v="136.38999999999999"/>
    <n v="115658.72"/>
    <n v="3743.23"/>
    <n v="3.2364442559972999E-2"/>
    <n v="3"/>
    <d v="2024-12-19T00:00:00"/>
    <d v="2024-12-22T00:00:00"/>
    <n v="3"/>
    <x v="1"/>
    <b v="0"/>
    <n v="249"/>
    <n v="65"/>
    <x v="1"/>
    <x v="1"/>
  </r>
  <r>
    <s v="PED-01861"/>
    <d v="2024-11-09T00:00:00"/>
    <x v="0"/>
    <x v="6"/>
    <n v="45"/>
    <x v="8"/>
    <x v="5"/>
    <s v="SKU-ELE-6119"/>
    <x v="4"/>
    <x v="0"/>
    <x v="3"/>
    <s v="FOB"/>
    <n v="623"/>
    <s v="Unidades"/>
    <n v="493.77"/>
    <n v="307618.71000000002"/>
    <n v="14296.2"/>
    <n v="4.6473766176316128E-2"/>
    <n v="12"/>
    <d v="2024-11-21T00:00:00"/>
    <d v="2024-11-22T00:00:00"/>
    <n v="1"/>
    <x v="1"/>
    <b v="0"/>
    <n v="359"/>
    <n v="135"/>
    <x v="0"/>
    <x v="0"/>
  </r>
  <r>
    <s v="PED-01862"/>
    <d v="2024-02-06T00:00:00"/>
    <x v="0"/>
    <x v="9"/>
    <n v="6"/>
    <x v="5"/>
    <x v="2"/>
    <s v="SKU-AUT-6444"/>
    <x v="2"/>
    <x v="2"/>
    <x v="1"/>
    <s v="DAP"/>
    <n v="235"/>
    <s v="Metros"/>
    <n v="612.14"/>
    <n v="143852.9"/>
    <n v="3438.09"/>
    <n v="2.3900039554294702E-2"/>
    <n v="28"/>
    <d v="2024-03-05T00:00:00"/>
    <d v="2024-03-02T00:00:00"/>
    <n v="-3"/>
    <x v="0"/>
    <b v="1"/>
    <n v="362"/>
    <n v="398"/>
    <x v="0"/>
    <x v="0"/>
  </r>
  <r>
    <s v="PED-01863"/>
    <d v="2023-05-13T00:00:00"/>
    <x v="1"/>
    <x v="5"/>
    <n v="19"/>
    <x v="0"/>
    <x v="1"/>
    <s v="SKU-FAR-4246"/>
    <x v="2"/>
    <x v="5"/>
    <x v="3"/>
    <s v="FOB"/>
    <n v="434"/>
    <s v="Cajas"/>
    <n v="170.93"/>
    <n v="74183.62"/>
    <n v="5157.13"/>
    <n v="6.9518446255386307E-2"/>
    <n v="13"/>
    <d v="2023-05-26T00:00:00"/>
    <d v="2023-05-29T00:00:00"/>
    <n v="3"/>
    <x v="1"/>
    <b v="0"/>
    <n v="373"/>
    <n v="190"/>
    <x v="1"/>
    <x v="1"/>
  </r>
  <r>
    <s v="PED-01864"/>
    <d v="2024-09-01T00:00:00"/>
    <x v="0"/>
    <x v="3"/>
    <n v="36"/>
    <x v="9"/>
    <x v="3"/>
    <s v="SKU-QUÍ-9740"/>
    <x v="3"/>
    <x v="3"/>
    <x v="2"/>
    <s v="CIF"/>
    <n v="799"/>
    <s v="KG"/>
    <n v="175.27"/>
    <n v="140040.73000000001"/>
    <n v="3859.02"/>
    <n v="2.7556411623961111E-2"/>
    <n v="2"/>
    <d v="2024-09-03T00:00:00"/>
    <d v="2024-09-08T00:00:00"/>
    <n v="5"/>
    <x v="1"/>
    <b v="0"/>
    <n v="451"/>
    <n v="346"/>
    <x v="4"/>
    <x v="1"/>
  </r>
  <r>
    <s v="PED-01865"/>
    <d v="2024-12-26T00:00:00"/>
    <x v="0"/>
    <x v="11"/>
    <n v="52"/>
    <x v="1"/>
    <x v="1"/>
    <s v="SKU-FAR-2286"/>
    <x v="0"/>
    <x v="1"/>
    <x v="1"/>
    <s v="FOB"/>
    <n v="417"/>
    <s v="KG"/>
    <n v="205.39"/>
    <n v="85647.63"/>
    <n v="6353.84"/>
    <n v="7.4185823939319745E-2"/>
    <n v="3"/>
    <d v="2024-12-29T00:00:00"/>
    <d v="2024-12-26T00:00:00"/>
    <n v="-3"/>
    <x v="0"/>
    <b v="1"/>
    <n v="78"/>
    <n v="335"/>
    <x v="0"/>
    <x v="0"/>
  </r>
  <r>
    <s v="PED-01866"/>
    <d v="2023-03-28T00:00:00"/>
    <x v="1"/>
    <x v="8"/>
    <n v="13"/>
    <x v="0"/>
    <x v="3"/>
    <s v="SKU-QUÍ-8629"/>
    <x v="3"/>
    <x v="2"/>
    <x v="0"/>
    <s v="FCA"/>
    <n v="122"/>
    <s v="Unidades"/>
    <n v="128.80000000000001"/>
    <n v="15713.6"/>
    <n v="1129.08"/>
    <n v="7.185368088789329E-2"/>
    <n v="5"/>
    <d v="2023-04-02T00:00:00"/>
    <d v="2023-04-01T00:00:00"/>
    <n v="-1"/>
    <x v="0"/>
    <b v="1"/>
    <n v="83"/>
    <n v="448"/>
    <x v="3"/>
    <x v="1"/>
  </r>
  <r>
    <s v="PED-01867"/>
    <d v="2023-11-14T00:00:00"/>
    <x v="1"/>
    <x v="6"/>
    <n v="46"/>
    <x v="6"/>
    <x v="0"/>
    <s v="SKU-MAQ-3159"/>
    <x v="4"/>
    <x v="3"/>
    <x v="4"/>
    <s v="EXW"/>
    <n v="437"/>
    <s v="Cajas"/>
    <n v="1113.25"/>
    <n v="486490.25"/>
    <n v="23290.7"/>
    <n v="4.7874957411787801E-2"/>
    <n v="11"/>
    <d v="2023-11-25T00:00:00"/>
    <d v="2023-12-03T00:00:00"/>
    <n v="8"/>
    <x v="1"/>
    <b v="0"/>
    <n v="171"/>
    <n v="58"/>
    <x v="0"/>
    <x v="0"/>
  </r>
  <r>
    <s v="PED-01868"/>
    <d v="2024-07-26T00:00:00"/>
    <x v="0"/>
    <x v="7"/>
    <n v="30"/>
    <x v="5"/>
    <x v="5"/>
    <s v="SKU-ELE-2522"/>
    <x v="3"/>
    <x v="5"/>
    <x v="3"/>
    <s v="FCA"/>
    <n v="10"/>
    <s v="KG"/>
    <n v="365.03"/>
    <n v="3650.3"/>
    <n v="236.04"/>
    <n v="6.4663178368901175E-2"/>
    <n v="8"/>
    <d v="2024-08-03T00:00:00"/>
    <d v="2024-08-08T00:00:00"/>
    <n v="5"/>
    <x v="1"/>
    <b v="0"/>
    <n v="211"/>
    <n v="265"/>
    <x v="0"/>
    <x v="0"/>
  </r>
  <r>
    <s v="PED-01869"/>
    <d v="2024-01-21T00:00:00"/>
    <x v="0"/>
    <x v="2"/>
    <n v="4"/>
    <x v="2"/>
    <x v="3"/>
    <s v="SKU-QUÍ-8672"/>
    <x v="4"/>
    <x v="4"/>
    <x v="1"/>
    <s v="DAP"/>
    <n v="275"/>
    <s v="Metros"/>
    <n v="152.85"/>
    <n v="42033.75"/>
    <n v="2402.9299999999998"/>
    <n v="5.7166681535670734E-2"/>
    <n v="26"/>
    <d v="2024-02-16T00:00:00"/>
    <d v="2024-02-13T00:00:00"/>
    <n v="-3"/>
    <x v="0"/>
    <b v="1"/>
    <n v="373"/>
    <n v="6"/>
    <x v="0"/>
    <x v="0"/>
  </r>
  <r>
    <s v="PED-01870"/>
    <d v="2024-10-20T00:00:00"/>
    <x v="0"/>
    <x v="0"/>
    <n v="43"/>
    <x v="5"/>
    <x v="0"/>
    <s v="SKU-MAQ-2593"/>
    <x v="1"/>
    <x v="5"/>
    <x v="3"/>
    <s v="DAP"/>
    <n v="500"/>
    <s v="Litros"/>
    <n v="1695.71"/>
    <n v="847855"/>
    <n v="57810.6"/>
    <n v="6.818453627094255E-2"/>
    <n v="23"/>
    <d v="2024-11-12T00:00:00"/>
    <d v="2024-11-11T00:00:00"/>
    <n v="-1"/>
    <x v="0"/>
    <b v="1"/>
    <n v="444"/>
    <n v="367"/>
    <x v="0"/>
    <x v="0"/>
  </r>
  <r>
    <s v="PED-01871"/>
    <d v="2023-12-03T00:00:00"/>
    <x v="1"/>
    <x v="11"/>
    <n v="49"/>
    <x v="1"/>
    <x v="6"/>
    <s v="SKU-CON-8464"/>
    <x v="4"/>
    <x v="2"/>
    <x v="0"/>
    <s v="DAP"/>
    <n v="217"/>
    <s v="Cajas"/>
    <n v="221.39"/>
    <n v="48041.63"/>
    <n v="2205.5100000000002"/>
    <n v="4.5908309106081548E-2"/>
    <n v="23"/>
    <d v="2023-12-26T00:00:00"/>
    <d v="2023-12-26T00:00:00"/>
    <n v="0"/>
    <x v="0"/>
    <b v="1"/>
    <n v="148"/>
    <n v="201"/>
    <x v="0"/>
    <x v="0"/>
  </r>
  <r>
    <s v="PED-01872"/>
    <d v="2023-05-11T00:00:00"/>
    <x v="1"/>
    <x v="5"/>
    <n v="19"/>
    <x v="3"/>
    <x v="4"/>
    <s v="SKU-TEX-6085"/>
    <x v="4"/>
    <x v="2"/>
    <x v="3"/>
    <s v="FOB"/>
    <n v="631"/>
    <s v="Unidades"/>
    <n v="53.67"/>
    <n v="33865.769999999997"/>
    <n v="2274.04"/>
    <n v="6.7148628246161246E-2"/>
    <n v="12"/>
    <d v="2023-05-23T00:00:00"/>
    <d v="2023-05-26T00:00:00"/>
    <n v="3"/>
    <x v="2"/>
    <b v="0"/>
    <n v="9"/>
    <n v="331"/>
    <x v="0"/>
    <x v="0"/>
  </r>
  <r>
    <s v="PED-01873"/>
    <d v="2024-11-17T00:00:00"/>
    <x v="0"/>
    <x v="6"/>
    <n v="47"/>
    <x v="0"/>
    <x v="0"/>
    <s v="SKU-MAQ-8625"/>
    <x v="3"/>
    <x v="4"/>
    <x v="1"/>
    <s v="DDP"/>
    <n v="721"/>
    <s v="Cajas"/>
    <n v="1943.7"/>
    <n v="1401407.7"/>
    <n v="66913.59"/>
    <n v="4.774741140640229E-2"/>
    <n v="7"/>
    <d v="2024-11-24T00:00:00"/>
    <d v="2024-11-27T00:00:00"/>
    <n v="3"/>
    <x v="2"/>
    <b v="0"/>
    <n v="29"/>
    <n v="464"/>
    <x v="2"/>
    <x v="1"/>
  </r>
  <r>
    <s v="PED-01874"/>
    <d v="2024-12-20T00:00:00"/>
    <x v="0"/>
    <x v="11"/>
    <n v="51"/>
    <x v="2"/>
    <x v="7"/>
    <s v="SKU-ALI-8709"/>
    <x v="0"/>
    <x v="2"/>
    <x v="2"/>
    <s v="FOB"/>
    <n v="961"/>
    <s v="Palés"/>
    <n v="66.77"/>
    <n v="64165.97"/>
    <n v="4906"/>
    <n v="7.6457972972277979E-2"/>
    <n v="15"/>
    <d v="2025-01-04T00:00:00"/>
    <d v="2025-01-05T00:00:00"/>
    <n v="1"/>
    <x v="2"/>
    <b v="0"/>
    <n v="279"/>
    <n v="236"/>
    <x v="2"/>
    <x v="1"/>
  </r>
  <r>
    <s v="PED-01875"/>
    <d v="2024-12-02T00:00:00"/>
    <x v="0"/>
    <x v="11"/>
    <n v="49"/>
    <x v="6"/>
    <x v="3"/>
    <s v="SKU-QUÍ-4796"/>
    <x v="1"/>
    <x v="0"/>
    <x v="1"/>
    <s v="EXW"/>
    <n v="378"/>
    <s v="Palés"/>
    <n v="102.23"/>
    <n v="38642.94"/>
    <n v="1900.55"/>
    <n v="4.9182334470410372E-2"/>
    <n v="24"/>
    <d v="2024-12-26T00:00:00"/>
    <d v="2025-01-07T00:00:00"/>
    <n v="12"/>
    <x v="1"/>
    <b v="0"/>
    <n v="431"/>
    <n v="267"/>
    <x v="0"/>
    <x v="0"/>
  </r>
  <r>
    <s v="PED-01876"/>
    <d v="2024-06-23T00:00:00"/>
    <x v="0"/>
    <x v="10"/>
    <n v="26"/>
    <x v="7"/>
    <x v="0"/>
    <s v="SKU-MAQ-4666"/>
    <x v="5"/>
    <x v="1"/>
    <x v="3"/>
    <s v="FOB"/>
    <n v="994"/>
    <s v="KG"/>
    <n v="1602.85"/>
    <n v="1593232.9"/>
    <n v="76088.27"/>
    <n v="4.7757154650773286E-2"/>
    <n v="17"/>
    <d v="2024-07-10T00:00:00"/>
    <d v="2024-07-09T00:00:00"/>
    <n v="-1"/>
    <x v="0"/>
    <b v="1"/>
    <n v="54"/>
    <n v="78"/>
    <x v="3"/>
    <x v="1"/>
  </r>
  <r>
    <s v="PED-01877"/>
    <d v="2023-04-06T00:00:00"/>
    <x v="1"/>
    <x v="1"/>
    <n v="14"/>
    <x v="6"/>
    <x v="1"/>
    <s v="SKU-FAR-3354"/>
    <x v="5"/>
    <x v="3"/>
    <x v="0"/>
    <s v="DAP"/>
    <n v="315"/>
    <s v="Palés"/>
    <n v="185.8"/>
    <n v="58527"/>
    <n v="3927.41"/>
    <n v="6.7104242486373811E-2"/>
    <n v="4"/>
    <d v="2023-04-10T00:00:00"/>
    <d v="2023-04-10T00:00:00"/>
    <n v="0"/>
    <x v="0"/>
    <b v="1"/>
    <n v="359"/>
    <n v="45"/>
    <x v="3"/>
    <x v="1"/>
  </r>
  <r>
    <s v="PED-01878"/>
    <d v="2024-10-23T00:00:00"/>
    <x v="0"/>
    <x v="0"/>
    <n v="43"/>
    <x v="0"/>
    <x v="4"/>
    <s v="SKU-TEX-5227"/>
    <x v="0"/>
    <x v="4"/>
    <x v="4"/>
    <s v="CIF"/>
    <n v="21"/>
    <s v="Unidades"/>
    <n v="53.88"/>
    <n v="3302.8089"/>
    <n v="142.36009999999999"/>
    <n v="4.3102735977246516E-2"/>
    <n v="29"/>
    <d v="2024-11-21T00:00:00"/>
    <d v="2024-11-21T00:00:00"/>
    <n v="0"/>
    <x v="0"/>
    <b v="1"/>
    <n v="126"/>
    <n v="242"/>
    <x v="4"/>
    <x v="1"/>
  </r>
  <r>
    <s v="PED-01879"/>
    <d v="2024-11-17T00:00:00"/>
    <x v="0"/>
    <x v="6"/>
    <n v="47"/>
    <x v="3"/>
    <x v="2"/>
    <s v="SKU-AUT-6954"/>
    <x v="5"/>
    <x v="5"/>
    <x v="4"/>
    <s v="EXW"/>
    <n v="354"/>
    <s v="KG"/>
    <n v="972.95"/>
    <n v="344424.3"/>
    <n v="18347.259999999998"/>
    <n v="5.3269354107709589E-2"/>
    <n v="22"/>
    <d v="2024-12-09T00:00:00"/>
    <d v="2024-12-17T00:00:00"/>
    <n v="8"/>
    <x v="2"/>
    <b v="0"/>
    <n v="179"/>
    <n v="287"/>
    <x v="3"/>
    <x v="1"/>
  </r>
  <r>
    <s v="PED-01880"/>
    <d v="2024-03-09T00:00:00"/>
    <x v="0"/>
    <x v="8"/>
    <n v="10"/>
    <x v="0"/>
    <x v="3"/>
    <s v="SKU-QUÍ-7423"/>
    <x v="1"/>
    <x v="5"/>
    <x v="0"/>
    <s v="FCA"/>
    <n v="474"/>
    <s v="Unidades"/>
    <n v="146.49"/>
    <n v="69436.259999999995"/>
    <n v="2137.79"/>
    <n v="3.0787804527490394E-2"/>
    <n v="25"/>
    <d v="2024-04-03T00:00:00"/>
    <d v="2024-04-03T00:00:00"/>
    <n v="0"/>
    <x v="0"/>
    <b v="1"/>
    <n v="231"/>
    <n v="159"/>
    <x v="3"/>
    <x v="1"/>
  </r>
  <r>
    <s v="PED-01881"/>
    <d v="2024-06-04T00:00:00"/>
    <x v="0"/>
    <x v="10"/>
    <n v="23"/>
    <x v="4"/>
    <x v="7"/>
    <s v="SKU-ALI-4004"/>
    <x v="2"/>
    <x v="1"/>
    <x v="3"/>
    <s v="CIF"/>
    <n v="709"/>
    <s v="Metros"/>
    <n v="108.77"/>
    <n v="77117.929999999993"/>
    <n v="3706.71"/>
    <n v="4.8065475823845377E-2"/>
    <n v="13"/>
    <d v="2024-06-17T00:00:00"/>
    <d v="2024-06-14T00:00:00"/>
    <n v="-3"/>
    <x v="0"/>
    <b v="1"/>
    <n v="380"/>
    <n v="114"/>
    <x v="1"/>
    <x v="1"/>
  </r>
  <r>
    <s v="PED-01882"/>
    <d v="2024-01-06T00:00:00"/>
    <x v="0"/>
    <x v="2"/>
    <n v="1"/>
    <x v="2"/>
    <x v="2"/>
    <s v="SKU-AUT-6412"/>
    <x v="1"/>
    <x v="2"/>
    <x v="0"/>
    <s v="EXW"/>
    <n v="675"/>
    <s v="Unidades"/>
    <n v="827.33"/>
    <n v="558447.75"/>
    <n v="43606.03"/>
    <n v="7.8084350774087638E-2"/>
    <n v="18"/>
    <d v="2024-01-24T00:00:00"/>
    <d v="2024-01-24T00:00:00"/>
    <n v="0"/>
    <x v="0"/>
    <b v="1"/>
    <n v="421"/>
    <n v="473"/>
    <x v="0"/>
    <x v="0"/>
  </r>
  <r>
    <s v="PED-01883"/>
    <d v="2023-01-19T00:00:00"/>
    <x v="1"/>
    <x v="2"/>
    <n v="3"/>
    <x v="3"/>
    <x v="0"/>
    <s v="SKU-MAQ-6320"/>
    <x v="3"/>
    <x v="2"/>
    <x v="3"/>
    <s v="EXW"/>
    <n v="503"/>
    <s v="Palés"/>
    <n v="1137.7"/>
    <n v="572263.1"/>
    <n v="37299.629999999997"/>
    <n v="6.5179163220553615E-2"/>
    <n v="1"/>
    <d v="2023-01-20T00:00:00"/>
    <d v="2023-01-19T00:00:00"/>
    <n v="-1"/>
    <x v="0"/>
    <b v="1"/>
    <n v="450"/>
    <n v="461"/>
    <x v="0"/>
    <x v="0"/>
  </r>
  <r>
    <s v="PED-01884"/>
    <d v="2024-01-07T00:00:00"/>
    <x v="0"/>
    <x v="2"/>
    <n v="2"/>
    <x v="2"/>
    <x v="2"/>
    <s v="SKU-AUT-8426"/>
    <x v="4"/>
    <x v="5"/>
    <x v="1"/>
    <s v="DAP"/>
    <n v="377"/>
    <s v="Metros"/>
    <n v="735.15"/>
    <n v="277151.55"/>
    <n v="19031.93"/>
    <n v="6.8669758476905512E-2"/>
    <n v="16"/>
    <d v="2024-01-23T00:00:00"/>
    <d v="2024-01-25T00:00:00"/>
    <n v="2"/>
    <x v="2"/>
    <b v="0"/>
    <n v="92"/>
    <n v="113"/>
    <x v="0"/>
    <x v="0"/>
  </r>
  <r>
    <s v="PED-01885"/>
    <d v="2023-11-13T00:00:00"/>
    <x v="1"/>
    <x v="6"/>
    <n v="46"/>
    <x v="0"/>
    <x v="2"/>
    <s v="SKU-AUT-8987"/>
    <x v="4"/>
    <x v="1"/>
    <x v="2"/>
    <s v="FCA"/>
    <n v="855"/>
    <s v="Palés"/>
    <n v="1187.2"/>
    <n v="1015056"/>
    <n v="22300.3"/>
    <n v="2.1969526804432465E-2"/>
    <n v="13"/>
    <d v="2023-11-26T00:00:00"/>
    <d v="2023-11-23T00:00:00"/>
    <n v="-3"/>
    <x v="0"/>
    <b v="1"/>
    <n v="7"/>
    <n v="125"/>
    <x v="0"/>
    <x v="0"/>
  </r>
  <r>
    <s v="PED-01886"/>
    <d v="2023-07-04T00:00:00"/>
    <x v="1"/>
    <x v="7"/>
    <n v="27"/>
    <x v="9"/>
    <x v="4"/>
    <s v="SKU-TEX-1495"/>
    <x v="3"/>
    <x v="5"/>
    <x v="3"/>
    <s v="FOB"/>
    <n v="946"/>
    <s v="Unidades"/>
    <n v="70.62"/>
    <n v="66806.52"/>
    <n v="3211.49"/>
    <n v="4.8071505595561621E-2"/>
    <n v="10"/>
    <d v="2023-07-14T00:00:00"/>
    <d v="2023-07-09T00:00:00"/>
    <n v="-5"/>
    <x v="0"/>
    <b v="1"/>
    <n v="412"/>
    <n v="89"/>
    <x v="0"/>
    <x v="0"/>
  </r>
  <r>
    <s v="PED-01887"/>
    <d v="2023-08-08T00:00:00"/>
    <x v="1"/>
    <x v="4"/>
    <n v="32"/>
    <x v="2"/>
    <x v="6"/>
    <s v="SKU-CON-2070"/>
    <x v="3"/>
    <x v="2"/>
    <x v="4"/>
    <s v="FCA"/>
    <n v="429"/>
    <s v="Palés"/>
    <n v="253.56"/>
    <n v="108777.24"/>
    <n v="6395.8"/>
    <n v="5.8797226331537736E-2"/>
    <n v="12"/>
    <d v="2023-08-20T00:00:00"/>
    <d v="2023-08-23T00:00:00"/>
    <n v="3"/>
    <x v="1"/>
    <b v="0"/>
    <n v="246"/>
    <n v="60"/>
    <x v="0"/>
    <x v="0"/>
  </r>
  <r>
    <s v="PED-01888"/>
    <d v="2023-12-16T00:00:00"/>
    <x v="1"/>
    <x v="11"/>
    <n v="50"/>
    <x v="4"/>
    <x v="2"/>
    <s v="SKU-AUT-8787"/>
    <x v="4"/>
    <x v="4"/>
    <x v="4"/>
    <s v="DAP"/>
    <n v="898"/>
    <s v="Palés"/>
    <n v="564.71"/>
    <n v="507109.58"/>
    <n v="35397.24"/>
    <n v="6.9801954835875896E-2"/>
    <n v="2"/>
    <d v="2023-12-18T00:00:00"/>
    <d v="2023-12-30T00:00:00"/>
    <n v="12"/>
    <x v="1"/>
    <b v="0"/>
    <n v="393"/>
    <n v="452"/>
    <x v="0"/>
    <x v="0"/>
  </r>
  <r>
    <s v="PED-01889"/>
    <d v="2024-05-12T00:00:00"/>
    <x v="0"/>
    <x v="5"/>
    <n v="20"/>
    <x v="8"/>
    <x v="2"/>
    <s v="SKU-AUT-2849"/>
    <x v="0"/>
    <x v="3"/>
    <x v="2"/>
    <s v="DAP"/>
    <n v="800"/>
    <s v="Palés"/>
    <n v="891.65"/>
    <n v="713320"/>
    <n v="16375.27"/>
    <n v="2.2956415073178939E-2"/>
    <n v="23"/>
    <d v="2024-06-04T00:00:00"/>
    <d v="2024-06-03T00:00:00"/>
    <n v="-1"/>
    <x v="0"/>
    <b v="1"/>
    <n v="452"/>
    <n v="499"/>
    <x v="2"/>
    <x v="1"/>
  </r>
  <r>
    <s v="PED-01890"/>
    <d v="2023-07-16T00:00:00"/>
    <x v="1"/>
    <x v="7"/>
    <n v="29"/>
    <x v="3"/>
    <x v="3"/>
    <s v="SKU-QUÍ-6758"/>
    <x v="2"/>
    <x v="2"/>
    <x v="3"/>
    <s v="DAP"/>
    <n v="180"/>
    <s v="Cajas"/>
    <n v="87.6"/>
    <n v="15768"/>
    <n v="1121.8399999999999"/>
    <n v="7.1146626078132921E-2"/>
    <n v="3"/>
    <d v="2023-07-19T00:00:00"/>
    <d v="2023-07-27T00:00:00"/>
    <n v="8"/>
    <x v="1"/>
    <b v="0"/>
    <n v="330"/>
    <n v="316"/>
    <x v="2"/>
    <x v="1"/>
  </r>
  <r>
    <s v="PED-01891"/>
    <d v="2023-08-20T00:00:00"/>
    <x v="1"/>
    <x v="4"/>
    <n v="34"/>
    <x v="4"/>
    <x v="6"/>
    <s v="SKU-CON-8842"/>
    <x v="2"/>
    <x v="4"/>
    <x v="2"/>
    <s v="CIF"/>
    <n v="143"/>
    <s v="Metros"/>
    <n v="231.08"/>
    <n v="33044.44"/>
    <n v="1748.18"/>
    <n v="5.2903907586268673E-2"/>
    <n v="10"/>
    <d v="2023-08-30T00:00:00"/>
    <d v="2023-08-25T00:00:00"/>
    <n v="-5"/>
    <x v="0"/>
    <b v="1"/>
    <n v="195"/>
    <n v="101"/>
    <x v="0"/>
    <x v="0"/>
  </r>
  <r>
    <s v="PED-01892"/>
    <d v="2023-05-21T00:00:00"/>
    <x v="1"/>
    <x v="5"/>
    <n v="21"/>
    <x v="4"/>
    <x v="4"/>
    <s v="SKU-TEX-8556"/>
    <x v="2"/>
    <x v="3"/>
    <x v="1"/>
    <s v="FCA"/>
    <n v="974"/>
    <s v="Metros"/>
    <n v="86.2"/>
    <n v="83958.8"/>
    <n v="2673.15"/>
    <n v="3.1838830473994391E-2"/>
    <n v="2"/>
    <d v="2023-05-23T00:00:00"/>
    <d v="2023-05-24T00:00:00"/>
    <n v="1"/>
    <x v="2"/>
    <b v="0"/>
    <n v="432"/>
    <n v="113"/>
    <x v="1"/>
    <x v="1"/>
  </r>
  <r>
    <s v="PED-01893"/>
    <d v="2023-06-08T00:00:00"/>
    <x v="1"/>
    <x v="10"/>
    <n v="23"/>
    <x v="7"/>
    <x v="7"/>
    <s v="SKU-ALI-3798"/>
    <x v="3"/>
    <x v="0"/>
    <x v="2"/>
    <s v="FCA"/>
    <n v="436"/>
    <s v="Metros"/>
    <n v="117.98"/>
    <n v="51439.28"/>
    <n v="2007.95"/>
    <n v="3.9035344196108504E-2"/>
    <n v="27"/>
    <d v="2023-07-05T00:00:00"/>
    <d v="2023-07-10T00:00:00"/>
    <n v="5"/>
    <x v="2"/>
    <b v="0"/>
    <n v="441"/>
    <n v="173"/>
    <x v="4"/>
    <x v="1"/>
  </r>
  <r>
    <s v="PED-01894"/>
    <d v="2023-03-21T00:00:00"/>
    <x v="1"/>
    <x v="8"/>
    <n v="12"/>
    <x v="9"/>
    <x v="0"/>
    <s v="SKU-MAQ-5624"/>
    <x v="4"/>
    <x v="1"/>
    <x v="1"/>
    <s v="EXW"/>
    <n v="34"/>
    <s v="Unidades"/>
    <n v="1698.66"/>
    <n v="57754.44"/>
    <n v="2132.0500000000002"/>
    <n v="3.6915776518653805E-2"/>
    <n v="23"/>
    <d v="2023-04-13T00:00:00"/>
    <d v="2023-04-13T00:00:00"/>
    <n v="0"/>
    <x v="1"/>
    <b v="0"/>
    <n v="162"/>
    <n v="451"/>
    <x v="0"/>
    <x v="0"/>
  </r>
  <r>
    <s v="PED-01895"/>
    <d v="2023-10-30T00:00:00"/>
    <x v="1"/>
    <x v="0"/>
    <n v="44"/>
    <x v="5"/>
    <x v="4"/>
    <s v="SKU-TEX-6711"/>
    <x v="0"/>
    <x v="4"/>
    <x v="4"/>
    <s v="DDP"/>
    <n v="539"/>
    <s v="Litros"/>
    <n v="63.99"/>
    <n v="34490.61"/>
    <n v="1788.39"/>
    <n v="5.1851503931069937E-2"/>
    <n v="13"/>
    <d v="2023-11-12T00:00:00"/>
    <d v="2023-11-12T00:00:00"/>
    <n v="0"/>
    <x v="0"/>
    <b v="1"/>
    <n v="433"/>
    <n v="91"/>
    <x v="1"/>
    <x v="1"/>
  </r>
  <r>
    <s v="PED-01896"/>
    <d v="2023-04-14T00:00:00"/>
    <x v="1"/>
    <x v="1"/>
    <n v="15"/>
    <x v="9"/>
    <x v="4"/>
    <s v="SKU-TEX-3087"/>
    <x v="4"/>
    <x v="0"/>
    <x v="1"/>
    <s v="FOB"/>
    <n v="199"/>
    <s v="Unidades"/>
    <n v="87.36"/>
    <n v="17384.64"/>
    <n v="401.61"/>
    <n v="2.3101427467005359E-2"/>
    <n v="13"/>
    <d v="2023-04-27T00:00:00"/>
    <d v="2023-04-22T00:00:00"/>
    <n v="-5"/>
    <x v="2"/>
    <b v="0"/>
    <n v="39"/>
    <n v="182"/>
    <x v="2"/>
    <x v="1"/>
  </r>
  <r>
    <s v="PED-01897"/>
    <d v="2024-06-03T00:00:00"/>
    <x v="0"/>
    <x v="10"/>
    <n v="23"/>
    <x v="1"/>
    <x v="5"/>
    <s v="SKU-ELE-9322"/>
    <x v="4"/>
    <x v="2"/>
    <x v="3"/>
    <s v="DAP"/>
    <n v="150"/>
    <s v="Metros"/>
    <n v="619.44000000000005"/>
    <n v="92916"/>
    <n v="2742.15"/>
    <n v="2.9512139997417024E-2"/>
    <n v="18"/>
    <d v="2024-06-21T00:00:00"/>
    <d v="2024-06-24T00:00:00"/>
    <n v="3"/>
    <x v="1"/>
    <b v="0"/>
    <n v="253"/>
    <n v="384"/>
    <x v="0"/>
    <x v="0"/>
  </r>
  <r>
    <s v="PED-01898"/>
    <d v="2024-07-06T00:00:00"/>
    <x v="0"/>
    <x v="7"/>
    <n v="27"/>
    <x v="7"/>
    <x v="4"/>
    <s v="SKU-TEX-2686"/>
    <x v="0"/>
    <x v="1"/>
    <x v="3"/>
    <s v="FCA"/>
    <n v="564"/>
    <s v="KG"/>
    <n v="45.12"/>
    <n v="25447.68"/>
    <n v="1749.82"/>
    <n v="6.8761474523414315E-2"/>
    <n v="3"/>
    <d v="2024-07-09T00:00:00"/>
    <d v="2024-07-10T00:00:00"/>
    <n v="1"/>
    <x v="2"/>
    <b v="0"/>
    <n v="395"/>
    <n v="204"/>
    <x v="1"/>
    <x v="1"/>
  </r>
  <r>
    <s v="PED-01899"/>
    <d v="2024-06-23T00:00:00"/>
    <x v="0"/>
    <x v="10"/>
    <n v="26"/>
    <x v="0"/>
    <x v="6"/>
    <s v="SKU-CON-7646"/>
    <x v="1"/>
    <x v="4"/>
    <x v="3"/>
    <s v="FCA"/>
    <n v="855"/>
    <s v="Palés"/>
    <n v="214.52"/>
    <n v="183414.6"/>
    <n v="5127.58"/>
    <n v="2.7956225949297382E-2"/>
    <n v="27"/>
    <d v="2024-07-20T00:00:00"/>
    <d v="2024-07-22T00:00:00"/>
    <n v="2"/>
    <x v="1"/>
    <b v="0"/>
    <n v="84"/>
    <n v="362"/>
    <x v="3"/>
    <x v="1"/>
  </r>
  <r>
    <s v="PED-01900"/>
    <d v="2023-02-08T00:00:00"/>
    <x v="1"/>
    <x v="9"/>
    <n v="6"/>
    <x v="0"/>
    <x v="5"/>
    <s v="SKU-ELE-2752"/>
    <x v="0"/>
    <x v="2"/>
    <x v="3"/>
    <s v="EXW"/>
    <n v="805"/>
    <s v="Palés"/>
    <n v="446.1"/>
    <n v="359110.5"/>
    <n v="12211.11"/>
    <n v="3.4003767642550135E-2"/>
    <n v="7"/>
    <d v="2023-02-15T00:00:00"/>
    <d v="2023-02-18T00:00:00"/>
    <n v="3"/>
    <x v="1"/>
    <b v="0"/>
    <n v="271"/>
    <n v="194"/>
    <x v="2"/>
    <x v="1"/>
  </r>
  <r>
    <s v="PED-01901"/>
    <d v="2024-11-08T00:00:00"/>
    <x v="0"/>
    <x v="6"/>
    <n v="45"/>
    <x v="6"/>
    <x v="0"/>
    <s v="SKU-MAQ-6339"/>
    <x v="1"/>
    <x v="1"/>
    <x v="0"/>
    <s v="FOB"/>
    <n v="667"/>
    <s v="Litros"/>
    <n v="1613.77"/>
    <n v="1076384.5900000001"/>
    <n v="50807.76"/>
    <n v="4.7202236516596725E-2"/>
    <n v="14"/>
    <d v="2024-11-22T00:00:00"/>
    <d v="2024-11-22T00:00:00"/>
    <n v="0"/>
    <x v="0"/>
    <b v="1"/>
    <n v="77"/>
    <n v="304"/>
    <x v="0"/>
    <x v="0"/>
  </r>
  <r>
    <s v="PED-01902"/>
    <d v="2023-12-11T00:00:00"/>
    <x v="1"/>
    <x v="11"/>
    <n v="50"/>
    <x v="5"/>
    <x v="2"/>
    <s v="SKU-AUT-2162"/>
    <x v="5"/>
    <x v="1"/>
    <x v="1"/>
    <s v="DDP"/>
    <n v="324"/>
    <s v="KG"/>
    <n v="851.5"/>
    <n v="275886"/>
    <n v="14077.7"/>
    <n v="5.1027235887286783E-2"/>
    <n v="20"/>
    <d v="2023-12-31T00:00:00"/>
    <d v="2024-01-12T00:00:00"/>
    <n v="12"/>
    <x v="2"/>
    <b v="0"/>
    <n v="212"/>
    <n v="497"/>
    <x v="0"/>
    <x v="0"/>
  </r>
  <r>
    <s v="PED-01903"/>
    <d v="2024-09-24T00:00:00"/>
    <x v="0"/>
    <x v="3"/>
    <n v="39"/>
    <x v="1"/>
    <x v="3"/>
    <s v="SKU-QUÍ-5949"/>
    <x v="1"/>
    <x v="2"/>
    <x v="3"/>
    <s v="DDP"/>
    <n v="453"/>
    <s v="Cajas"/>
    <n v="139.88999999999999"/>
    <n v="63370.17"/>
    <n v="4170.8100000000004"/>
    <n v="6.5816613715885569E-2"/>
    <n v="29"/>
    <d v="2024-10-23T00:00:00"/>
    <d v="2024-10-23T00:00:00"/>
    <n v="0"/>
    <x v="0"/>
    <b v="1"/>
    <n v="303"/>
    <n v="24"/>
    <x v="2"/>
    <x v="1"/>
  </r>
  <r>
    <s v="PED-01904"/>
    <d v="2023-05-15T00:00:00"/>
    <x v="1"/>
    <x v="5"/>
    <n v="20"/>
    <x v="2"/>
    <x v="3"/>
    <s v="SKU-QUÍ-9728"/>
    <x v="2"/>
    <x v="2"/>
    <x v="2"/>
    <s v="DAP"/>
    <n v="328"/>
    <s v="Unidades"/>
    <n v="118.25"/>
    <n v="38786"/>
    <n v="1816.73"/>
    <n v="4.6839839117207238E-2"/>
    <n v="17"/>
    <d v="2023-06-01T00:00:00"/>
    <d v="2023-06-01T00:00:00"/>
    <n v="0"/>
    <x v="0"/>
    <b v="1"/>
    <n v="254"/>
    <n v="233"/>
    <x v="0"/>
    <x v="0"/>
  </r>
  <r>
    <s v="PED-01905"/>
    <d v="2024-09-03T00:00:00"/>
    <x v="0"/>
    <x v="3"/>
    <n v="36"/>
    <x v="9"/>
    <x v="0"/>
    <s v="SKU-MAQ-8552"/>
    <x v="2"/>
    <x v="4"/>
    <x v="2"/>
    <s v="DDP"/>
    <n v="450"/>
    <s v="Cajas"/>
    <n v="1247.1199999999999"/>
    <n v="561204"/>
    <n v="37820.589999999997"/>
    <n v="6.7391875325193681E-2"/>
    <n v="29"/>
    <d v="2024-10-02T00:00:00"/>
    <d v="2024-10-10T00:00:00"/>
    <n v="8"/>
    <x v="1"/>
    <b v="0"/>
    <n v="90"/>
    <n v="15"/>
    <x v="0"/>
    <x v="0"/>
  </r>
  <r>
    <s v="PED-01906"/>
    <d v="2024-01-21T00:00:00"/>
    <x v="0"/>
    <x v="2"/>
    <n v="4"/>
    <x v="3"/>
    <x v="0"/>
    <s v="SKU-MAQ-7566"/>
    <x v="0"/>
    <x v="1"/>
    <x v="0"/>
    <s v="DDP"/>
    <n v="101"/>
    <s v="KG"/>
    <n v="1654.46"/>
    <n v="167100.46"/>
    <n v="9541.57"/>
    <n v="5.7100800320956629E-2"/>
    <n v="21"/>
    <d v="2024-02-11T00:00:00"/>
    <d v="2024-02-08T00:00:00"/>
    <n v="-3"/>
    <x v="0"/>
    <b v="1"/>
    <n v="483"/>
    <n v="468"/>
    <x v="4"/>
    <x v="1"/>
  </r>
  <r>
    <s v="PED-01907"/>
    <d v="2023-06-07T00:00:00"/>
    <x v="1"/>
    <x v="10"/>
    <n v="23"/>
    <x v="4"/>
    <x v="6"/>
    <s v="SKU-CON-7773"/>
    <x v="2"/>
    <x v="4"/>
    <x v="1"/>
    <s v="FOB"/>
    <n v="188"/>
    <s v="Litros"/>
    <n v="272.83"/>
    <n v="51292.04"/>
    <n v="1373.91"/>
    <n v="2.6786027617540658E-2"/>
    <n v="12"/>
    <d v="2023-06-19T00:00:00"/>
    <d v="2023-06-19T00:00:00"/>
    <n v="0"/>
    <x v="0"/>
    <b v="1"/>
    <n v="384"/>
    <n v="140"/>
    <x v="0"/>
    <x v="0"/>
  </r>
  <r>
    <s v="PED-01908"/>
    <d v="2023-06-16T00:00:00"/>
    <x v="1"/>
    <x v="10"/>
    <n v="24"/>
    <x v="2"/>
    <x v="1"/>
    <s v="SKU-FAR-4908"/>
    <x v="2"/>
    <x v="1"/>
    <x v="1"/>
    <s v="FOB"/>
    <n v="65"/>
    <s v="KG"/>
    <n v="246.24"/>
    <n v="16005.6"/>
    <n v="470.24"/>
    <n v="2.9379717099015344E-2"/>
    <n v="25"/>
    <d v="2023-07-11T00:00:00"/>
    <d v="2023-07-10T00:00:00"/>
    <n v="-1"/>
    <x v="0"/>
    <b v="1"/>
    <n v="192"/>
    <n v="435"/>
    <x v="2"/>
    <x v="1"/>
  </r>
  <r>
    <s v="PED-01909"/>
    <d v="2023-07-05T00:00:00"/>
    <x v="1"/>
    <x v="7"/>
    <n v="27"/>
    <x v="6"/>
    <x v="2"/>
    <s v="SKU-AUT-4992"/>
    <x v="5"/>
    <x v="4"/>
    <x v="1"/>
    <s v="DAP"/>
    <n v="164"/>
    <s v="Litros"/>
    <n v="776.56"/>
    <n v="127355.84"/>
    <n v="5886.64"/>
    <n v="4.6221987150334057E-2"/>
    <n v="16"/>
    <d v="2023-07-21T00:00:00"/>
    <d v="2023-07-22T00:00:00"/>
    <n v="1"/>
    <x v="1"/>
    <b v="0"/>
    <n v="252"/>
    <n v="107"/>
    <x v="0"/>
    <x v="0"/>
  </r>
  <r>
    <s v="PED-01910"/>
    <d v="2024-12-10T00:00:00"/>
    <x v="0"/>
    <x v="11"/>
    <n v="50"/>
    <x v="9"/>
    <x v="0"/>
    <s v="SKU-MAQ-9977"/>
    <x v="2"/>
    <x v="2"/>
    <x v="0"/>
    <s v="FCA"/>
    <n v="681"/>
    <s v="Cajas"/>
    <n v="2172.63"/>
    <n v="1479561.03"/>
    <n v="64824.55"/>
    <n v="4.3813366725399629E-2"/>
    <n v="24"/>
    <d v="2025-01-03T00:00:00"/>
    <d v="2025-01-06T00:00:00"/>
    <n v="3"/>
    <x v="2"/>
    <b v="0"/>
    <n v="277"/>
    <n v="419"/>
    <x v="3"/>
    <x v="1"/>
  </r>
  <r>
    <s v="PED-01911"/>
    <d v="2024-10-01T00:00:00"/>
    <x v="0"/>
    <x v="0"/>
    <n v="40"/>
    <x v="3"/>
    <x v="4"/>
    <s v="SKU-TEX-3605"/>
    <x v="3"/>
    <x v="2"/>
    <x v="1"/>
    <s v="EXW"/>
    <n v="120"/>
    <s v="Cajas"/>
    <n v="85.79"/>
    <n v="10294.799999999999"/>
    <n v="665.17"/>
    <n v="6.4612231417803159E-2"/>
    <n v="12"/>
    <d v="2024-10-13T00:00:00"/>
    <d v="2024-10-13T00:00:00"/>
    <n v="0"/>
    <x v="0"/>
    <b v="1"/>
    <n v="142"/>
    <n v="455"/>
    <x v="0"/>
    <x v="0"/>
  </r>
  <r>
    <s v="PED-01912"/>
    <d v="2023-06-19T00:00:00"/>
    <x v="1"/>
    <x v="10"/>
    <n v="25"/>
    <x v="6"/>
    <x v="6"/>
    <s v="SKU-CON-8903"/>
    <x v="3"/>
    <x v="5"/>
    <x v="1"/>
    <s v="DAP"/>
    <n v="146"/>
    <s v="KG"/>
    <n v="173.5"/>
    <n v="25331"/>
    <n v="1389.26"/>
    <n v="5.4844261971497374E-2"/>
    <n v="15"/>
    <d v="2023-07-04T00:00:00"/>
    <d v="2023-07-04T00:00:00"/>
    <n v="0"/>
    <x v="0"/>
    <b v="1"/>
    <n v="243"/>
    <n v="299"/>
    <x v="1"/>
    <x v="1"/>
  </r>
  <r>
    <s v="PED-01913"/>
    <d v="2024-03-24T00:00:00"/>
    <x v="0"/>
    <x v="8"/>
    <n v="13"/>
    <x v="4"/>
    <x v="3"/>
    <s v="SKU-QUÍ-7288"/>
    <x v="3"/>
    <x v="4"/>
    <x v="3"/>
    <s v="CIF"/>
    <n v="241"/>
    <s v="KG"/>
    <n v="87.78"/>
    <n v="21154.98"/>
    <n v="915.76"/>
    <n v="4.3288152482299676E-2"/>
    <n v="25"/>
    <d v="2024-04-18T00:00:00"/>
    <d v="2024-04-23T00:00:00"/>
    <n v="5"/>
    <x v="1"/>
    <b v="0"/>
    <n v="211"/>
    <n v="338"/>
    <x v="1"/>
    <x v="1"/>
  </r>
  <r>
    <s v="PED-01914"/>
    <d v="2023-02-14T00:00:00"/>
    <x v="1"/>
    <x v="9"/>
    <n v="7"/>
    <x v="7"/>
    <x v="7"/>
    <s v="SKU-ALI-2082"/>
    <x v="1"/>
    <x v="5"/>
    <x v="1"/>
    <s v="DDP"/>
    <n v="477"/>
    <s v="Palés"/>
    <n v="103.44"/>
    <n v="49340.88"/>
    <n v="1492.35"/>
    <n v="3.024571106149708E-2"/>
    <n v="10"/>
    <d v="2023-02-24T00:00:00"/>
    <d v="2023-03-08T00:00:00"/>
    <n v="12"/>
    <x v="1"/>
    <b v="0"/>
    <n v="194"/>
    <n v="302"/>
    <x v="0"/>
    <x v="0"/>
  </r>
  <r>
    <s v="PED-01915"/>
    <d v="2024-02-25T00:00:00"/>
    <x v="0"/>
    <x v="9"/>
    <n v="9"/>
    <x v="5"/>
    <x v="6"/>
    <s v="SKU-CON-6582"/>
    <x v="0"/>
    <x v="5"/>
    <x v="3"/>
    <s v="EXW"/>
    <n v="741"/>
    <s v="Litros"/>
    <n v="272.42"/>
    <n v="201863.22"/>
    <n v="6784.67"/>
    <n v="3.3610233701810564E-2"/>
    <n v="25"/>
    <d v="2024-03-21T00:00:00"/>
    <d v="2024-04-02T00:00:00"/>
    <n v="12"/>
    <x v="2"/>
    <b v="0"/>
    <n v="269"/>
    <n v="379"/>
    <x v="3"/>
    <x v="1"/>
  </r>
  <r>
    <s v="PED-01916"/>
    <d v="2024-01-09T00:00:00"/>
    <x v="0"/>
    <x v="2"/>
    <n v="2"/>
    <x v="7"/>
    <x v="3"/>
    <s v="SKU-QUÍ-4411"/>
    <x v="0"/>
    <x v="0"/>
    <x v="3"/>
    <s v="FCA"/>
    <n v="490"/>
    <s v="Palés"/>
    <n v="176.91"/>
    <n v="86685.9"/>
    <n v="4726.99"/>
    <n v="5.4530090822152162E-2"/>
    <n v="7"/>
    <d v="2024-01-16T00:00:00"/>
    <d v="2024-01-13T00:00:00"/>
    <n v="-3"/>
    <x v="0"/>
    <b v="1"/>
    <n v="328"/>
    <n v="79"/>
    <x v="2"/>
    <x v="1"/>
  </r>
  <r>
    <s v="PED-01917"/>
    <d v="2024-11-23T00:00:00"/>
    <x v="0"/>
    <x v="6"/>
    <n v="47"/>
    <x v="3"/>
    <x v="5"/>
    <s v="SKU-ELE-8063"/>
    <x v="4"/>
    <x v="1"/>
    <x v="1"/>
    <s v="FCA"/>
    <n v="77"/>
    <s v="Unidades"/>
    <n v="705.93"/>
    <n v="54356.61"/>
    <n v="2468.13"/>
    <n v="4.5406253259723153E-2"/>
    <n v="20"/>
    <d v="2024-12-13T00:00:00"/>
    <d v="2024-12-12T00:00:00"/>
    <n v="-1"/>
    <x v="0"/>
    <b v="1"/>
    <n v="18"/>
    <n v="75"/>
    <x v="1"/>
    <x v="1"/>
  </r>
  <r>
    <s v="PED-01918"/>
    <d v="2023-09-01T00:00:00"/>
    <x v="1"/>
    <x v="3"/>
    <n v="35"/>
    <x v="7"/>
    <x v="6"/>
    <s v="SKU-CON-8132"/>
    <x v="5"/>
    <x v="3"/>
    <x v="2"/>
    <s v="FOB"/>
    <n v="823"/>
    <s v="Unidades"/>
    <n v="236.09"/>
    <n v="194302.07"/>
    <n v="9889.1299999999992"/>
    <n v="5.0895649233175945E-2"/>
    <n v="5"/>
    <d v="2023-09-06T00:00:00"/>
    <d v="2023-09-05T00:00:00"/>
    <n v="-1"/>
    <x v="0"/>
    <b v="1"/>
    <n v="39"/>
    <n v="275"/>
    <x v="2"/>
    <x v="1"/>
  </r>
  <r>
    <s v="PED-01919"/>
    <d v="2024-03-30T00:00:00"/>
    <x v="0"/>
    <x v="8"/>
    <n v="13"/>
    <x v="3"/>
    <x v="3"/>
    <s v="SKU-QUÍ-6606"/>
    <x v="3"/>
    <x v="0"/>
    <x v="4"/>
    <s v="CIF"/>
    <n v="258"/>
    <s v="KG"/>
    <n v="134.88999999999999"/>
    <n v="34801.620000000003"/>
    <n v="1052.42"/>
    <n v="3.0240546273420606E-2"/>
    <n v="1"/>
    <d v="2024-03-31T00:00:00"/>
    <d v="2024-04-12T00:00:00"/>
    <n v="12"/>
    <x v="1"/>
    <b v="0"/>
    <n v="97"/>
    <n v="401"/>
    <x v="0"/>
    <x v="0"/>
  </r>
  <r>
    <s v="PED-01920"/>
    <d v="2024-09-17T00:00:00"/>
    <x v="0"/>
    <x v="3"/>
    <n v="38"/>
    <x v="1"/>
    <x v="1"/>
    <s v="SKU-FAR-9921"/>
    <x v="3"/>
    <x v="1"/>
    <x v="2"/>
    <s v="FCA"/>
    <n v="332"/>
    <s v="Cajas"/>
    <n v="144.44999999999999"/>
    <n v="47957.4"/>
    <n v="2866.62"/>
    <n v="5.9774299690975738E-2"/>
    <n v="17"/>
    <d v="2024-10-04T00:00:00"/>
    <d v="2024-10-16T00:00:00"/>
    <n v="12"/>
    <x v="2"/>
    <b v="0"/>
    <n v="3"/>
    <n v="437"/>
    <x v="0"/>
    <x v="0"/>
  </r>
  <r>
    <s v="PED-01921"/>
    <d v="2023-10-19T00:00:00"/>
    <x v="1"/>
    <x v="0"/>
    <n v="42"/>
    <x v="1"/>
    <x v="6"/>
    <s v="SKU-CON-4869"/>
    <x v="2"/>
    <x v="3"/>
    <x v="1"/>
    <s v="CIF"/>
    <n v="931"/>
    <s v="Unidades"/>
    <n v="179.47"/>
    <n v="167086.57"/>
    <n v="11888.6"/>
    <n v="7.1152337378162706E-2"/>
    <n v="3"/>
    <d v="2023-10-22T00:00:00"/>
    <d v="2023-10-25T00:00:00"/>
    <n v="3"/>
    <x v="2"/>
    <b v="0"/>
    <n v="32"/>
    <n v="267"/>
    <x v="0"/>
    <x v="0"/>
  </r>
  <r>
    <s v="PED-01922"/>
    <d v="2024-04-04T00:00:00"/>
    <x v="0"/>
    <x v="1"/>
    <n v="14"/>
    <x v="8"/>
    <x v="6"/>
    <s v="SKU-CON-3835"/>
    <x v="3"/>
    <x v="5"/>
    <x v="1"/>
    <s v="DDP"/>
    <n v="913"/>
    <s v="Unidades"/>
    <n v="213.54"/>
    <n v="194962.02"/>
    <n v="6916.54"/>
    <n v="3.547634559797852E-2"/>
    <n v="13"/>
    <d v="2024-04-17T00:00:00"/>
    <d v="2024-04-18T00:00:00"/>
    <n v="1"/>
    <x v="2"/>
    <b v="0"/>
    <n v="298"/>
    <n v="111"/>
    <x v="4"/>
    <x v="1"/>
  </r>
  <r>
    <s v="PED-01923"/>
    <d v="2023-08-28T00:00:00"/>
    <x v="1"/>
    <x v="4"/>
    <n v="35"/>
    <x v="8"/>
    <x v="2"/>
    <s v="SKU-AUT-2276"/>
    <x v="2"/>
    <x v="3"/>
    <x v="2"/>
    <s v="FOB"/>
    <n v="527"/>
    <s v="Palés"/>
    <n v="962.24"/>
    <n v="507100.48"/>
    <n v="25096.84"/>
    <n v="4.949086224489474E-2"/>
    <n v="14"/>
    <d v="2023-09-11T00:00:00"/>
    <d v="2023-09-13T00:00:00"/>
    <n v="2"/>
    <x v="1"/>
    <b v="0"/>
    <n v="164"/>
    <n v="408"/>
    <x v="1"/>
    <x v="1"/>
  </r>
  <r>
    <s v="PED-01924"/>
    <d v="2024-06-30T00:00:00"/>
    <x v="0"/>
    <x v="10"/>
    <n v="27"/>
    <x v="7"/>
    <x v="0"/>
    <s v="SKU-MAQ-8972"/>
    <x v="2"/>
    <x v="2"/>
    <x v="1"/>
    <s v="EXW"/>
    <n v="985"/>
    <s v="Palés"/>
    <n v="1718.7"/>
    <n v="1639255.3774000001"/>
    <n v="96548.6302"/>
    <n v="5.8897857851248549E-2"/>
    <n v="24"/>
    <d v="2024-07-24T00:00:00"/>
    <d v="2024-08-01T00:00:00"/>
    <n v="8"/>
    <x v="1"/>
    <b v="0"/>
    <n v="449"/>
    <n v="315"/>
    <x v="4"/>
    <x v="1"/>
  </r>
  <r>
    <s v="PED-01925"/>
    <d v="2023-09-02T00:00:00"/>
    <x v="1"/>
    <x v="3"/>
    <n v="35"/>
    <x v="0"/>
    <x v="2"/>
    <s v="SKU-AUT-2873"/>
    <x v="4"/>
    <x v="2"/>
    <x v="3"/>
    <s v="FOB"/>
    <n v="801"/>
    <s v="Unidades"/>
    <n v="1035.29"/>
    <n v="829267.29"/>
    <n v="33166.129999999997"/>
    <n v="3.9994499240407752E-2"/>
    <n v="18"/>
    <d v="2023-09-20T00:00:00"/>
    <d v="2023-09-25T00:00:00"/>
    <n v="5"/>
    <x v="2"/>
    <b v="0"/>
    <n v="26"/>
    <n v="499"/>
    <x v="0"/>
    <x v="0"/>
  </r>
  <r>
    <s v="PED-01926"/>
    <d v="2023-11-13T00:00:00"/>
    <x v="1"/>
    <x v="6"/>
    <n v="46"/>
    <x v="7"/>
    <x v="6"/>
    <s v="SKU-CON-8584"/>
    <x v="1"/>
    <x v="4"/>
    <x v="0"/>
    <s v="DDP"/>
    <n v="441"/>
    <s v="KG"/>
    <n v="184.76"/>
    <n v="81479.16"/>
    <n v="4538.62"/>
    <n v="5.5702832478881713E-2"/>
    <n v="4"/>
    <d v="2023-11-17T00:00:00"/>
    <d v="2023-11-25T00:00:00"/>
    <n v="8"/>
    <x v="1"/>
    <b v="0"/>
    <n v="172"/>
    <n v="74"/>
    <x v="4"/>
    <x v="1"/>
  </r>
  <r>
    <s v="PED-01927"/>
    <d v="2024-04-25T00:00:00"/>
    <x v="0"/>
    <x v="1"/>
    <n v="17"/>
    <x v="7"/>
    <x v="0"/>
    <s v="SKU-MAQ-6330"/>
    <x v="2"/>
    <x v="1"/>
    <x v="1"/>
    <s v="FCA"/>
    <n v="496"/>
    <s v="Palés"/>
    <n v="1727.94"/>
    <n v="857058.24"/>
    <n v="21779.34"/>
    <n v="2.5411738646839217E-2"/>
    <n v="18"/>
    <d v="2024-05-13T00:00:00"/>
    <d v="2024-05-16T00:00:00"/>
    <n v="3"/>
    <x v="2"/>
    <b v="0"/>
    <n v="336"/>
    <n v="213"/>
    <x v="1"/>
    <x v="1"/>
  </r>
  <r>
    <s v="PED-01928"/>
    <d v="2023-07-18T00:00:00"/>
    <x v="1"/>
    <x v="7"/>
    <n v="29"/>
    <x v="0"/>
    <x v="3"/>
    <s v="SKU-QUÍ-2599"/>
    <x v="2"/>
    <x v="0"/>
    <x v="1"/>
    <s v="CIF"/>
    <n v="615"/>
    <s v="Unidades"/>
    <n v="92.46"/>
    <n v="56862.9"/>
    <n v="3204.84"/>
    <n v="5.6360825775681508E-2"/>
    <n v="5"/>
    <d v="2023-07-23T00:00:00"/>
    <d v="2023-07-23T00:00:00"/>
    <n v="0"/>
    <x v="0"/>
    <b v="1"/>
    <n v="112"/>
    <n v="499"/>
    <x v="2"/>
    <x v="1"/>
  </r>
  <r>
    <s v="PED-01929"/>
    <d v="2024-01-12T00:00:00"/>
    <x v="0"/>
    <x v="2"/>
    <n v="2"/>
    <x v="5"/>
    <x v="7"/>
    <s v="SKU-ALI-8294"/>
    <x v="0"/>
    <x v="5"/>
    <x v="2"/>
    <s v="DDP"/>
    <n v="438"/>
    <s v="Cajas"/>
    <n v="82.47"/>
    <n v="36121.86"/>
    <n v="916.7"/>
    <n v="2.5377984411655435E-2"/>
    <n v="25"/>
    <d v="2024-02-06T00:00:00"/>
    <d v="2024-02-06T00:00:00"/>
    <n v="0"/>
    <x v="0"/>
    <b v="1"/>
    <n v="433"/>
    <n v="365"/>
    <x v="4"/>
    <x v="1"/>
  </r>
  <r>
    <s v="PED-01930"/>
    <d v="2024-11-25T00:00:00"/>
    <x v="0"/>
    <x v="6"/>
    <n v="48"/>
    <x v="9"/>
    <x v="7"/>
    <s v="SKU-ALI-3886"/>
    <x v="4"/>
    <x v="1"/>
    <x v="3"/>
    <s v="FCA"/>
    <n v="278"/>
    <s v="Palés"/>
    <n v="104.01"/>
    <n v="28914.78"/>
    <n v="2242.46"/>
    <n v="7.7554109005844071E-2"/>
    <n v="16"/>
    <d v="2024-12-11T00:00:00"/>
    <d v="2024-12-23T00:00:00"/>
    <n v="12"/>
    <x v="2"/>
    <b v="0"/>
    <n v="372"/>
    <n v="33"/>
    <x v="2"/>
    <x v="1"/>
  </r>
  <r>
    <s v="PED-01931"/>
    <d v="2024-08-07T00:00:00"/>
    <x v="0"/>
    <x v="4"/>
    <n v="32"/>
    <x v="0"/>
    <x v="6"/>
    <s v="SKU-CON-6046"/>
    <x v="2"/>
    <x v="5"/>
    <x v="2"/>
    <s v="DAP"/>
    <n v="718"/>
    <s v="Unidades"/>
    <n v="250.94"/>
    <n v="180174.92"/>
    <n v="11340.17"/>
    <n v="6.2939780963965464E-2"/>
    <n v="1"/>
    <d v="2024-08-08T00:00:00"/>
    <d v="2024-08-08T00:00:00"/>
    <n v="0"/>
    <x v="0"/>
    <b v="1"/>
    <n v="379"/>
    <n v="140"/>
    <x v="4"/>
    <x v="1"/>
  </r>
  <r>
    <s v="PED-01932"/>
    <d v="2024-03-27T00:00:00"/>
    <x v="0"/>
    <x v="8"/>
    <n v="13"/>
    <x v="3"/>
    <x v="1"/>
    <s v="SKU-FAR-7648"/>
    <x v="5"/>
    <x v="2"/>
    <x v="2"/>
    <s v="CIF"/>
    <n v="546"/>
    <s v="Litros"/>
    <n v="298.5"/>
    <n v="162981"/>
    <n v="10966.92"/>
    <n v="6.7289561359913125E-2"/>
    <n v="21"/>
    <d v="2024-04-17T00:00:00"/>
    <d v="2024-04-19T00:00:00"/>
    <n v="2"/>
    <x v="1"/>
    <b v="0"/>
    <n v="94"/>
    <n v="493"/>
    <x v="0"/>
    <x v="0"/>
  </r>
  <r>
    <s v="PED-01933"/>
    <d v="2024-04-17T00:00:00"/>
    <x v="0"/>
    <x v="1"/>
    <n v="16"/>
    <x v="9"/>
    <x v="5"/>
    <s v="SKU-ELE-2140"/>
    <x v="1"/>
    <x v="0"/>
    <x v="1"/>
    <s v="DDP"/>
    <n v="157"/>
    <s v="Palés"/>
    <n v="461.16"/>
    <n v="72402.12"/>
    <n v="4506.76"/>
    <n v="6.2246243618280794E-2"/>
    <n v="14"/>
    <d v="2024-05-01T00:00:00"/>
    <d v="2024-05-02T00:00:00"/>
    <n v="1"/>
    <x v="1"/>
    <b v="0"/>
    <n v="318"/>
    <n v="165"/>
    <x v="3"/>
    <x v="1"/>
  </r>
  <r>
    <s v="PED-01934"/>
    <d v="2023-10-16T00:00:00"/>
    <x v="1"/>
    <x v="0"/>
    <n v="42"/>
    <x v="4"/>
    <x v="3"/>
    <s v="SKU-QUÍ-2781"/>
    <x v="5"/>
    <x v="0"/>
    <x v="3"/>
    <s v="EXW"/>
    <n v="127"/>
    <s v="Litros"/>
    <n v="131.83000000000001"/>
    <n v="16742.41"/>
    <n v="927.26"/>
    <n v="5.5383902317527767E-2"/>
    <n v="15"/>
    <d v="2023-10-31T00:00:00"/>
    <d v="2023-10-28T00:00:00"/>
    <n v="-3"/>
    <x v="0"/>
    <b v="1"/>
    <n v="232"/>
    <n v="395"/>
    <x v="0"/>
    <x v="0"/>
  </r>
  <r>
    <s v="PED-01935"/>
    <d v="2024-01-27T00:00:00"/>
    <x v="0"/>
    <x v="2"/>
    <n v="4"/>
    <x v="5"/>
    <x v="0"/>
    <s v="SKU-MAQ-7208"/>
    <x v="3"/>
    <x v="2"/>
    <x v="1"/>
    <s v="EXW"/>
    <n v="859"/>
    <s v="Palés"/>
    <n v="1445.44"/>
    <n v="1241632.96"/>
    <n v="58350.25"/>
    <n v="4.6994765667303165E-2"/>
    <n v="9"/>
    <d v="2024-02-05T00:00:00"/>
    <d v="2024-02-07T00:00:00"/>
    <n v="2"/>
    <x v="1"/>
    <b v="0"/>
    <n v="133"/>
    <n v="230"/>
    <x v="0"/>
    <x v="0"/>
  </r>
  <r>
    <s v="PED-01936"/>
    <d v="2024-05-29T00:00:00"/>
    <x v="0"/>
    <x v="5"/>
    <n v="22"/>
    <x v="4"/>
    <x v="6"/>
    <s v="SKU-CON-6364"/>
    <x v="1"/>
    <x v="3"/>
    <x v="1"/>
    <s v="FCA"/>
    <n v="376"/>
    <s v="Palés"/>
    <n v="210.5"/>
    <n v="79148"/>
    <n v="5659.27"/>
    <n v="7.1502375296912113E-2"/>
    <n v="15"/>
    <d v="2024-06-13T00:00:00"/>
    <d v="2024-06-25T00:00:00"/>
    <n v="12"/>
    <x v="1"/>
    <b v="0"/>
    <n v="123"/>
    <n v="291"/>
    <x v="4"/>
    <x v="1"/>
  </r>
  <r>
    <s v="PED-01937"/>
    <d v="2024-06-24T00:00:00"/>
    <x v="0"/>
    <x v="10"/>
    <n v="26"/>
    <x v="8"/>
    <x v="3"/>
    <s v="SKU-QUÍ-9098"/>
    <x v="3"/>
    <x v="0"/>
    <x v="1"/>
    <s v="FCA"/>
    <n v="859"/>
    <s v="Metros"/>
    <n v="166.27"/>
    <n v="142825.93"/>
    <n v="11056.18"/>
    <n v="7.741017334877498E-2"/>
    <n v="17"/>
    <d v="2024-07-11T00:00:00"/>
    <d v="2024-07-11T00:00:00"/>
    <n v="0"/>
    <x v="0"/>
    <b v="1"/>
    <n v="371"/>
    <n v="27"/>
    <x v="0"/>
    <x v="0"/>
  </r>
  <r>
    <s v="PED-01938"/>
    <d v="2024-03-04T00:00:00"/>
    <x v="0"/>
    <x v="8"/>
    <n v="10"/>
    <x v="2"/>
    <x v="6"/>
    <s v="SKU-CON-2007"/>
    <x v="0"/>
    <x v="3"/>
    <x v="1"/>
    <s v="EXW"/>
    <n v="75"/>
    <s v="Metros"/>
    <n v="249.47"/>
    <n v="18710.25"/>
    <n v="934.43"/>
    <n v="4.9942144011972042E-2"/>
    <n v="25"/>
    <d v="2024-03-29T00:00:00"/>
    <d v="2024-03-30T00:00:00"/>
    <n v="1"/>
    <x v="1"/>
    <b v="0"/>
    <n v="350"/>
    <n v="474"/>
    <x v="2"/>
    <x v="1"/>
  </r>
  <r>
    <s v="PED-01939"/>
    <d v="2023-06-15T00:00:00"/>
    <x v="1"/>
    <x v="10"/>
    <n v="24"/>
    <x v="1"/>
    <x v="1"/>
    <s v="SKU-FAR-2483"/>
    <x v="2"/>
    <x v="5"/>
    <x v="0"/>
    <s v="DAP"/>
    <n v="979"/>
    <s v="Litros"/>
    <n v="281.19"/>
    <n v="275285.01"/>
    <n v="20891.96"/>
    <n v="7.5892109054539511E-2"/>
    <n v="24"/>
    <d v="2023-07-09T00:00:00"/>
    <d v="2023-07-09T00:00:00"/>
    <n v="0"/>
    <x v="0"/>
    <b v="1"/>
    <n v="322"/>
    <n v="294"/>
    <x v="2"/>
    <x v="1"/>
  </r>
  <r>
    <s v="PED-01940"/>
    <d v="2023-07-24T00:00:00"/>
    <x v="1"/>
    <x v="7"/>
    <n v="30"/>
    <x v="4"/>
    <x v="4"/>
    <s v="SKU-TEX-4565"/>
    <x v="4"/>
    <x v="0"/>
    <x v="4"/>
    <s v="FOB"/>
    <n v="822"/>
    <s v="KG"/>
    <n v="51.77"/>
    <n v="42554.94"/>
    <n v="2340.52"/>
    <n v="5.4999960051641476E-2"/>
    <n v="4"/>
    <d v="2023-07-28T00:00:00"/>
    <d v="2023-07-28T00:00:00"/>
    <n v="0"/>
    <x v="0"/>
    <b v="1"/>
    <n v="487"/>
    <n v="332"/>
    <x v="0"/>
    <x v="0"/>
  </r>
  <r>
    <s v="PED-01941"/>
    <d v="2024-09-11T00:00:00"/>
    <x v="0"/>
    <x v="3"/>
    <n v="37"/>
    <x v="6"/>
    <x v="4"/>
    <s v="SKU-TEX-3276"/>
    <x v="5"/>
    <x v="4"/>
    <x v="3"/>
    <s v="EXW"/>
    <n v="379"/>
    <s v="Unidades"/>
    <n v="83.92"/>
    <n v="31805.68"/>
    <n v="1663.53"/>
    <n v="5.2302921993807393E-2"/>
    <n v="12"/>
    <d v="2024-09-23T00:00:00"/>
    <d v="2024-09-25T00:00:00"/>
    <n v="2"/>
    <x v="2"/>
    <b v="0"/>
    <n v="450"/>
    <n v="426"/>
    <x v="0"/>
    <x v="0"/>
  </r>
  <r>
    <s v="PED-01942"/>
    <d v="2023-05-22T00:00:00"/>
    <x v="1"/>
    <x v="5"/>
    <n v="21"/>
    <x v="7"/>
    <x v="1"/>
    <s v="SKU-FAR-1003"/>
    <x v="3"/>
    <x v="2"/>
    <x v="0"/>
    <s v="FCA"/>
    <n v="184"/>
    <s v="KG"/>
    <n v="149.56"/>
    <n v="27519.040000000001"/>
    <n v="1300.8"/>
    <n v="4.7269090782236588E-2"/>
    <n v="27"/>
    <d v="2023-06-18T00:00:00"/>
    <d v="2023-06-13T00:00:00"/>
    <n v="-5"/>
    <x v="0"/>
    <b v="1"/>
    <n v="352"/>
    <n v="359"/>
    <x v="2"/>
    <x v="1"/>
  </r>
  <r>
    <s v="PED-01943"/>
    <d v="2023-09-14T00:00:00"/>
    <x v="1"/>
    <x v="3"/>
    <n v="37"/>
    <x v="3"/>
    <x v="0"/>
    <s v="SKU-MAQ-3403"/>
    <x v="2"/>
    <x v="3"/>
    <x v="4"/>
    <s v="FCA"/>
    <n v="840"/>
    <s v="KG"/>
    <n v="2116.3200000000002"/>
    <n v="1639255.3774000001"/>
    <n v="57877.34"/>
    <n v="3.5307091742958582E-2"/>
    <n v="26"/>
    <d v="2023-10-10T00:00:00"/>
    <d v="2023-10-05T00:00:00"/>
    <n v="-5"/>
    <x v="1"/>
    <b v="0"/>
    <n v="115"/>
    <n v="90"/>
    <x v="4"/>
    <x v="1"/>
  </r>
  <r>
    <s v="PED-01944"/>
    <d v="2023-02-23T00:00:00"/>
    <x v="1"/>
    <x v="9"/>
    <n v="8"/>
    <x v="4"/>
    <x v="2"/>
    <s v="SKU-AUT-3444"/>
    <x v="5"/>
    <x v="4"/>
    <x v="4"/>
    <s v="DAP"/>
    <n v="597"/>
    <s v="Metros"/>
    <n v="770.61"/>
    <n v="460054.17"/>
    <n v="9303.76"/>
    <n v="2.0223183717691332E-2"/>
    <n v="5"/>
    <d v="2023-02-28T00:00:00"/>
    <d v="2023-02-28T00:00:00"/>
    <n v="0"/>
    <x v="0"/>
    <b v="1"/>
    <n v="442"/>
    <n v="114"/>
    <x v="1"/>
    <x v="1"/>
  </r>
  <r>
    <s v="PED-01945"/>
    <d v="2024-10-18T00:00:00"/>
    <x v="0"/>
    <x v="0"/>
    <n v="42"/>
    <x v="4"/>
    <x v="1"/>
    <s v="SKU-FAR-8421"/>
    <x v="5"/>
    <x v="5"/>
    <x v="4"/>
    <s v="EXW"/>
    <n v="504"/>
    <s v="Unidades"/>
    <n v="190.33"/>
    <n v="95926.32"/>
    <n v="3308.53"/>
    <n v="3.4490325491481379E-2"/>
    <n v="29"/>
    <d v="2024-11-16T00:00:00"/>
    <d v="2024-11-15T00:00:00"/>
    <n v="-1"/>
    <x v="0"/>
    <b v="1"/>
    <n v="12"/>
    <n v="158"/>
    <x v="3"/>
    <x v="1"/>
  </r>
  <r>
    <s v="PED-01946"/>
    <d v="2024-05-07T00:00:00"/>
    <x v="0"/>
    <x v="5"/>
    <n v="19"/>
    <x v="2"/>
    <x v="6"/>
    <s v="SKU-CON-9704"/>
    <x v="0"/>
    <x v="5"/>
    <x v="0"/>
    <s v="DAP"/>
    <n v="982"/>
    <s v="Metros"/>
    <n v="221.93"/>
    <n v="217935.26"/>
    <n v="11023.9"/>
    <n v="5.0583370492686679E-2"/>
    <n v="5"/>
    <d v="2024-05-12T00:00:00"/>
    <d v="2024-05-17T00:00:00"/>
    <n v="5"/>
    <x v="1"/>
    <b v="0"/>
    <n v="404"/>
    <n v="257"/>
    <x v="2"/>
    <x v="1"/>
  </r>
  <r>
    <s v="PED-01947"/>
    <d v="2024-01-16T00:00:00"/>
    <x v="0"/>
    <x v="2"/>
    <n v="3"/>
    <x v="8"/>
    <x v="0"/>
    <s v="SKU-MAQ-5775"/>
    <x v="0"/>
    <x v="0"/>
    <x v="3"/>
    <s v="EXW"/>
    <n v="123"/>
    <s v="Metros"/>
    <n v="2178.83"/>
    <n v="267996.09000000003"/>
    <n v="11469.59"/>
    <n v="4.2797602009790513E-2"/>
    <n v="11"/>
    <d v="2024-01-27T00:00:00"/>
    <d v="2024-02-08T00:00:00"/>
    <n v="12"/>
    <x v="1"/>
    <b v="0"/>
    <n v="319"/>
    <n v="372"/>
    <x v="1"/>
    <x v="1"/>
  </r>
  <r>
    <s v="PED-01948"/>
    <d v="2024-07-21T00:00:00"/>
    <x v="0"/>
    <x v="7"/>
    <n v="30"/>
    <x v="7"/>
    <x v="7"/>
    <s v="SKU-ALI-7389"/>
    <x v="3"/>
    <x v="0"/>
    <x v="2"/>
    <s v="FOB"/>
    <n v="120"/>
    <s v="Metros"/>
    <n v="59.06"/>
    <n v="7087.2"/>
    <n v="332.45"/>
    <n v="4.6908511118636413E-2"/>
    <n v="28"/>
    <d v="2024-08-18T00:00:00"/>
    <d v="2024-08-15T00:00:00"/>
    <n v="-3"/>
    <x v="0"/>
    <b v="1"/>
    <n v="164"/>
    <n v="337"/>
    <x v="1"/>
    <x v="1"/>
  </r>
  <r>
    <s v="PED-01949"/>
    <d v="2023-04-16T00:00:00"/>
    <x v="1"/>
    <x v="1"/>
    <n v="16"/>
    <x v="7"/>
    <x v="1"/>
    <s v="SKU-FAR-8326"/>
    <x v="2"/>
    <x v="4"/>
    <x v="4"/>
    <s v="DDP"/>
    <n v="770"/>
    <s v="Cajas"/>
    <n v="196.36"/>
    <n v="151197.20000000001"/>
    <n v="11920.22"/>
    <n v="7.8838893841949448E-2"/>
    <n v="6"/>
    <d v="2023-04-22T00:00:00"/>
    <d v="2023-05-04T00:00:00"/>
    <n v="12"/>
    <x v="1"/>
    <b v="0"/>
    <n v="207"/>
    <n v="89"/>
    <x v="0"/>
    <x v="0"/>
  </r>
  <r>
    <s v="PED-01950"/>
    <d v="2024-12-29T00:00:00"/>
    <x v="0"/>
    <x v="11"/>
    <n v="53"/>
    <x v="2"/>
    <x v="0"/>
    <s v="SKU-MAQ-4205"/>
    <x v="4"/>
    <x v="1"/>
    <x v="2"/>
    <s v="EXW"/>
    <n v="448"/>
    <s v="KG"/>
    <n v="2077.89"/>
    <n v="930894.72"/>
    <n v="38181.9"/>
    <n v="4.1016346080467621E-2"/>
    <n v="7"/>
    <d v="2025-01-05T00:00:00"/>
    <d v="2025-01-04T00:00:00"/>
    <n v="-1"/>
    <x v="0"/>
    <b v="1"/>
    <n v="84"/>
    <n v="244"/>
    <x v="3"/>
    <x v="1"/>
  </r>
  <r>
    <s v="PED-01951"/>
    <d v="2024-06-12T00:00:00"/>
    <x v="0"/>
    <x v="10"/>
    <n v="24"/>
    <x v="0"/>
    <x v="1"/>
    <s v="SKU-FAR-4369"/>
    <x v="3"/>
    <x v="1"/>
    <x v="2"/>
    <s v="DDP"/>
    <n v="724"/>
    <s v="KG"/>
    <n v="203.37"/>
    <n v="147239.88"/>
    <n v="6939.56"/>
    <n v="4.7130981090177472E-2"/>
    <n v="24"/>
    <d v="2024-07-06T00:00:00"/>
    <d v="2024-07-14T00:00:00"/>
    <n v="8"/>
    <x v="2"/>
    <b v="0"/>
    <n v="247"/>
    <n v="297"/>
    <x v="0"/>
    <x v="0"/>
  </r>
  <r>
    <s v="PED-01952"/>
    <d v="2023-05-08T00:00:00"/>
    <x v="1"/>
    <x v="5"/>
    <n v="19"/>
    <x v="2"/>
    <x v="1"/>
    <s v="SKU-FAR-6187"/>
    <x v="5"/>
    <x v="0"/>
    <x v="1"/>
    <s v="EXW"/>
    <n v="156"/>
    <s v="KG"/>
    <n v="171.87"/>
    <n v="26811.72"/>
    <n v="751.02"/>
    <n v="2.8010884792172973E-2"/>
    <n v="14"/>
    <d v="2023-05-22T00:00:00"/>
    <d v="2023-05-30T00:00:00"/>
    <n v="8"/>
    <x v="1"/>
    <b v="0"/>
    <n v="431"/>
    <n v="30"/>
    <x v="0"/>
    <x v="0"/>
  </r>
  <r>
    <s v="PED-01953"/>
    <d v="2023-10-19T00:00:00"/>
    <x v="1"/>
    <x v="0"/>
    <n v="42"/>
    <x v="6"/>
    <x v="2"/>
    <s v="SKU-AUT-5910"/>
    <x v="5"/>
    <x v="1"/>
    <x v="2"/>
    <s v="FOB"/>
    <n v="44"/>
    <s v="Cajas"/>
    <n v="831.87"/>
    <n v="36602.28"/>
    <n v="837.37"/>
    <n v="2.2877536590616761E-2"/>
    <n v="24"/>
    <d v="2023-11-12T00:00:00"/>
    <d v="2023-11-20T00:00:00"/>
    <n v="8"/>
    <x v="2"/>
    <b v="0"/>
    <n v="55"/>
    <n v="316"/>
    <x v="0"/>
    <x v="0"/>
  </r>
  <r>
    <s v="PED-01954"/>
    <d v="2023-03-27T00:00:00"/>
    <x v="1"/>
    <x v="8"/>
    <n v="13"/>
    <x v="9"/>
    <x v="2"/>
    <s v="SKU-AUT-5989"/>
    <x v="1"/>
    <x v="2"/>
    <x v="1"/>
    <s v="FCA"/>
    <n v="318"/>
    <s v="Palés"/>
    <n v="806.75"/>
    <n v="256546.5"/>
    <n v="17066.650000000001"/>
    <n v="6.6524587160612214E-2"/>
    <n v="11"/>
    <d v="2023-04-07T00:00:00"/>
    <d v="2023-04-02T00:00:00"/>
    <n v="-5"/>
    <x v="0"/>
    <b v="1"/>
    <n v="171"/>
    <n v="357"/>
    <x v="0"/>
    <x v="0"/>
  </r>
  <r>
    <s v="PED-01955"/>
    <d v="2023-06-14T00:00:00"/>
    <x v="1"/>
    <x v="10"/>
    <n v="24"/>
    <x v="6"/>
    <x v="6"/>
    <s v="SKU-CON-8122"/>
    <x v="2"/>
    <x v="4"/>
    <x v="3"/>
    <s v="DDP"/>
    <n v="547"/>
    <s v="Litros"/>
    <n v="286.47000000000003"/>
    <n v="156699.09"/>
    <n v="8499.51"/>
    <n v="5.4240965917542981E-2"/>
    <n v="13"/>
    <d v="2023-06-27T00:00:00"/>
    <d v="2023-06-22T00:00:00"/>
    <n v="-5"/>
    <x v="0"/>
    <b v="1"/>
    <n v="140"/>
    <n v="311"/>
    <x v="0"/>
    <x v="0"/>
  </r>
  <r>
    <s v="PED-01956"/>
    <d v="2023-10-07T00:00:00"/>
    <x v="1"/>
    <x v="0"/>
    <n v="40"/>
    <x v="2"/>
    <x v="0"/>
    <s v="SKU-MAQ-6640"/>
    <x v="1"/>
    <x v="2"/>
    <x v="3"/>
    <s v="DAP"/>
    <n v="759"/>
    <s v="Litros"/>
    <n v="1964.32"/>
    <n v="1490918.88"/>
    <n v="96548.6302"/>
    <n v="6.4757802382917048E-2"/>
    <n v="2"/>
    <d v="2023-10-09T00:00:00"/>
    <d v="2023-10-09T00:00:00"/>
    <n v="0"/>
    <x v="0"/>
    <b v="1"/>
    <n v="131"/>
    <n v="469"/>
    <x v="0"/>
    <x v="0"/>
  </r>
  <r>
    <s v="PED-01957"/>
    <d v="2024-04-05T00:00:00"/>
    <x v="0"/>
    <x v="1"/>
    <n v="14"/>
    <x v="1"/>
    <x v="0"/>
    <s v="SKU-MAQ-2462"/>
    <x v="0"/>
    <x v="1"/>
    <x v="1"/>
    <s v="EXW"/>
    <n v="23"/>
    <s v="Cajas"/>
    <n v="1656.14"/>
    <n v="38091.22"/>
    <n v="1104.33"/>
    <n v="2.8991720401709369E-2"/>
    <n v="25"/>
    <d v="2024-04-30T00:00:00"/>
    <d v="2024-04-30T00:00:00"/>
    <n v="0"/>
    <x v="0"/>
    <b v="1"/>
    <n v="478"/>
    <n v="227"/>
    <x v="3"/>
    <x v="1"/>
  </r>
  <r>
    <s v="PED-01958"/>
    <d v="2024-06-09T00:00:00"/>
    <x v="0"/>
    <x v="10"/>
    <n v="24"/>
    <x v="0"/>
    <x v="5"/>
    <s v="SKU-ELE-1133"/>
    <x v="4"/>
    <x v="0"/>
    <x v="3"/>
    <s v="FCA"/>
    <n v="383"/>
    <s v="KG"/>
    <n v="745.35"/>
    <n v="285469.05"/>
    <n v="15503.75"/>
    <n v="5.4309740407935646E-2"/>
    <n v="7"/>
    <d v="2024-06-16T00:00:00"/>
    <d v="2024-06-18T00:00:00"/>
    <n v="2"/>
    <x v="2"/>
    <b v="0"/>
    <n v="200"/>
    <n v="338"/>
    <x v="3"/>
    <x v="1"/>
  </r>
  <r>
    <s v="PED-01959"/>
    <d v="2023-05-31T00:00:00"/>
    <x v="1"/>
    <x v="5"/>
    <n v="22"/>
    <x v="1"/>
    <x v="1"/>
    <s v="SKU-FAR-9362"/>
    <x v="3"/>
    <x v="2"/>
    <x v="4"/>
    <s v="EXW"/>
    <n v="566"/>
    <s v="Litros"/>
    <n v="214.44"/>
    <n v="121373.04"/>
    <n v="4274.58"/>
    <n v="3.5218529584494215E-2"/>
    <n v="20"/>
    <d v="2023-06-20T00:00:00"/>
    <d v="2023-06-17T00:00:00"/>
    <n v="-3"/>
    <x v="0"/>
    <b v="1"/>
    <n v="367"/>
    <n v="127"/>
    <x v="0"/>
    <x v="0"/>
  </r>
  <r>
    <s v="PED-01960"/>
    <d v="2024-03-23T00:00:00"/>
    <x v="0"/>
    <x v="8"/>
    <n v="12"/>
    <x v="6"/>
    <x v="4"/>
    <s v="SKU-TEX-7622"/>
    <x v="5"/>
    <x v="5"/>
    <x v="3"/>
    <s v="DAP"/>
    <n v="437"/>
    <s v="Cajas"/>
    <n v="44.8"/>
    <n v="19577.599999999999"/>
    <n v="659.45"/>
    <n v="3.3683904053612296E-2"/>
    <n v="4"/>
    <d v="2024-03-27T00:00:00"/>
    <d v="2024-03-27T00:00:00"/>
    <n v="0"/>
    <x v="0"/>
    <b v="1"/>
    <n v="288"/>
    <n v="269"/>
    <x v="2"/>
    <x v="1"/>
  </r>
  <r>
    <s v="PED-01961"/>
    <d v="2023-04-04T00:00:00"/>
    <x v="1"/>
    <x v="1"/>
    <n v="14"/>
    <x v="7"/>
    <x v="1"/>
    <s v="SKU-FAR-3089"/>
    <x v="2"/>
    <x v="0"/>
    <x v="1"/>
    <s v="FOB"/>
    <n v="737"/>
    <s v="Metros"/>
    <n v="181.96"/>
    <n v="134104.51999999999"/>
    <n v="2774.83"/>
    <n v="2.0691547160379086E-2"/>
    <n v="27"/>
    <d v="2023-05-01T00:00:00"/>
    <d v="2023-05-03T00:00:00"/>
    <n v="2"/>
    <x v="2"/>
    <b v="0"/>
    <n v="420"/>
    <n v="269"/>
    <x v="4"/>
    <x v="1"/>
  </r>
  <r>
    <s v="PED-01962"/>
    <d v="2023-08-16T00:00:00"/>
    <x v="1"/>
    <x v="4"/>
    <n v="33"/>
    <x v="6"/>
    <x v="1"/>
    <s v="SKU-FAR-5819"/>
    <x v="5"/>
    <x v="4"/>
    <x v="4"/>
    <s v="CIF"/>
    <n v="242"/>
    <s v="Unidades"/>
    <n v="209.77"/>
    <n v="50764.34"/>
    <n v="1412.29"/>
    <n v="2.7820513376121903E-2"/>
    <n v="8"/>
    <d v="2023-08-24T00:00:00"/>
    <d v="2023-09-05T00:00:00"/>
    <n v="12"/>
    <x v="2"/>
    <b v="0"/>
    <n v="308"/>
    <n v="497"/>
    <x v="0"/>
    <x v="0"/>
  </r>
  <r>
    <s v="PED-01963"/>
    <d v="2024-04-06T00:00:00"/>
    <x v="0"/>
    <x v="1"/>
    <n v="14"/>
    <x v="5"/>
    <x v="0"/>
    <s v="SKU-MAQ-2022"/>
    <x v="0"/>
    <x v="3"/>
    <x v="2"/>
    <s v="EXW"/>
    <n v="714"/>
    <s v="Litros"/>
    <n v="1238.28"/>
    <n v="884131.92"/>
    <n v="34088.67"/>
    <n v="3.8556090136413125E-2"/>
    <n v="20"/>
    <d v="2024-04-26T00:00:00"/>
    <d v="2024-04-26T00:00:00"/>
    <n v="0"/>
    <x v="0"/>
    <b v="1"/>
    <n v="356"/>
    <n v="412"/>
    <x v="3"/>
    <x v="1"/>
  </r>
  <r>
    <s v="PED-01964"/>
    <d v="2023-12-24T00:00:00"/>
    <x v="1"/>
    <x v="11"/>
    <n v="52"/>
    <x v="8"/>
    <x v="1"/>
    <s v="SKU-FAR-7049"/>
    <x v="1"/>
    <x v="3"/>
    <x v="2"/>
    <s v="DAP"/>
    <n v="572"/>
    <s v="Unidades"/>
    <n v="291.61"/>
    <n v="166800.92000000001"/>
    <n v="4505.75"/>
    <n v="2.7012740697113659E-2"/>
    <n v="29"/>
    <d v="2024-01-22T00:00:00"/>
    <d v="2024-01-17T00:00:00"/>
    <n v="-5"/>
    <x v="0"/>
    <b v="1"/>
    <n v="407"/>
    <n v="208"/>
    <x v="4"/>
    <x v="1"/>
  </r>
  <r>
    <s v="PED-01965"/>
    <d v="2023-01-28T00:00:00"/>
    <x v="1"/>
    <x v="2"/>
    <n v="4"/>
    <x v="3"/>
    <x v="3"/>
    <s v="SKU-QUÍ-9992"/>
    <x v="1"/>
    <x v="0"/>
    <x v="2"/>
    <s v="CIF"/>
    <n v="948"/>
    <s v="KG"/>
    <n v="157.62"/>
    <n v="149423.76"/>
    <n v="11827.12"/>
    <n v="7.9151535204307538E-2"/>
    <n v="22"/>
    <d v="2023-02-19T00:00:00"/>
    <d v="2023-02-19T00:00:00"/>
    <n v="0"/>
    <x v="0"/>
    <b v="1"/>
    <n v="344"/>
    <n v="177"/>
    <x v="0"/>
    <x v="0"/>
  </r>
  <r>
    <s v="PED-01966"/>
    <d v="2024-02-29T00:00:00"/>
    <x v="0"/>
    <x v="9"/>
    <n v="9"/>
    <x v="5"/>
    <x v="1"/>
    <s v="SKU-FAR-1870"/>
    <x v="3"/>
    <x v="1"/>
    <x v="1"/>
    <s v="EXW"/>
    <n v="896"/>
    <s v="Litros"/>
    <n v="182.93"/>
    <n v="163905.28"/>
    <n v="6313.3"/>
    <n v="3.8517978188378071E-2"/>
    <n v="21"/>
    <d v="2024-03-21T00:00:00"/>
    <d v="2024-03-16T00:00:00"/>
    <n v="-5"/>
    <x v="0"/>
    <b v="1"/>
    <n v="178"/>
    <n v="305"/>
    <x v="1"/>
    <x v="1"/>
  </r>
  <r>
    <s v="PED-01967"/>
    <d v="2023-02-24T00:00:00"/>
    <x v="1"/>
    <x v="9"/>
    <n v="8"/>
    <x v="2"/>
    <x v="3"/>
    <s v="SKU-QUÍ-1013"/>
    <x v="2"/>
    <x v="2"/>
    <x v="2"/>
    <s v="DDP"/>
    <n v="735"/>
    <s v="Cajas"/>
    <n v="140.72"/>
    <n v="103429.2"/>
    <n v="2877.34"/>
    <n v="2.7819416567081638E-2"/>
    <n v="19"/>
    <d v="2023-03-15T00:00:00"/>
    <d v="2023-03-12T00:00:00"/>
    <n v="-3"/>
    <x v="0"/>
    <b v="1"/>
    <n v="424"/>
    <n v="190"/>
    <x v="0"/>
    <x v="0"/>
  </r>
  <r>
    <s v="PED-01968"/>
    <d v="2024-02-10T00:00:00"/>
    <x v="0"/>
    <x v="9"/>
    <n v="6"/>
    <x v="4"/>
    <x v="2"/>
    <s v="SKU-AUT-6885"/>
    <x v="0"/>
    <x v="2"/>
    <x v="3"/>
    <s v="FCA"/>
    <n v="672"/>
    <s v="Palés"/>
    <n v="1021.73"/>
    <n v="686602.56"/>
    <n v="21933.48"/>
    <n v="3.1944943520163978E-2"/>
    <n v="13"/>
    <d v="2024-02-23T00:00:00"/>
    <d v="2024-02-23T00:00:00"/>
    <n v="0"/>
    <x v="0"/>
    <b v="1"/>
    <n v="28"/>
    <n v="356"/>
    <x v="0"/>
    <x v="0"/>
  </r>
  <r>
    <s v="PED-01969"/>
    <d v="2024-05-29T00:00:00"/>
    <x v="0"/>
    <x v="5"/>
    <n v="22"/>
    <x v="1"/>
    <x v="4"/>
    <s v="SKU-TEX-2797"/>
    <x v="2"/>
    <x v="0"/>
    <x v="2"/>
    <s v="FCA"/>
    <n v="449"/>
    <s v="Litros"/>
    <n v="87.18"/>
    <n v="39143.82"/>
    <n v="2163.17"/>
    <n v="5.5262107786107746E-2"/>
    <n v="14"/>
    <d v="2024-06-12T00:00:00"/>
    <d v="2024-06-14T00:00:00"/>
    <n v="2"/>
    <x v="1"/>
    <b v="0"/>
    <n v="442"/>
    <n v="456"/>
    <x v="4"/>
    <x v="1"/>
  </r>
  <r>
    <s v="PED-01970"/>
    <d v="2024-01-18T00:00:00"/>
    <x v="0"/>
    <x v="2"/>
    <n v="3"/>
    <x v="9"/>
    <x v="6"/>
    <s v="SKU-CON-5623"/>
    <x v="3"/>
    <x v="5"/>
    <x v="0"/>
    <s v="DAP"/>
    <n v="511"/>
    <s v="Litros"/>
    <n v="281.06"/>
    <n v="143621.66"/>
    <n v="3424.32"/>
    <n v="2.3842643233618104E-2"/>
    <n v="10"/>
    <d v="2024-01-28T00:00:00"/>
    <d v="2024-01-30T00:00:00"/>
    <n v="2"/>
    <x v="1"/>
    <b v="0"/>
    <n v="423"/>
    <n v="448"/>
    <x v="3"/>
    <x v="1"/>
  </r>
  <r>
    <s v="PED-01971"/>
    <d v="2023-08-30T00:00:00"/>
    <x v="1"/>
    <x v="4"/>
    <n v="35"/>
    <x v="5"/>
    <x v="0"/>
    <s v="SKU-MAQ-1510"/>
    <x v="0"/>
    <x v="4"/>
    <x v="0"/>
    <s v="DDP"/>
    <n v="284"/>
    <s v="Litros"/>
    <n v="1668.23"/>
    <n v="473777.32"/>
    <n v="33991.65"/>
    <n v="7.1746047278075709E-2"/>
    <n v="11"/>
    <d v="2023-09-10T00:00:00"/>
    <d v="2023-09-18T00:00:00"/>
    <n v="8"/>
    <x v="1"/>
    <b v="0"/>
    <n v="306"/>
    <n v="67"/>
    <x v="3"/>
    <x v="1"/>
  </r>
  <r>
    <s v="PED-01972"/>
    <d v="2024-01-31T00:00:00"/>
    <x v="0"/>
    <x v="2"/>
    <n v="5"/>
    <x v="0"/>
    <x v="1"/>
    <s v="SKU-FAR-4854"/>
    <x v="0"/>
    <x v="1"/>
    <x v="2"/>
    <s v="FOB"/>
    <n v="859"/>
    <s v="Litros"/>
    <n v="263.94"/>
    <n v="226724.46"/>
    <n v="17614.22"/>
    <n v="7.7689985456355262E-2"/>
    <n v="2"/>
    <d v="2024-02-02T00:00:00"/>
    <d v="2024-02-01T00:00:00"/>
    <n v="-1"/>
    <x v="0"/>
    <b v="1"/>
    <n v="305"/>
    <n v="326"/>
    <x v="1"/>
    <x v="1"/>
  </r>
  <r>
    <s v="PED-01973"/>
    <d v="2023-03-25T00:00:00"/>
    <x v="1"/>
    <x v="8"/>
    <n v="12"/>
    <x v="1"/>
    <x v="3"/>
    <s v="SKU-QUÍ-8073"/>
    <x v="1"/>
    <x v="5"/>
    <x v="2"/>
    <s v="CIF"/>
    <n v="85"/>
    <s v="Cajas"/>
    <n v="137.97"/>
    <n v="11727.45"/>
    <n v="408.17"/>
    <n v="3.4804667681380012E-2"/>
    <n v="25"/>
    <d v="2023-04-19T00:00:00"/>
    <d v="2023-04-27T00:00:00"/>
    <n v="8"/>
    <x v="1"/>
    <b v="0"/>
    <n v="366"/>
    <n v="266"/>
    <x v="0"/>
    <x v="0"/>
  </r>
  <r>
    <s v="PED-01974"/>
    <d v="2024-01-19T00:00:00"/>
    <x v="0"/>
    <x v="2"/>
    <n v="3"/>
    <x v="5"/>
    <x v="3"/>
    <s v="SKU-QUÍ-7459"/>
    <x v="1"/>
    <x v="0"/>
    <x v="0"/>
    <s v="DAP"/>
    <n v="448"/>
    <s v="Cajas"/>
    <n v="137.06"/>
    <n v="61402.879999999997"/>
    <n v="2886.29"/>
    <n v="4.7005775624856687E-2"/>
    <n v="26"/>
    <d v="2024-02-14T00:00:00"/>
    <d v="2024-02-14T00:00:00"/>
    <n v="0"/>
    <x v="0"/>
    <b v="1"/>
    <n v="35"/>
    <n v="269"/>
    <x v="0"/>
    <x v="0"/>
  </r>
  <r>
    <s v="PED-01975"/>
    <d v="2023-08-18T00:00:00"/>
    <x v="1"/>
    <x v="4"/>
    <n v="33"/>
    <x v="7"/>
    <x v="2"/>
    <s v="SKU-AUT-6212"/>
    <x v="1"/>
    <x v="0"/>
    <x v="2"/>
    <s v="EXW"/>
    <n v="741"/>
    <s v="Palés"/>
    <n v="633.42999999999995"/>
    <n v="469371.63"/>
    <n v="10010.790000000001"/>
    <n v="2.1328067910708622E-2"/>
    <n v="9"/>
    <d v="2023-08-27T00:00:00"/>
    <d v="2023-09-01T00:00:00"/>
    <n v="5"/>
    <x v="2"/>
    <b v="0"/>
    <n v="462"/>
    <n v="361"/>
    <x v="2"/>
    <x v="1"/>
  </r>
  <r>
    <s v="PED-01976"/>
    <d v="2023-01-29T00:00:00"/>
    <x v="1"/>
    <x v="2"/>
    <n v="5"/>
    <x v="3"/>
    <x v="3"/>
    <s v="SKU-QUÍ-7271"/>
    <x v="5"/>
    <x v="5"/>
    <x v="4"/>
    <s v="FCA"/>
    <n v="869"/>
    <s v="Cajas"/>
    <n v="96.11"/>
    <n v="83519.59"/>
    <n v="4881.1000000000004"/>
    <n v="5.8442576166860979E-2"/>
    <n v="17"/>
    <d v="2023-02-15T00:00:00"/>
    <d v="2023-02-23T00:00:00"/>
    <n v="8"/>
    <x v="2"/>
    <b v="0"/>
    <n v="108"/>
    <n v="466"/>
    <x v="0"/>
    <x v="0"/>
  </r>
  <r>
    <s v="PED-01977"/>
    <d v="2023-11-23T00:00:00"/>
    <x v="1"/>
    <x v="6"/>
    <n v="47"/>
    <x v="6"/>
    <x v="6"/>
    <s v="SKU-CON-7652"/>
    <x v="4"/>
    <x v="3"/>
    <x v="0"/>
    <s v="EXW"/>
    <n v="965"/>
    <s v="Cajas"/>
    <n v="224.73"/>
    <n v="216864.45"/>
    <n v="9723.24"/>
    <n v="4.4835564335233363E-2"/>
    <n v="26"/>
    <d v="2023-12-19T00:00:00"/>
    <d v="2023-12-19T00:00:00"/>
    <n v="0"/>
    <x v="0"/>
    <b v="1"/>
    <n v="315"/>
    <n v="359"/>
    <x v="0"/>
    <x v="0"/>
  </r>
  <r>
    <s v="PED-01978"/>
    <d v="2023-04-12T00:00:00"/>
    <x v="1"/>
    <x v="1"/>
    <n v="15"/>
    <x v="6"/>
    <x v="7"/>
    <s v="SKU-ALI-7251"/>
    <x v="1"/>
    <x v="0"/>
    <x v="1"/>
    <s v="CIF"/>
    <n v="708"/>
    <s v="KG"/>
    <n v="73.209999999999994"/>
    <n v="51832.68"/>
    <n v="1876.52"/>
    <n v="3.62034145253535E-2"/>
    <n v="3"/>
    <d v="2023-04-15T00:00:00"/>
    <d v="2023-04-23T00:00:00"/>
    <n v="8"/>
    <x v="2"/>
    <b v="0"/>
    <n v="145"/>
    <n v="386"/>
    <x v="3"/>
    <x v="1"/>
  </r>
  <r>
    <s v="PED-01979"/>
    <d v="2024-10-27T00:00:00"/>
    <x v="0"/>
    <x v="0"/>
    <n v="44"/>
    <x v="5"/>
    <x v="5"/>
    <s v="SKU-ELE-8130"/>
    <x v="4"/>
    <x v="4"/>
    <x v="0"/>
    <s v="DDP"/>
    <n v="298"/>
    <s v="KG"/>
    <n v="358.41"/>
    <n v="106806.18"/>
    <n v="3461.61"/>
    <n v="3.2410203229813112E-2"/>
    <n v="24"/>
    <d v="2024-11-20T00:00:00"/>
    <d v="2024-11-28T00:00:00"/>
    <n v="8"/>
    <x v="2"/>
    <b v="0"/>
    <n v="275"/>
    <n v="127"/>
    <x v="1"/>
    <x v="1"/>
  </r>
  <r>
    <s v="PED-01980"/>
    <d v="2023-12-10T00:00:00"/>
    <x v="1"/>
    <x v="11"/>
    <n v="50"/>
    <x v="2"/>
    <x v="6"/>
    <s v="SKU-CON-9931"/>
    <x v="4"/>
    <x v="1"/>
    <x v="3"/>
    <s v="DDP"/>
    <n v="924"/>
    <s v="Unidades"/>
    <n v="255.65"/>
    <n v="236220.6"/>
    <n v="13994.04"/>
    <n v="5.924140400964184E-2"/>
    <n v="6"/>
    <d v="2023-12-16T00:00:00"/>
    <d v="2023-12-21T00:00:00"/>
    <n v="5"/>
    <x v="1"/>
    <b v="0"/>
    <n v="388"/>
    <n v="263"/>
    <x v="0"/>
    <x v="0"/>
  </r>
  <r>
    <s v="PED-01981"/>
    <d v="2023-05-30T00:00:00"/>
    <x v="1"/>
    <x v="5"/>
    <n v="22"/>
    <x v="0"/>
    <x v="4"/>
    <s v="SKU-TEX-4460"/>
    <x v="2"/>
    <x v="5"/>
    <x v="4"/>
    <s v="DAP"/>
    <n v="549"/>
    <s v="Palés"/>
    <n v="43.56"/>
    <n v="23914.44"/>
    <n v="1075.5"/>
    <n v="4.4972828132291622E-2"/>
    <n v="5"/>
    <d v="2023-06-04T00:00:00"/>
    <d v="2023-06-03T00:00:00"/>
    <n v="-1"/>
    <x v="0"/>
    <b v="1"/>
    <n v="145"/>
    <n v="220"/>
    <x v="2"/>
    <x v="1"/>
  </r>
  <r>
    <s v="PED-01982"/>
    <d v="2023-05-21T00:00:00"/>
    <x v="1"/>
    <x v="5"/>
    <n v="21"/>
    <x v="2"/>
    <x v="6"/>
    <s v="SKU-CON-3841"/>
    <x v="3"/>
    <x v="3"/>
    <x v="1"/>
    <s v="DAP"/>
    <n v="900"/>
    <s v="KG"/>
    <n v="235.24"/>
    <n v="211716"/>
    <n v="6516.52"/>
    <n v="3.0779534848570728E-2"/>
    <n v="5"/>
    <d v="2023-05-26T00:00:00"/>
    <d v="2023-05-23T00:00:00"/>
    <n v="-3"/>
    <x v="0"/>
    <b v="1"/>
    <n v="379"/>
    <n v="241"/>
    <x v="0"/>
    <x v="0"/>
  </r>
  <r>
    <s v="PED-01983"/>
    <d v="2023-02-09T00:00:00"/>
    <x v="1"/>
    <x v="9"/>
    <n v="6"/>
    <x v="1"/>
    <x v="2"/>
    <s v="SKU-AUT-8780"/>
    <x v="5"/>
    <x v="5"/>
    <x v="2"/>
    <s v="DDP"/>
    <n v="701"/>
    <s v="Palés"/>
    <n v="905.08"/>
    <n v="634461.07999999996"/>
    <n v="38922"/>
    <n v="6.1346552573406085E-2"/>
    <n v="22"/>
    <d v="2023-03-03T00:00:00"/>
    <d v="2023-03-03T00:00:00"/>
    <n v="0"/>
    <x v="0"/>
    <b v="1"/>
    <n v="167"/>
    <n v="484"/>
    <x v="0"/>
    <x v="0"/>
  </r>
  <r>
    <s v="PED-01984"/>
    <d v="2023-10-21T00:00:00"/>
    <x v="1"/>
    <x v="0"/>
    <n v="42"/>
    <x v="8"/>
    <x v="2"/>
    <s v="SKU-AUT-3278"/>
    <x v="4"/>
    <x v="3"/>
    <x v="3"/>
    <s v="DAP"/>
    <n v="262"/>
    <s v="Palés"/>
    <n v="1180.04"/>
    <n v="309170.48"/>
    <n v="16665.63"/>
    <n v="5.3904337826819693E-2"/>
    <n v="15"/>
    <d v="2023-11-05T00:00:00"/>
    <d v="2023-11-13T00:00:00"/>
    <n v="8"/>
    <x v="1"/>
    <b v="0"/>
    <n v="256"/>
    <n v="243"/>
    <x v="1"/>
    <x v="1"/>
  </r>
  <r>
    <s v="PED-01985"/>
    <d v="2024-04-28T00:00:00"/>
    <x v="0"/>
    <x v="1"/>
    <n v="18"/>
    <x v="3"/>
    <x v="6"/>
    <s v="SKU-CON-4083"/>
    <x v="5"/>
    <x v="3"/>
    <x v="3"/>
    <s v="DDP"/>
    <n v="135"/>
    <s v="Litros"/>
    <n v="217.47"/>
    <n v="29358.45"/>
    <n v="2099.73"/>
    <n v="7.152046514717228E-2"/>
    <n v="23"/>
    <d v="2024-05-21T00:00:00"/>
    <d v="2024-05-21T00:00:00"/>
    <n v="0"/>
    <x v="0"/>
    <b v="1"/>
    <n v="274"/>
    <n v="426"/>
    <x v="4"/>
    <x v="1"/>
  </r>
  <r>
    <s v="PED-01986"/>
    <d v="2024-12-13T00:00:00"/>
    <x v="0"/>
    <x v="11"/>
    <n v="50"/>
    <x v="3"/>
    <x v="1"/>
    <s v="SKU-FAR-7301"/>
    <x v="2"/>
    <x v="4"/>
    <x v="4"/>
    <s v="CIF"/>
    <n v="186"/>
    <s v="Metros"/>
    <n v="150.18"/>
    <n v="27933.48"/>
    <n v="755.56"/>
    <n v="2.7048545329833588E-2"/>
    <n v="17"/>
    <d v="2024-12-30T00:00:00"/>
    <d v="2025-01-04T00:00:00"/>
    <n v="5"/>
    <x v="1"/>
    <b v="0"/>
    <n v="86"/>
    <n v="392"/>
    <x v="0"/>
    <x v="0"/>
  </r>
  <r>
    <s v="PED-01987"/>
    <d v="2023-05-23T00:00:00"/>
    <x v="1"/>
    <x v="5"/>
    <n v="21"/>
    <x v="6"/>
    <x v="7"/>
    <s v="SKU-ALI-6902"/>
    <x v="1"/>
    <x v="1"/>
    <x v="1"/>
    <s v="DAP"/>
    <n v="46"/>
    <s v="Metros"/>
    <n v="91.31"/>
    <n v="4200.26"/>
    <n v="282.01"/>
    <n v="6.7141081742558784E-2"/>
    <n v="9"/>
    <d v="2023-06-01T00:00:00"/>
    <d v="2023-06-01T00:00:00"/>
    <n v="0"/>
    <x v="0"/>
    <b v="1"/>
    <n v="153"/>
    <n v="18"/>
    <x v="2"/>
    <x v="1"/>
  </r>
  <r>
    <s v="PED-01988"/>
    <d v="2024-12-23T00:00:00"/>
    <x v="0"/>
    <x v="11"/>
    <n v="52"/>
    <x v="3"/>
    <x v="1"/>
    <s v="SKU-FAR-7835"/>
    <x v="0"/>
    <x v="0"/>
    <x v="3"/>
    <s v="DDP"/>
    <n v="419"/>
    <s v="Metros"/>
    <n v="274.58"/>
    <n v="115049.02"/>
    <n v="6950.23"/>
    <n v="6.0411031749770659E-2"/>
    <n v="3"/>
    <d v="2024-12-26T00:00:00"/>
    <d v="2024-12-31T00:00:00"/>
    <n v="5"/>
    <x v="1"/>
    <b v="0"/>
    <n v="496"/>
    <n v="395"/>
    <x v="1"/>
    <x v="1"/>
  </r>
  <r>
    <s v="PED-01989"/>
    <d v="2024-04-25T00:00:00"/>
    <x v="0"/>
    <x v="1"/>
    <n v="17"/>
    <x v="2"/>
    <x v="1"/>
    <s v="SKU-FAR-3527"/>
    <x v="4"/>
    <x v="3"/>
    <x v="1"/>
    <s v="DAP"/>
    <n v="620"/>
    <s v="Palés"/>
    <n v="299.5"/>
    <n v="185690"/>
    <n v="4995.18"/>
    <n v="2.6900640853034629E-2"/>
    <n v="20"/>
    <d v="2024-05-15T00:00:00"/>
    <d v="2024-05-15T00:00:00"/>
    <n v="0"/>
    <x v="0"/>
    <b v="1"/>
    <n v="284"/>
    <n v="154"/>
    <x v="1"/>
    <x v="1"/>
  </r>
  <r>
    <s v="PED-01990"/>
    <d v="2024-04-04T00:00:00"/>
    <x v="0"/>
    <x v="1"/>
    <n v="14"/>
    <x v="0"/>
    <x v="6"/>
    <s v="SKU-CON-5726"/>
    <x v="3"/>
    <x v="0"/>
    <x v="1"/>
    <s v="EXW"/>
    <n v="619"/>
    <s v="Litros"/>
    <n v="208.85"/>
    <n v="129278.15"/>
    <n v="7975.07"/>
    <n v="6.1689233640796995E-2"/>
    <n v="26"/>
    <d v="2024-04-30T00:00:00"/>
    <d v="2024-05-05T00:00:00"/>
    <n v="5"/>
    <x v="1"/>
    <b v="0"/>
    <n v="314"/>
    <n v="228"/>
    <x v="2"/>
    <x v="1"/>
  </r>
  <r>
    <s v="PED-01991"/>
    <d v="2024-09-22T00:00:00"/>
    <x v="0"/>
    <x v="3"/>
    <n v="39"/>
    <x v="0"/>
    <x v="0"/>
    <s v="SKU-MAQ-3056"/>
    <x v="0"/>
    <x v="1"/>
    <x v="3"/>
    <s v="FCA"/>
    <n v="136"/>
    <s v="Unidades"/>
    <n v="1434.36"/>
    <n v="195072.96"/>
    <n v="9069.5"/>
    <n v="4.6492860927521681E-2"/>
    <n v="17"/>
    <d v="2024-10-09T00:00:00"/>
    <d v="2024-10-21T00:00:00"/>
    <n v="12"/>
    <x v="1"/>
    <b v="0"/>
    <n v="318"/>
    <n v="367"/>
    <x v="0"/>
    <x v="0"/>
  </r>
  <r>
    <s v="PED-01992"/>
    <d v="2023-01-06T00:00:00"/>
    <x v="1"/>
    <x v="2"/>
    <n v="1"/>
    <x v="6"/>
    <x v="0"/>
    <s v="SKU-MAQ-3200"/>
    <x v="2"/>
    <x v="0"/>
    <x v="1"/>
    <s v="EXW"/>
    <n v="492"/>
    <s v="Unidades"/>
    <n v="2137.98"/>
    <n v="1051886.1599999999"/>
    <n v="80678.710000000006"/>
    <n v="7.6699088806340049E-2"/>
    <n v="29"/>
    <d v="2023-02-04T00:00:00"/>
    <d v="2023-02-04T00:00:00"/>
    <n v="0"/>
    <x v="0"/>
    <b v="1"/>
    <n v="97"/>
    <n v="57"/>
    <x v="1"/>
    <x v="1"/>
  </r>
  <r>
    <s v="PED-01993"/>
    <d v="2023-03-23T00:00:00"/>
    <x v="1"/>
    <x v="8"/>
    <n v="12"/>
    <x v="5"/>
    <x v="0"/>
    <s v="SKU-MAQ-1190"/>
    <x v="5"/>
    <x v="4"/>
    <x v="4"/>
    <s v="FOB"/>
    <n v="177"/>
    <s v="Metros"/>
    <n v="1279.49"/>
    <n v="226469.73"/>
    <n v="6453.64"/>
    <n v="2.8496700199183354E-2"/>
    <n v="27"/>
    <d v="2023-04-19T00:00:00"/>
    <d v="2023-04-18T00:00:00"/>
    <n v="-1"/>
    <x v="0"/>
    <b v="1"/>
    <n v="210"/>
    <n v="280"/>
    <x v="2"/>
    <x v="1"/>
  </r>
  <r>
    <s v="PED-01994"/>
    <d v="2023-01-20T00:00:00"/>
    <x v="1"/>
    <x v="2"/>
    <n v="3"/>
    <x v="0"/>
    <x v="7"/>
    <s v="SKU-ALI-2175"/>
    <x v="1"/>
    <x v="4"/>
    <x v="3"/>
    <s v="DDP"/>
    <n v="601"/>
    <s v="Unidades"/>
    <n v="95.39"/>
    <n v="57329.39"/>
    <n v="3357.78"/>
    <n v="5.8569958619828333E-2"/>
    <n v="10"/>
    <d v="2023-01-30T00:00:00"/>
    <d v="2023-01-31T00:00:00"/>
    <n v="1"/>
    <x v="2"/>
    <b v="0"/>
    <n v="445"/>
    <n v="44"/>
    <x v="1"/>
    <x v="1"/>
  </r>
  <r>
    <s v="PED-01995"/>
    <d v="2023-09-20T00:00:00"/>
    <x v="1"/>
    <x v="3"/>
    <n v="38"/>
    <x v="2"/>
    <x v="1"/>
    <s v="SKU-FAR-1257"/>
    <x v="5"/>
    <x v="2"/>
    <x v="4"/>
    <s v="FOB"/>
    <n v="303"/>
    <s v="Litros"/>
    <n v="204.91"/>
    <n v="62087.73"/>
    <n v="2664.73"/>
    <n v="4.291878604677607E-2"/>
    <n v="3"/>
    <d v="2023-09-23T00:00:00"/>
    <d v="2023-09-23T00:00:00"/>
    <n v="0"/>
    <x v="0"/>
    <b v="1"/>
    <n v="47"/>
    <n v="101"/>
    <x v="0"/>
    <x v="0"/>
  </r>
  <r>
    <s v="PED-01996"/>
    <d v="2023-08-09T00:00:00"/>
    <x v="1"/>
    <x v="4"/>
    <n v="32"/>
    <x v="4"/>
    <x v="5"/>
    <s v="SKU-ELE-3359"/>
    <x v="3"/>
    <x v="4"/>
    <x v="4"/>
    <s v="DDP"/>
    <n v="854"/>
    <s v="Metros"/>
    <n v="366.43"/>
    <n v="312931.21999999997"/>
    <n v="24223.66"/>
    <n v="7.7408895155938739E-2"/>
    <n v="18"/>
    <d v="2023-08-27T00:00:00"/>
    <d v="2023-08-27T00:00:00"/>
    <n v="0"/>
    <x v="0"/>
    <b v="1"/>
    <n v="317"/>
    <n v="47"/>
    <x v="0"/>
    <x v="0"/>
  </r>
  <r>
    <s v="PED-01997"/>
    <d v="2023-06-03T00:00:00"/>
    <x v="1"/>
    <x v="10"/>
    <n v="22"/>
    <x v="5"/>
    <x v="4"/>
    <s v="SKU-TEX-8974"/>
    <x v="4"/>
    <x v="3"/>
    <x v="1"/>
    <s v="FCA"/>
    <n v="647"/>
    <s v="Litros"/>
    <n v="58.67"/>
    <n v="37959.49"/>
    <n v="1510.73"/>
    <n v="3.9798479905815386E-2"/>
    <n v="18"/>
    <d v="2023-06-21T00:00:00"/>
    <d v="2023-06-18T00:00:00"/>
    <n v="-3"/>
    <x v="0"/>
    <b v="1"/>
    <n v="273"/>
    <n v="49"/>
    <x v="4"/>
    <x v="1"/>
  </r>
  <r>
    <s v="PED-01998"/>
    <d v="2024-07-15T00:00:00"/>
    <x v="0"/>
    <x v="7"/>
    <n v="29"/>
    <x v="8"/>
    <x v="0"/>
    <s v="SKU-MAQ-8155"/>
    <x v="3"/>
    <x v="1"/>
    <x v="1"/>
    <s v="DAP"/>
    <n v="352"/>
    <s v="Unidades"/>
    <n v="1368.27"/>
    <n v="481631.04"/>
    <n v="37437.74"/>
    <n v="7.7731161180973715E-2"/>
    <n v="17"/>
    <d v="2024-08-01T00:00:00"/>
    <d v="2024-08-13T00:00:00"/>
    <n v="12"/>
    <x v="2"/>
    <b v="0"/>
    <n v="193"/>
    <n v="80"/>
    <x v="3"/>
    <x v="1"/>
  </r>
  <r>
    <s v="PED-01999"/>
    <d v="2024-09-15T00:00:00"/>
    <x v="0"/>
    <x v="3"/>
    <n v="38"/>
    <x v="9"/>
    <x v="0"/>
    <s v="SKU-MAQ-3224"/>
    <x v="5"/>
    <x v="4"/>
    <x v="3"/>
    <s v="DDP"/>
    <n v="319"/>
    <s v="Metros"/>
    <n v="1873.31"/>
    <n v="597585.89"/>
    <n v="44274.63"/>
    <n v="7.4089148925520973E-2"/>
    <n v="24"/>
    <d v="2024-10-09T00:00:00"/>
    <d v="2024-10-12T00:00:00"/>
    <n v="3"/>
    <x v="2"/>
    <b v="0"/>
    <n v="251"/>
    <n v="299"/>
    <x v="0"/>
    <x v="0"/>
  </r>
  <r>
    <s v="PED-02000"/>
    <d v="2024-06-24T00:00:00"/>
    <x v="0"/>
    <x v="10"/>
    <n v="26"/>
    <x v="7"/>
    <x v="2"/>
    <s v="SKU-AUT-2387"/>
    <x v="5"/>
    <x v="5"/>
    <x v="2"/>
    <s v="EXW"/>
    <n v="671"/>
    <s v="Litros"/>
    <n v="1167.23"/>
    <n v="783211.33"/>
    <n v="28370.26"/>
    <n v="3.6222994884407507E-2"/>
    <n v="3"/>
    <d v="2024-06-27T00:00:00"/>
    <d v="2024-06-27T00:00:00"/>
    <n v="0"/>
    <x v="0"/>
    <b v="1"/>
    <n v="282"/>
    <n v="58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1"/>
    <n v="68"/>
    <n v="15714018.387800004"/>
    <n v="760487.07019999961"/>
    <n v="0.55882352941176472"/>
    <n v="0.22058823529411764"/>
    <n v="0.52941176470588236"/>
    <n v="1.6911764705882353"/>
  </r>
  <r>
    <x v="0"/>
    <n v="2"/>
    <n v="71"/>
    <n v="19739190.358900003"/>
    <n v="1018452.8001000001"/>
    <n v="0.45070422535211269"/>
    <n v="0.28169014084507044"/>
    <n v="0.54929577464788737"/>
    <n v="2.6619718309859155"/>
  </r>
  <r>
    <x v="0"/>
    <n v="3"/>
    <n v="92"/>
    <n v="24600375.780000001"/>
    <n v="1211038.1899999997"/>
    <n v="0.39130434782608697"/>
    <n v="0.34782608695652173"/>
    <n v="0.61956521739130432"/>
    <n v="2.4782608695652173"/>
  </r>
  <r>
    <x v="0"/>
    <n v="4"/>
    <n v="96"/>
    <n v="23362364.877400003"/>
    <n v="1220458.0801999997"/>
    <n v="0.59375"/>
    <n v="0.20833333333333334"/>
    <n v="0.57291666666666663"/>
    <n v="1.0833333333333333"/>
  </r>
  <r>
    <x v="0"/>
    <n v="5"/>
    <n v="75"/>
    <n v="14200948.379999997"/>
    <n v="789267.36020000069"/>
    <n v="0.46666666666666667"/>
    <n v="0.28000000000000003"/>
    <n v="0.56000000000000005"/>
    <n v="2.2000000000000002"/>
  </r>
  <r>
    <x v="0"/>
    <n v="6"/>
    <n v="84"/>
    <n v="22056074.067400005"/>
    <n v="1057482.9904"/>
    <n v="0.58333333333333337"/>
    <n v="0.20238095238095238"/>
    <n v="0.63095238095238093"/>
    <n v="1.0833333333333333"/>
  </r>
  <r>
    <x v="0"/>
    <n v="7"/>
    <n v="59"/>
    <n v="17414076.539999995"/>
    <n v="898851.90030000033"/>
    <n v="0.5423728813559322"/>
    <n v="0.2711864406779661"/>
    <n v="0.61016949152542377"/>
    <n v="1.6440677966101696"/>
  </r>
  <r>
    <x v="0"/>
    <n v="8"/>
    <n v="93"/>
    <n v="19644226.888900004"/>
    <n v="936920.90000000014"/>
    <n v="0.4731182795698925"/>
    <n v="0.30107526881720431"/>
    <n v="0.54838709677419351"/>
    <n v="1.967741935483871"/>
  </r>
  <r>
    <x v="0"/>
    <n v="9"/>
    <n v="86"/>
    <n v="22825680.674799997"/>
    <n v="997825.71019999974"/>
    <n v="0.47674418604651164"/>
    <n v="0.32558139534883723"/>
    <n v="0.58139534883720934"/>
    <n v="1.5"/>
  </r>
  <r>
    <x v="0"/>
    <n v="10"/>
    <n v="93"/>
    <n v="29974121.397400007"/>
    <n v="1524030.6504000002"/>
    <n v="0.43010752688172044"/>
    <n v="0.23655913978494625"/>
    <n v="0.5053763440860215"/>
    <n v="2.774193548387097"/>
  </r>
  <r>
    <x v="0"/>
    <n v="11"/>
    <n v="82"/>
    <n v="18457092.128899999"/>
    <n v="903677.22019999998"/>
    <n v="0.51219512195121952"/>
    <n v="0.23170731707317074"/>
    <n v="0.53658536585365857"/>
    <n v="1.5975609756097562"/>
  </r>
  <r>
    <x v="0"/>
    <n v="12"/>
    <n v="82"/>
    <n v="19711517.516300004"/>
    <n v="1139408.3003999996"/>
    <n v="0.5"/>
    <n v="0.26829268292682928"/>
    <n v="0.52439024390243905"/>
    <n v="2.3780487804878048"/>
  </r>
  <r>
    <x v="1"/>
    <n v="1"/>
    <n v="86"/>
    <n v="16646386.508900007"/>
    <n v="773138.71019999997"/>
    <n v="0.53488372093023251"/>
    <n v="0.23255813953488372"/>
    <n v="0.52325581395348841"/>
    <n v="1.7093023255813953"/>
  </r>
  <r>
    <x v="1"/>
    <n v="2"/>
    <n v="72"/>
    <n v="23407751.266300004"/>
    <n v="1226343.1501999996"/>
    <n v="0.4861111111111111"/>
    <n v="0.2361111111111111"/>
    <n v="0.52777777777777779"/>
    <n v="2.4444444444444446"/>
  </r>
  <r>
    <x v="1"/>
    <n v="3"/>
    <n v="98"/>
    <n v="26253301.733700007"/>
    <n v="1347611.2103000002"/>
    <n v="0.48979591836734693"/>
    <n v="0.29591836734693877"/>
    <n v="0.59183673469387754"/>
    <n v="1.6020408163265305"/>
  </r>
  <r>
    <x v="1"/>
    <n v="4"/>
    <n v="94"/>
    <n v="22352958.354800005"/>
    <n v="1041678.5902"/>
    <n v="0.38297872340425532"/>
    <n v="0.37234042553191488"/>
    <n v="0.62765957446808507"/>
    <n v="2.1914893617021276"/>
  </r>
  <r>
    <x v="1"/>
    <n v="5"/>
    <n v="70"/>
    <n v="19279556.705200005"/>
    <n v="976433.62020000012"/>
    <n v="0.45714285714285713"/>
    <n v="0.3"/>
    <n v="0.5714285714285714"/>
    <n v="2.0857142857142859"/>
  </r>
  <r>
    <x v="1"/>
    <n v="6"/>
    <n v="72"/>
    <n v="22465634.814799998"/>
    <n v="1046415.8302000001"/>
    <n v="0.43055555555555558"/>
    <n v="0.2638888888888889"/>
    <n v="0.69444444444444442"/>
    <n v="2.3194444444444446"/>
  </r>
  <r>
    <x v="1"/>
    <n v="7"/>
    <n v="92"/>
    <n v="24020403.823700003"/>
    <n v="1270120.3307999999"/>
    <n v="0.47826086956521741"/>
    <n v="0.22826086956521738"/>
    <n v="0.54347826086956519"/>
    <n v="2.1847826086956523"/>
  </r>
  <r>
    <x v="1"/>
    <n v="8"/>
    <n v="81"/>
    <n v="12833993.454100002"/>
    <n v="600922.84050000005"/>
    <n v="0.49382716049382713"/>
    <n v="0.22222222222222221"/>
    <n v="0.53086419753086422"/>
    <n v="1.3209876543209877"/>
  </r>
  <r>
    <x v="1"/>
    <n v="9"/>
    <n v="83"/>
    <n v="22562160.238899998"/>
    <n v="1143165.9701"/>
    <n v="0.44578313253012047"/>
    <n v="0.26506024096385544"/>
    <n v="0.61445783132530118"/>
    <n v="2.3373493975903616"/>
  </r>
  <r>
    <x v="1"/>
    <n v="10"/>
    <n v="88"/>
    <n v="22091907.139999997"/>
    <n v="1097030.7005999999"/>
    <n v="0.46590909090909088"/>
    <n v="0.26136363636363635"/>
    <n v="0.56818181818181823"/>
    <n v="2.2613636363636362"/>
  </r>
  <r>
    <x v="1"/>
    <n v="11"/>
    <n v="102"/>
    <n v="23660394.498900004"/>
    <n v="1081764.8799999999"/>
    <n v="0.51960784313725494"/>
    <n v="0.27450980392156865"/>
    <n v="0.62745098039215685"/>
    <n v="1.9509803921568627"/>
  </r>
  <r>
    <x v="1"/>
    <n v="12"/>
    <n v="81"/>
    <n v="19006020.318900004"/>
    <n v="952168.99009999994"/>
    <n v="0.49382716049382713"/>
    <n v="0.20987654320987653"/>
    <n v="0.64197530864197527"/>
    <n v="1.92592592592592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172C62-62F9-4F78-9E41-30FA62CD29A3}" name="TablaDinámica1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R19:T34" firstHeaderRow="1" firstDataRow="2" firstDataCol="1"/>
  <pivotFields count="28">
    <pivotField showAll="0"/>
    <pivotField numFmtId="172" showAll="0"/>
    <pivotField axis="axisRow" numFmtId="1" showAll="0">
      <items count="3">
        <item h="1" x="1"/>
        <item x="0"/>
        <item t="default"/>
      </items>
    </pivotField>
    <pivotField axis="axisRow" numFmtId="1" showAll="0">
      <items count="13">
        <item x="2"/>
        <item x="9"/>
        <item x="8"/>
        <item x="1"/>
        <item x="5"/>
        <item x="10"/>
        <item x="7"/>
        <item x="4"/>
        <item x="3"/>
        <item x="0"/>
        <item x="6"/>
        <item x="11"/>
        <item t="default"/>
      </items>
    </pivotField>
    <pivotField numFmtId="1" showAll="0"/>
    <pivotField axis="axisCol" showAll="0">
      <items count="11">
        <item h="1" x="9"/>
        <item h="1" x="0"/>
        <item h="1" x="1"/>
        <item h="1" x="3"/>
        <item h="1" x="5"/>
        <item x="4"/>
        <item h="1" x="6"/>
        <item h="1" x="7"/>
        <item h="1" x="2"/>
        <item h="1" x="8"/>
        <item t="default"/>
      </items>
    </pivotField>
    <pivotField showAll="0">
      <items count="9">
        <item x="7"/>
        <item x="2"/>
        <item x="6"/>
        <item x="5"/>
        <item x="1"/>
        <item x="0"/>
        <item x="3"/>
        <item x="4"/>
        <item t="default"/>
      </items>
    </pivotField>
    <pivotField showAll="0"/>
    <pivotField showAll="0">
      <items count="7">
        <item x="4"/>
        <item x="1"/>
        <item x="2"/>
        <item x="5"/>
        <item x="3"/>
        <item x="0"/>
        <item t="default"/>
      </items>
    </pivotField>
    <pivotField showAll="0">
      <items count="7">
        <item x="1"/>
        <item x="2"/>
        <item x="0"/>
        <item x="3"/>
        <item x="5"/>
        <item x="4"/>
        <item t="default"/>
      </items>
    </pivotField>
    <pivotField showAll="0">
      <items count="6">
        <item x="4"/>
        <item x="3"/>
        <item x="2"/>
        <item x="1"/>
        <item x="0"/>
        <item t="default"/>
      </items>
    </pivotField>
    <pivotField showAll="0"/>
    <pivotField numFmtId="1" showAll="0"/>
    <pivotField showAll="0"/>
    <pivotField numFmtId="166" showAll="0"/>
    <pivotField dataField="1" numFmtId="166" showAll="0"/>
    <pivotField numFmtId="166" showAll="0"/>
    <pivotField numFmtId="10" showAll="0"/>
    <pivotField numFmtId="1" showAll="0"/>
    <pivotField numFmtId="172" showAll="0"/>
    <pivotField numFmtId="172" showAll="0"/>
    <pivotField numFmtId="1" showAll="0"/>
    <pivotField showAll="0"/>
    <pivotField showAll="0"/>
    <pivotField numFmtId="1" showAll="0"/>
    <pivotField numFmtId="1" showAll="0"/>
    <pivotField showAll="0">
      <items count="6">
        <item x="3"/>
        <item x="4"/>
        <item x="1"/>
        <item x="0"/>
        <item x="2"/>
        <item t="default"/>
      </items>
    </pivotField>
    <pivotField showAll="0"/>
  </pivotFields>
  <rowFields count="2">
    <field x="2"/>
    <field x="3"/>
  </rowFields>
  <rowItems count="14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5"/>
  </colFields>
  <colItems count="2">
    <i>
      <x v="5"/>
    </i>
    <i t="grand">
      <x/>
    </i>
  </colItems>
  <dataFields count="1">
    <dataField name="Suma de Valor_Total_EUR" fld="15" baseField="0" baseItem="0" numFmtId="44"/>
  </dataFields>
  <formats count="1">
    <format dxfId="12">
      <pivotArea outline="0" collapsedLevelsAreSubtotals="1" fieldPosition="0"/>
    </format>
  </formats>
  <chartFormats count="3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C57D6-4D4B-4777-A545-58E3AD2624A8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D4" firstHeaderRow="1" firstDataRow="1" firstDataCol="0"/>
  <pivotFields count="28">
    <pivotField showAll="0"/>
    <pivotField numFmtId="172" showAll="0"/>
    <pivotField numFmtId="1" showAll="0">
      <items count="3">
        <item h="1" x="1"/>
        <item x="0"/>
        <item t="default"/>
      </items>
    </pivotField>
    <pivotField numFmtId="1" showAll="0"/>
    <pivotField numFmtId="1" showAll="0"/>
    <pivotField showAll="0">
      <items count="11">
        <item h="1" x="9"/>
        <item h="1" x="0"/>
        <item h="1" x="1"/>
        <item h="1" x="3"/>
        <item h="1" x="5"/>
        <item x="4"/>
        <item h="1" x="6"/>
        <item h="1" x="7"/>
        <item h="1" x="2"/>
        <item h="1" x="8"/>
        <item t="default"/>
      </items>
    </pivotField>
    <pivotField showAll="0">
      <items count="9">
        <item x="7"/>
        <item x="2"/>
        <item x="6"/>
        <item x="5"/>
        <item x="1"/>
        <item x="0"/>
        <item x="3"/>
        <item x="4"/>
        <item t="default"/>
      </items>
    </pivotField>
    <pivotField showAll="0"/>
    <pivotField showAll="0">
      <items count="7">
        <item x="4"/>
        <item x="1"/>
        <item x="2"/>
        <item x="5"/>
        <item x="3"/>
        <item x="0"/>
        <item t="default"/>
      </items>
    </pivotField>
    <pivotField showAll="0">
      <items count="7">
        <item x="1"/>
        <item x="2"/>
        <item x="0"/>
        <item x="3"/>
        <item x="5"/>
        <item x="4"/>
        <item t="default"/>
      </items>
    </pivotField>
    <pivotField showAll="0">
      <items count="6">
        <item x="4"/>
        <item x="3"/>
        <item x="2"/>
        <item x="1"/>
        <item x="0"/>
        <item t="default"/>
      </items>
    </pivotField>
    <pivotField showAll="0"/>
    <pivotField numFmtId="1" showAll="0"/>
    <pivotField showAll="0"/>
    <pivotField numFmtId="166" showAll="0"/>
    <pivotField numFmtId="166" showAll="0"/>
    <pivotField dataField="1" numFmtId="166" showAll="0"/>
    <pivotField numFmtId="10" showAll="0"/>
    <pivotField numFmtId="1" showAll="0"/>
    <pivotField numFmtId="172" showAll="0"/>
    <pivotField numFmtId="172" showAll="0"/>
    <pivotField numFmtId="1" showAll="0"/>
    <pivotField showAll="0"/>
    <pivotField showAll="0"/>
    <pivotField numFmtId="1" showAll="0"/>
    <pivotField numFmtId="1" showAll="0"/>
    <pivotField showAll="0">
      <items count="6">
        <item x="3"/>
        <item x="4"/>
        <item x="1"/>
        <item x="0"/>
        <item x="2"/>
        <item t="default"/>
      </items>
    </pivotField>
    <pivotField showAll="0"/>
  </pivotFields>
  <rowItems count="1">
    <i/>
  </rowItems>
  <colItems count="1">
    <i/>
  </colItems>
  <dataFields count="1">
    <dataField name="Suma de Coste_Transporte_EUR" fld="16" baseField="0" baseItem="0" numFmtId="44"/>
  </dataFields>
  <formats count="3">
    <format dxfId="15">
      <pivotArea dataOnly="0" labelOnly="1" outline="0" axis="axisValues" fieldPosition="0"/>
    </format>
    <format dxfId="14">
      <pivotArea dataOnly="0" labelOnly="1" outline="0" axis="axisValues" fieldPosition="0"/>
    </format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24A403-89F3-4F48-B02B-8198EE62B145}" name="TablaDiná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D7:F22" firstHeaderRow="1" firstDataRow="2" firstDataCol="1"/>
  <pivotFields count="28">
    <pivotField dataField="1" showAll="0"/>
    <pivotField numFmtId="172" showAll="0"/>
    <pivotField axis="axisRow" numFmtId="1" showAll="0">
      <items count="3">
        <item h="1" x="1"/>
        <item x="0"/>
        <item t="default"/>
      </items>
    </pivotField>
    <pivotField axis="axisRow" numFmtId="1" showAll="0">
      <items count="13">
        <item x="2"/>
        <item x="9"/>
        <item x="8"/>
        <item x="1"/>
        <item x="5"/>
        <item x="10"/>
        <item x="7"/>
        <item x="4"/>
        <item x="3"/>
        <item x="0"/>
        <item x="6"/>
        <item x="11"/>
        <item t="default"/>
      </items>
    </pivotField>
    <pivotField numFmtId="1" showAll="0"/>
    <pivotField axis="axisCol" showAll="0">
      <items count="11">
        <item h="1" x="9"/>
        <item h="1" x="0"/>
        <item h="1" x="1"/>
        <item h="1" x="3"/>
        <item h="1" x="5"/>
        <item x="4"/>
        <item h="1" x="6"/>
        <item h="1" x="7"/>
        <item h="1" x="2"/>
        <item h="1" x="8"/>
        <item t="default"/>
      </items>
    </pivotField>
    <pivotField showAll="0">
      <items count="9">
        <item x="7"/>
        <item x="2"/>
        <item x="6"/>
        <item x="5"/>
        <item x="1"/>
        <item x="0"/>
        <item x="3"/>
        <item x="4"/>
        <item t="default"/>
      </items>
    </pivotField>
    <pivotField showAll="0"/>
    <pivotField showAll="0">
      <items count="7">
        <item x="4"/>
        <item x="1"/>
        <item x="2"/>
        <item x="5"/>
        <item x="3"/>
        <item x="0"/>
        <item t="default"/>
      </items>
    </pivotField>
    <pivotField showAll="0">
      <items count="7">
        <item x="1"/>
        <item x="2"/>
        <item x="0"/>
        <item x="3"/>
        <item x="5"/>
        <item x="4"/>
        <item t="default"/>
      </items>
    </pivotField>
    <pivotField showAll="0">
      <items count="6">
        <item x="4"/>
        <item x="3"/>
        <item x="2"/>
        <item x="1"/>
        <item x="0"/>
        <item t="default"/>
      </items>
    </pivotField>
    <pivotField showAll="0"/>
    <pivotField numFmtId="1" showAll="0"/>
    <pivotField showAll="0"/>
    <pivotField numFmtId="166" showAll="0"/>
    <pivotField numFmtId="166" showAll="0"/>
    <pivotField numFmtId="166" showAll="0"/>
    <pivotField numFmtId="10" showAll="0"/>
    <pivotField numFmtId="1" showAll="0"/>
    <pivotField numFmtId="172" showAll="0"/>
    <pivotField numFmtId="172" showAll="0"/>
    <pivotField numFmtId="1" showAll="0"/>
    <pivotField showAll="0"/>
    <pivotField showAll="0"/>
    <pivotField numFmtId="1" showAll="0"/>
    <pivotField numFmtId="1" showAll="0"/>
    <pivotField showAll="0">
      <items count="6">
        <item x="3"/>
        <item x="4"/>
        <item x="1"/>
        <item x="0"/>
        <item x="2"/>
        <item t="default"/>
      </items>
    </pivotField>
    <pivotField showAll="0"/>
  </pivotFields>
  <rowFields count="2">
    <field x="2"/>
    <field x="3"/>
  </rowFields>
  <rowItems count="14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5"/>
  </colFields>
  <colItems count="2">
    <i>
      <x v="5"/>
    </i>
    <i t="grand">
      <x/>
    </i>
  </colItems>
  <dataFields count="1">
    <dataField name="Cuenta de ID_Pedido" fld="0" subtotal="count" baseField="0" baseItem="0"/>
  </dataFields>
  <chartFormats count="10"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A140E-D3C7-45F7-AF2E-3EF0ABA847E7}" name="TablaDinámica1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7:R8" firstHeaderRow="1" firstDataRow="1" firstDataCol="0"/>
  <pivotFields count="9">
    <pivotField showAll="0">
      <items count="3">
        <item x="0"/>
        <item x="1"/>
        <item t="default"/>
      </items>
    </pivotField>
    <pivotField showAll="0"/>
    <pivotField numFmtId="3" showAll="0"/>
    <pivotField numFmtId="164" showAll="0"/>
    <pivotField numFmtId="164" showAll="0"/>
    <pivotField dataField="1" numFmtId="168" showAll="0"/>
    <pivotField numFmtId="168" showAll="0"/>
    <pivotField numFmtId="168" showAll="0"/>
    <pivotField numFmtId="169" showAll="0"/>
  </pivotFields>
  <rowItems count="1">
    <i/>
  </rowItems>
  <colItems count="1">
    <i/>
  </colItems>
  <dataFields count="1">
    <dataField name="Promedio de OTIF (%)" fld="5" subtotal="average" baseField="0" baseItem="0" numFmtId="10"/>
  </dataFields>
  <formats count="2">
    <format dxfId="17">
      <pivotArea outline="0" collapsedLevelsAreSubtotals="1" fieldPosition="0"/>
    </format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1590F-E950-4986-874B-921413D47942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0:B14" firstHeaderRow="1" firstDataRow="1" firstDataCol="1"/>
  <pivotFields count="28">
    <pivotField dataField="1" showAll="0"/>
    <pivotField numFmtId="172" showAll="0"/>
    <pivotField numFmtId="1" showAll="0">
      <items count="3">
        <item h="1" x="1"/>
        <item x="0"/>
        <item t="default"/>
      </items>
    </pivotField>
    <pivotField numFmtId="1" showAll="0"/>
    <pivotField numFmtId="1" showAll="0"/>
    <pivotField showAll="0">
      <items count="11">
        <item h="1" x="9"/>
        <item h="1" x="0"/>
        <item h="1" x="1"/>
        <item h="1" x="3"/>
        <item h="1" x="5"/>
        <item x="4"/>
        <item h="1" x="6"/>
        <item h="1" x="7"/>
        <item h="1" x="2"/>
        <item h="1" x="8"/>
        <item t="default"/>
      </items>
    </pivotField>
    <pivotField showAll="0"/>
    <pivotField showAll="0"/>
    <pivotField showAll="0">
      <items count="7">
        <item x="4"/>
        <item x="1"/>
        <item x="2"/>
        <item x="5"/>
        <item x="3"/>
        <item x="0"/>
        <item t="default"/>
      </items>
    </pivotField>
    <pivotField showAll="0">
      <items count="7">
        <item x="1"/>
        <item x="2"/>
        <item x="0"/>
        <item x="3"/>
        <item x="5"/>
        <item x="4"/>
        <item t="default"/>
      </items>
    </pivotField>
    <pivotField showAll="0">
      <items count="6">
        <item x="4"/>
        <item x="3"/>
        <item x="2"/>
        <item x="1"/>
        <item x="0"/>
        <item t="default"/>
      </items>
    </pivotField>
    <pivotField showAll="0"/>
    <pivotField numFmtId="1" showAll="0"/>
    <pivotField showAll="0"/>
    <pivotField numFmtId="166" showAll="0"/>
    <pivotField numFmtId="166" showAll="0"/>
    <pivotField numFmtId="166" showAll="0"/>
    <pivotField numFmtId="10" showAll="0"/>
    <pivotField numFmtId="1" showAll="0"/>
    <pivotField numFmtId="172" showAll="0"/>
    <pivotField numFmtId="172" showAll="0"/>
    <pivotField numFmtId="1" showAll="0"/>
    <pivotField axis="axisRow" showAll="0">
      <items count="4">
        <item x="2"/>
        <item x="0"/>
        <item x="1"/>
        <item t="default"/>
      </items>
    </pivotField>
    <pivotField showAll="0"/>
    <pivotField numFmtId="1" showAll="0"/>
    <pivotField numFmtId="1" showAll="0"/>
    <pivotField showAll="0">
      <items count="6">
        <item x="3"/>
        <item x="4"/>
        <item x="1"/>
        <item x="0"/>
        <item x="2"/>
        <item t="default"/>
      </items>
    </pivotField>
    <pivotField showAll="0"/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ID_Pedido" fld="0" subtotal="count" baseField="0" baseItem="0"/>
  </dataField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52303-A491-46DC-A227-C9A4419770B3}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3:F4" firstHeaderRow="1" firstDataRow="1" firstDataCol="0"/>
  <pivotFields count="28">
    <pivotField showAll="0"/>
    <pivotField numFmtId="172" showAll="0"/>
    <pivotField numFmtId="1" showAll="0">
      <items count="3">
        <item h="1" x="1"/>
        <item x="0"/>
        <item t="default"/>
      </items>
    </pivotField>
    <pivotField numFmtId="1" showAll="0"/>
    <pivotField numFmtId="1" showAll="0"/>
    <pivotField showAll="0">
      <items count="11">
        <item h="1" x="9"/>
        <item h="1" x="0"/>
        <item h="1" x="1"/>
        <item h="1" x="3"/>
        <item h="1" x="5"/>
        <item x="4"/>
        <item h="1" x="6"/>
        <item h="1" x="7"/>
        <item h="1" x="2"/>
        <item h="1" x="8"/>
        <item t="default"/>
      </items>
    </pivotField>
    <pivotField showAll="0">
      <items count="9">
        <item x="7"/>
        <item x="2"/>
        <item x="6"/>
        <item x="5"/>
        <item x="1"/>
        <item x="0"/>
        <item x="3"/>
        <item x="4"/>
        <item t="default"/>
      </items>
    </pivotField>
    <pivotField showAll="0"/>
    <pivotField showAll="0">
      <items count="7">
        <item x="4"/>
        <item x="1"/>
        <item x="2"/>
        <item x="5"/>
        <item x="3"/>
        <item x="0"/>
        <item t="default"/>
      </items>
    </pivotField>
    <pivotField showAll="0">
      <items count="7">
        <item x="1"/>
        <item x="2"/>
        <item x="0"/>
        <item x="3"/>
        <item x="5"/>
        <item x="4"/>
        <item t="default"/>
      </items>
    </pivotField>
    <pivotField showAll="0">
      <items count="6">
        <item x="4"/>
        <item x="3"/>
        <item x="2"/>
        <item x="1"/>
        <item x="0"/>
        <item t="default"/>
      </items>
    </pivotField>
    <pivotField showAll="0"/>
    <pivotField numFmtId="1" showAll="0"/>
    <pivotField showAll="0"/>
    <pivotField numFmtId="166" showAll="0"/>
    <pivotField numFmtId="166" showAll="0"/>
    <pivotField numFmtId="166" showAll="0"/>
    <pivotField numFmtId="10" showAll="0"/>
    <pivotField dataField="1" numFmtId="1" showAll="0"/>
    <pivotField numFmtId="172" showAll="0"/>
    <pivotField numFmtId="172" showAll="0"/>
    <pivotField numFmtId="1" showAll="0"/>
    <pivotField showAll="0"/>
    <pivotField showAll="0"/>
    <pivotField numFmtId="1" showAll="0"/>
    <pivotField numFmtId="1" showAll="0"/>
    <pivotField showAll="0">
      <items count="6">
        <item x="3"/>
        <item x="4"/>
        <item x="1"/>
        <item x="0"/>
        <item x="2"/>
        <item t="default"/>
      </items>
    </pivotField>
    <pivotField showAll="0"/>
  </pivotFields>
  <rowItems count="1">
    <i/>
  </rowItems>
  <colItems count="1">
    <i/>
  </colItems>
  <dataFields count="1">
    <dataField name="Promedio de Lead_Time_Días" fld="18" subtotal="average" baseField="0" baseItem="0" numFmtId="2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78C6A-D908-4A26-A302-A912923E6978}" name="ValorTotalPedid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" firstHeaderRow="0" firstDataRow="1" firstDataCol="0"/>
  <pivotFields count="28">
    <pivotField showAll="0"/>
    <pivotField numFmtId="172" showAll="0"/>
    <pivotField numFmtId="1" showAll="0">
      <items count="3">
        <item h="1" x="1"/>
        <item x="0"/>
        <item t="default"/>
      </items>
    </pivotField>
    <pivotField numFmtId="1" showAll="0"/>
    <pivotField numFmtId="1" showAll="0"/>
    <pivotField showAll="0">
      <items count="11">
        <item h="1" x="9"/>
        <item h="1" x="0"/>
        <item h="1" x="1"/>
        <item h="1" x="3"/>
        <item h="1" x="5"/>
        <item x="4"/>
        <item h="1" x="6"/>
        <item h="1" x="7"/>
        <item h="1" x="2"/>
        <item h="1" x="8"/>
        <item t="default"/>
      </items>
    </pivotField>
    <pivotField showAll="0">
      <items count="9">
        <item x="7"/>
        <item x="2"/>
        <item x="6"/>
        <item x="5"/>
        <item x="1"/>
        <item x="0"/>
        <item x="3"/>
        <item x="4"/>
        <item t="default"/>
      </items>
    </pivotField>
    <pivotField showAll="0"/>
    <pivotField showAll="0">
      <items count="7">
        <item x="4"/>
        <item x="1"/>
        <item x="2"/>
        <item x="5"/>
        <item x="3"/>
        <item x="0"/>
        <item t="default"/>
      </items>
    </pivotField>
    <pivotField showAll="0">
      <items count="7">
        <item x="1"/>
        <item x="2"/>
        <item x="0"/>
        <item x="3"/>
        <item x="5"/>
        <item x="4"/>
        <item t="default"/>
      </items>
    </pivotField>
    <pivotField showAll="0">
      <items count="6">
        <item x="4"/>
        <item x="3"/>
        <item x="2"/>
        <item x="1"/>
        <item x="0"/>
        <item t="default"/>
      </items>
    </pivotField>
    <pivotField showAll="0"/>
    <pivotField dataField="1" numFmtId="1" showAll="0"/>
    <pivotField showAll="0"/>
    <pivotField numFmtId="166" showAll="0"/>
    <pivotField dataField="1" numFmtId="166" showAll="0"/>
    <pivotField numFmtId="166" showAll="0"/>
    <pivotField numFmtId="10" showAll="0"/>
    <pivotField numFmtId="1" showAll="0"/>
    <pivotField numFmtId="172" showAll="0"/>
    <pivotField numFmtId="172" showAll="0"/>
    <pivotField numFmtId="1" showAll="0"/>
    <pivotField showAll="0"/>
    <pivotField showAll="0"/>
    <pivotField numFmtId="1" showAll="0"/>
    <pivotField numFmtId="1" showAll="0"/>
    <pivotField showAll="0">
      <items count="6">
        <item x="3"/>
        <item x="4"/>
        <item x="1"/>
        <item x="0"/>
        <item x="2"/>
        <item t="default"/>
      </items>
    </pivotField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uenta de Cantidad" fld="12" subtotal="count" baseField="0" baseItem="1"/>
    <dataField name="Suma de Valor_Total_EUR" fld="15" baseField="0" baseItem="0" numFmtId="44"/>
  </dataFields>
  <formats count="1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FF3AA-8BEC-42CD-9B53-931E51086985}" name="TablaDinámica1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12:S15" firstHeaderRow="1" firstDataRow="1" firstDataCol="1" rowPageCount="1" colPageCount="1"/>
  <pivotFields count="28">
    <pivotField showAll="0"/>
    <pivotField numFmtId="172" showAll="0"/>
    <pivotField axis="axisPage" numFmtId="1" showAll="0">
      <items count="3">
        <item x="1"/>
        <item x="0"/>
        <item t="default"/>
      </items>
    </pivotField>
    <pivotField numFmtId="1" showAll="0"/>
    <pivotField numFmtId="1" showAll="0"/>
    <pivotField showAll="0">
      <items count="11">
        <item h="1" x="9"/>
        <item h="1" x="0"/>
        <item h="1" x="1"/>
        <item h="1" x="3"/>
        <item h="1" x="5"/>
        <item x="4"/>
        <item h="1" x="6"/>
        <item h="1" x="7"/>
        <item h="1" x="2"/>
        <item h="1" x="8"/>
        <item t="default"/>
      </items>
    </pivotField>
    <pivotField showAll="0">
      <items count="9">
        <item x="7"/>
        <item x="2"/>
        <item x="6"/>
        <item x="5"/>
        <item x="1"/>
        <item x="0"/>
        <item x="3"/>
        <item x="4"/>
        <item t="default"/>
      </items>
    </pivotField>
    <pivotField showAll="0"/>
    <pivotField showAll="0">
      <items count="7">
        <item x="4"/>
        <item x="1"/>
        <item x="2"/>
        <item x="5"/>
        <item x="3"/>
        <item x="0"/>
        <item t="default"/>
      </items>
    </pivotField>
    <pivotField showAll="0">
      <items count="7">
        <item x="1"/>
        <item x="2"/>
        <item x="0"/>
        <item x="3"/>
        <item x="5"/>
        <item x="4"/>
        <item t="default"/>
      </items>
    </pivotField>
    <pivotField showAll="0">
      <items count="6">
        <item x="4"/>
        <item x="3"/>
        <item x="2"/>
        <item x="1"/>
        <item x="0"/>
        <item t="default"/>
      </items>
    </pivotField>
    <pivotField showAll="0"/>
    <pivotField numFmtId="1" showAll="0"/>
    <pivotField showAll="0"/>
    <pivotField numFmtId="166" showAll="0"/>
    <pivotField numFmtId="166" showAll="0"/>
    <pivotField numFmtId="166" showAll="0"/>
    <pivotField numFmtId="10" showAll="0"/>
    <pivotField numFmtId="1" showAll="0"/>
    <pivotField numFmtId="172" showAll="0"/>
    <pivotField numFmtId="172" showAll="0"/>
    <pivotField numFmtId="1" showAll="0"/>
    <pivotField showAll="0"/>
    <pivotField showAll="0"/>
    <pivotField numFmtId="1" showAll="0"/>
    <pivotField numFmtId="1" showAll="0"/>
    <pivotField dataField="1" showAll="0">
      <items count="6">
        <item x="3"/>
        <item x="4"/>
        <item x="1"/>
        <item x="0"/>
        <item x="2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27"/>
  </rowFields>
  <rowItems count="3">
    <i>
      <x/>
    </i>
    <i>
      <x v="1"/>
    </i>
    <i t="grand">
      <x/>
    </i>
  </rowItems>
  <colItems count="1">
    <i/>
  </colItems>
  <pageFields count="1">
    <pageField fld="2" item="1" hier="-1"/>
  </pageFields>
  <dataFields count="1">
    <dataField name="Cuenta de Incidencias" fld="2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_Pedido" xr10:uid="{EA38AF6C-FA6E-4DEE-AAAE-EED5CC87BA27}" sourceName="Año_Pedido">
  <pivotTables>
    <pivotTable tabId="15" name="ValorTotalPedidos"/>
    <pivotTable tabId="15" name="TablaDinámica6"/>
    <pivotTable tabId="15" name="TablaDinámica8"/>
    <pivotTable tabId="15" name="TablaDinámica10"/>
    <pivotTable tabId="15" name="TablaDinámica15"/>
    <pivotTable tabId="15" name="TablaDinámica16"/>
    <pivotTable tabId="15" name="TablaDinámica1"/>
  </pivotTables>
  <data>
    <tabular pivotCacheId="1168651476">
      <items count="2">
        <i x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lmacén_Destino" xr10:uid="{7EA8A0E0-BB36-47D4-8CA5-AE7382CD3B33}" sourceName="Almacén_Destino">
  <pivotTables>
    <pivotTable tabId="15" name="ValorTotalPedidos"/>
    <pivotTable tabId="15" name="TablaDinámica6"/>
    <pivotTable tabId="15" name="TablaDinámica8"/>
    <pivotTable tabId="15" name="TablaDinámica10"/>
    <pivotTable tabId="15" name="TablaDinámica16"/>
    <pivotTable tabId="15" name="TablaDinámica15"/>
    <pivotTable tabId="15" name="TablaDinámica1"/>
  </pivotTables>
  <data>
    <tabular pivotCacheId="1168651476">
      <items count="6">
        <i x="4" s="1"/>
        <i x="1" s="1"/>
        <i x="2" s="1"/>
        <i x="5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veedor" xr10:uid="{CDBF18D9-C5DF-4EF9-A673-680EB8BEFB23}" sourceName="Proveedor">
  <pivotTables>
    <pivotTable tabId="15" name="ValorTotalPedidos"/>
    <pivotTable tabId="15" name="TablaDinámica6"/>
    <pivotTable tabId="15" name="TablaDinámica8"/>
    <pivotTable tabId="15" name="TablaDinámica10"/>
    <pivotTable tabId="15" name="TablaDinámica15"/>
    <pivotTable tabId="15" name="TablaDinámica16"/>
    <pivotTable tabId="15" name="TablaDinámica1"/>
  </pivotTables>
  <data>
    <tabular pivotCacheId="1168651476">
      <items count="10">
        <i x="9"/>
        <i x="0"/>
        <i x="1"/>
        <i x="3"/>
        <i x="5"/>
        <i x="4" s="1"/>
        <i x="6"/>
        <i x="7"/>
        <i x="2"/>
        <i x="8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" xr10:uid="{92A1E5AC-1932-4356-B515-5440D58351F3}" sourceName="Categoría">
  <pivotTables>
    <pivotTable tabId="15" name="ValorTotalPedidos"/>
    <pivotTable tabId="15" name="TablaDinámica10"/>
    <pivotTable tabId="15" name="TablaDinámica6"/>
    <pivotTable tabId="15" name="TablaDinámica8"/>
    <pivotTable tabId="15" name="TablaDinámica15"/>
    <pivotTable tabId="15" name="TablaDinámica16"/>
  </pivotTables>
  <data>
    <tabular pivotCacheId="1168651476">
      <items count="8">
        <i x="7" s="1"/>
        <i x="2" s="1"/>
        <i x="6" s="1"/>
        <i x="5" s="1"/>
        <i x="1" s="1"/>
        <i x="0" s="1"/>
        <i x="3" s="1"/>
        <i x="4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ncidencias" xr10:uid="{632FA16C-E7BC-4062-B9FF-F844EC62D668}" sourceName="Incidencias">
  <pivotTables>
    <pivotTable tabId="15" name="TablaDinámica15"/>
    <pivotTable tabId="15" name="TablaDinámica10"/>
    <pivotTable tabId="15" name="TablaDinámica6"/>
    <pivotTable tabId="15" name="TablaDinámica8"/>
    <pivotTable tabId="15" name="ValorTotalPedidos"/>
    <pivotTable tabId="15" name="TablaDinámica16"/>
    <pivotTable tabId="15" name="TablaDinámica1"/>
  </pivotTables>
  <data>
    <tabular pivotCacheId="1168651476">
      <items count="5">
        <i x="3" s="1"/>
        <i x="4" s="1"/>
        <i x="1" s="1"/>
        <i x="0" s="1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odo_Transporte" xr10:uid="{4301F806-0CF8-48FB-BFEA-D58AF54F6FB2}" sourceName="Modo_Transporte">
  <pivotTables>
    <pivotTable tabId="15" name="TablaDinámica10"/>
    <pivotTable tabId="15" name="TablaDinámica15"/>
    <pivotTable tabId="15" name="TablaDinámica16"/>
    <pivotTable tabId="15" name="TablaDinámica6"/>
    <pivotTable tabId="15" name="TablaDinámica8"/>
    <pivotTable tabId="15" name="ValorTotalPedidos"/>
    <pivotTable tabId="15" name="TablaDinámica1"/>
  </pivotTables>
  <data>
    <tabular pivotCacheId="1168651476">
      <items count="5">
        <i x="4" s="1"/>
        <i x="3" s="1"/>
        <i x="2" s="1"/>
        <i x="1" s="1"/>
        <i x="0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ansportista" xr10:uid="{7C5ADD40-B7AD-4AE4-AABA-546F4ACD926C}" sourceName="Transportista">
  <pivotTables>
    <pivotTable tabId="15" name="TablaDinámica16"/>
    <pivotTable tabId="15" name="TablaDinámica1"/>
    <pivotTable tabId="15" name="TablaDinámica10"/>
    <pivotTable tabId="15" name="TablaDinámica6"/>
    <pivotTable tabId="15" name="TablaDinámica8"/>
    <pivotTable tabId="15" name="ValorTotalPedidos"/>
    <pivotTable tabId="15" name="TablaDinámica15"/>
  </pivotTables>
  <data>
    <tabular pivotCacheId="1168651476">
      <items count="6">
        <i x="1" s="1"/>
        <i x="2" s="1"/>
        <i x="0" s="1"/>
        <i x="3" s="1"/>
        <i x="5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_Pedido 1" xr10:uid="{968FC40C-E451-423B-AB50-6D041589053D}" cache="SegmentaciónDeDatos_Año_Pedido" caption="Año_Pedido" rowHeight="234950"/>
  <slicer name="Almacén_Destino 1" xr10:uid="{900B17C2-9A77-43BA-B3A3-5B98DC69C896}" cache="SegmentaciónDeDatos_Almacén_Destino" caption="Almacén_Destino" rowHeight="234950"/>
  <slicer name="Proveedor 1" xr10:uid="{D1E5F79C-8EB3-42B8-8161-82E38B607D3E}" cache="SegmentaciónDeDatos_Proveedor" caption="Proveedor" rowHeight="234950"/>
  <slicer name="Categoría 1" xr10:uid="{8F4010D6-4D40-416E-AC8F-59F2B557691D}" cache="SegmentaciónDeDatos_Categoría" caption="Categoría" rowHeight="234950"/>
  <slicer name="Incidencias 1" xr10:uid="{99AEAFCB-D060-4520-83E8-0851BE894183}" cache="SegmentaciónDeDatos_Incidencias" caption="Incidencias" rowHeight="234950"/>
  <slicer name="Modo_Transporte 1" xr10:uid="{C9D7CF45-80AE-4F84-A3BE-B76C5FA2512C}" cache="SegmentaciónDeDatos_Modo_Transporte" caption="Modo_Transporte" rowHeight="234950"/>
  <slicer name="Transportista 1" xr10:uid="{5F8A56B0-2A92-4773-BCF3-C83C5C9982EE}" cache="SegmentaciónDeDatos_Transportista" caption="Transportista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51F30DD-9211-41E5-A9D5-B608ECDA7AAD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06041c5d-4940-44b8-92e9-bf74d3e8b132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B2002"/>
  <sheetViews>
    <sheetView topLeftCell="Q1" zoomScaleNormal="100" workbookViewId="0">
      <pane ySplit="1" topLeftCell="A2" activePane="bottomLeft" state="frozen"/>
      <selection activeCell="Q1" sqref="Q1"/>
      <selection pane="bottomLeft" activeCell="AB2" sqref="AB2"/>
    </sheetView>
  </sheetViews>
  <sheetFormatPr baseColWidth="10" defaultColWidth="8.6640625" defaultRowHeight="14.4" x14ac:dyDescent="0.3"/>
  <cols>
    <col min="1" max="1" width="14" style="1" customWidth="1"/>
    <col min="2" max="2" width="17.6640625" style="47" customWidth="1"/>
    <col min="3" max="4" width="10" style="1" customWidth="1"/>
    <col min="5" max="5" width="12" style="1" customWidth="1"/>
    <col min="6" max="6" width="22" style="1" customWidth="1"/>
    <col min="7" max="7" width="14" style="1" customWidth="1"/>
    <col min="8" max="8" width="18" style="1" customWidth="1"/>
    <col min="9" max="9" width="14" style="1" customWidth="1"/>
    <col min="10" max="10" width="18" style="1" customWidth="1"/>
    <col min="11" max="11" width="14" style="1" customWidth="1"/>
    <col min="12" max="13" width="10" style="1" customWidth="1"/>
    <col min="14" max="14" width="12" style="1" customWidth="1"/>
    <col min="15" max="15" width="18" style="48" customWidth="1"/>
    <col min="16" max="16" width="16" style="48" customWidth="1"/>
    <col min="17" max="17" width="18" style="48" customWidth="1"/>
    <col min="18" max="18" width="16" style="1" customWidth="1"/>
    <col min="19" max="19" width="14" style="49" customWidth="1"/>
    <col min="20" max="20" width="18" style="47" customWidth="1"/>
    <col min="21" max="21" width="16" style="47" customWidth="1"/>
    <col min="22" max="22" width="17.6640625" style="50" customWidth="1"/>
    <col min="23" max="23" width="14" style="1" customWidth="1"/>
    <col min="24" max="24" width="13.5546875" style="51" customWidth="1"/>
    <col min="25" max="25" width="16" style="1" customWidth="1"/>
    <col min="26" max="26" width="14" style="1" customWidth="1"/>
    <col min="27" max="27" width="22" style="1" customWidth="1"/>
    <col min="28" max="28" width="17.77734375" style="51" customWidth="1"/>
  </cols>
  <sheetData>
    <row r="1" spans="1:28" ht="34.5" customHeight="1" x14ac:dyDescent="0.3">
      <c r="A1" s="52" t="s">
        <v>93</v>
      </c>
      <c r="B1" s="53" t="s">
        <v>94</v>
      </c>
      <c r="C1" s="54" t="s">
        <v>95</v>
      </c>
      <c r="D1" s="54" t="s">
        <v>96</v>
      </c>
      <c r="E1" s="54" t="s">
        <v>97</v>
      </c>
      <c r="F1" s="52" t="s">
        <v>49</v>
      </c>
      <c r="G1" s="52" t="s">
        <v>29</v>
      </c>
      <c r="H1" s="52" t="s">
        <v>98</v>
      </c>
      <c r="I1" s="52" t="s">
        <v>99</v>
      </c>
      <c r="J1" s="52" t="s">
        <v>100</v>
      </c>
      <c r="K1" s="52" t="s">
        <v>101</v>
      </c>
      <c r="L1" s="52" t="s">
        <v>102</v>
      </c>
      <c r="M1" s="52" t="s">
        <v>23</v>
      </c>
      <c r="N1" s="52" t="s">
        <v>103</v>
      </c>
      <c r="O1" s="55" t="s">
        <v>24</v>
      </c>
      <c r="P1" s="55" t="s">
        <v>19</v>
      </c>
      <c r="Q1" s="55" t="s">
        <v>20</v>
      </c>
      <c r="R1" s="54" t="s">
        <v>25</v>
      </c>
      <c r="S1" s="56" t="s">
        <v>21</v>
      </c>
      <c r="T1" s="53" t="s">
        <v>104</v>
      </c>
      <c r="U1" s="53" t="s">
        <v>105</v>
      </c>
      <c r="V1" s="54" t="s">
        <v>22</v>
      </c>
      <c r="W1" s="52" t="s">
        <v>106</v>
      </c>
      <c r="X1" s="54" t="s">
        <v>107</v>
      </c>
      <c r="Y1" s="52" t="s">
        <v>26</v>
      </c>
      <c r="Z1" s="52" t="s">
        <v>27</v>
      </c>
      <c r="AA1" s="52" t="s">
        <v>108</v>
      </c>
      <c r="AB1" s="54" t="s">
        <v>109</v>
      </c>
    </row>
    <row r="2" spans="1:28" ht="15" customHeight="1" x14ac:dyDescent="0.3">
      <c r="A2" s="57" t="s">
        <v>110</v>
      </c>
      <c r="B2" s="82">
        <v>45581</v>
      </c>
      <c r="C2" s="59">
        <f t="shared" ref="C2:C65" si="0">YEAR(B2)</f>
        <v>2024</v>
      </c>
      <c r="D2" s="59">
        <f t="shared" ref="D2:D65" si="1">MONTH(B2)</f>
        <v>10</v>
      </c>
      <c r="E2" s="59">
        <f t="shared" ref="E2:E65" si="2">WEEKNUM(B2,1)</f>
        <v>42</v>
      </c>
      <c r="F2" s="57" t="s">
        <v>55</v>
      </c>
      <c r="G2" s="57" t="s">
        <v>39</v>
      </c>
      <c r="H2" s="57" t="s">
        <v>111</v>
      </c>
      <c r="I2" s="57" t="s">
        <v>68</v>
      </c>
      <c r="J2" s="57" t="s">
        <v>112</v>
      </c>
      <c r="K2" s="57" t="s">
        <v>71</v>
      </c>
      <c r="L2" s="57" t="s">
        <v>113</v>
      </c>
      <c r="M2" s="60">
        <v>28</v>
      </c>
      <c r="N2" s="57" t="s">
        <v>114</v>
      </c>
      <c r="O2" s="61">
        <v>1212.26</v>
      </c>
      <c r="P2" s="61">
        <v>33943.279999999999</v>
      </c>
      <c r="Q2" s="61">
        <v>1224.77</v>
      </c>
      <c r="R2" s="62">
        <f t="shared" ref="R2:R65" si="3">Q2/P2</f>
        <v>3.6082841728907758E-2</v>
      </c>
      <c r="S2" s="60">
        <v>7</v>
      </c>
      <c r="T2" s="58">
        <v>45588</v>
      </c>
      <c r="U2" s="58">
        <v>45587</v>
      </c>
      <c r="V2" s="63">
        <f t="shared" ref="V2:V65" si="4">U2-T2</f>
        <v>-1</v>
      </c>
      <c r="W2" s="57" t="s">
        <v>115</v>
      </c>
      <c r="X2" s="64" t="b">
        <f t="shared" ref="X2:X65" si="5">IF(W2="Entregado", TRUE(), FALSE())</f>
        <v>1</v>
      </c>
      <c r="Y2" s="60">
        <v>323</v>
      </c>
      <c r="Z2" s="60">
        <v>261</v>
      </c>
      <c r="AA2" s="57" t="s">
        <v>116</v>
      </c>
      <c r="AB2" s="64" t="b">
        <f t="shared" ref="AB2:AB65" si="6">IF(AA2="Ninguna",FALSE(),TRUE())</f>
        <v>0</v>
      </c>
    </row>
    <row r="3" spans="1:28" ht="15" customHeight="1" x14ac:dyDescent="0.3">
      <c r="A3" s="65" t="s">
        <v>117</v>
      </c>
      <c r="B3" s="81">
        <v>45041</v>
      </c>
      <c r="C3" s="59">
        <f t="shared" si="0"/>
        <v>2023</v>
      </c>
      <c r="D3" s="59">
        <f t="shared" si="1"/>
        <v>4</v>
      </c>
      <c r="E3" s="59">
        <f t="shared" si="2"/>
        <v>17</v>
      </c>
      <c r="F3" s="65" t="s">
        <v>54</v>
      </c>
      <c r="G3" s="65" t="s">
        <v>39</v>
      </c>
      <c r="H3" s="65" t="s">
        <v>118</v>
      </c>
      <c r="I3" s="65" t="s">
        <v>68</v>
      </c>
      <c r="J3" s="65" t="s">
        <v>112</v>
      </c>
      <c r="K3" s="65" t="s">
        <v>74</v>
      </c>
      <c r="L3" s="65" t="s">
        <v>119</v>
      </c>
      <c r="M3" s="67">
        <v>692</v>
      </c>
      <c r="N3" s="65" t="s">
        <v>120</v>
      </c>
      <c r="O3" s="68">
        <v>1860.55</v>
      </c>
      <c r="P3" s="68">
        <v>1287500.6000000001</v>
      </c>
      <c r="Q3" s="68">
        <v>88435.79</v>
      </c>
      <c r="R3" s="62">
        <f t="shared" si="3"/>
        <v>6.8687960223086486E-2</v>
      </c>
      <c r="S3" s="67">
        <v>20</v>
      </c>
      <c r="T3" s="66">
        <v>45061</v>
      </c>
      <c r="U3" s="66">
        <v>45061</v>
      </c>
      <c r="V3" s="63">
        <f t="shared" si="4"/>
        <v>0</v>
      </c>
      <c r="W3" s="65" t="s">
        <v>115</v>
      </c>
      <c r="X3" s="64" t="b">
        <f t="shared" si="5"/>
        <v>1</v>
      </c>
      <c r="Y3" s="67">
        <v>301</v>
      </c>
      <c r="Z3" s="67">
        <v>486</v>
      </c>
      <c r="AA3" s="65" t="s">
        <v>81</v>
      </c>
      <c r="AB3" s="64" t="b">
        <f t="shared" si="6"/>
        <v>1</v>
      </c>
    </row>
    <row r="4" spans="1:28" ht="15" customHeight="1" x14ac:dyDescent="0.3">
      <c r="A4" s="57" t="s">
        <v>121</v>
      </c>
      <c r="B4" s="82">
        <v>44952</v>
      </c>
      <c r="C4" s="59">
        <f t="shared" si="0"/>
        <v>2023</v>
      </c>
      <c r="D4" s="59">
        <f t="shared" si="1"/>
        <v>1</v>
      </c>
      <c r="E4" s="59">
        <f t="shared" si="2"/>
        <v>4</v>
      </c>
      <c r="F4" s="57" t="s">
        <v>54</v>
      </c>
      <c r="G4" s="57" t="s">
        <v>43</v>
      </c>
      <c r="H4" s="57" t="s">
        <v>122</v>
      </c>
      <c r="I4" s="57" t="s">
        <v>68</v>
      </c>
      <c r="J4" s="57" t="s">
        <v>123</v>
      </c>
      <c r="K4" s="57" t="s">
        <v>71</v>
      </c>
      <c r="L4" s="57" t="s">
        <v>124</v>
      </c>
      <c r="M4" s="60">
        <v>459</v>
      </c>
      <c r="N4" s="57" t="s">
        <v>120</v>
      </c>
      <c r="O4" s="61">
        <v>203.36</v>
      </c>
      <c r="P4" s="61">
        <v>93342.24</v>
      </c>
      <c r="Q4" s="61">
        <v>2176.89</v>
      </c>
      <c r="R4" s="62">
        <f t="shared" si="3"/>
        <v>2.3321595881992972E-2</v>
      </c>
      <c r="S4" s="60">
        <v>29</v>
      </c>
      <c r="T4" s="58">
        <v>44981</v>
      </c>
      <c r="U4" s="58">
        <v>44983</v>
      </c>
      <c r="V4" s="63">
        <f t="shared" si="4"/>
        <v>2</v>
      </c>
      <c r="W4" s="57" t="s">
        <v>125</v>
      </c>
      <c r="X4" s="64" t="b">
        <f t="shared" si="5"/>
        <v>0</v>
      </c>
      <c r="Y4" s="60">
        <v>368</v>
      </c>
      <c r="Z4" s="60">
        <v>453</v>
      </c>
      <c r="AA4" s="57" t="s">
        <v>83</v>
      </c>
      <c r="AB4" s="64" t="b">
        <f t="shared" si="6"/>
        <v>1</v>
      </c>
    </row>
    <row r="5" spans="1:28" ht="15" customHeight="1" x14ac:dyDescent="0.3">
      <c r="A5" s="65" t="s">
        <v>126</v>
      </c>
      <c r="B5" s="81">
        <v>45208</v>
      </c>
      <c r="C5" s="59">
        <f t="shared" si="0"/>
        <v>2023</v>
      </c>
      <c r="D5" s="59">
        <f t="shared" si="1"/>
        <v>10</v>
      </c>
      <c r="E5" s="59">
        <f t="shared" si="2"/>
        <v>41</v>
      </c>
      <c r="F5" s="65" t="s">
        <v>55</v>
      </c>
      <c r="G5" s="65" t="s">
        <v>40</v>
      </c>
      <c r="H5" s="65" t="s">
        <v>127</v>
      </c>
      <c r="I5" s="65" t="s">
        <v>68</v>
      </c>
      <c r="J5" s="65" t="s">
        <v>123</v>
      </c>
      <c r="K5" s="65" t="s">
        <v>72</v>
      </c>
      <c r="L5" s="65" t="s">
        <v>124</v>
      </c>
      <c r="M5" s="67">
        <v>83</v>
      </c>
      <c r="N5" s="65" t="s">
        <v>120</v>
      </c>
      <c r="O5" s="68">
        <v>645.13</v>
      </c>
      <c r="P5" s="68">
        <v>53545.79</v>
      </c>
      <c r="Q5" s="68">
        <v>2799.76</v>
      </c>
      <c r="R5" s="62">
        <f t="shared" si="3"/>
        <v>5.2287210628510668E-2</v>
      </c>
      <c r="S5" s="67">
        <v>15</v>
      </c>
      <c r="T5" s="66">
        <v>45223</v>
      </c>
      <c r="U5" s="66">
        <v>45226</v>
      </c>
      <c r="V5" s="63">
        <f t="shared" si="4"/>
        <v>3</v>
      </c>
      <c r="W5" s="65" t="s">
        <v>128</v>
      </c>
      <c r="X5" s="64" t="b">
        <f t="shared" si="5"/>
        <v>0</v>
      </c>
      <c r="Y5" s="67">
        <v>27</v>
      </c>
      <c r="Z5" s="67">
        <v>442</v>
      </c>
      <c r="AA5" s="65" t="s">
        <v>82</v>
      </c>
      <c r="AB5" s="64" t="b">
        <f t="shared" si="6"/>
        <v>1</v>
      </c>
    </row>
    <row r="6" spans="1:28" ht="15" customHeight="1" x14ac:dyDescent="0.3">
      <c r="A6" s="57" t="s">
        <v>129</v>
      </c>
      <c r="B6" s="82">
        <v>45177</v>
      </c>
      <c r="C6" s="59">
        <f t="shared" si="0"/>
        <v>2023</v>
      </c>
      <c r="D6" s="59">
        <f t="shared" si="1"/>
        <v>9</v>
      </c>
      <c r="E6" s="59">
        <f t="shared" si="2"/>
        <v>36</v>
      </c>
      <c r="F6" s="57" t="s">
        <v>58</v>
      </c>
      <c r="G6" s="57" t="s">
        <v>44</v>
      </c>
      <c r="H6" s="57" t="s">
        <v>130</v>
      </c>
      <c r="I6" s="57" t="s">
        <v>68</v>
      </c>
      <c r="J6" s="57" t="s">
        <v>131</v>
      </c>
      <c r="K6" s="57" t="s">
        <v>73</v>
      </c>
      <c r="L6" s="57" t="s">
        <v>124</v>
      </c>
      <c r="M6" s="60">
        <v>582</v>
      </c>
      <c r="N6" s="57" t="s">
        <v>132</v>
      </c>
      <c r="O6" s="61">
        <v>99.24</v>
      </c>
      <c r="P6" s="61">
        <v>57757.68</v>
      </c>
      <c r="Q6" s="61">
        <v>1399.64</v>
      </c>
      <c r="R6" s="62">
        <f t="shared" si="3"/>
        <v>2.4232967806186122E-2</v>
      </c>
      <c r="S6" s="60">
        <v>11</v>
      </c>
      <c r="T6" s="58">
        <v>45188</v>
      </c>
      <c r="U6" s="58">
        <v>45191</v>
      </c>
      <c r="V6" s="63">
        <f t="shared" si="4"/>
        <v>3</v>
      </c>
      <c r="W6" s="57" t="s">
        <v>128</v>
      </c>
      <c r="X6" s="64" t="b">
        <f t="shared" si="5"/>
        <v>0</v>
      </c>
      <c r="Y6" s="60">
        <v>484</v>
      </c>
      <c r="Z6" s="60">
        <v>261</v>
      </c>
      <c r="AA6" s="57" t="s">
        <v>83</v>
      </c>
      <c r="AB6" s="64" t="b">
        <f t="shared" si="6"/>
        <v>1</v>
      </c>
    </row>
    <row r="7" spans="1:28" ht="15" customHeight="1" x14ac:dyDescent="0.3">
      <c r="A7" s="65" t="s">
        <v>133</v>
      </c>
      <c r="B7" s="81">
        <v>45155</v>
      </c>
      <c r="C7" s="59">
        <f t="shared" si="0"/>
        <v>2023</v>
      </c>
      <c r="D7" s="59">
        <f t="shared" si="1"/>
        <v>8</v>
      </c>
      <c r="E7" s="59">
        <f t="shared" si="2"/>
        <v>33</v>
      </c>
      <c r="F7" s="65" t="s">
        <v>60</v>
      </c>
      <c r="G7" s="65" t="s">
        <v>46</v>
      </c>
      <c r="H7" s="65" t="s">
        <v>134</v>
      </c>
      <c r="I7" s="65" t="s">
        <v>69</v>
      </c>
      <c r="J7" s="65" t="s">
        <v>131</v>
      </c>
      <c r="K7" s="65" t="s">
        <v>74</v>
      </c>
      <c r="L7" s="65" t="s">
        <v>135</v>
      </c>
      <c r="M7" s="67">
        <v>948</v>
      </c>
      <c r="N7" s="65" t="s">
        <v>136</v>
      </c>
      <c r="O7" s="68">
        <v>87.57</v>
      </c>
      <c r="P7" s="68">
        <v>83016.36</v>
      </c>
      <c r="Q7" s="68">
        <v>6312.73</v>
      </c>
      <c r="R7" s="62">
        <f t="shared" si="3"/>
        <v>7.6041999432401031E-2</v>
      </c>
      <c r="S7" s="67">
        <v>8</v>
      </c>
      <c r="T7" s="66">
        <v>45163</v>
      </c>
      <c r="U7" s="66">
        <v>45163</v>
      </c>
      <c r="V7" s="63">
        <f t="shared" si="4"/>
        <v>0</v>
      </c>
      <c r="W7" s="65" t="s">
        <v>115</v>
      </c>
      <c r="X7" s="64" t="b">
        <f t="shared" si="5"/>
        <v>1</v>
      </c>
      <c r="Y7" s="67">
        <v>76</v>
      </c>
      <c r="Z7" s="67">
        <v>30</v>
      </c>
      <c r="AA7" s="65" t="s">
        <v>82</v>
      </c>
      <c r="AB7" s="64" t="b">
        <f t="shared" si="6"/>
        <v>1</v>
      </c>
    </row>
    <row r="8" spans="1:28" ht="15" customHeight="1" x14ac:dyDescent="0.3">
      <c r="A8" s="57" t="s">
        <v>137</v>
      </c>
      <c r="B8" s="82">
        <v>45069</v>
      </c>
      <c r="C8" s="59">
        <f t="shared" si="0"/>
        <v>2023</v>
      </c>
      <c r="D8" s="59">
        <f t="shared" si="1"/>
        <v>5</v>
      </c>
      <c r="E8" s="59">
        <f t="shared" si="2"/>
        <v>21</v>
      </c>
      <c r="F8" s="57" t="s">
        <v>55</v>
      </c>
      <c r="G8" s="57" t="s">
        <v>41</v>
      </c>
      <c r="H8" s="57" t="s">
        <v>138</v>
      </c>
      <c r="I8" s="57" t="s">
        <v>65</v>
      </c>
      <c r="J8" s="57" t="s">
        <v>139</v>
      </c>
      <c r="K8" s="57" t="s">
        <v>74</v>
      </c>
      <c r="L8" s="57" t="s">
        <v>119</v>
      </c>
      <c r="M8" s="60">
        <v>674</v>
      </c>
      <c r="N8" s="57" t="s">
        <v>140</v>
      </c>
      <c r="O8" s="61">
        <v>701.84</v>
      </c>
      <c r="P8" s="61">
        <v>473040.16</v>
      </c>
      <c r="Q8" s="61">
        <v>31211.7</v>
      </c>
      <c r="R8" s="62">
        <f t="shared" si="3"/>
        <v>6.5981078646684038E-2</v>
      </c>
      <c r="S8" s="60">
        <v>29</v>
      </c>
      <c r="T8" s="58">
        <v>45098</v>
      </c>
      <c r="U8" s="58">
        <v>45098</v>
      </c>
      <c r="V8" s="63">
        <f t="shared" si="4"/>
        <v>0</v>
      </c>
      <c r="W8" s="57" t="s">
        <v>115</v>
      </c>
      <c r="X8" s="64" t="b">
        <f t="shared" si="5"/>
        <v>1</v>
      </c>
      <c r="Y8" s="60">
        <v>120</v>
      </c>
      <c r="Z8" s="60">
        <v>104</v>
      </c>
      <c r="AA8" s="57" t="s">
        <v>83</v>
      </c>
      <c r="AB8" s="64" t="b">
        <f t="shared" si="6"/>
        <v>1</v>
      </c>
    </row>
    <row r="9" spans="1:28" ht="15" customHeight="1" x14ac:dyDescent="0.3">
      <c r="A9" s="65" t="s">
        <v>141</v>
      </c>
      <c r="B9" s="81">
        <v>45031</v>
      </c>
      <c r="C9" s="59">
        <f t="shared" si="0"/>
        <v>2023</v>
      </c>
      <c r="D9" s="59">
        <f t="shared" si="1"/>
        <v>4</v>
      </c>
      <c r="E9" s="59">
        <f t="shared" si="2"/>
        <v>15</v>
      </c>
      <c r="F9" s="65" t="s">
        <v>53</v>
      </c>
      <c r="G9" s="65" t="s">
        <v>39</v>
      </c>
      <c r="H9" s="65" t="s">
        <v>142</v>
      </c>
      <c r="I9" s="65" t="s">
        <v>64</v>
      </c>
      <c r="J9" s="65" t="s">
        <v>143</v>
      </c>
      <c r="K9" s="65" t="s">
        <v>71</v>
      </c>
      <c r="L9" s="65" t="s">
        <v>124</v>
      </c>
      <c r="M9" s="67">
        <v>285</v>
      </c>
      <c r="N9" s="65" t="s">
        <v>132</v>
      </c>
      <c r="O9" s="68">
        <v>2138.4499999999998</v>
      </c>
      <c r="P9" s="68">
        <v>609458.25</v>
      </c>
      <c r="Q9" s="68">
        <v>36248.75</v>
      </c>
      <c r="R9" s="62">
        <f t="shared" si="3"/>
        <v>5.9477002731524266E-2</v>
      </c>
      <c r="S9" s="67">
        <v>21</v>
      </c>
      <c r="T9" s="66">
        <v>45052</v>
      </c>
      <c r="U9" s="66">
        <v>45049</v>
      </c>
      <c r="V9" s="63">
        <f t="shared" si="4"/>
        <v>-3</v>
      </c>
      <c r="W9" s="65" t="s">
        <v>115</v>
      </c>
      <c r="X9" s="64" t="b">
        <f t="shared" si="5"/>
        <v>1</v>
      </c>
      <c r="Y9" s="67">
        <v>2</v>
      </c>
      <c r="Z9" s="67">
        <v>487</v>
      </c>
      <c r="AA9" s="65" t="s">
        <v>81</v>
      </c>
      <c r="AB9" s="64" t="b">
        <f t="shared" si="6"/>
        <v>1</v>
      </c>
    </row>
    <row r="10" spans="1:28" ht="15" customHeight="1" x14ac:dyDescent="0.3">
      <c r="A10" s="57" t="s">
        <v>144</v>
      </c>
      <c r="B10" s="82">
        <v>45619</v>
      </c>
      <c r="C10" s="59">
        <f t="shared" si="0"/>
        <v>2024</v>
      </c>
      <c r="D10" s="59">
        <f t="shared" si="1"/>
        <v>11</v>
      </c>
      <c r="E10" s="59">
        <f t="shared" si="2"/>
        <v>47</v>
      </c>
      <c r="F10" s="57" t="s">
        <v>59</v>
      </c>
      <c r="G10" s="57" t="s">
        <v>45</v>
      </c>
      <c r="H10" s="57" t="s">
        <v>145</v>
      </c>
      <c r="I10" s="57" t="s">
        <v>66</v>
      </c>
      <c r="J10" s="57" t="s">
        <v>139</v>
      </c>
      <c r="K10" s="57" t="s">
        <v>75</v>
      </c>
      <c r="L10" s="57" t="s">
        <v>146</v>
      </c>
      <c r="M10" s="60">
        <v>57</v>
      </c>
      <c r="N10" s="57" t="s">
        <v>132</v>
      </c>
      <c r="O10" s="61">
        <v>298.64999999999998</v>
      </c>
      <c r="P10" s="61">
        <v>17023.05</v>
      </c>
      <c r="Q10" s="61">
        <v>1181.97</v>
      </c>
      <c r="R10" s="62">
        <f t="shared" si="3"/>
        <v>6.943350339686484E-2</v>
      </c>
      <c r="S10" s="60">
        <v>7</v>
      </c>
      <c r="T10" s="58">
        <v>45626</v>
      </c>
      <c r="U10" s="58">
        <v>45634</v>
      </c>
      <c r="V10" s="63">
        <f t="shared" si="4"/>
        <v>8</v>
      </c>
      <c r="W10" s="57" t="s">
        <v>125</v>
      </c>
      <c r="X10" s="64" t="b">
        <f t="shared" si="5"/>
        <v>0</v>
      </c>
      <c r="Y10" s="60">
        <v>36</v>
      </c>
      <c r="Z10" s="60">
        <v>349</v>
      </c>
      <c r="AA10" s="57" t="s">
        <v>84</v>
      </c>
      <c r="AB10" s="64" t="b">
        <f t="shared" si="6"/>
        <v>1</v>
      </c>
    </row>
    <row r="11" spans="1:28" ht="15" customHeight="1" x14ac:dyDescent="0.3">
      <c r="A11" s="65" t="s">
        <v>147</v>
      </c>
      <c r="B11" s="81">
        <v>45485</v>
      </c>
      <c r="C11" s="59">
        <f t="shared" si="0"/>
        <v>2024</v>
      </c>
      <c r="D11" s="59">
        <f t="shared" si="1"/>
        <v>7</v>
      </c>
      <c r="E11" s="59">
        <f t="shared" si="2"/>
        <v>28</v>
      </c>
      <c r="F11" s="65" t="s">
        <v>57</v>
      </c>
      <c r="G11" s="65" t="s">
        <v>45</v>
      </c>
      <c r="H11" s="65" t="s">
        <v>148</v>
      </c>
      <c r="I11" s="65" t="s">
        <v>68</v>
      </c>
      <c r="J11" s="65" t="s">
        <v>139</v>
      </c>
      <c r="K11" s="65" t="s">
        <v>75</v>
      </c>
      <c r="L11" s="65" t="s">
        <v>146</v>
      </c>
      <c r="M11" s="67">
        <v>220</v>
      </c>
      <c r="N11" s="65" t="s">
        <v>132</v>
      </c>
      <c r="O11" s="68">
        <v>173.33</v>
      </c>
      <c r="P11" s="68">
        <v>38132.6</v>
      </c>
      <c r="Q11" s="68">
        <v>2244.15</v>
      </c>
      <c r="R11" s="62">
        <f t="shared" si="3"/>
        <v>5.8851219166802166E-2</v>
      </c>
      <c r="S11" s="67">
        <v>26</v>
      </c>
      <c r="T11" s="66">
        <v>45511</v>
      </c>
      <c r="U11" s="66">
        <v>45514</v>
      </c>
      <c r="V11" s="63">
        <f t="shared" si="4"/>
        <v>3</v>
      </c>
      <c r="W11" s="65" t="s">
        <v>128</v>
      </c>
      <c r="X11" s="64" t="b">
        <f t="shared" si="5"/>
        <v>0</v>
      </c>
      <c r="Y11" s="67">
        <v>431</v>
      </c>
      <c r="Z11" s="67">
        <v>311</v>
      </c>
      <c r="AA11" s="65" t="s">
        <v>82</v>
      </c>
      <c r="AB11" s="64" t="b">
        <f t="shared" si="6"/>
        <v>1</v>
      </c>
    </row>
    <row r="12" spans="1:28" ht="15" customHeight="1" x14ac:dyDescent="0.3">
      <c r="A12" s="57" t="s">
        <v>149</v>
      </c>
      <c r="B12" s="82">
        <v>45016</v>
      </c>
      <c r="C12" s="59">
        <f t="shared" si="0"/>
        <v>2023</v>
      </c>
      <c r="D12" s="59">
        <f t="shared" si="1"/>
        <v>3</v>
      </c>
      <c r="E12" s="59">
        <f t="shared" si="2"/>
        <v>13</v>
      </c>
      <c r="F12" s="57" t="s">
        <v>56</v>
      </c>
      <c r="G12" s="57" t="s">
        <v>44</v>
      </c>
      <c r="H12" s="57" t="s">
        <v>150</v>
      </c>
      <c r="I12" s="57" t="s">
        <v>69</v>
      </c>
      <c r="J12" s="57" t="s">
        <v>151</v>
      </c>
      <c r="K12" s="57" t="s">
        <v>72</v>
      </c>
      <c r="L12" s="57" t="s">
        <v>119</v>
      </c>
      <c r="M12" s="60">
        <v>864</v>
      </c>
      <c r="N12" s="57" t="s">
        <v>114</v>
      </c>
      <c r="O12" s="61">
        <v>118.12</v>
      </c>
      <c r="P12" s="61">
        <v>102055.67999999999</v>
      </c>
      <c r="Q12" s="61">
        <v>7974.29</v>
      </c>
      <c r="R12" s="62">
        <f t="shared" si="3"/>
        <v>7.8136660301513838E-2</v>
      </c>
      <c r="S12" s="60">
        <v>19</v>
      </c>
      <c r="T12" s="58">
        <v>45035</v>
      </c>
      <c r="U12" s="58">
        <v>45037</v>
      </c>
      <c r="V12" s="63">
        <f t="shared" si="4"/>
        <v>2</v>
      </c>
      <c r="W12" s="57" t="s">
        <v>125</v>
      </c>
      <c r="X12" s="64" t="b">
        <f t="shared" si="5"/>
        <v>0</v>
      </c>
      <c r="Y12" s="60">
        <v>146</v>
      </c>
      <c r="Z12" s="60">
        <v>437</v>
      </c>
      <c r="AA12" s="57" t="s">
        <v>84</v>
      </c>
      <c r="AB12" s="64" t="b">
        <f t="shared" si="6"/>
        <v>1</v>
      </c>
    </row>
    <row r="13" spans="1:28" ht="15" customHeight="1" x14ac:dyDescent="0.3">
      <c r="A13" s="65" t="s">
        <v>152</v>
      </c>
      <c r="B13" s="81">
        <v>45531</v>
      </c>
      <c r="C13" s="59">
        <f t="shared" si="0"/>
        <v>2024</v>
      </c>
      <c r="D13" s="59">
        <f t="shared" si="1"/>
        <v>8</v>
      </c>
      <c r="E13" s="59">
        <f t="shared" si="2"/>
        <v>35</v>
      </c>
      <c r="F13" s="65" t="s">
        <v>52</v>
      </c>
      <c r="G13" s="65" t="s">
        <v>46</v>
      </c>
      <c r="H13" s="65" t="s">
        <v>153</v>
      </c>
      <c r="I13" s="65" t="s">
        <v>64</v>
      </c>
      <c r="J13" s="65" t="s">
        <v>112</v>
      </c>
      <c r="K13" s="65" t="s">
        <v>73</v>
      </c>
      <c r="L13" s="65" t="s">
        <v>124</v>
      </c>
      <c r="M13" s="67">
        <v>929</v>
      </c>
      <c r="N13" s="65" t="s">
        <v>140</v>
      </c>
      <c r="O13" s="68">
        <v>74.12</v>
      </c>
      <c r="P13" s="68">
        <v>68857.48</v>
      </c>
      <c r="Q13" s="68">
        <v>4326.83</v>
      </c>
      <c r="R13" s="62">
        <f t="shared" si="3"/>
        <v>6.2837472414035492E-2</v>
      </c>
      <c r="S13" s="67">
        <v>23</v>
      </c>
      <c r="T13" s="66">
        <v>45554</v>
      </c>
      <c r="U13" s="66">
        <v>45553</v>
      </c>
      <c r="V13" s="63">
        <f t="shared" si="4"/>
        <v>-1</v>
      </c>
      <c r="W13" s="65" t="s">
        <v>115</v>
      </c>
      <c r="X13" s="64" t="b">
        <f t="shared" si="5"/>
        <v>1</v>
      </c>
      <c r="Y13" s="67">
        <v>91</v>
      </c>
      <c r="Z13" s="67">
        <v>468</v>
      </c>
      <c r="AA13" s="65" t="s">
        <v>116</v>
      </c>
      <c r="AB13" s="64" t="b">
        <f t="shared" si="6"/>
        <v>0</v>
      </c>
    </row>
    <row r="14" spans="1:28" ht="15" customHeight="1" x14ac:dyDescent="0.3">
      <c r="A14" s="57" t="s">
        <v>154</v>
      </c>
      <c r="B14" s="82">
        <v>45359</v>
      </c>
      <c r="C14" s="59">
        <f t="shared" si="0"/>
        <v>2024</v>
      </c>
      <c r="D14" s="59">
        <f t="shared" si="1"/>
        <v>3</v>
      </c>
      <c r="E14" s="59">
        <f t="shared" si="2"/>
        <v>10</v>
      </c>
      <c r="F14" s="57" t="s">
        <v>60</v>
      </c>
      <c r="G14" s="57" t="s">
        <v>39</v>
      </c>
      <c r="H14" s="57" t="s">
        <v>155</v>
      </c>
      <c r="I14" s="57" t="s">
        <v>64</v>
      </c>
      <c r="J14" s="57" t="s">
        <v>151</v>
      </c>
      <c r="K14" s="57" t="s">
        <v>73</v>
      </c>
      <c r="L14" s="57" t="s">
        <v>156</v>
      </c>
      <c r="M14" s="60">
        <v>660</v>
      </c>
      <c r="N14" s="57" t="s">
        <v>120</v>
      </c>
      <c r="O14" s="61">
        <v>1630.56</v>
      </c>
      <c r="P14" s="61">
        <v>1076169.6000000001</v>
      </c>
      <c r="Q14" s="61">
        <v>81228.759999999995</v>
      </c>
      <c r="R14" s="62">
        <f t="shared" si="3"/>
        <v>7.547951549644219E-2</v>
      </c>
      <c r="S14" s="60">
        <v>11</v>
      </c>
      <c r="T14" s="58">
        <v>45370</v>
      </c>
      <c r="U14" s="58">
        <v>45378</v>
      </c>
      <c r="V14" s="63">
        <f t="shared" si="4"/>
        <v>8</v>
      </c>
      <c r="W14" s="57" t="s">
        <v>125</v>
      </c>
      <c r="X14" s="64" t="b">
        <f t="shared" si="5"/>
        <v>0</v>
      </c>
      <c r="Y14" s="60">
        <v>338</v>
      </c>
      <c r="Z14" s="60">
        <v>168</v>
      </c>
      <c r="AA14" s="57" t="s">
        <v>82</v>
      </c>
      <c r="AB14" s="64" t="b">
        <f t="shared" si="6"/>
        <v>1</v>
      </c>
    </row>
    <row r="15" spans="1:28" ht="15" customHeight="1" x14ac:dyDescent="0.3">
      <c r="A15" s="65" t="s">
        <v>157</v>
      </c>
      <c r="B15" s="81">
        <v>44959</v>
      </c>
      <c r="C15" s="59">
        <f t="shared" si="0"/>
        <v>2023</v>
      </c>
      <c r="D15" s="59">
        <f t="shared" si="1"/>
        <v>2</v>
      </c>
      <c r="E15" s="59">
        <f t="shared" si="2"/>
        <v>5</v>
      </c>
      <c r="F15" s="65" t="s">
        <v>53</v>
      </c>
      <c r="G15" s="65" t="s">
        <v>39</v>
      </c>
      <c r="H15" s="65" t="s">
        <v>158</v>
      </c>
      <c r="I15" s="65" t="s">
        <v>64</v>
      </c>
      <c r="J15" s="65" t="s">
        <v>143</v>
      </c>
      <c r="K15" s="65" t="s">
        <v>71</v>
      </c>
      <c r="L15" s="65" t="s">
        <v>156</v>
      </c>
      <c r="M15" s="67">
        <v>631</v>
      </c>
      <c r="N15" s="65" t="s">
        <v>114</v>
      </c>
      <c r="O15" s="68">
        <v>1552.07</v>
      </c>
      <c r="P15" s="68">
        <v>979356.17</v>
      </c>
      <c r="Q15" s="68">
        <v>49974.5</v>
      </c>
      <c r="R15" s="62">
        <f t="shared" si="3"/>
        <v>5.1027911530898917E-2</v>
      </c>
      <c r="S15" s="67">
        <v>11</v>
      </c>
      <c r="T15" s="66">
        <v>44970</v>
      </c>
      <c r="U15" s="66">
        <v>44982</v>
      </c>
      <c r="V15" s="63">
        <f t="shared" si="4"/>
        <v>12</v>
      </c>
      <c r="W15" s="65" t="s">
        <v>128</v>
      </c>
      <c r="X15" s="64" t="b">
        <f t="shared" si="5"/>
        <v>0</v>
      </c>
      <c r="Y15" s="67">
        <v>272</v>
      </c>
      <c r="Z15" s="67">
        <v>235</v>
      </c>
      <c r="AA15" s="65" t="s">
        <v>84</v>
      </c>
      <c r="AB15" s="64" t="b">
        <f t="shared" si="6"/>
        <v>1</v>
      </c>
    </row>
    <row r="16" spans="1:28" ht="15" customHeight="1" x14ac:dyDescent="0.3">
      <c r="A16" s="57" t="s">
        <v>159</v>
      </c>
      <c r="B16" s="82">
        <v>44957</v>
      </c>
      <c r="C16" s="59">
        <f t="shared" si="0"/>
        <v>2023</v>
      </c>
      <c r="D16" s="59">
        <f t="shared" si="1"/>
        <v>1</v>
      </c>
      <c r="E16" s="59">
        <f t="shared" si="2"/>
        <v>5</v>
      </c>
      <c r="F16" s="57" t="s">
        <v>52</v>
      </c>
      <c r="G16" s="57" t="s">
        <v>41</v>
      </c>
      <c r="H16" s="57" t="s">
        <v>160</v>
      </c>
      <c r="I16" s="57" t="s">
        <v>69</v>
      </c>
      <c r="J16" s="57" t="s">
        <v>123</v>
      </c>
      <c r="K16" s="57" t="s">
        <v>71</v>
      </c>
      <c r="L16" s="57" t="s">
        <v>113</v>
      </c>
      <c r="M16" s="60">
        <v>704</v>
      </c>
      <c r="N16" s="57" t="s">
        <v>136</v>
      </c>
      <c r="O16" s="61">
        <v>493.12</v>
      </c>
      <c r="P16" s="61">
        <v>347156.47999999998</v>
      </c>
      <c r="Q16" s="61">
        <v>9381.51</v>
      </c>
      <c r="R16" s="62">
        <f t="shared" si="3"/>
        <v>2.7023865433823964E-2</v>
      </c>
      <c r="S16" s="60">
        <v>24</v>
      </c>
      <c r="T16" s="58">
        <v>44981</v>
      </c>
      <c r="U16" s="58">
        <v>44984</v>
      </c>
      <c r="V16" s="63">
        <f t="shared" si="4"/>
        <v>3</v>
      </c>
      <c r="W16" s="57" t="s">
        <v>128</v>
      </c>
      <c r="X16" s="64" t="b">
        <f t="shared" si="5"/>
        <v>0</v>
      </c>
      <c r="Y16" s="60">
        <v>465</v>
      </c>
      <c r="Z16" s="60">
        <v>273</v>
      </c>
      <c r="AA16" s="57" t="s">
        <v>82</v>
      </c>
      <c r="AB16" s="64" t="b">
        <f t="shared" si="6"/>
        <v>1</v>
      </c>
    </row>
    <row r="17" spans="1:28" ht="15" customHeight="1" x14ac:dyDescent="0.3">
      <c r="A17" s="65" t="s">
        <v>161</v>
      </c>
      <c r="B17" s="81">
        <v>45022</v>
      </c>
      <c r="C17" s="59">
        <f t="shared" si="0"/>
        <v>2023</v>
      </c>
      <c r="D17" s="59">
        <f t="shared" si="1"/>
        <v>4</v>
      </c>
      <c r="E17" s="59">
        <f t="shared" si="2"/>
        <v>14</v>
      </c>
      <c r="F17" s="65" t="s">
        <v>54</v>
      </c>
      <c r="G17" s="65" t="s">
        <v>41</v>
      </c>
      <c r="H17" s="65" t="s">
        <v>162</v>
      </c>
      <c r="I17" s="65" t="s">
        <v>66</v>
      </c>
      <c r="J17" s="65" t="s">
        <v>131</v>
      </c>
      <c r="K17" s="65" t="s">
        <v>75</v>
      </c>
      <c r="L17" s="65" t="s">
        <v>113</v>
      </c>
      <c r="M17" s="67">
        <v>549</v>
      </c>
      <c r="N17" s="65" t="s">
        <v>163</v>
      </c>
      <c r="O17" s="68">
        <v>587.51</v>
      </c>
      <c r="P17" s="68">
        <v>322542.99</v>
      </c>
      <c r="Q17" s="68">
        <v>16672.46</v>
      </c>
      <c r="R17" s="62">
        <f t="shared" si="3"/>
        <v>5.1690659902421068E-2</v>
      </c>
      <c r="S17" s="67">
        <v>21</v>
      </c>
      <c r="T17" s="66">
        <v>45043</v>
      </c>
      <c r="U17" s="66">
        <v>45042</v>
      </c>
      <c r="V17" s="63">
        <f t="shared" si="4"/>
        <v>-1</v>
      </c>
      <c r="W17" s="65" t="s">
        <v>115</v>
      </c>
      <c r="X17" s="64" t="b">
        <f t="shared" si="5"/>
        <v>1</v>
      </c>
      <c r="Y17" s="67">
        <v>465</v>
      </c>
      <c r="Z17" s="67">
        <v>342</v>
      </c>
      <c r="AA17" s="65" t="s">
        <v>84</v>
      </c>
      <c r="AB17" s="64" t="b">
        <f t="shared" si="6"/>
        <v>1</v>
      </c>
    </row>
    <row r="18" spans="1:28" ht="15" customHeight="1" x14ac:dyDescent="0.3">
      <c r="A18" s="57" t="s">
        <v>164</v>
      </c>
      <c r="B18" s="82">
        <v>45150</v>
      </c>
      <c r="C18" s="59">
        <f t="shared" si="0"/>
        <v>2023</v>
      </c>
      <c r="D18" s="59">
        <f t="shared" si="1"/>
        <v>8</v>
      </c>
      <c r="E18" s="59">
        <f t="shared" si="2"/>
        <v>32</v>
      </c>
      <c r="F18" s="57" t="s">
        <v>55</v>
      </c>
      <c r="G18" s="57" t="s">
        <v>39</v>
      </c>
      <c r="H18" s="57" t="s">
        <v>165</v>
      </c>
      <c r="I18" s="57" t="s">
        <v>68</v>
      </c>
      <c r="J18" s="57" t="s">
        <v>143</v>
      </c>
      <c r="K18" s="57" t="s">
        <v>73</v>
      </c>
      <c r="L18" s="57" t="s">
        <v>124</v>
      </c>
      <c r="M18" s="60">
        <v>718</v>
      </c>
      <c r="N18" s="57" t="s">
        <v>114</v>
      </c>
      <c r="O18" s="61">
        <v>1740.71</v>
      </c>
      <c r="P18" s="61">
        <v>1249829.78</v>
      </c>
      <c r="Q18" s="61">
        <v>34510.76</v>
      </c>
      <c r="R18" s="62">
        <f t="shared" si="3"/>
        <v>2.7612368141844083E-2</v>
      </c>
      <c r="S18" s="60">
        <v>4</v>
      </c>
      <c r="T18" s="58">
        <v>45154</v>
      </c>
      <c r="U18" s="58">
        <v>45157</v>
      </c>
      <c r="V18" s="63">
        <f t="shared" si="4"/>
        <v>3</v>
      </c>
      <c r="W18" s="57" t="s">
        <v>125</v>
      </c>
      <c r="X18" s="64" t="b">
        <f t="shared" si="5"/>
        <v>0</v>
      </c>
      <c r="Y18" s="60">
        <v>376</v>
      </c>
      <c r="Z18" s="60">
        <v>229</v>
      </c>
      <c r="AA18" s="57" t="s">
        <v>83</v>
      </c>
      <c r="AB18" s="64" t="b">
        <f t="shared" si="6"/>
        <v>1</v>
      </c>
    </row>
    <row r="19" spans="1:28" ht="15" customHeight="1" x14ac:dyDescent="0.3">
      <c r="A19" s="65" t="s">
        <v>166</v>
      </c>
      <c r="B19" s="81">
        <v>45165</v>
      </c>
      <c r="C19" s="59">
        <f t="shared" si="0"/>
        <v>2023</v>
      </c>
      <c r="D19" s="59">
        <f t="shared" si="1"/>
        <v>8</v>
      </c>
      <c r="E19" s="59">
        <f t="shared" si="2"/>
        <v>35</v>
      </c>
      <c r="F19" s="65" t="s">
        <v>60</v>
      </c>
      <c r="G19" s="65" t="s">
        <v>42</v>
      </c>
      <c r="H19" s="65" t="s">
        <v>167</v>
      </c>
      <c r="I19" s="65" t="s">
        <v>64</v>
      </c>
      <c r="J19" s="65" t="s">
        <v>123</v>
      </c>
      <c r="K19" s="65" t="s">
        <v>73</v>
      </c>
      <c r="L19" s="65" t="s">
        <v>113</v>
      </c>
      <c r="M19" s="67">
        <v>200</v>
      </c>
      <c r="N19" s="65" t="s">
        <v>163</v>
      </c>
      <c r="O19" s="68">
        <v>66.33</v>
      </c>
      <c r="P19" s="68">
        <v>13266</v>
      </c>
      <c r="Q19" s="68">
        <v>736.92</v>
      </c>
      <c r="R19" s="62">
        <f t="shared" si="3"/>
        <v>5.5549525101763905E-2</v>
      </c>
      <c r="S19" s="67">
        <v>8</v>
      </c>
      <c r="T19" s="66">
        <v>45173</v>
      </c>
      <c r="U19" s="66">
        <v>45170</v>
      </c>
      <c r="V19" s="63">
        <f t="shared" si="4"/>
        <v>-3</v>
      </c>
      <c r="W19" s="65" t="s">
        <v>115</v>
      </c>
      <c r="X19" s="64" t="b">
        <f t="shared" si="5"/>
        <v>1</v>
      </c>
      <c r="Y19" s="67">
        <v>86</v>
      </c>
      <c r="Z19" s="67">
        <v>22</v>
      </c>
      <c r="AA19" s="65" t="s">
        <v>82</v>
      </c>
      <c r="AB19" s="64" t="b">
        <f t="shared" si="6"/>
        <v>1</v>
      </c>
    </row>
    <row r="20" spans="1:28" ht="15" customHeight="1" x14ac:dyDescent="0.3">
      <c r="A20" s="57" t="s">
        <v>168</v>
      </c>
      <c r="B20" s="82">
        <v>45444</v>
      </c>
      <c r="C20" s="59">
        <f t="shared" si="0"/>
        <v>2024</v>
      </c>
      <c r="D20" s="59">
        <f t="shared" si="1"/>
        <v>6</v>
      </c>
      <c r="E20" s="59">
        <f t="shared" si="2"/>
        <v>22</v>
      </c>
      <c r="F20" s="57" t="s">
        <v>61</v>
      </c>
      <c r="G20" s="57" t="s">
        <v>39</v>
      </c>
      <c r="H20" s="57" t="s">
        <v>169</v>
      </c>
      <c r="I20" s="57" t="s">
        <v>69</v>
      </c>
      <c r="J20" s="57" t="s">
        <v>143</v>
      </c>
      <c r="K20" s="57" t="s">
        <v>73</v>
      </c>
      <c r="L20" s="57" t="s">
        <v>135</v>
      </c>
      <c r="M20" s="60">
        <v>324</v>
      </c>
      <c r="N20" s="57" t="s">
        <v>136</v>
      </c>
      <c r="O20" s="61">
        <v>1616.09</v>
      </c>
      <c r="P20" s="61">
        <v>523613.16</v>
      </c>
      <c r="Q20" s="61">
        <v>25630.65</v>
      </c>
      <c r="R20" s="62">
        <f t="shared" si="3"/>
        <v>4.8949590953749143E-2</v>
      </c>
      <c r="S20" s="60">
        <v>24</v>
      </c>
      <c r="T20" s="58">
        <v>45468</v>
      </c>
      <c r="U20" s="58">
        <v>45480</v>
      </c>
      <c r="V20" s="63">
        <f t="shared" si="4"/>
        <v>12</v>
      </c>
      <c r="W20" s="57" t="s">
        <v>125</v>
      </c>
      <c r="X20" s="64" t="b">
        <f t="shared" si="5"/>
        <v>0</v>
      </c>
      <c r="Y20" s="60">
        <v>39</v>
      </c>
      <c r="Z20" s="60">
        <v>475</v>
      </c>
      <c r="AA20" s="57" t="s">
        <v>82</v>
      </c>
      <c r="AB20" s="64" t="b">
        <f t="shared" si="6"/>
        <v>1</v>
      </c>
    </row>
    <row r="21" spans="1:28" ht="15" customHeight="1" x14ac:dyDescent="0.3">
      <c r="A21" s="65" t="s">
        <v>170</v>
      </c>
      <c r="B21" s="81">
        <v>45543</v>
      </c>
      <c r="C21" s="59">
        <f t="shared" si="0"/>
        <v>2024</v>
      </c>
      <c r="D21" s="59">
        <f t="shared" si="1"/>
        <v>9</v>
      </c>
      <c r="E21" s="59">
        <f t="shared" si="2"/>
        <v>37</v>
      </c>
      <c r="F21" s="65" t="s">
        <v>56</v>
      </c>
      <c r="G21" s="65" t="s">
        <v>44</v>
      </c>
      <c r="H21" s="65" t="s">
        <v>171</v>
      </c>
      <c r="I21" s="65" t="s">
        <v>65</v>
      </c>
      <c r="J21" s="65" t="s">
        <v>123</v>
      </c>
      <c r="K21" s="65" t="s">
        <v>72</v>
      </c>
      <c r="L21" s="65" t="s">
        <v>156</v>
      </c>
      <c r="M21" s="67">
        <v>910</v>
      </c>
      <c r="N21" s="65" t="s">
        <v>140</v>
      </c>
      <c r="O21" s="68">
        <v>137.13</v>
      </c>
      <c r="P21" s="68">
        <v>124788.3</v>
      </c>
      <c r="Q21" s="68">
        <v>7157.17</v>
      </c>
      <c r="R21" s="62">
        <f t="shared" si="3"/>
        <v>5.7354495573703625E-2</v>
      </c>
      <c r="S21" s="67">
        <v>3</v>
      </c>
      <c r="T21" s="66">
        <v>45546</v>
      </c>
      <c r="U21" s="66">
        <v>45551</v>
      </c>
      <c r="V21" s="63">
        <f t="shared" si="4"/>
        <v>5</v>
      </c>
      <c r="W21" s="65" t="s">
        <v>128</v>
      </c>
      <c r="X21" s="64" t="b">
        <f t="shared" si="5"/>
        <v>0</v>
      </c>
      <c r="Y21" s="67">
        <v>177</v>
      </c>
      <c r="Z21" s="67">
        <v>163</v>
      </c>
      <c r="AA21" s="65" t="s">
        <v>116</v>
      </c>
      <c r="AB21" s="64" t="b">
        <f t="shared" si="6"/>
        <v>0</v>
      </c>
    </row>
    <row r="22" spans="1:28" ht="15" customHeight="1" x14ac:dyDescent="0.3">
      <c r="A22" s="57" t="s">
        <v>172</v>
      </c>
      <c r="B22" s="82">
        <v>44954</v>
      </c>
      <c r="C22" s="59">
        <f t="shared" si="0"/>
        <v>2023</v>
      </c>
      <c r="D22" s="59">
        <f t="shared" si="1"/>
        <v>1</v>
      </c>
      <c r="E22" s="59">
        <f t="shared" si="2"/>
        <v>4</v>
      </c>
      <c r="F22" s="57" t="s">
        <v>57</v>
      </c>
      <c r="G22" s="57" t="s">
        <v>39</v>
      </c>
      <c r="H22" s="57" t="s">
        <v>173</v>
      </c>
      <c r="I22" s="57" t="s">
        <v>69</v>
      </c>
      <c r="J22" s="57" t="s">
        <v>131</v>
      </c>
      <c r="K22" s="57" t="s">
        <v>72</v>
      </c>
      <c r="L22" s="57" t="s">
        <v>119</v>
      </c>
      <c r="M22" s="60">
        <v>572</v>
      </c>
      <c r="N22" s="57" t="s">
        <v>163</v>
      </c>
      <c r="O22" s="61">
        <v>1734.34</v>
      </c>
      <c r="P22" s="61">
        <v>992042.48</v>
      </c>
      <c r="Q22" s="61">
        <v>20438.87</v>
      </c>
      <c r="R22" s="62">
        <f t="shared" si="3"/>
        <v>2.060281733096752E-2</v>
      </c>
      <c r="S22" s="60">
        <v>22</v>
      </c>
      <c r="T22" s="58">
        <v>44976</v>
      </c>
      <c r="U22" s="58">
        <v>44979</v>
      </c>
      <c r="V22" s="63">
        <f t="shared" si="4"/>
        <v>3</v>
      </c>
      <c r="W22" s="57" t="s">
        <v>128</v>
      </c>
      <c r="X22" s="64" t="b">
        <f t="shared" si="5"/>
        <v>0</v>
      </c>
      <c r="Y22" s="60">
        <v>328</v>
      </c>
      <c r="Z22" s="60">
        <v>280</v>
      </c>
      <c r="AA22" s="57" t="s">
        <v>116</v>
      </c>
      <c r="AB22" s="64" t="b">
        <f t="shared" si="6"/>
        <v>0</v>
      </c>
    </row>
    <row r="23" spans="1:28" ht="15" customHeight="1" x14ac:dyDescent="0.3">
      <c r="A23" s="65" t="s">
        <v>174</v>
      </c>
      <c r="B23" s="81">
        <v>45501</v>
      </c>
      <c r="C23" s="59">
        <f t="shared" si="0"/>
        <v>2024</v>
      </c>
      <c r="D23" s="59">
        <f t="shared" si="1"/>
        <v>7</v>
      </c>
      <c r="E23" s="59">
        <f t="shared" si="2"/>
        <v>31</v>
      </c>
      <c r="F23" s="65" t="s">
        <v>54</v>
      </c>
      <c r="G23" s="65" t="s">
        <v>43</v>
      </c>
      <c r="H23" s="65" t="s">
        <v>175</v>
      </c>
      <c r="I23" s="65" t="s">
        <v>69</v>
      </c>
      <c r="J23" s="65" t="s">
        <v>123</v>
      </c>
      <c r="K23" s="65" t="s">
        <v>71</v>
      </c>
      <c r="L23" s="65" t="s">
        <v>124</v>
      </c>
      <c r="M23" s="67">
        <v>670</v>
      </c>
      <c r="N23" s="65" t="s">
        <v>132</v>
      </c>
      <c r="O23" s="68">
        <v>173.62</v>
      </c>
      <c r="P23" s="68">
        <v>116325.4</v>
      </c>
      <c r="Q23" s="68">
        <v>3686.4</v>
      </c>
      <c r="R23" s="62">
        <f t="shared" si="3"/>
        <v>3.1690413271736009E-2</v>
      </c>
      <c r="S23" s="67">
        <v>21</v>
      </c>
      <c r="T23" s="66">
        <v>45522</v>
      </c>
      <c r="U23" s="66">
        <v>45524</v>
      </c>
      <c r="V23" s="63">
        <f t="shared" si="4"/>
        <v>2</v>
      </c>
      <c r="W23" s="65" t="s">
        <v>125</v>
      </c>
      <c r="X23" s="64" t="b">
        <f t="shared" si="5"/>
        <v>0</v>
      </c>
      <c r="Y23" s="67">
        <v>284</v>
      </c>
      <c r="Z23" s="67">
        <v>6</v>
      </c>
      <c r="AA23" s="65" t="s">
        <v>116</v>
      </c>
      <c r="AB23" s="64" t="b">
        <f t="shared" si="6"/>
        <v>0</v>
      </c>
    </row>
    <row r="24" spans="1:28" ht="15" customHeight="1" x14ac:dyDescent="0.3">
      <c r="A24" s="57" t="s">
        <v>176</v>
      </c>
      <c r="B24" s="82">
        <v>45130</v>
      </c>
      <c r="C24" s="59">
        <f t="shared" si="0"/>
        <v>2023</v>
      </c>
      <c r="D24" s="59">
        <f t="shared" si="1"/>
        <v>7</v>
      </c>
      <c r="E24" s="59">
        <f t="shared" si="2"/>
        <v>30</v>
      </c>
      <c r="F24" s="57" t="s">
        <v>55</v>
      </c>
      <c r="G24" s="57" t="s">
        <v>40</v>
      </c>
      <c r="H24" s="57" t="s">
        <v>177</v>
      </c>
      <c r="I24" s="57" t="s">
        <v>69</v>
      </c>
      <c r="J24" s="57" t="s">
        <v>139</v>
      </c>
      <c r="K24" s="57" t="s">
        <v>75</v>
      </c>
      <c r="L24" s="57" t="s">
        <v>124</v>
      </c>
      <c r="M24" s="60">
        <v>789</v>
      </c>
      <c r="N24" s="57" t="s">
        <v>114</v>
      </c>
      <c r="O24" s="61">
        <v>1035.05</v>
      </c>
      <c r="P24" s="61">
        <v>816654.45</v>
      </c>
      <c r="Q24" s="61">
        <v>40407.919999999998</v>
      </c>
      <c r="R24" s="62">
        <f t="shared" si="3"/>
        <v>4.9479825892089366E-2</v>
      </c>
      <c r="S24" s="60">
        <v>2</v>
      </c>
      <c r="T24" s="58">
        <v>45132</v>
      </c>
      <c r="U24" s="58">
        <v>45135</v>
      </c>
      <c r="V24" s="63">
        <f t="shared" si="4"/>
        <v>3</v>
      </c>
      <c r="W24" s="57" t="s">
        <v>128</v>
      </c>
      <c r="X24" s="64" t="b">
        <f t="shared" si="5"/>
        <v>0</v>
      </c>
      <c r="Y24" s="60">
        <v>434</v>
      </c>
      <c r="Z24" s="60">
        <v>209</v>
      </c>
      <c r="AA24" s="57" t="s">
        <v>82</v>
      </c>
      <c r="AB24" s="64" t="b">
        <f t="shared" si="6"/>
        <v>1</v>
      </c>
    </row>
    <row r="25" spans="1:28" ht="15" customHeight="1" x14ac:dyDescent="0.3">
      <c r="A25" s="65" t="s">
        <v>178</v>
      </c>
      <c r="B25" s="81">
        <v>45592</v>
      </c>
      <c r="C25" s="59">
        <f t="shared" si="0"/>
        <v>2024</v>
      </c>
      <c r="D25" s="59">
        <f t="shared" si="1"/>
        <v>10</v>
      </c>
      <c r="E25" s="59">
        <f t="shared" si="2"/>
        <v>44</v>
      </c>
      <c r="F25" s="65" t="s">
        <v>56</v>
      </c>
      <c r="G25" s="65" t="s">
        <v>43</v>
      </c>
      <c r="H25" s="65" t="s">
        <v>179</v>
      </c>
      <c r="I25" s="65" t="s">
        <v>64</v>
      </c>
      <c r="J25" s="65" t="s">
        <v>143</v>
      </c>
      <c r="K25" s="65" t="s">
        <v>74</v>
      </c>
      <c r="L25" s="65" t="s">
        <v>146</v>
      </c>
      <c r="M25" s="67">
        <v>571</v>
      </c>
      <c r="N25" s="65" t="s">
        <v>163</v>
      </c>
      <c r="O25" s="68">
        <v>144.03</v>
      </c>
      <c r="P25" s="68">
        <v>82241.13</v>
      </c>
      <c r="Q25" s="68">
        <v>6335.05</v>
      </c>
      <c r="R25" s="62">
        <f t="shared" si="3"/>
        <v>7.7030191584186641E-2</v>
      </c>
      <c r="S25" s="67">
        <v>24</v>
      </c>
      <c r="T25" s="66">
        <v>45616</v>
      </c>
      <c r="U25" s="66">
        <v>45616</v>
      </c>
      <c r="V25" s="63">
        <f t="shared" si="4"/>
        <v>0</v>
      </c>
      <c r="W25" s="65" t="s">
        <v>115</v>
      </c>
      <c r="X25" s="64" t="b">
        <f t="shared" si="5"/>
        <v>1</v>
      </c>
      <c r="Y25" s="67">
        <v>41</v>
      </c>
      <c r="Z25" s="67">
        <v>252</v>
      </c>
      <c r="AA25" s="65" t="s">
        <v>84</v>
      </c>
      <c r="AB25" s="64" t="b">
        <f t="shared" si="6"/>
        <v>1</v>
      </c>
    </row>
    <row r="26" spans="1:28" ht="15" customHeight="1" x14ac:dyDescent="0.3">
      <c r="A26" s="57" t="s">
        <v>180</v>
      </c>
      <c r="B26" s="82">
        <v>45645</v>
      </c>
      <c r="C26" s="59">
        <f t="shared" si="0"/>
        <v>2024</v>
      </c>
      <c r="D26" s="59">
        <f t="shared" si="1"/>
        <v>12</v>
      </c>
      <c r="E26" s="59">
        <f t="shared" si="2"/>
        <v>51</v>
      </c>
      <c r="F26" s="57" t="s">
        <v>54</v>
      </c>
      <c r="G26" s="57" t="s">
        <v>43</v>
      </c>
      <c r="H26" s="57" t="s">
        <v>181</v>
      </c>
      <c r="I26" s="57" t="s">
        <v>69</v>
      </c>
      <c r="J26" s="57" t="s">
        <v>131</v>
      </c>
      <c r="K26" s="57" t="s">
        <v>75</v>
      </c>
      <c r="L26" s="57" t="s">
        <v>156</v>
      </c>
      <c r="M26" s="60">
        <v>909</v>
      </c>
      <c r="N26" s="57" t="s">
        <v>136</v>
      </c>
      <c r="O26" s="61">
        <v>196.77</v>
      </c>
      <c r="P26" s="61">
        <v>178863.93</v>
      </c>
      <c r="Q26" s="61">
        <v>7694.11</v>
      </c>
      <c r="R26" s="62">
        <f t="shared" si="3"/>
        <v>4.3016554539531814E-2</v>
      </c>
      <c r="S26" s="60">
        <v>12</v>
      </c>
      <c r="T26" s="58">
        <v>45657</v>
      </c>
      <c r="U26" s="58">
        <v>45665</v>
      </c>
      <c r="V26" s="63">
        <f t="shared" si="4"/>
        <v>8</v>
      </c>
      <c r="W26" s="57" t="s">
        <v>125</v>
      </c>
      <c r="X26" s="64" t="b">
        <f t="shared" si="5"/>
        <v>0</v>
      </c>
      <c r="Y26" s="60">
        <v>284</v>
      </c>
      <c r="Z26" s="60">
        <v>403</v>
      </c>
      <c r="AA26" s="57" t="s">
        <v>116</v>
      </c>
      <c r="AB26" s="64" t="b">
        <f t="shared" si="6"/>
        <v>0</v>
      </c>
    </row>
    <row r="27" spans="1:28" ht="15" customHeight="1" x14ac:dyDescent="0.3">
      <c r="A27" s="65" t="s">
        <v>182</v>
      </c>
      <c r="B27" s="81">
        <v>45485</v>
      </c>
      <c r="C27" s="59">
        <f t="shared" si="0"/>
        <v>2024</v>
      </c>
      <c r="D27" s="59">
        <f t="shared" si="1"/>
        <v>7</v>
      </c>
      <c r="E27" s="59">
        <f t="shared" si="2"/>
        <v>28</v>
      </c>
      <c r="F27" s="65" t="s">
        <v>61</v>
      </c>
      <c r="G27" s="65" t="s">
        <v>42</v>
      </c>
      <c r="H27" s="65" t="s">
        <v>183</v>
      </c>
      <c r="I27" s="65" t="s">
        <v>65</v>
      </c>
      <c r="J27" s="65" t="s">
        <v>123</v>
      </c>
      <c r="K27" s="65" t="s">
        <v>72</v>
      </c>
      <c r="L27" s="65" t="s">
        <v>156</v>
      </c>
      <c r="M27" s="67">
        <v>767</v>
      </c>
      <c r="N27" s="65" t="s">
        <v>132</v>
      </c>
      <c r="O27" s="68">
        <v>105.93</v>
      </c>
      <c r="P27" s="68">
        <v>81248.31</v>
      </c>
      <c r="Q27" s="68">
        <v>3693.74</v>
      </c>
      <c r="R27" s="62">
        <f t="shared" si="3"/>
        <v>4.5462361001724218E-2</v>
      </c>
      <c r="S27" s="67">
        <v>6</v>
      </c>
      <c r="T27" s="66">
        <v>45491</v>
      </c>
      <c r="U27" s="66">
        <v>45499</v>
      </c>
      <c r="V27" s="63">
        <f t="shared" si="4"/>
        <v>8</v>
      </c>
      <c r="W27" s="65" t="s">
        <v>128</v>
      </c>
      <c r="X27" s="64" t="b">
        <f t="shared" si="5"/>
        <v>0</v>
      </c>
      <c r="Y27" s="67">
        <v>65</v>
      </c>
      <c r="Z27" s="67">
        <v>132</v>
      </c>
      <c r="AA27" s="65" t="s">
        <v>84</v>
      </c>
      <c r="AB27" s="64" t="b">
        <f t="shared" si="6"/>
        <v>1</v>
      </c>
    </row>
    <row r="28" spans="1:28" ht="15" customHeight="1" x14ac:dyDescent="0.3">
      <c r="A28" s="57" t="s">
        <v>184</v>
      </c>
      <c r="B28" s="82">
        <v>45356</v>
      </c>
      <c r="C28" s="59">
        <f t="shared" si="0"/>
        <v>2024</v>
      </c>
      <c r="D28" s="59">
        <f t="shared" si="1"/>
        <v>3</v>
      </c>
      <c r="E28" s="59">
        <f t="shared" si="2"/>
        <v>10</v>
      </c>
      <c r="F28" s="57" t="s">
        <v>52</v>
      </c>
      <c r="G28" s="57" t="s">
        <v>42</v>
      </c>
      <c r="H28" s="57" t="s">
        <v>185</v>
      </c>
      <c r="I28" s="57" t="s">
        <v>64</v>
      </c>
      <c r="J28" s="57" t="s">
        <v>139</v>
      </c>
      <c r="K28" s="57" t="s">
        <v>72</v>
      </c>
      <c r="L28" s="57" t="s">
        <v>156</v>
      </c>
      <c r="M28" s="60">
        <v>122</v>
      </c>
      <c r="N28" s="57" t="s">
        <v>163</v>
      </c>
      <c r="O28" s="61">
        <v>92.09</v>
      </c>
      <c r="P28" s="61">
        <v>11234.98</v>
      </c>
      <c r="Q28" s="61">
        <v>706.48</v>
      </c>
      <c r="R28" s="62">
        <f t="shared" si="3"/>
        <v>6.2882176915312712E-2</v>
      </c>
      <c r="S28" s="60">
        <v>2</v>
      </c>
      <c r="T28" s="58">
        <v>45358</v>
      </c>
      <c r="U28" s="58">
        <v>45358</v>
      </c>
      <c r="V28" s="63">
        <f t="shared" si="4"/>
        <v>0</v>
      </c>
      <c r="W28" s="57" t="s">
        <v>115</v>
      </c>
      <c r="X28" s="64" t="b">
        <f t="shared" si="5"/>
        <v>1</v>
      </c>
      <c r="Y28" s="60">
        <v>123</v>
      </c>
      <c r="Z28" s="60">
        <v>273</v>
      </c>
      <c r="AA28" s="57" t="s">
        <v>82</v>
      </c>
      <c r="AB28" s="64" t="b">
        <f t="shared" si="6"/>
        <v>1</v>
      </c>
    </row>
    <row r="29" spans="1:28" ht="15" customHeight="1" x14ac:dyDescent="0.3">
      <c r="A29" s="65" t="s">
        <v>186</v>
      </c>
      <c r="B29" s="81">
        <v>45152</v>
      </c>
      <c r="C29" s="59">
        <f t="shared" si="0"/>
        <v>2023</v>
      </c>
      <c r="D29" s="59">
        <f t="shared" si="1"/>
        <v>8</v>
      </c>
      <c r="E29" s="59">
        <f t="shared" si="2"/>
        <v>33</v>
      </c>
      <c r="F29" s="65" t="s">
        <v>57</v>
      </c>
      <c r="G29" s="65" t="s">
        <v>45</v>
      </c>
      <c r="H29" s="65" t="s">
        <v>187</v>
      </c>
      <c r="I29" s="65" t="s">
        <v>65</v>
      </c>
      <c r="J29" s="65" t="s">
        <v>139</v>
      </c>
      <c r="K29" s="65" t="s">
        <v>71</v>
      </c>
      <c r="L29" s="65" t="s">
        <v>113</v>
      </c>
      <c r="M29" s="67">
        <v>179</v>
      </c>
      <c r="N29" s="65" t="s">
        <v>136</v>
      </c>
      <c r="O29" s="68">
        <v>181.79</v>
      </c>
      <c r="P29" s="68">
        <v>32540.41</v>
      </c>
      <c r="Q29" s="68">
        <v>1829.67</v>
      </c>
      <c r="R29" s="62">
        <f t="shared" si="3"/>
        <v>5.6227625896539103E-2</v>
      </c>
      <c r="S29" s="67">
        <v>28</v>
      </c>
      <c r="T29" s="66">
        <v>45180</v>
      </c>
      <c r="U29" s="66">
        <v>45182</v>
      </c>
      <c r="V29" s="63">
        <f t="shared" si="4"/>
        <v>2</v>
      </c>
      <c r="W29" s="65" t="s">
        <v>125</v>
      </c>
      <c r="X29" s="64" t="b">
        <f t="shared" si="5"/>
        <v>0</v>
      </c>
      <c r="Y29" s="67">
        <v>144</v>
      </c>
      <c r="Z29" s="67">
        <v>105</v>
      </c>
      <c r="AA29" s="65" t="s">
        <v>83</v>
      </c>
      <c r="AB29" s="64" t="b">
        <f t="shared" si="6"/>
        <v>1</v>
      </c>
    </row>
    <row r="30" spans="1:28" ht="15" customHeight="1" x14ac:dyDescent="0.3">
      <c r="A30" s="57" t="s">
        <v>188</v>
      </c>
      <c r="B30" s="82">
        <v>45386</v>
      </c>
      <c r="C30" s="59">
        <f t="shared" si="0"/>
        <v>2024</v>
      </c>
      <c r="D30" s="59">
        <f t="shared" si="1"/>
        <v>4</v>
      </c>
      <c r="E30" s="59">
        <f t="shared" si="2"/>
        <v>14</v>
      </c>
      <c r="F30" s="57" t="s">
        <v>57</v>
      </c>
      <c r="G30" s="57" t="s">
        <v>39</v>
      </c>
      <c r="H30" s="57" t="s">
        <v>189</v>
      </c>
      <c r="I30" s="57" t="s">
        <v>67</v>
      </c>
      <c r="J30" s="57" t="s">
        <v>112</v>
      </c>
      <c r="K30" s="57" t="s">
        <v>74</v>
      </c>
      <c r="L30" s="57" t="s">
        <v>135</v>
      </c>
      <c r="M30" s="60">
        <v>477</v>
      </c>
      <c r="N30" s="57" t="s">
        <v>140</v>
      </c>
      <c r="O30" s="61">
        <v>1883.94</v>
      </c>
      <c r="P30" s="61">
        <v>898639.38</v>
      </c>
      <c r="Q30" s="61">
        <v>34090.400000000001</v>
      </c>
      <c r="R30" s="62">
        <f t="shared" si="3"/>
        <v>3.7935573221818966E-2</v>
      </c>
      <c r="S30" s="60">
        <v>21</v>
      </c>
      <c r="T30" s="58">
        <v>45407</v>
      </c>
      <c r="U30" s="58">
        <v>45419</v>
      </c>
      <c r="V30" s="63">
        <f t="shared" si="4"/>
        <v>12</v>
      </c>
      <c r="W30" s="57" t="s">
        <v>125</v>
      </c>
      <c r="X30" s="64" t="b">
        <f t="shared" si="5"/>
        <v>0</v>
      </c>
      <c r="Y30" s="60">
        <v>119</v>
      </c>
      <c r="Z30" s="60">
        <v>231</v>
      </c>
      <c r="AA30" s="57" t="s">
        <v>81</v>
      </c>
      <c r="AB30" s="64" t="b">
        <f t="shared" si="6"/>
        <v>1</v>
      </c>
    </row>
    <row r="31" spans="1:28" ht="15" customHeight="1" x14ac:dyDescent="0.3">
      <c r="A31" s="65" t="s">
        <v>190</v>
      </c>
      <c r="B31" s="81">
        <v>45530</v>
      </c>
      <c r="C31" s="59">
        <f t="shared" si="0"/>
        <v>2024</v>
      </c>
      <c r="D31" s="59">
        <f t="shared" si="1"/>
        <v>8</v>
      </c>
      <c r="E31" s="59">
        <f t="shared" si="2"/>
        <v>35</v>
      </c>
      <c r="F31" s="65" t="s">
        <v>56</v>
      </c>
      <c r="G31" s="65" t="s">
        <v>43</v>
      </c>
      <c r="H31" s="65" t="s">
        <v>191</v>
      </c>
      <c r="I31" s="65" t="s">
        <v>69</v>
      </c>
      <c r="J31" s="65" t="s">
        <v>139</v>
      </c>
      <c r="K31" s="65" t="s">
        <v>73</v>
      </c>
      <c r="L31" s="65" t="s">
        <v>119</v>
      </c>
      <c r="M31" s="67">
        <v>687</v>
      </c>
      <c r="N31" s="65" t="s">
        <v>136</v>
      </c>
      <c r="O31" s="68">
        <v>230.78</v>
      </c>
      <c r="P31" s="68">
        <v>158545.85999999999</v>
      </c>
      <c r="Q31" s="68">
        <v>7078.91</v>
      </c>
      <c r="R31" s="62">
        <f t="shared" si="3"/>
        <v>4.4648974120169396E-2</v>
      </c>
      <c r="S31" s="67">
        <v>1</v>
      </c>
      <c r="T31" s="66">
        <v>45531</v>
      </c>
      <c r="U31" s="66">
        <v>45531</v>
      </c>
      <c r="V31" s="63">
        <f t="shared" si="4"/>
        <v>0</v>
      </c>
      <c r="W31" s="65" t="s">
        <v>115</v>
      </c>
      <c r="X31" s="64" t="b">
        <f t="shared" si="5"/>
        <v>1</v>
      </c>
      <c r="Y31" s="67">
        <v>108</v>
      </c>
      <c r="Z31" s="67">
        <v>32</v>
      </c>
      <c r="AA31" s="65" t="s">
        <v>116</v>
      </c>
      <c r="AB31" s="64" t="b">
        <f t="shared" si="6"/>
        <v>0</v>
      </c>
    </row>
    <row r="32" spans="1:28" ht="15" customHeight="1" x14ac:dyDescent="0.3">
      <c r="A32" s="57" t="s">
        <v>192</v>
      </c>
      <c r="B32" s="82">
        <v>45211</v>
      </c>
      <c r="C32" s="59">
        <f t="shared" si="0"/>
        <v>2023</v>
      </c>
      <c r="D32" s="59">
        <f t="shared" si="1"/>
        <v>10</v>
      </c>
      <c r="E32" s="59">
        <f t="shared" si="2"/>
        <v>41</v>
      </c>
      <c r="F32" s="57" t="s">
        <v>53</v>
      </c>
      <c r="G32" s="57" t="s">
        <v>42</v>
      </c>
      <c r="H32" s="57" t="s">
        <v>193</v>
      </c>
      <c r="I32" s="57" t="s">
        <v>68</v>
      </c>
      <c r="J32" s="57" t="s">
        <v>151</v>
      </c>
      <c r="K32" s="57" t="s">
        <v>74</v>
      </c>
      <c r="L32" s="57" t="s">
        <v>113</v>
      </c>
      <c r="M32" s="60">
        <v>930</v>
      </c>
      <c r="N32" s="57" t="s">
        <v>140</v>
      </c>
      <c r="O32" s="61">
        <v>106.96</v>
      </c>
      <c r="P32" s="61">
        <v>99472.8</v>
      </c>
      <c r="Q32" s="61">
        <v>3288.77</v>
      </c>
      <c r="R32" s="62">
        <f t="shared" si="3"/>
        <v>3.3062002879179028E-2</v>
      </c>
      <c r="S32" s="60">
        <v>12</v>
      </c>
      <c r="T32" s="58">
        <v>45223</v>
      </c>
      <c r="U32" s="58">
        <v>45225</v>
      </c>
      <c r="V32" s="63">
        <f t="shared" si="4"/>
        <v>2</v>
      </c>
      <c r="W32" s="57" t="s">
        <v>128</v>
      </c>
      <c r="X32" s="64" t="b">
        <f t="shared" si="5"/>
        <v>0</v>
      </c>
      <c r="Y32" s="60">
        <v>414</v>
      </c>
      <c r="Z32" s="60">
        <v>78</v>
      </c>
      <c r="AA32" s="57" t="s">
        <v>81</v>
      </c>
      <c r="AB32" s="64" t="b">
        <f t="shared" si="6"/>
        <v>1</v>
      </c>
    </row>
    <row r="33" spans="1:28" ht="15" customHeight="1" x14ac:dyDescent="0.3">
      <c r="A33" s="65" t="s">
        <v>194</v>
      </c>
      <c r="B33" s="81">
        <v>44933</v>
      </c>
      <c r="C33" s="59">
        <f t="shared" si="0"/>
        <v>2023</v>
      </c>
      <c r="D33" s="59">
        <f t="shared" si="1"/>
        <v>1</v>
      </c>
      <c r="E33" s="59">
        <f t="shared" si="2"/>
        <v>1</v>
      </c>
      <c r="F33" s="65" t="s">
        <v>56</v>
      </c>
      <c r="G33" s="65" t="s">
        <v>41</v>
      </c>
      <c r="H33" s="65" t="s">
        <v>195</v>
      </c>
      <c r="I33" s="65" t="s">
        <v>68</v>
      </c>
      <c r="J33" s="65" t="s">
        <v>131</v>
      </c>
      <c r="K33" s="65" t="s">
        <v>74</v>
      </c>
      <c r="L33" s="65" t="s">
        <v>135</v>
      </c>
      <c r="M33" s="67">
        <v>23</v>
      </c>
      <c r="N33" s="65" t="s">
        <v>132</v>
      </c>
      <c r="O33" s="68">
        <v>644.01</v>
      </c>
      <c r="P33" s="68">
        <v>14812.23</v>
      </c>
      <c r="Q33" s="68">
        <v>1154.78</v>
      </c>
      <c r="R33" s="62">
        <f t="shared" si="3"/>
        <v>7.7961252289493216E-2</v>
      </c>
      <c r="S33" s="67">
        <v>26</v>
      </c>
      <c r="T33" s="66">
        <v>44959</v>
      </c>
      <c r="U33" s="66">
        <v>44967</v>
      </c>
      <c r="V33" s="63">
        <f t="shared" si="4"/>
        <v>8</v>
      </c>
      <c r="W33" s="65" t="s">
        <v>128</v>
      </c>
      <c r="X33" s="64" t="b">
        <f t="shared" si="5"/>
        <v>0</v>
      </c>
      <c r="Y33" s="67">
        <v>91</v>
      </c>
      <c r="Z33" s="67">
        <v>34</v>
      </c>
      <c r="AA33" s="65" t="s">
        <v>84</v>
      </c>
      <c r="AB33" s="64" t="b">
        <f t="shared" si="6"/>
        <v>1</v>
      </c>
    </row>
    <row r="34" spans="1:28" ht="15" customHeight="1" x14ac:dyDescent="0.3">
      <c r="A34" s="57" t="s">
        <v>196</v>
      </c>
      <c r="B34" s="82">
        <v>45090</v>
      </c>
      <c r="C34" s="59">
        <f t="shared" si="0"/>
        <v>2023</v>
      </c>
      <c r="D34" s="59">
        <f t="shared" si="1"/>
        <v>6</v>
      </c>
      <c r="E34" s="59">
        <f t="shared" si="2"/>
        <v>24</v>
      </c>
      <c r="F34" s="57" t="s">
        <v>54</v>
      </c>
      <c r="G34" s="57" t="s">
        <v>39</v>
      </c>
      <c r="H34" s="57" t="s">
        <v>197</v>
      </c>
      <c r="I34" s="57" t="s">
        <v>64</v>
      </c>
      <c r="J34" s="57" t="s">
        <v>131</v>
      </c>
      <c r="K34" s="57" t="s">
        <v>74</v>
      </c>
      <c r="L34" s="57" t="s">
        <v>156</v>
      </c>
      <c r="M34" s="60">
        <v>724</v>
      </c>
      <c r="N34" s="57" t="s">
        <v>136</v>
      </c>
      <c r="O34" s="61">
        <v>1782.13</v>
      </c>
      <c r="P34" s="61">
        <v>1290262.1200000001</v>
      </c>
      <c r="Q34" s="61">
        <v>35918.400000000001</v>
      </c>
      <c r="R34" s="62">
        <f t="shared" si="3"/>
        <v>2.7838064408183972E-2</v>
      </c>
      <c r="S34" s="60">
        <v>22</v>
      </c>
      <c r="T34" s="58">
        <v>45112</v>
      </c>
      <c r="U34" s="58">
        <v>45112</v>
      </c>
      <c r="V34" s="63">
        <f t="shared" si="4"/>
        <v>0</v>
      </c>
      <c r="W34" s="57" t="s">
        <v>115</v>
      </c>
      <c r="X34" s="64" t="b">
        <f t="shared" si="5"/>
        <v>1</v>
      </c>
      <c r="Y34" s="60">
        <v>490</v>
      </c>
      <c r="Z34" s="60">
        <v>494</v>
      </c>
      <c r="AA34" s="57" t="s">
        <v>116</v>
      </c>
      <c r="AB34" s="64" t="b">
        <f t="shared" si="6"/>
        <v>0</v>
      </c>
    </row>
    <row r="35" spans="1:28" ht="15" customHeight="1" x14ac:dyDescent="0.3">
      <c r="A35" s="65" t="s">
        <v>198</v>
      </c>
      <c r="B35" s="81">
        <v>45641</v>
      </c>
      <c r="C35" s="59">
        <f t="shared" si="0"/>
        <v>2024</v>
      </c>
      <c r="D35" s="59">
        <f t="shared" si="1"/>
        <v>12</v>
      </c>
      <c r="E35" s="59">
        <f t="shared" si="2"/>
        <v>51</v>
      </c>
      <c r="F35" s="65" t="s">
        <v>53</v>
      </c>
      <c r="G35" s="65" t="s">
        <v>44</v>
      </c>
      <c r="H35" s="65" t="s">
        <v>199</v>
      </c>
      <c r="I35" s="65" t="s">
        <v>68</v>
      </c>
      <c r="J35" s="65" t="s">
        <v>131</v>
      </c>
      <c r="K35" s="65" t="s">
        <v>71</v>
      </c>
      <c r="L35" s="65" t="s">
        <v>135</v>
      </c>
      <c r="M35" s="67">
        <v>297</v>
      </c>
      <c r="N35" s="65" t="s">
        <v>120</v>
      </c>
      <c r="O35" s="68">
        <v>130.87</v>
      </c>
      <c r="P35" s="68">
        <v>38868.39</v>
      </c>
      <c r="Q35" s="68">
        <v>1644.53</v>
      </c>
      <c r="R35" s="62">
        <f t="shared" si="3"/>
        <v>4.2310216605318612E-2</v>
      </c>
      <c r="S35" s="67">
        <v>29</v>
      </c>
      <c r="T35" s="66">
        <v>45670</v>
      </c>
      <c r="U35" s="66">
        <v>45675</v>
      </c>
      <c r="V35" s="63">
        <f t="shared" si="4"/>
        <v>5</v>
      </c>
      <c r="W35" s="65" t="s">
        <v>128</v>
      </c>
      <c r="X35" s="64" t="b">
        <f t="shared" si="5"/>
        <v>0</v>
      </c>
      <c r="Y35" s="67">
        <v>367</v>
      </c>
      <c r="Z35" s="67">
        <v>109</v>
      </c>
      <c r="AA35" s="65" t="s">
        <v>82</v>
      </c>
      <c r="AB35" s="64" t="b">
        <f t="shared" si="6"/>
        <v>1</v>
      </c>
    </row>
    <row r="36" spans="1:28" ht="15" customHeight="1" x14ac:dyDescent="0.3">
      <c r="A36" s="57" t="s">
        <v>200</v>
      </c>
      <c r="B36" s="82">
        <v>45359</v>
      </c>
      <c r="C36" s="59">
        <f t="shared" si="0"/>
        <v>2024</v>
      </c>
      <c r="D36" s="59">
        <f t="shared" si="1"/>
        <v>3</v>
      </c>
      <c r="E36" s="59">
        <f t="shared" si="2"/>
        <v>10</v>
      </c>
      <c r="F36" s="57" t="s">
        <v>57</v>
      </c>
      <c r="G36" s="57" t="s">
        <v>40</v>
      </c>
      <c r="H36" s="57" t="s">
        <v>201</v>
      </c>
      <c r="I36" s="57" t="s">
        <v>64</v>
      </c>
      <c r="J36" s="57" t="s">
        <v>123</v>
      </c>
      <c r="K36" s="57" t="s">
        <v>72</v>
      </c>
      <c r="L36" s="57" t="s">
        <v>113</v>
      </c>
      <c r="M36" s="60">
        <v>916</v>
      </c>
      <c r="N36" s="57" t="s">
        <v>114</v>
      </c>
      <c r="O36" s="61">
        <v>645.24</v>
      </c>
      <c r="P36" s="61">
        <v>591039.84</v>
      </c>
      <c r="Q36" s="61">
        <v>12737.11</v>
      </c>
      <c r="R36" s="62">
        <f t="shared" si="3"/>
        <v>2.1550340836583876E-2</v>
      </c>
      <c r="S36" s="60">
        <v>12</v>
      </c>
      <c r="T36" s="58">
        <v>45371</v>
      </c>
      <c r="U36" s="58">
        <v>45368</v>
      </c>
      <c r="V36" s="63">
        <f t="shared" si="4"/>
        <v>-3</v>
      </c>
      <c r="W36" s="57" t="s">
        <v>115</v>
      </c>
      <c r="X36" s="64" t="b">
        <f t="shared" si="5"/>
        <v>1</v>
      </c>
      <c r="Y36" s="60">
        <v>307</v>
      </c>
      <c r="Z36" s="60">
        <v>320</v>
      </c>
      <c r="AA36" s="57" t="s">
        <v>84</v>
      </c>
      <c r="AB36" s="64" t="b">
        <f t="shared" si="6"/>
        <v>1</v>
      </c>
    </row>
    <row r="37" spans="1:28" ht="15" customHeight="1" x14ac:dyDescent="0.3">
      <c r="A37" s="65" t="s">
        <v>202</v>
      </c>
      <c r="B37" s="81">
        <v>45275</v>
      </c>
      <c r="C37" s="59">
        <f t="shared" si="0"/>
        <v>2023</v>
      </c>
      <c r="D37" s="59">
        <f t="shared" si="1"/>
        <v>12</v>
      </c>
      <c r="E37" s="59">
        <f t="shared" si="2"/>
        <v>50</v>
      </c>
      <c r="F37" s="65" t="s">
        <v>59</v>
      </c>
      <c r="G37" s="65" t="s">
        <v>46</v>
      </c>
      <c r="H37" s="65" t="s">
        <v>203</v>
      </c>
      <c r="I37" s="65" t="s">
        <v>69</v>
      </c>
      <c r="J37" s="65" t="s">
        <v>143</v>
      </c>
      <c r="K37" s="65" t="s">
        <v>73</v>
      </c>
      <c r="L37" s="65" t="s">
        <v>156</v>
      </c>
      <c r="M37" s="67">
        <v>198</v>
      </c>
      <c r="N37" s="65" t="s">
        <v>120</v>
      </c>
      <c r="O37" s="68">
        <v>54.54</v>
      </c>
      <c r="P37" s="68">
        <v>10798.92</v>
      </c>
      <c r="Q37" s="68">
        <v>359.68</v>
      </c>
      <c r="R37" s="62">
        <f t="shared" si="3"/>
        <v>3.3307034407144422E-2</v>
      </c>
      <c r="S37" s="67">
        <v>25</v>
      </c>
      <c r="T37" s="66">
        <v>45300</v>
      </c>
      <c r="U37" s="66">
        <v>45300</v>
      </c>
      <c r="V37" s="63">
        <f t="shared" si="4"/>
        <v>0</v>
      </c>
      <c r="W37" s="65" t="s">
        <v>115</v>
      </c>
      <c r="X37" s="64" t="b">
        <f t="shared" si="5"/>
        <v>1</v>
      </c>
      <c r="Y37" s="67">
        <v>422</v>
      </c>
      <c r="Z37" s="67">
        <v>62</v>
      </c>
      <c r="AA37" s="65" t="s">
        <v>84</v>
      </c>
      <c r="AB37" s="64" t="b">
        <f t="shared" si="6"/>
        <v>1</v>
      </c>
    </row>
    <row r="38" spans="1:28" ht="15" customHeight="1" x14ac:dyDescent="0.3">
      <c r="A38" s="57" t="s">
        <v>204</v>
      </c>
      <c r="B38" s="82">
        <v>45211</v>
      </c>
      <c r="C38" s="59">
        <f t="shared" si="0"/>
        <v>2023</v>
      </c>
      <c r="D38" s="59">
        <f t="shared" si="1"/>
        <v>10</v>
      </c>
      <c r="E38" s="59">
        <f t="shared" si="2"/>
        <v>41</v>
      </c>
      <c r="F38" s="57" t="s">
        <v>57</v>
      </c>
      <c r="G38" s="57" t="s">
        <v>39</v>
      </c>
      <c r="H38" s="57" t="s">
        <v>205</v>
      </c>
      <c r="I38" s="57" t="s">
        <v>66</v>
      </c>
      <c r="J38" s="57" t="s">
        <v>123</v>
      </c>
      <c r="K38" s="57" t="s">
        <v>74</v>
      </c>
      <c r="L38" s="57" t="s">
        <v>113</v>
      </c>
      <c r="M38" s="60">
        <v>923</v>
      </c>
      <c r="N38" s="57" t="s">
        <v>120</v>
      </c>
      <c r="O38" s="61">
        <v>1552.92</v>
      </c>
      <c r="P38" s="61">
        <v>1433345.16</v>
      </c>
      <c r="Q38" s="61">
        <v>95787.97</v>
      </c>
      <c r="R38" s="62">
        <f t="shared" si="3"/>
        <v>6.682826486817732E-2</v>
      </c>
      <c r="S38" s="60">
        <v>17</v>
      </c>
      <c r="T38" s="58">
        <v>45228</v>
      </c>
      <c r="U38" s="58">
        <v>45228</v>
      </c>
      <c r="V38" s="63">
        <f t="shared" si="4"/>
        <v>0</v>
      </c>
      <c r="W38" s="57" t="s">
        <v>115</v>
      </c>
      <c r="X38" s="64" t="b">
        <f t="shared" si="5"/>
        <v>1</v>
      </c>
      <c r="Y38" s="60">
        <v>59</v>
      </c>
      <c r="Z38" s="60">
        <v>468</v>
      </c>
      <c r="AA38" s="57" t="s">
        <v>116</v>
      </c>
      <c r="AB38" s="64" t="b">
        <f t="shared" si="6"/>
        <v>0</v>
      </c>
    </row>
    <row r="39" spans="1:28" ht="15" customHeight="1" x14ac:dyDescent="0.3">
      <c r="A39" s="65" t="s">
        <v>206</v>
      </c>
      <c r="B39" s="81">
        <v>45086</v>
      </c>
      <c r="C39" s="59">
        <f t="shared" si="0"/>
        <v>2023</v>
      </c>
      <c r="D39" s="59">
        <f t="shared" si="1"/>
        <v>6</v>
      </c>
      <c r="E39" s="59">
        <f t="shared" si="2"/>
        <v>23</v>
      </c>
      <c r="F39" s="65" t="s">
        <v>56</v>
      </c>
      <c r="G39" s="65" t="s">
        <v>46</v>
      </c>
      <c r="H39" s="65" t="s">
        <v>207</v>
      </c>
      <c r="I39" s="65" t="s">
        <v>66</v>
      </c>
      <c r="J39" s="65" t="s">
        <v>151</v>
      </c>
      <c r="K39" s="65" t="s">
        <v>73</v>
      </c>
      <c r="L39" s="65" t="s">
        <v>119</v>
      </c>
      <c r="M39" s="67">
        <v>164</v>
      </c>
      <c r="N39" s="65" t="s">
        <v>120</v>
      </c>
      <c r="O39" s="68">
        <v>70.77</v>
      </c>
      <c r="P39" s="68">
        <v>11606.28</v>
      </c>
      <c r="Q39" s="68">
        <v>372.22</v>
      </c>
      <c r="R39" s="62">
        <f t="shared" si="3"/>
        <v>3.2070568692121854E-2</v>
      </c>
      <c r="S39" s="67">
        <v>27</v>
      </c>
      <c r="T39" s="66">
        <v>45113</v>
      </c>
      <c r="U39" s="66">
        <v>45125</v>
      </c>
      <c r="V39" s="63">
        <f t="shared" si="4"/>
        <v>12</v>
      </c>
      <c r="W39" s="65" t="s">
        <v>128</v>
      </c>
      <c r="X39" s="64" t="b">
        <f t="shared" si="5"/>
        <v>0</v>
      </c>
      <c r="Y39" s="67">
        <v>349</v>
      </c>
      <c r="Z39" s="67">
        <v>327</v>
      </c>
      <c r="AA39" s="65" t="s">
        <v>116</v>
      </c>
      <c r="AB39" s="64" t="b">
        <f t="shared" si="6"/>
        <v>0</v>
      </c>
    </row>
    <row r="40" spans="1:28" ht="15" customHeight="1" x14ac:dyDescent="0.3">
      <c r="A40" s="57" t="s">
        <v>208</v>
      </c>
      <c r="B40" s="82">
        <v>45147</v>
      </c>
      <c r="C40" s="59">
        <f t="shared" si="0"/>
        <v>2023</v>
      </c>
      <c r="D40" s="59">
        <f t="shared" si="1"/>
        <v>8</v>
      </c>
      <c r="E40" s="59">
        <f t="shared" si="2"/>
        <v>32</v>
      </c>
      <c r="F40" s="57" t="s">
        <v>54</v>
      </c>
      <c r="G40" s="57" t="s">
        <v>43</v>
      </c>
      <c r="H40" s="57" t="s">
        <v>209</v>
      </c>
      <c r="I40" s="57" t="s">
        <v>65</v>
      </c>
      <c r="J40" s="57" t="s">
        <v>143</v>
      </c>
      <c r="K40" s="57" t="s">
        <v>74</v>
      </c>
      <c r="L40" s="57" t="s">
        <v>156</v>
      </c>
      <c r="M40" s="60">
        <v>576</v>
      </c>
      <c r="N40" s="57" t="s">
        <v>114</v>
      </c>
      <c r="O40" s="61">
        <v>222.19</v>
      </c>
      <c r="P40" s="61">
        <v>127981.44</v>
      </c>
      <c r="Q40" s="61">
        <v>3174.43</v>
      </c>
      <c r="R40" s="62">
        <f t="shared" si="3"/>
        <v>2.4803830930484917E-2</v>
      </c>
      <c r="S40" s="60">
        <v>27</v>
      </c>
      <c r="T40" s="58">
        <v>45174</v>
      </c>
      <c r="U40" s="58">
        <v>45186</v>
      </c>
      <c r="V40" s="63">
        <f t="shared" si="4"/>
        <v>12</v>
      </c>
      <c r="W40" s="57" t="s">
        <v>128</v>
      </c>
      <c r="X40" s="64" t="b">
        <f t="shared" si="5"/>
        <v>0</v>
      </c>
      <c r="Y40" s="60">
        <v>226</v>
      </c>
      <c r="Z40" s="60">
        <v>454</v>
      </c>
      <c r="AA40" s="57" t="s">
        <v>116</v>
      </c>
      <c r="AB40" s="64" t="b">
        <f t="shared" si="6"/>
        <v>0</v>
      </c>
    </row>
    <row r="41" spans="1:28" ht="15" customHeight="1" x14ac:dyDescent="0.3">
      <c r="A41" s="65" t="s">
        <v>210</v>
      </c>
      <c r="B41" s="81">
        <v>45271</v>
      </c>
      <c r="C41" s="59">
        <f t="shared" si="0"/>
        <v>2023</v>
      </c>
      <c r="D41" s="59">
        <f t="shared" si="1"/>
        <v>12</v>
      </c>
      <c r="E41" s="59">
        <f t="shared" si="2"/>
        <v>50</v>
      </c>
      <c r="F41" s="65" t="s">
        <v>53</v>
      </c>
      <c r="G41" s="65" t="s">
        <v>40</v>
      </c>
      <c r="H41" s="65" t="s">
        <v>211</v>
      </c>
      <c r="I41" s="65" t="s">
        <v>69</v>
      </c>
      <c r="J41" s="65" t="s">
        <v>139</v>
      </c>
      <c r="K41" s="65" t="s">
        <v>72</v>
      </c>
      <c r="L41" s="65" t="s">
        <v>135</v>
      </c>
      <c r="M41" s="67">
        <v>703</v>
      </c>
      <c r="N41" s="65" t="s">
        <v>120</v>
      </c>
      <c r="O41" s="68">
        <v>744.44</v>
      </c>
      <c r="P41" s="68">
        <v>523341.32</v>
      </c>
      <c r="Q41" s="68">
        <v>25364.880000000001</v>
      </c>
      <c r="R41" s="62">
        <f t="shared" si="3"/>
        <v>4.8467183902085167E-2</v>
      </c>
      <c r="S41" s="67">
        <v>10</v>
      </c>
      <c r="T41" s="66">
        <v>45281</v>
      </c>
      <c r="U41" s="66">
        <v>45281</v>
      </c>
      <c r="V41" s="63">
        <f t="shared" si="4"/>
        <v>0</v>
      </c>
      <c r="W41" s="65" t="s">
        <v>128</v>
      </c>
      <c r="X41" s="64" t="b">
        <f t="shared" si="5"/>
        <v>0</v>
      </c>
      <c r="Y41" s="67">
        <v>239</v>
      </c>
      <c r="Z41" s="67">
        <v>296</v>
      </c>
      <c r="AA41" s="65" t="s">
        <v>84</v>
      </c>
      <c r="AB41" s="64" t="b">
        <f t="shared" si="6"/>
        <v>1</v>
      </c>
    </row>
    <row r="42" spans="1:28" ht="15" customHeight="1" x14ac:dyDescent="0.3">
      <c r="A42" s="57" t="s">
        <v>212</v>
      </c>
      <c r="B42" s="82">
        <v>45031</v>
      </c>
      <c r="C42" s="59">
        <f t="shared" si="0"/>
        <v>2023</v>
      </c>
      <c r="D42" s="59">
        <f t="shared" si="1"/>
        <v>4</v>
      </c>
      <c r="E42" s="59">
        <f t="shared" si="2"/>
        <v>15</v>
      </c>
      <c r="F42" s="57" t="s">
        <v>55</v>
      </c>
      <c r="G42" s="57" t="s">
        <v>46</v>
      </c>
      <c r="H42" s="57" t="s">
        <v>213</v>
      </c>
      <c r="I42" s="57" t="s">
        <v>68</v>
      </c>
      <c r="J42" s="57" t="s">
        <v>123</v>
      </c>
      <c r="K42" s="57" t="s">
        <v>73</v>
      </c>
      <c r="L42" s="57" t="s">
        <v>113</v>
      </c>
      <c r="M42" s="60">
        <v>731</v>
      </c>
      <c r="N42" s="57" t="s">
        <v>140</v>
      </c>
      <c r="O42" s="61">
        <v>42.31</v>
      </c>
      <c r="P42" s="61">
        <v>30928.61</v>
      </c>
      <c r="Q42" s="61">
        <v>637.07000000000005</v>
      </c>
      <c r="R42" s="62">
        <f t="shared" si="3"/>
        <v>2.0598080547428416E-2</v>
      </c>
      <c r="S42" s="60">
        <v>28</v>
      </c>
      <c r="T42" s="58">
        <v>45059</v>
      </c>
      <c r="U42" s="58">
        <v>45054</v>
      </c>
      <c r="V42" s="63">
        <f t="shared" si="4"/>
        <v>-5</v>
      </c>
      <c r="W42" s="57" t="s">
        <v>115</v>
      </c>
      <c r="X42" s="64" t="b">
        <f t="shared" si="5"/>
        <v>1</v>
      </c>
      <c r="Y42" s="60">
        <v>434</v>
      </c>
      <c r="Z42" s="60">
        <v>177</v>
      </c>
      <c r="AA42" s="57" t="s">
        <v>82</v>
      </c>
      <c r="AB42" s="64" t="b">
        <f t="shared" si="6"/>
        <v>1</v>
      </c>
    </row>
    <row r="43" spans="1:28" ht="15" customHeight="1" x14ac:dyDescent="0.3">
      <c r="A43" s="65" t="s">
        <v>214</v>
      </c>
      <c r="B43" s="81">
        <v>45021</v>
      </c>
      <c r="C43" s="59">
        <f t="shared" si="0"/>
        <v>2023</v>
      </c>
      <c r="D43" s="59">
        <f t="shared" si="1"/>
        <v>4</v>
      </c>
      <c r="E43" s="59">
        <f t="shared" si="2"/>
        <v>14</v>
      </c>
      <c r="F43" s="65" t="s">
        <v>53</v>
      </c>
      <c r="G43" s="65" t="s">
        <v>43</v>
      </c>
      <c r="H43" s="65" t="s">
        <v>215</v>
      </c>
      <c r="I43" s="65" t="s">
        <v>69</v>
      </c>
      <c r="J43" s="65" t="s">
        <v>143</v>
      </c>
      <c r="K43" s="65" t="s">
        <v>75</v>
      </c>
      <c r="L43" s="65" t="s">
        <v>146</v>
      </c>
      <c r="M43" s="67">
        <v>897</v>
      </c>
      <c r="N43" s="65" t="s">
        <v>136</v>
      </c>
      <c r="O43" s="68">
        <v>219.4</v>
      </c>
      <c r="P43" s="68">
        <v>196801.8</v>
      </c>
      <c r="Q43" s="68">
        <v>4936.96</v>
      </c>
      <c r="R43" s="62">
        <f t="shared" si="3"/>
        <v>2.5085949417129317E-2</v>
      </c>
      <c r="S43" s="67">
        <v>28</v>
      </c>
      <c r="T43" s="66">
        <v>45049</v>
      </c>
      <c r="U43" s="66">
        <v>45046</v>
      </c>
      <c r="V43" s="63">
        <f t="shared" si="4"/>
        <v>-3</v>
      </c>
      <c r="W43" s="65" t="s">
        <v>115</v>
      </c>
      <c r="X43" s="64" t="b">
        <f t="shared" si="5"/>
        <v>1</v>
      </c>
      <c r="Y43" s="67">
        <v>211</v>
      </c>
      <c r="Z43" s="67">
        <v>383</v>
      </c>
      <c r="AA43" s="65" t="s">
        <v>81</v>
      </c>
      <c r="AB43" s="64" t="b">
        <f t="shared" si="6"/>
        <v>1</v>
      </c>
    </row>
    <row r="44" spans="1:28" ht="15" customHeight="1" x14ac:dyDescent="0.3">
      <c r="A44" s="57" t="s">
        <v>216</v>
      </c>
      <c r="B44" s="82">
        <v>45316</v>
      </c>
      <c r="C44" s="59">
        <f t="shared" si="0"/>
        <v>2024</v>
      </c>
      <c r="D44" s="59">
        <f t="shared" si="1"/>
        <v>1</v>
      </c>
      <c r="E44" s="59">
        <f t="shared" si="2"/>
        <v>4</v>
      </c>
      <c r="F44" s="57" t="s">
        <v>61</v>
      </c>
      <c r="G44" s="57" t="s">
        <v>41</v>
      </c>
      <c r="H44" s="57" t="s">
        <v>217</v>
      </c>
      <c r="I44" s="57" t="s">
        <v>67</v>
      </c>
      <c r="J44" s="57" t="s">
        <v>139</v>
      </c>
      <c r="K44" s="57" t="s">
        <v>72</v>
      </c>
      <c r="L44" s="57" t="s">
        <v>135</v>
      </c>
      <c r="M44" s="60">
        <v>480</v>
      </c>
      <c r="N44" s="57" t="s">
        <v>132</v>
      </c>
      <c r="O44" s="61">
        <v>464.25</v>
      </c>
      <c r="P44" s="61">
        <v>222840</v>
      </c>
      <c r="Q44" s="61">
        <v>15255.08</v>
      </c>
      <c r="R44" s="62">
        <f t="shared" si="3"/>
        <v>6.8457548016514089E-2</v>
      </c>
      <c r="S44" s="60">
        <v>16</v>
      </c>
      <c r="T44" s="58">
        <v>45332</v>
      </c>
      <c r="U44" s="58">
        <v>45334</v>
      </c>
      <c r="V44" s="63">
        <f t="shared" si="4"/>
        <v>2</v>
      </c>
      <c r="W44" s="57" t="s">
        <v>128</v>
      </c>
      <c r="X44" s="64" t="b">
        <f t="shared" si="5"/>
        <v>0</v>
      </c>
      <c r="Y44" s="60">
        <v>399</v>
      </c>
      <c r="Z44" s="60">
        <v>363</v>
      </c>
      <c r="AA44" s="57" t="s">
        <v>116</v>
      </c>
      <c r="AB44" s="64" t="b">
        <f t="shared" si="6"/>
        <v>0</v>
      </c>
    </row>
    <row r="45" spans="1:28" ht="15" customHeight="1" x14ac:dyDescent="0.3">
      <c r="A45" s="65" t="s">
        <v>218</v>
      </c>
      <c r="B45" s="81">
        <v>45026</v>
      </c>
      <c r="C45" s="59">
        <f t="shared" si="0"/>
        <v>2023</v>
      </c>
      <c r="D45" s="59">
        <f t="shared" si="1"/>
        <v>4</v>
      </c>
      <c r="E45" s="59">
        <f t="shared" si="2"/>
        <v>15</v>
      </c>
      <c r="F45" s="65" t="s">
        <v>58</v>
      </c>
      <c r="G45" s="65" t="s">
        <v>46</v>
      </c>
      <c r="H45" s="65" t="s">
        <v>219</v>
      </c>
      <c r="I45" s="65" t="s">
        <v>66</v>
      </c>
      <c r="J45" s="65" t="s">
        <v>143</v>
      </c>
      <c r="K45" s="65" t="s">
        <v>73</v>
      </c>
      <c r="L45" s="65" t="s">
        <v>135</v>
      </c>
      <c r="M45" s="67">
        <v>84</v>
      </c>
      <c r="N45" s="65" t="s">
        <v>120</v>
      </c>
      <c r="O45" s="68">
        <v>77.260000000000005</v>
      </c>
      <c r="P45" s="68">
        <v>6489.84</v>
      </c>
      <c r="Q45" s="68">
        <v>430.2</v>
      </c>
      <c r="R45" s="62">
        <f t="shared" si="3"/>
        <v>6.6288228985614428E-2</v>
      </c>
      <c r="S45" s="67">
        <v>15</v>
      </c>
      <c r="T45" s="66">
        <v>45041</v>
      </c>
      <c r="U45" s="66">
        <v>45040</v>
      </c>
      <c r="V45" s="63">
        <f t="shared" si="4"/>
        <v>-1</v>
      </c>
      <c r="W45" s="65" t="s">
        <v>115</v>
      </c>
      <c r="X45" s="64" t="b">
        <f t="shared" si="5"/>
        <v>1</v>
      </c>
      <c r="Y45" s="67">
        <v>97</v>
      </c>
      <c r="Z45" s="67">
        <v>231</v>
      </c>
      <c r="AA45" s="65" t="s">
        <v>116</v>
      </c>
      <c r="AB45" s="64" t="b">
        <f t="shared" si="6"/>
        <v>0</v>
      </c>
    </row>
    <row r="46" spans="1:28" ht="15" customHeight="1" x14ac:dyDescent="0.3">
      <c r="A46" s="57" t="s">
        <v>220</v>
      </c>
      <c r="B46" s="82">
        <v>45294</v>
      </c>
      <c r="C46" s="59">
        <f t="shared" si="0"/>
        <v>2024</v>
      </c>
      <c r="D46" s="59">
        <f t="shared" si="1"/>
        <v>1</v>
      </c>
      <c r="E46" s="59">
        <f t="shared" si="2"/>
        <v>1</v>
      </c>
      <c r="F46" s="57" t="s">
        <v>58</v>
      </c>
      <c r="G46" s="57" t="s">
        <v>40</v>
      </c>
      <c r="H46" s="57" t="s">
        <v>221</v>
      </c>
      <c r="I46" s="57" t="s">
        <v>68</v>
      </c>
      <c r="J46" s="57" t="s">
        <v>139</v>
      </c>
      <c r="K46" s="57" t="s">
        <v>74</v>
      </c>
      <c r="L46" s="57" t="s">
        <v>156</v>
      </c>
      <c r="M46" s="60">
        <v>286</v>
      </c>
      <c r="N46" s="57" t="s">
        <v>120</v>
      </c>
      <c r="O46" s="61">
        <v>575.33000000000004</v>
      </c>
      <c r="P46" s="61">
        <v>164544.38</v>
      </c>
      <c r="Q46" s="61">
        <v>12325.74</v>
      </c>
      <c r="R46" s="62">
        <f t="shared" si="3"/>
        <v>7.4908301334873903E-2</v>
      </c>
      <c r="S46" s="60">
        <v>15</v>
      </c>
      <c r="T46" s="58">
        <v>45309</v>
      </c>
      <c r="U46" s="58">
        <v>45314</v>
      </c>
      <c r="V46" s="63">
        <f t="shared" si="4"/>
        <v>5</v>
      </c>
      <c r="W46" s="57" t="s">
        <v>125</v>
      </c>
      <c r="X46" s="64" t="b">
        <f t="shared" si="5"/>
        <v>0</v>
      </c>
      <c r="Y46" s="60">
        <v>13</v>
      </c>
      <c r="Z46" s="60">
        <v>103</v>
      </c>
      <c r="AA46" s="57" t="s">
        <v>84</v>
      </c>
      <c r="AB46" s="64" t="b">
        <f t="shared" si="6"/>
        <v>1</v>
      </c>
    </row>
    <row r="47" spans="1:28" ht="15" customHeight="1" x14ac:dyDescent="0.3">
      <c r="A47" s="65" t="s">
        <v>222</v>
      </c>
      <c r="B47" s="81">
        <v>45279</v>
      </c>
      <c r="C47" s="59">
        <f t="shared" si="0"/>
        <v>2023</v>
      </c>
      <c r="D47" s="59">
        <f t="shared" si="1"/>
        <v>12</v>
      </c>
      <c r="E47" s="59">
        <f t="shared" si="2"/>
        <v>51</v>
      </c>
      <c r="F47" s="65" t="s">
        <v>60</v>
      </c>
      <c r="G47" s="65" t="s">
        <v>45</v>
      </c>
      <c r="H47" s="65" t="s">
        <v>223</v>
      </c>
      <c r="I47" s="65" t="s">
        <v>66</v>
      </c>
      <c r="J47" s="65" t="s">
        <v>143</v>
      </c>
      <c r="K47" s="65" t="s">
        <v>74</v>
      </c>
      <c r="L47" s="65" t="s">
        <v>124</v>
      </c>
      <c r="M47" s="67">
        <v>949</v>
      </c>
      <c r="N47" s="65" t="s">
        <v>132</v>
      </c>
      <c r="O47" s="68">
        <v>233.57</v>
      </c>
      <c r="P47" s="68">
        <v>221657.93</v>
      </c>
      <c r="Q47" s="68">
        <v>15797.77</v>
      </c>
      <c r="R47" s="62">
        <f t="shared" si="3"/>
        <v>7.1270944378123535E-2</v>
      </c>
      <c r="S47" s="67">
        <v>19</v>
      </c>
      <c r="T47" s="66">
        <v>45298</v>
      </c>
      <c r="U47" s="66">
        <v>45297</v>
      </c>
      <c r="V47" s="63">
        <f t="shared" si="4"/>
        <v>-1</v>
      </c>
      <c r="W47" s="65" t="s">
        <v>115</v>
      </c>
      <c r="X47" s="64" t="b">
        <f t="shared" si="5"/>
        <v>1</v>
      </c>
      <c r="Y47" s="67">
        <v>217</v>
      </c>
      <c r="Z47" s="67">
        <v>413</v>
      </c>
      <c r="AA47" s="65" t="s">
        <v>82</v>
      </c>
      <c r="AB47" s="64" t="b">
        <f t="shared" si="6"/>
        <v>1</v>
      </c>
    </row>
    <row r="48" spans="1:28" ht="15" customHeight="1" x14ac:dyDescent="0.3">
      <c r="A48" s="57" t="s">
        <v>224</v>
      </c>
      <c r="B48" s="82">
        <v>45545</v>
      </c>
      <c r="C48" s="59">
        <f t="shared" si="0"/>
        <v>2024</v>
      </c>
      <c r="D48" s="59">
        <f t="shared" si="1"/>
        <v>9</v>
      </c>
      <c r="E48" s="59">
        <f t="shared" si="2"/>
        <v>37</v>
      </c>
      <c r="F48" s="57" t="s">
        <v>52</v>
      </c>
      <c r="G48" s="57" t="s">
        <v>39</v>
      </c>
      <c r="H48" s="57" t="s">
        <v>225</v>
      </c>
      <c r="I48" s="57" t="s">
        <v>69</v>
      </c>
      <c r="J48" s="57" t="s">
        <v>123</v>
      </c>
      <c r="K48" s="57" t="s">
        <v>72</v>
      </c>
      <c r="L48" s="57" t="s">
        <v>135</v>
      </c>
      <c r="M48" s="60">
        <v>654</v>
      </c>
      <c r="N48" s="57" t="s">
        <v>132</v>
      </c>
      <c r="O48" s="61">
        <v>2179.77</v>
      </c>
      <c r="P48" s="61">
        <v>1425569.58</v>
      </c>
      <c r="Q48" s="61">
        <v>86946.25</v>
      </c>
      <c r="R48" s="62">
        <f t="shared" si="3"/>
        <v>6.0990534043241854E-2</v>
      </c>
      <c r="S48" s="60">
        <v>12</v>
      </c>
      <c r="T48" s="58">
        <v>45557</v>
      </c>
      <c r="U48" s="58">
        <v>45559</v>
      </c>
      <c r="V48" s="63">
        <f t="shared" si="4"/>
        <v>2</v>
      </c>
      <c r="W48" s="57" t="s">
        <v>125</v>
      </c>
      <c r="X48" s="64" t="b">
        <f t="shared" si="5"/>
        <v>0</v>
      </c>
      <c r="Y48" s="60">
        <v>467</v>
      </c>
      <c r="Z48" s="60">
        <v>293</v>
      </c>
      <c r="AA48" s="57" t="s">
        <v>81</v>
      </c>
      <c r="AB48" s="64" t="b">
        <f t="shared" si="6"/>
        <v>1</v>
      </c>
    </row>
    <row r="49" spans="1:28" ht="15" customHeight="1" x14ac:dyDescent="0.3">
      <c r="A49" s="65" t="s">
        <v>226</v>
      </c>
      <c r="B49" s="81">
        <v>45197</v>
      </c>
      <c r="C49" s="59">
        <f t="shared" si="0"/>
        <v>2023</v>
      </c>
      <c r="D49" s="59">
        <f t="shared" si="1"/>
        <v>9</v>
      </c>
      <c r="E49" s="59">
        <f t="shared" si="2"/>
        <v>39</v>
      </c>
      <c r="F49" s="65" t="s">
        <v>60</v>
      </c>
      <c r="G49" s="65" t="s">
        <v>43</v>
      </c>
      <c r="H49" s="65" t="s">
        <v>227</v>
      </c>
      <c r="I49" s="65" t="s">
        <v>68</v>
      </c>
      <c r="J49" s="65" t="s">
        <v>123</v>
      </c>
      <c r="K49" s="65" t="s">
        <v>72</v>
      </c>
      <c r="L49" s="65" t="s">
        <v>113</v>
      </c>
      <c r="M49" s="67">
        <v>352</v>
      </c>
      <c r="N49" s="65" t="s">
        <v>120</v>
      </c>
      <c r="O49" s="68">
        <v>167.91</v>
      </c>
      <c r="P49" s="68">
        <v>59104.32</v>
      </c>
      <c r="Q49" s="68">
        <v>1367.67</v>
      </c>
      <c r="R49" s="62">
        <f t="shared" si="3"/>
        <v>2.3139932918608996E-2</v>
      </c>
      <c r="S49" s="67">
        <v>23</v>
      </c>
      <c r="T49" s="66">
        <v>45220</v>
      </c>
      <c r="U49" s="66">
        <v>45222</v>
      </c>
      <c r="V49" s="63">
        <f t="shared" si="4"/>
        <v>2</v>
      </c>
      <c r="W49" s="65" t="s">
        <v>125</v>
      </c>
      <c r="X49" s="64" t="b">
        <f t="shared" si="5"/>
        <v>0</v>
      </c>
      <c r="Y49" s="67">
        <v>169</v>
      </c>
      <c r="Z49" s="67">
        <v>34</v>
      </c>
      <c r="AA49" s="65" t="s">
        <v>116</v>
      </c>
      <c r="AB49" s="64" t="b">
        <f t="shared" si="6"/>
        <v>0</v>
      </c>
    </row>
    <row r="50" spans="1:28" ht="15" customHeight="1" x14ac:dyDescent="0.3">
      <c r="A50" s="57" t="s">
        <v>228</v>
      </c>
      <c r="B50" s="82">
        <v>44971</v>
      </c>
      <c r="C50" s="59">
        <f t="shared" si="0"/>
        <v>2023</v>
      </c>
      <c r="D50" s="59">
        <f t="shared" si="1"/>
        <v>2</v>
      </c>
      <c r="E50" s="59">
        <f t="shared" si="2"/>
        <v>7</v>
      </c>
      <c r="F50" s="57" t="s">
        <v>60</v>
      </c>
      <c r="G50" s="57" t="s">
        <v>39</v>
      </c>
      <c r="H50" s="57" t="s">
        <v>229</v>
      </c>
      <c r="I50" s="57" t="s">
        <v>65</v>
      </c>
      <c r="J50" s="57" t="s">
        <v>151</v>
      </c>
      <c r="K50" s="57" t="s">
        <v>74</v>
      </c>
      <c r="L50" s="57" t="s">
        <v>146</v>
      </c>
      <c r="M50" s="60">
        <v>434</v>
      </c>
      <c r="N50" s="57" t="s">
        <v>140</v>
      </c>
      <c r="O50" s="61">
        <v>1615.98</v>
      </c>
      <c r="P50" s="61">
        <v>701335.32</v>
      </c>
      <c r="Q50" s="61">
        <v>46969.07</v>
      </c>
      <c r="R50" s="62">
        <f t="shared" si="3"/>
        <v>6.6970917705955549E-2</v>
      </c>
      <c r="S50" s="60">
        <v>20</v>
      </c>
      <c r="T50" s="58">
        <v>44991</v>
      </c>
      <c r="U50" s="58">
        <v>44988</v>
      </c>
      <c r="V50" s="63">
        <f t="shared" si="4"/>
        <v>-3</v>
      </c>
      <c r="W50" s="57" t="s">
        <v>115</v>
      </c>
      <c r="X50" s="64" t="b">
        <f t="shared" si="5"/>
        <v>1</v>
      </c>
      <c r="Y50" s="60">
        <v>306</v>
      </c>
      <c r="Z50" s="60">
        <v>193</v>
      </c>
      <c r="AA50" s="57" t="s">
        <v>116</v>
      </c>
      <c r="AB50" s="64" t="b">
        <f t="shared" si="6"/>
        <v>0</v>
      </c>
    </row>
    <row r="51" spans="1:28" ht="15" customHeight="1" x14ac:dyDescent="0.3">
      <c r="A51" s="65" t="s">
        <v>230</v>
      </c>
      <c r="B51" s="81">
        <v>45397</v>
      </c>
      <c r="C51" s="59">
        <f t="shared" si="0"/>
        <v>2024</v>
      </c>
      <c r="D51" s="59">
        <f t="shared" si="1"/>
        <v>4</v>
      </c>
      <c r="E51" s="59">
        <f t="shared" si="2"/>
        <v>16</v>
      </c>
      <c r="F51" s="65" t="s">
        <v>53</v>
      </c>
      <c r="G51" s="65" t="s">
        <v>40</v>
      </c>
      <c r="H51" s="65" t="s">
        <v>231</v>
      </c>
      <c r="I51" s="65" t="s">
        <v>69</v>
      </c>
      <c r="J51" s="65" t="s">
        <v>112</v>
      </c>
      <c r="K51" s="65" t="s">
        <v>73</v>
      </c>
      <c r="L51" s="65" t="s">
        <v>119</v>
      </c>
      <c r="M51" s="67">
        <v>580</v>
      </c>
      <c r="N51" s="65" t="s">
        <v>132</v>
      </c>
      <c r="O51" s="68">
        <v>618.51</v>
      </c>
      <c r="P51" s="68">
        <v>358735.8</v>
      </c>
      <c r="Q51" s="68">
        <v>25373.62</v>
      </c>
      <c r="R51" s="62">
        <f t="shared" si="3"/>
        <v>7.0730660279793647E-2</v>
      </c>
      <c r="S51" s="67">
        <v>25</v>
      </c>
      <c r="T51" s="66">
        <v>45422</v>
      </c>
      <c r="U51" s="66">
        <v>45424</v>
      </c>
      <c r="V51" s="63">
        <f t="shared" si="4"/>
        <v>2</v>
      </c>
      <c r="W51" s="65" t="s">
        <v>125</v>
      </c>
      <c r="X51" s="64" t="b">
        <f t="shared" si="5"/>
        <v>0</v>
      </c>
      <c r="Y51" s="67">
        <v>279</v>
      </c>
      <c r="Z51" s="67">
        <v>173</v>
      </c>
      <c r="AA51" s="65" t="s">
        <v>81</v>
      </c>
      <c r="AB51" s="64" t="b">
        <f t="shared" si="6"/>
        <v>1</v>
      </c>
    </row>
    <row r="52" spans="1:28" ht="15" customHeight="1" x14ac:dyDescent="0.3">
      <c r="A52" s="57" t="s">
        <v>232</v>
      </c>
      <c r="B52" s="82">
        <v>45476</v>
      </c>
      <c r="C52" s="59">
        <f t="shared" si="0"/>
        <v>2024</v>
      </c>
      <c r="D52" s="59">
        <f t="shared" si="1"/>
        <v>7</v>
      </c>
      <c r="E52" s="59">
        <f t="shared" si="2"/>
        <v>27</v>
      </c>
      <c r="F52" s="57" t="s">
        <v>54</v>
      </c>
      <c r="G52" s="57" t="s">
        <v>42</v>
      </c>
      <c r="H52" s="57" t="s">
        <v>233</v>
      </c>
      <c r="I52" s="57" t="s">
        <v>65</v>
      </c>
      <c r="J52" s="57" t="s">
        <v>131</v>
      </c>
      <c r="K52" s="57" t="s">
        <v>75</v>
      </c>
      <c r="L52" s="57" t="s">
        <v>146</v>
      </c>
      <c r="M52" s="60">
        <v>520</v>
      </c>
      <c r="N52" s="57" t="s">
        <v>136</v>
      </c>
      <c r="O52" s="61">
        <v>96.04</v>
      </c>
      <c r="P52" s="61">
        <v>49940.800000000003</v>
      </c>
      <c r="Q52" s="61">
        <v>3393.22</v>
      </c>
      <c r="R52" s="62">
        <f t="shared" si="3"/>
        <v>6.7944846698491004E-2</v>
      </c>
      <c r="S52" s="60">
        <v>3</v>
      </c>
      <c r="T52" s="58">
        <v>45479</v>
      </c>
      <c r="U52" s="58">
        <v>45487</v>
      </c>
      <c r="V52" s="63">
        <f t="shared" si="4"/>
        <v>8</v>
      </c>
      <c r="W52" s="57" t="s">
        <v>128</v>
      </c>
      <c r="X52" s="64" t="b">
        <f t="shared" si="5"/>
        <v>0</v>
      </c>
      <c r="Y52" s="60">
        <v>362</v>
      </c>
      <c r="Z52" s="60">
        <v>391</v>
      </c>
      <c r="AA52" s="57" t="s">
        <v>81</v>
      </c>
      <c r="AB52" s="64" t="b">
        <f t="shared" si="6"/>
        <v>1</v>
      </c>
    </row>
    <row r="53" spans="1:28" ht="15" customHeight="1" x14ac:dyDescent="0.3">
      <c r="A53" s="65" t="s">
        <v>234</v>
      </c>
      <c r="B53" s="81">
        <v>45054</v>
      </c>
      <c r="C53" s="59">
        <f t="shared" si="0"/>
        <v>2023</v>
      </c>
      <c r="D53" s="59">
        <f t="shared" si="1"/>
        <v>5</v>
      </c>
      <c r="E53" s="59">
        <f t="shared" si="2"/>
        <v>19</v>
      </c>
      <c r="F53" s="65" t="s">
        <v>60</v>
      </c>
      <c r="G53" s="65" t="s">
        <v>43</v>
      </c>
      <c r="H53" s="65" t="s">
        <v>235</v>
      </c>
      <c r="I53" s="65" t="s">
        <v>68</v>
      </c>
      <c r="J53" s="65" t="s">
        <v>123</v>
      </c>
      <c r="K53" s="65" t="s">
        <v>71</v>
      </c>
      <c r="L53" s="65" t="s">
        <v>113</v>
      </c>
      <c r="M53" s="67">
        <v>866</v>
      </c>
      <c r="N53" s="65" t="s">
        <v>136</v>
      </c>
      <c r="O53" s="68">
        <v>228.09</v>
      </c>
      <c r="P53" s="68">
        <v>197525.94</v>
      </c>
      <c r="Q53" s="68">
        <v>9976.7900000000009</v>
      </c>
      <c r="R53" s="62">
        <f t="shared" si="3"/>
        <v>5.0508758495213343E-2</v>
      </c>
      <c r="S53" s="67">
        <v>5</v>
      </c>
      <c r="T53" s="66">
        <v>45059</v>
      </c>
      <c r="U53" s="66">
        <v>45054</v>
      </c>
      <c r="V53" s="63">
        <f t="shared" si="4"/>
        <v>-5</v>
      </c>
      <c r="W53" s="65" t="s">
        <v>115</v>
      </c>
      <c r="X53" s="64" t="b">
        <f t="shared" si="5"/>
        <v>1</v>
      </c>
      <c r="Y53" s="67">
        <v>209</v>
      </c>
      <c r="Z53" s="67">
        <v>101</v>
      </c>
      <c r="AA53" s="65" t="s">
        <v>84</v>
      </c>
      <c r="AB53" s="64" t="b">
        <f t="shared" si="6"/>
        <v>1</v>
      </c>
    </row>
    <row r="54" spans="1:28" ht="15" customHeight="1" x14ac:dyDescent="0.3">
      <c r="A54" s="57" t="s">
        <v>236</v>
      </c>
      <c r="B54" s="82">
        <v>45314</v>
      </c>
      <c r="C54" s="59">
        <f t="shared" si="0"/>
        <v>2024</v>
      </c>
      <c r="D54" s="59">
        <f t="shared" si="1"/>
        <v>1</v>
      </c>
      <c r="E54" s="59">
        <f t="shared" si="2"/>
        <v>4</v>
      </c>
      <c r="F54" s="57" t="s">
        <v>56</v>
      </c>
      <c r="G54" s="57" t="s">
        <v>46</v>
      </c>
      <c r="H54" s="57" t="s">
        <v>237</v>
      </c>
      <c r="I54" s="57" t="s">
        <v>66</v>
      </c>
      <c r="J54" s="57" t="s">
        <v>123</v>
      </c>
      <c r="K54" s="57" t="s">
        <v>72</v>
      </c>
      <c r="L54" s="57" t="s">
        <v>156</v>
      </c>
      <c r="M54" s="60">
        <v>191</v>
      </c>
      <c r="N54" s="57" t="s">
        <v>140</v>
      </c>
      <c r="O54" s="61">
        <v>61.55</v>
      </c>
      <c r="P54" s="61">
        <v>11756.05</v>
      </c>
      <c r="Q54" s="61">
        <v>399.4</v>
      </c>
      <c r="R54" s="62">
        <f t="shared" si="3"/>
        <v>3.3973996367827629E-2</v>
      </c>
      <c r="S54" s="60">
        <v>19</v>
      </c>
      <c r="T54" s="58">
        <v>45333</v>
      </c>
      <c r="U54" s="58">
        <v>45333</v>
      </c>
      <c r="V54" s="63">
        <f t="shared" si="4"/>
        <v>0</v>
      </c>
      <c r="W54" s="57" t="s">
        <v>115</v>
      </c>
      <c r="X54" s="64" t="b">
        <f t="shared" si="5"/>
        <v>1</v>
      </c>
      <c r="Y54" s="60">
        <v>255</v>
      </c>
      <c r="Z54" s="60">
        <v>323</v>
      </c>
      <c r="AA54" s="57" t="s">
        <v>83</v>
      </c>
      <c r="AB54" s="64" t="b">
        <f t="shared" si="6"/>
        <v>1</v>
      </c>
    </row>
    <row r="55" spans="1:28" ht="15" customHeight="1" x14ac:dyDescent="0.3">
      <c r="A55" s="65" t="s">
        <v>238</v>
      </c>
      <c r="B55" s="81">
        <v>45007</v>
      </c>
      <c r="C55" s="59">
        <f t="shared" si="0"/>
        <v>2023</v>
      </c>
      <c r="D55" s="59">
        <f t="shared" si="1"/>
        <v>3</v>
      </c>
      <c r="E55" s="59">
        <f t="shared" si="2"/>
        <v>12</v>
      </c>
      <c r="F55" s="65" t="s">
        <v>53</v>
      </c>
      <c r="G55" s="65" t="s">
        <v>43</v>
      </c>
      <c r="H55" s="65" t="s">
        <v>239</v>
      </c>
      <c r="I55" s="65" t="s">
        <v>67</v>
      </c>
      <c r="J55" s="65" t="s">
        <v>139</v>
      </c>
      <c r="K55" s="65" t="s">
        <v>74</v>
      </c>
      <c r="L55" s="65" t="s">
        <v>113</v>
      </c>
      <c r="M55" s="67">
        <v>467</v>
      </c>
      <c r="N55" s="65" t="s">
        <v>114</v>
      </c>
      <c r="O55" s="68">
        <v>223.42</v>
      </c>
      <c r="P55" s="68">
        <v>104337.14</v>
      </c>
      <c r="Q55" s="68">
        <v>7378.7</v>
      </c>
      <c r="R55" s="62">
        <f t="shared" si="3"/>
        <v>7.0719783961875893E-2</v>
      </c>
      <c r="S55" s="67">
        <v>7</v>
      </c>
      <c r="T55" s="66">
        <v>45014</v>
      </c>
      <c r="U55" s="66">
        <v>45016</v>
      </c>
      <c r="V55" s="63">
        <f t="shared" si="4"/>
        <v>2</v>
      </c>
      <c r="W55" s="65" t="s">
        <v>125</v>
      </c>
      <c r="X55" s="64" t="b">
        <f t="shared" si="5"/>
        <v>0</v>
      </c>
      <c r="Y55" s="67">
        <v>170</v>
      </c>
      <c r="Z55" s="67">
        <v>292</v>
      </c>
      <c r="AA55" s="65" t="s">
        <v>83</v>
      </c>
      <c r="AB55" s="64" t="b">
        <f t="shared" si="6"/>
        <v>1</v>
      </c>
    </row>
    <row r="56" spans="1:28" ht="15" customHeight="1" x14ac:dyDescent="0.3">
      <c r="A56" s="57" t="s">
        <v>240</v>
      </c>
      <c r="B56" s="82">
        <v>45492</v>
      </c>
      <c r="C56" s="59">
        <f t="shared" si="0"/>
        <v>2024</v>
      </c>
      <c r="D56" s="59">
        <f t="shared" si="1"/>
        <v>7</v>
      </c>
      <c r="E56" s="59">
        <f t="shared" si="2"/>
        <v>29</v>
      </c>
      <c r="F56" s="57" t="s">
        <v>54</v>
      </c>
      <c r="G56" s="57" t="s">
        <v>39</v>
      </c>
      <c r="H56" s="57" t="s">
        <v>241</v>
      </c>
      <c r="I56" s="57" t="s">
        <v>64</v>
      </c>
      <c r="J56" s="57" t="s">
        <v>112</v>
      </c>
      <c r="K56" s="57" t="s">
        <v>73</v>
      </c>
      <c r="L56" s="57" t="s">
        <v>124</v>
      </c>
      <c r="M56" s="60">
        <v>927</v>
      </c>
      <c r="N56" s="57" t="s">
        <v>163</v>
      </c>
      <c r="O56" s="61">
        <v>2125.89</v>
      </c>
      <c r="P56" s="61">
        <v>1639255.3774000001</v>
      </c>
      <c r="Q56" s="61">
        <v>96548.6302</v>
      </c>
      <c r="R56" s="62">
        <f t="shared" si="3"/>
        <v>5.8897857851248549E-2</v>
      </c>
      <c r="S56" s="60">
        <v>21</v>
      </c>
      <c r="T56" s="58">
        <v>45513</v>
      </c>
      <c r="U56" s="58">
        <v>45512</v>
      </c>
      <c r="V56" s="63">
        <f t="shared" si="4"/>
        <v>-1</v>
      </c>
      <c r="W56" s="57" t="s">
        <v>115</v>
      </c>
      <c r="X56" s="64" t="b">
        <f t="shared" si="5"/>
        <v>1</v>
      </c>
      <c r="Y56" s="60">
        <v>72</v>
      </c>
      <c r="Z56" s="60">
        <v>84</v>
      </c>
      <c r="AA56" s="57" t="s">
        <v>83</v>
      </c>
      <c r="AB56" s="64" t="b">
        <f t="shared" si="6"/>
        <v>1</v>
      </c>
    </row>
    <row r="57" spans="1:28" ht="15" customHeight="1" x14ac:dyDescent="0.3">
      <c r="A57" s="65" t="s">
        <v>242</v>
      </c>
      <c r="B57" s="81">
        <v>45227</v>
      </c>
      <c r="C57" s="59">
        <f t="shared" si="0"/>
        <v>2023</v>
      </c>
      <c r="D57" s="59">
        <f t="shared" si="1"/>
        <v>10</v>
      </c>
      <c r="E57" s="59">
        <f t="shared" si="2"/>
        <v>43</v>
      </c>
      <c r="F57" s="65" t="s">
        <v>58</v>
      </c>
      <c r="G57" s="65" t="s">
        <v>41</v>
      </c>
      <c r="H57" s="65" t="s">
        <v>243</v>
      </c>
      <c r="I57" s="65" t="s">
        <v>66</v>
      </c>
      <c r="J57" s="65" t="s">
        <v>123</v>
      </c>
      <c r="K57" s="65" t="s">
        <v>72</v>
      </c>
      <c r="L57" s="65" t="s">
        <v>124</v>
      </c>
      <c r="M57" s="67">
        <v>860</v>
      </c>
      <c r="N57" s="65" t="s">
        <v>140</v>
      </c>
      <c r="O57" s="68">
        <v>428.52</v>
      </c>
      <c r="P57" s="68">
        <v>368527.2</v>
      </c>
      <c r="Q57" s="68">
        <v>29056.77</v>
      </c>
      <c r="R57" s="62">
        <f t="shared" si="3"/>
        <v>7.8845659153517031E-2</v>
      </c>
      <c r="S57" s="67">
        <v>9</v>
      </c>
      <c r="T57" s="66">
        <v>45236</v>
      </c>
      <c r="U57" s="66">
        <v>45238</v>
      </c>
      <c r="V57" s="63">
        <f t="shared" si="4"/>
        <v>2</v>
      </c>
      <c r="W57" s="65" t="s">
        <v>128</v>
      </c>
      <c r="X57" s="64" t="b">
        <f t="shared" si="5"/>
        <v>0</v>
      </c>
      <c r="Y57" s="67">
        <v>146</v>
      </c>
      <c r="Z57" s="67">
        <v>396</v>
      </c>
      <c r="AA57" s="65" t="s">
        <v>116</v>
      </c>
      <c r="AB57" s="64" t="b">
        <f t="shared" si="6"/>
        <v>0</v>
      </c>
    </row>
    <row r="58" spans="1:28" ht="15" customHeight="1" x14ac:dyDescent="0.3">
      <c r="A58" s="57" t="s">
        <v>244</v>
      </c>
      <c r="B58" s="82">
        <v>45570</v>
      </c>
      <c r="C58" s="59">
        <f t="shared" si="0"/>
        <v>2024</v>
      </c>
      <c r="D58" s="59">
        <f t="shared" si="1"/>
        <v>10</v>
      </c>
      <c r="E58" s="59">
        <f t="shared" si="2"/>
        <v>40</v>
      </c>
      <c r="F58" s="57" t="s">
        <v>59</v>
      </c>
      <c r="G58" s="57" t="s">
        <v>43</v>
      </c>
      <c r="H58" s="57" t="s">
        <v>245</v>
      </c>
      <c r="I58" s="57" t="s">
        <v>65</v>
      </c>
      <c r="J58" s="57" t="s">
        <v>143</v>
      </c>
      <c r="K58" s="57" t="s">
        <v>73</v>
      </c>
      <c r="L58" s="57" t="s">
        <v>124</v>
      </c>
      <c r="M58" s="60">
        <v>842</v>
      </c>
      <c r="N58" s="57" t="s">
        <v>120</v>
      </c>
      <c r="O58" s="61">
        <v>143.61000000000001</v>
      </c>
      <c r="P58" s="61">
        <v>120919.62</v>
      </c>
      <c r="Q58" s="61">
        <v>3547.97</v>
      </c>
      <c r="R58" s="62">
        <f t="shared" si="3"/>
        <v>2.9341557639694864E-2</v>
      </c>
      <c r="S58" s="60">
        <v>7</v>
      </c>
      <c r="T58" s="58">
        <v>45577</v>
      </c>
      <c r="U58" s="58">
        <v>45589</v>
      </c>
      <c r="V58" s="63">
        <f t="shared" si="4"/>
        <v>12</v>
      </c>
      <c r="W58" s="57" t="s">
        <v>125</v>
      </c>
      <c r="X58" s="64" t="b">
        <f t="shared" si="5"/>
        <v>0</v>
      </c>
      <c r="Y58" s="60">
        <v>339</v>
      </c>
      <c r="Z58" s="60">
        <v>200</v>
      </c>
      <c r="AA58" s="57" t="s">
        <v>82</v>
      </c>
      <c r="AB58" s="64" t="b">
        <f t="shared" si="6"/>
        <v>1</v>
      </c>
    </row>
    <row r="59" spans="1:28" ht="15" customHeight="1" x14ac:dyDescent="0.3">
      <c r="A59" s="65" t="s">
        <v>246</v>
      </c>
      <c r="B59" s="81">
        <v>45560</v>
      </c>
      <c r="C59" s="59">
        <f t="shared" si="0"/>
        <v>2024</v>
      </c>
      <c r="D59" s="59">
        <f t="shared" si="1"/>
        <v>9</v>
      </c>
      <c r="E59" s="59">
        <f t="shared" si="2"/>
        <v>39</v>
      </c>
      <c r="F59" s="65" t="s">
        <v>56</v>
      </c>
      <c r="G59" s="65" t="s">
        <v>46</v>
      </c>
      <c r="H59" s="65" t="s">
        <v>247</v>
      </c>
      <c r="I59" s="65" t="s">
        <v>69</v>
      </c>
      <c r="J59" s="65" t="s">
        <v>112</v>
      </c>
      <c r="K59" s="65" t="s">
        <v>72</v>
      </c>
      <c r="L59" s="65" t="s">
        <v>135</v>
      </c>
      <c r="M59" s="67">
        <v>73</v>
      </c>
      <c r="N59" s="65" t="s">
        <v>163</v>
      </c>
      <c r="O59" s="68">
        <v>83.36</v>
      </c>
      <c r="P59" s="68">
        <v>6085.28</v>
      </c>
      <c r="Q59" s="68">
        <v>204.1</v>
      </c>
      <c r="R59" s="62">
        <f t="shared" si="3"/>
        <v>3.3539952146819867E-2</v>
      </c>
      <c r="S59" s="67">
        <v>18</v>
      </c>
      <c r="T59" s="66">
        <v>45578</v>
      </c>
      <c r="U59" s="66">
        <v>45573</v>
      </c>
      <c r="V59" s="63">
        <f t="shared" si="4"/>
        <v>-5</v>
      </c>
      <c r="W59" s="65" t="s">
        <v>115</v>
      </c>
      <c r="X59" s="64" t="b">
        <f t="shared" si="5"/>
        <v>1</v>
      </c>
      <c r="Y59" s="67">
        <v>316</v>
      </c>
      <c r="Z59" s="67">
        <v>172</v>
      </c>
      <c r="AA59" s="65" t="s">
        <v>84</v>
      </c>
      <c r="AB59" s="64" t="b">
        <f t="shared" si="6"/>
        <v>1</v>
      </c>
    </row>
    <row r="60" spans="1:28" ht="15" customHeight="1" x14ac:dyDescent="0.3">
      <c r="A60" s="57" t="s">
        <v>248</v>
      </c>
      <c r="B60" s="82">
        <v>45297</v>
      </c>
      <c r="C60" s="59">
        <f t="shared" si="0"/>
        <v>2024</v>
      </c>
      <c r="D60" s="59">
        <f t="shared" si="1"/>
        <v>1</v>
      </c>
      <c r="E60" s="59">
        <f t="shared" si="2"/>
        <v>1</v>
      </c>
      <c r="F60" s="57" t="s">
        <v>55</v>
      </c>
      <c r="G60" s="57" t="s">
        <v>42</v>
      </c>
      <c r="H60" s="57" t="s">
        <v>249</v>
      </c>
      <c r="I60" s="57" t="s">
        <v>68</v>
      </c>
      <c r="J60" s="57" t="s">
        <v>131</v>
      </c>
      <c r="K60" s="57" t="s">
        <v>74</v>
      </c>
      <c r="L60" s="57" t="s">
        <v>156</v>
      </c>
      <c r="M60" s="60">
        <v>848</v>
      </c>
      <c r="N60" s="57" t="s">
        <v>120</v>
      </c>
      <c r="O60" s="61">
        <v>92.94</v>
      </c>
      <c r="P60" s="61">
        <v>78813.119999999995</v>
      </c>
      <c r="Q60" s="61">
        <v>2577.81</v>
      </c>
      <c r="R60" s="62">
        <f t="shared" si="3"/>
        <v>3.2707879094242179E-2</v>
      </c>
      <c r="S60" s="60">
        <v>4</v>
      </c>
      <c r="T60" s="58">
        <v>45301</v>
      </c>
      <c r="U60" s="58">
        <v>45309</v>
      </c>
      <c r="V60" s="63">
        <f t="shared" si="4"/>
        <v>8</v>
      </c>
      <c r="W60" s="57" t="s">
        <v>128</v>
      </c>
      <c r="X60" s="64" t="b">
        <f t="shared" si="5"/>
        <v>0</v>
      </c>
      <c r="Y60" s="60">
        <v>105</v>
      </c>
      <c r="Z60" s="60">
        <v>28</v>
      </c>
      <c r="AA60" s="57" t="s">
        <v>116</v>
      </c>
      <c r="AB60" s="64" t="b">
        <f t="shared" si="6"/>
        <v>0</v>
      </c>
    </row>
    <row r="61" spans="1:28" ht="15" customHeight="1" x14ac:dyDescent="0.3">
      <c r="A61" s="65" t="s">
        <v>250</v>
      </c>
      <c r="B61" s="81">
        <v>45518</v>
      </c>
      <c r="C61" s="59">
        <f t="shared" si="0"/>
        <v>2024</v>
      </c>
      <c r="D61" s="59">
        <f t="shared" si="1"/>
        <v>8</v>
      </c>
      <c r="E61" s="59">
        <f t="shared" si="2"/>
        <v>33</v>
      </c>
      <c r="F61" s="65" t="s">
        <v>52</v>
      </c>
      <c r="G61" s="65" t="s">
        <v>45</v>
      </c>
      <c r="H61" s="65" t="s">
        <v>251</v>
      </c>
      <c r="I61" s="65" t="s">
        <v>66</v>
      </c>
      <c r="J61" s="65" t="s">
        <v>143</v>
      </c>
      <c r="K61" s="65" t="s">
        <v>73</v>
      </c>
      <c r="L61" s="65" t="s">
        <v>124</v>
      </c>
      <c r="M61" s="67">
        <v>269</v>
      </c>
      <c r="N61" s="65" t="s">
        <v>136</v>
      </c>
      <c r="O61" s="68">
        <v>282.51</v>
      </c>
      <c r="P61" s="68">
        <v>75995.19</v>
      </c>
      <c r="Q61" s="68">
        <v>5133.66</v>
      </c>
      <c r="R61" s="62">
        <f t="shared" si="3"/>
        <v>6.7552433252683494E-2</v>
      </c>
      <c r="S61" s="67">
        <v>25</v>
      </c>
      <c r="T61" s="66">
        <v>45543</v>
      </c>
      <c r="U61" s="66">
        <v>45551</v>
      </c>
      <c r="V61" s="63">
        <f t="shared" si="4"/>
        <v>8</v>
      </c>
      <c r="W61" s="65" t="s">
        <v>125</v>
      </c>
      <c r="X61" s="64" t="b">
        <f t="shared" si="5"/>
        <v>0</v>
      </c>
      <c r="Y61" s="67">
        <v>93</v>
      </c>
      <c r="Z61" s="67">
        <v>296</v>
      </c>
      <c r="AA61" s="65" t="s">
        <v>84</v>
      </c>
      <c r="AB61" s="64" t="b">
        <f t="shared" si="6"/>
        <v>1</v>
      </c>
    </row>
    <row r="62" spans="1:28" ht="15" customHeight="1" x14ac:dyDescent="0.3">
      <c r="A62" s="57" t="s">
        <v>252</v>
      </c>
      <c r="B62" s="82">
        <v>45123</v>
      </c>
      <c r="C62" s="59">
        <f t="shared" si="0"/>
        <v>2023</v>
      </c>
      <c r="D62" s="59">
        <f t="shared" si="1"/>
        <v>7</v>
      </c>
      <c r="E62" s="59">
        <f t="shared" si="2"/>
        <v>29</v>
      </c>
      <c r="F62" s="57" t="s">
        <v>55</v>
      </c>
      <c r="G62" s="57" t="s">
        <v>44</v>
      </c>
      <c r="H62" s="57" t="s">
        <v>253</v>
      </c>
      <c r="I62" s="57" t="s">
        <v>67</v>
      </c>
      <c r="J62" s="57" t="s">
        <v>139</v>
      </c>
      <c r="K62" s="57" t="s">
        <v>74</v>
      </c>
      <c r="L62" s="57" t="s">
        <v>119</v>
      </c>
      <c r="M62" s="60">
        <v>202</v>
      </c>
      <c r="N62" s="57" t="s">
        <v>132</v>
      </c>
      <c r="O62" s="61">
        <v>141.31</v>
      </c>
      <c r="P62" s="61">
        <v>28544.62</v>
      </c>
      <c r="Q62" s="61">
        <v>891</v>
      </c>
      <c r="R62" s="62">
        <f t="shared" si="3"/>
        <v>3.1214288366774545E-2</v>
      </c>
      <c r="S62" s="60">
        <v>28</v>
      </c>
      <c r="T62" s="58">
        <v>45151</v>
      </c>
      <c r="U62" s="58">
        <v>45154</v>
      </c>
      <c r="V62" s="63">
        <f t="shared" si="4"/>
        <v>3</v>
      </c>
      <c r="W62" s="57" t="s">
        <v>128</v>
      </c>
      <c r="X62" s="64" t="b">
        <f t="shared" si="5"/>
        <v>0</v>
      </c>
      <c r="Y62" s="60">
        <v>62</v>
      </c>
      <c r="Z62" s="60">
        <v>55</v>
      </c>
      <c r="AA62" s="57" t="s">
        <v>84</v>
      </c>
      <c r="AB62" s="64" t="b">
        <f t="shared" si="6"/>
        <v>1</v>
      </c>
    </row>
    <row r="63" spans="1:28" ht="15" customHeight="1" x14ac:dyDescent="0.3">
      <c r="A63" s="65" t="s">
        <v>254</v>
      </c>
      <c r="B63" s="81">
        <v>45648</v>
      </c>
      <c r="C63" s="59">
        <f t="shared" si="0"/>
        <v>2024</v>
      </c>
      <c r="D63" s="59">
        <f t="shared" si="1"/>
        <v>12</v>
      </c>
      <c r="E63" s="59">
        <f t="shared" si="2"/>
        <v>52</v>
      </c>
      <c r="F63" s="65" t="s">
        <v>54</v>
      </c>
      <c r="G63" s="65" t="s">
        <v>41</v>
      </c>
      <c r="H63" s="65" t="s">
        <v>255</v>
      </c>
      <c r="I63" s="65" t="s">
        <v>68</v>
      </c>
      <c r="J63" s="65" t="s">
        <v>151</v>
      </c>
      <c r="K63" s="65" t="s">
        <v>73</v>
      </c>
      <c r="L63" s="65" t="s">
        <v>119</v>
      </c>
      <c r="M63" s="67">
        <v>664</v>
      </c>
      <c r="N63" s="65" t="s">
        <v>120</v>
      </c>
      <c r="O63" s="68">
        <v>674.06</v>
      </c>
      <c r="P63" s="68">
        <v>447575.84</v>
      </c>
      <c r="Q63" s="68">
        <v>10741.64</v>
      </c>
      <c r="R63" s="62">
        <f t="shared" si="3"/>
        <v>2.3999597476038918E-2</v>
      </c>
      <c r="S63" s="67">
        <v>14</v>
      </c>
      <c r="T63" s="66">
        <v>45662</v>
      </c>
      <c r="U63" s="66">
        <v>45670</v>
      </c>
      <c r="V63" s="63">
        <f t="shared" si="4"/>
        <v>8</v>
      </c>
      <c r="W63" s="65" t="s">
        <v>128</v>
      </c>
      <c r="X63" s="64" t="b">
        <f t="shared" si="5"/>
        <v>0</v>
      </c>
      <c r="Y63" s="67">
        <v>153</v>
      </c>
      <c r="Z63" s="67">
        <v>471</v>
      </c>
      <c r="AA63" s="65" t="s">
        <v>116</v>
      </c>
      <c r="AB63" s="64" t="b">
        <f t="shared" si="6"/>
        <v>0</v>
      </c>
    </row>
    <row r="64" spans="1:28" ht="15" customHeight="1" x14ac:dyDescent="0.3">
      <c r="A64" s="57" t="s">
        <v>256</v>
      </c>
      <c r="B64" s="82">
        <v>44998</v>
      </c>
      <c r="C64" s="59">
        <f t="shared" si="0"/>
        <v>2023</v>
      </c>
      <c r="D64" s="59">
        <f t="shared" si="1"/>
        <v>3</v>
      </c>
      <c r="E64" s="59">
        <f t="shared" si="2"/>
        <v>11</v>
      </c>
      <c r="F64" s="57" t="s">
        <v>61</v>
      </c>
      <c r="G64" s="57" t="s">
        <v>45</v>
      </c>
      <c r="H64" s="57" t="s">
        <v>257</v>
      </c>
      <c r="I64" s="57" t="s">
        <v>65</v>
      </c>
      <c r="J64" s="57" t="s">
        <v>143</v>
      </c>
      <c r="K64" s="57" t="s">
        <v>72</v>
      </c>
      <c r="L64" s="57" t="s">
        <v>113</v>
      </c>
      <c r="M64" s="60">
        <v>625</v>
      </c>
      <c r="N64" s="57" t="s">
        <v>136</v>
      </c>
      <c r="O64" s="61">
        <v>208.75</v>
      </c>
      <c r="P64" s="61">
        <v>130468.75</v>
      </c>
      <c r="Q64" s="61">
        <v>10426.23</v>
      </c>
      <c r="R64" s="62">
        <f t="shared" si="3"/>
        <v>7.9913619161676649E-2</v>
      </c>
      <c r="S64" s="60">
        <v>18</v>
      </c>
      <c r="T64" s="58">
        <v>45016</v>
      </c>
      <c r="U64" s="58">
        <v>45019</v>
      </c>
      <c r="V64" s="63">
        <f t="shared" si="4"/>
        <v>3</v>
      </c>
      <c r="W64" s="57" t="s">
        <v>125</v>
      </c>
      <c r="X64" s="64" t="b">
        <f t="shared" si="5"/>
        <v>0</v>
      </c>
      <c r="Y64" s="60">
        <v>254</v>
      </c>
      <c r="Z64" s="60">
        <v>15</v>
      </c>
      <c r="AA64" s="57" t="s">
        <v>116</v>
      </c>
      <c r="AB64" s="64" t="b">
        <f t="shared" si="6"/>
        <v>0</v>
      </c>
    </row>
    <row r="65" spans="1:28" ht="15" customHeight="1" x14ac:dyDescent="0.3">
      <c r="A65" s="65" t="s">
        <v>258</v>
      </c>
      <c r="B65" s="81">
        <v>44973</v>
      </c>
      <c r="C65" s="59">
        <f t="shared" si="0"/>
        <v>2023</v>
      </c>
      <c r="D65" s="59">
        <f t="shared" si="1"/>
        <v>2</v>
      </c>
      <c r="E65" s="59">
        <f t="shared" si="2"/>
        <v>7</v>
      </c>
      <c r="F65" s="65" t="s">
        <v>54</v>
      </c>
      <c r="G65" s="65" t="s">
        <v>42</v>
      </c>
      <c r="H65" s="65" t="s">
        <v>259</v>
      </c>
      <c r="I65" s="65" t="s">
        <v>68</v>
      </c>
      <c r="J65" s="65" t="s">
        <v>131</v>
      </c>
      <c r="K65" s="65" t="s">
        <v>71</v>
      </c>
      <c r="L65" s="65" t="s">
        <v>124</v>
      </c>
      <c r="M65" s="67">
        <v>981</v>
      </c>
      <c r="N65" s="65" t="s">
        <v>140</v>
      </c>
      <c r="O65" s="68">
        <v>103.99</v>
      </c>
      <c r="P65" s="68">
        <v>102014.19</v>
      </c>
      <c r="Q65" s="68">
        <v>2192.19</v>
      </c>
      <c r="R65" s="62">
        <f t="shared" si="3"/>
        <v>2.1489069314768856E-2</v>
      </c>
      <c r="S65" s="67">
        <v>26</v>
      </c>
      <c r="T65" s="66">
        <v>44999</v>
      </c>
      <c r="U65" s="66">
        <v>44999</v>
      </c>
      <c r="V65" s="63">
        <f t="shared" si="4"/>
        <v>0</v>
      </c>
      <c r="W65" s="65" t="s">
        <v>115</v>
      </c>
      <c r="X65" s="64" t="b">
        <f t="shared" si="5"/>
        <v>1</v>
      </c>
      <c r="Y65" s="67">
        <v>350</v>
      </c>
      <c r="Z65" s="67">
        <v>139</v>
      </c>
      <c r="AA65" s="65" t="s">
        <v>82</v>
      </c>
      <c r="AB65" s="64" t="b">
        <f t="shared" si="6"/>
        <v>1</v>
      </c>
    </row>
    <row r="66" spans="1:28" ht="15" customHeight="1" x14ac:dyDescent="0.3">
      <c r="A66" s="57" t="s">
        <v>260</v>
      </c>
      <c r="B66" s="82">
        <v>45604</v>
      </c>
      <c r="C66" s="59">
        <f t="shared" ref="C66:C129" si="7">YEAR(B66)</f>
        <v>2024</v>
      </c>
      <c r="D66" s="59">
        <f t="shared" ref="D66:D129" si="8">MONTH(B66)</f>
        <v>11</v>
      </c>
      <c r="E66" s="59">
        <f t="shared" ref="E66:E129" si="9">WEEKNUM(B66,1)</f>
        <v>45</v>
      </c>
      <c r="F66" s="57" t="s">
        <v>59</v>
      </c>
      <c r="G66" s="57" t="s">
        <v>43</v>
      </c>
      <c r="H66" s="57" t="s">
        <v>261</v>
      </c>
      <c r="I66" s="57" t="s">
        <v>68</v>
      </c>
      <c r="J66" s="57" t="s">
        <v>143</v>
      </c>
      <c r="K66" s="57" t="s">
        <v>71</v>
      </c>
      <c r="L66" s="57" t="s">
        <v>135</v>
      </c>
      <c r="M66" s="60">
        <v>415</v>
      </c>
      <c r="N66" s="57" t="s">
        <v>120</v>
      </c>
      <c r="O66" s="61">
        <v>286.08999999999997</v>
      </c>
      <c r="P66" s="61">
        <v>118727.35</v>
      </c>
      <c r="Q66" s="61">
        <v>8324.5300000000007</v>
      </c>
      <c r="R66" s="62">
        <f t="shared" ref="R66:R129" si="10">Q66/P66</f>
        <v>7.0114678715561332E-2</v>
      </c>
      <c r="S66" s="60">
        <v>9</v>
      </c>
      <c r="T66" s="58">
        <v>45613</v>
      </c>
      <c r="U66" s="58">
        <v>45618</v>
      </c>
      <c r="V66" s="63">
        <f t="shared" ref="V66:V129" si="11">U66-T66</f>
        <v>5</v>
      </c>
      <c r="W66" s="57" t="s">
        <v>125</v>
      </c>
      <c r="X66" s="64" t="b">
        <f t="shared" ref="X66:X129" si="12">IF(W66="Entregado", TRUE(), FALSE())</f>
        <v>0</v>
      </c>
      <c r="Y66" s="60">
        <v>34</v>
      </c>
      <c r="Z66" s="60">
        <v>65</v>
      </c>
      <c r="AA66" s="57" t="s">
        <v>81</v>
      </c>
      <c r="AB66" s="64" t="b">
        <f t="shared" ref="AB66:AB129" si="13">IF(AA66="Ninguna",FALSE(),TRUE())</f>
        <v>1</v>
      </c>
    </row>
    <row r="67" spans="1:28" ht="15" customHeight="1" x14ac:dyDescent="0.3">
      <c r="A67" s="65" t="s">
        <v>262</v>
      </c>
      <c r="B67" s="81">
        <v>45160</v>
      </c>
      <c r="C67" s="59">
        <f t="shared" si="7"/>
        <v>2023</v>
      </c>
      <c r="D67" s="59">
        <f t="shared" si="8"/>
        <v>8</v>
      </c>
      <c r="E67" s="59">
        <f t="shared" si="9"/>
        <v>34</v>
      </c>
      <c r="F67" s="65" t="s">
        <v>58</v>
      </c>
      <c r="G67" s="65" t="s">
        <v>39</v>
      </c>
      <c r="H67" s="65" t="s">
        <v>263</v>
      </c>
      <c r="I67" s="65" t="s">
        <v>69</v>
      </c>
      <c r="J67" s="65" t="s">
        <v>112</v>
      </c>
      <c r="K67" s="65" t="s">
        <v>75</v>
      </c>
      <c r="L67" s="65" t="s">
        <v>119</v>
      </c>
      <c r="M67" s="67">
        <v>735</v>
      </c>
      <c r="N67" s="65" t="s">
        <v>136</v>
      </c>
      <c r="O67" s="68">
        <v>1736.55</v>
      </c>
      <c r="P67" s="68">
        <v>1276364.25</v>
      </c>
      <c r="Q67" s="68">
        <v>53507.76</v>
      </c>
      <c r="R67" s="62">
        <f t="shared" si="10"/>
        <v>4.1922014033219754E-2</v>
      </c>
      <c r="S67" s="67">
        <v>26</v>
      </c>
      <c r="T67" s="66">
        <v>45186</v>
      </c>
      <c r="U67" s="66">
        <v>45186</v>
      </c>
      <c r="V67" s="63">
        <f t="shared" si="11"/>
        <v>0</v>
      </c>
      <c r="W67" s="65" t="s">
        <v>128</v>
      </c>
      <c r="X67" s="64" t="b">
        <f t="shared" si="12"/>
        <v>0</v>
      </c>
      <c r="Y67" s="67">
        <v>322</v>
      </c>
      <c r="Z67" s="67">
        <v>445</v>
      </c>
      <c r="AA67" s="65" t="s">
        <v>81</v>
      </c>
      <c r="AB67" s="64" t="b">
        <f t="shared" si="13"/>
        <v>1</v>
      </c>
    </row>
    <row r="68" spans="1:28" ht="15" customHeight="1" x14ac:dyDescent="0.3">
      <c r="A68" s="57" t="s">
        <v>264</v>
      </c>
      <c r="B68" s="82">
        <v>45223</v>
      </c>
      <c r="C68" s="59">
        <f t="shared" si="7"/>
        <v>2023</v>
      </c>
      <c r="D68" s="59">
        <f t="shared" si="8"/>
        <v>10</v>
      </c>
      <c r="E68" s="59">
        <f t="shared" si="9"/>
        <v>43</v>
      </c>
      <c r="F68" s="57" t="s">
        <v>57</v>
      </c>
      <c r="G68" s="57" t="s">
        <v>40</v>
      </c>
      <c r="H68" s="57" t="s">
        <v>265</v>
      </c>
      <c r="I68" s="57" t="s">
        <v>64</v>
      </c>
      <c r="J68" s="57" t="s">
        <v>112</v>
      </c>
      <c r="K68" s="57" t="s">
        <v>75</v>
      </c>
      <c r="L68" s="57" t="s">
        <v>146</v>
      </c>
      <c r="M68" s="60">
        <v>763</v>
      </c>
      <c r="N68" s="57" t="s">
        <v>132</v>
      </c>
      <c r="O68" s="61">
        <v>675.7</v>
      </c>
      <c r="P68" s="61">
        <v>515559.1</v>
      </c>
      <c r="Q68" s="61">
        <v>36345.33</v>
      </c>
      <c r="R68" s="62">
        <f t="shared" si="10"/>
        <v>7.0496922661242911E-2</v>
      </c>
      <c r="S68" s="60">
        <v>21</v>
      </c>
      <c r="T68" s="58">
        <v>45244</v>
      </c>
      <c r="U68" s="58">
        <v>45252</v>
      </c>
      <c r="V68" s="63">
        <f t="shared" si="11"/>
        <v>8</v>
      </c>
      <c r="W68" s="57" t="s">
        <v>128</v>
      </c>
      <c r="X68" s="64" t="b">
        <f t="shared" si="12"/>
        <v>0</v>
      </c>
      <c r="Y68" s="60">
        <v>311</v>
      </c>
      <c r="Z68" s="60">
        <v>146</v>
      </c>
      <c r="AA68" s="57" t="s">
        <v>81</v>
      </c>
      <c r="AB68" s="64" t="b">
        <f t="shared" si="13"/>
        <v>1</v>
      </c>
    </row>
    <row r="69" spans="1:28" ht="15" customHeight="1" x14ac:dyDescent="0.3">
      <c r="A69" s="65" t="s">
        <v>266</v>
      </c>
      <c r="B69" s="81">
        <v>45008</v>
      </c>
      <c r="C69" s="59">
        <f t="shared" si="7"/>
        <v>2023</v>
      </c>
      <c r="D69" s="59">
        <f t="shared" si="8"/>
        <v>3</v>
      </c>
      <c r="E69" s="59">
        <f t="shared" si="9"/>
        <v>12</v>
      </c>
      <c r="F69" s="65" t="s">
        <v>54</v>
      </c>
      <c r="G69" s="65" t="s">
        <v>39</v>
      </c>
      <c r="H69" s="65" t="s">
        <v>267</v>
      </c>
      <c r="I69" s="65" t="s">
        <v>65</v>
      </c>
      <c r="J69" s="65" t="s">
        <v>131</v>
      </c>
      <c r="K69" s="65" t="s">
        <v>74</v>
      </c>
      <c r="L69" s="65" t="s">
        <v>156</v>
      </c>
      <c r="M69" s="67">
        <v>952</v>
      </c>
      <c r="N69" s="65" t="s">
        <v>120</v>
      </c>
      <c r="O69" s="68">
        <v>1372.56</v>
      </c>
      <c r="P69" s="68">
        <v>1306677.1200000001</v>
      </c>
      <c r="Q69" s="68">
        <v>69616.14</v>
      </c>
      <c r="R69" s="62">
        <f t="shared" si="10"/>
        <v>5.3277231945409738E-2</v>
      </c>
      <c r="S69" s="67">
        <v>2</v>
      </c>
      <c r="T69" s="66">
        <v>45010</v>
      </c>
      <c r="U69" s="66">
        <v>45010</v>
      </c>
      <c r="V69" s="63">
        <f t="shared" si="11"/>
        <v>0</v>
      </c>
      <c r="W69" s="65" t="s">
        <v>115</v>
      </c>
      <c r="X69" s="64" t="b">
        <f t="shared" si="12"/>
        <v>1</v>
      </c>
      <c r="Y69" s="67">
        <v>295</v>
      </c>
      <c r="Z69" s="67">
        <v>157</v>
      </c>
      <c r="AA69" s="65" t="s">
        <v>81</v>
      </c>
      <c r="AB69" s="64" t="b">
        <f t="shared" si="13"/>
        <v>1</v>
      </c>
    </row>
    <row r="70" spans="1:28" ht="15" customHeight="1" x14ac:dyDescent="0.3">
      <c r="A70" s="57" t="s">
        <v>268</v>
      </c>
      <c r="B70" s="82">
        <v>45165</v>
      </c>
      <c r="C70" s="59">
        <f t="shared" si="7"/>
        <v>2023</v>
      </c>
      <c r="D70" s="59">
        <f t="shared" si="8"/>
        <v>8</v>
      </c>
      <c r="E70" s="59">
        <f t="shared" si="9"/>
        <v>35</v>
      </c>
      <c r="F70" s="57" t="s">
        <v>58</v>
      </c>
      <c r="G70" s="57" t="s">
        <v>45</v>
      </c>
      <c r="H70" s="57" t="s">
        <v>269</v>
      </c>
      <c r="I70" s="57" t="s">
        <v>69</v>
      </c>
      <c r="J70" s="57" t="s">
        <v>112</v>
      </c>
      <c r="K70" s="57" t="s">
        <v>73</v>
      </c>
      <c r="L70" s="57" t="s">
        <v>146</v>
      </c>
      <c r="M70" s="60">
        <v>730</v>
      </c>
      <c r="N70" s="57" t="s">
        <v>114</v>
      </c>
      <c r="O70" s="61">
        <v>171.78</v>
      </c>
      <c r="P70" s="61">
        <v>125399.4</v>
      </c>
      <c r="Q70" s="61">
        <v>9291.83</v>
      </c>
      <c r="R70" s="62">
        <f t="shared" si="10"/>
        <v>7.4097882446008512E-2</v>
      </c>
      <c r="S70" s="60">
        <v>20</v>
      </c>
      <c r="T70" s="58">
        <v>45185</v>
      </c>
      <c r="U70" s="58">
        <v>45197</v>
      </c>
      <c r="V70" s="63">
        <f t="shared" si="11"/>
        <v>12</v>
      </c>
      <c r="W70" s="57" t="s">
        <v>125</v>
      </c>
      <c r="X70" s="64" t="b">
        <f t="shared" si="12"/>
        <v>0</v>
      </c>
      <c r="Y70" s="60">
        <v>252</v>
      </c>
      <c r="Z70" s="60">
        <v>399</v>
      </c>
      <c r="AA70" s="57" t="s">
        <v>116</v>
      </c>
      <c r="AB70" s="64" t="b">
        <f t="shared" si="13"/>
        <v>0</v>
      </c>
    </row>
    <row r="71" spans="1:28" ht="15" customHeight="1" x14ac:dyDescent="0.3">
      <c r="A71" s="65" t="s">
        <v>270</v>
      </c>
      <c r="B71" s="81">
        <v>45030</v>
      </c>
      <c r="C71" s="59">
        <f t="shared" si="7"/>
        <v>2023</v>
      </c>
      <c r="D71" s="59">
        <f t="shared" si="8"/>
        <v>4</v>
      </c>
      <c r="E71" s="59">
        <f t="shared" si="9"/>
        <v>15</v>
      </c>
      <c r="F71" s="65" t="s">
        <v>55</v>
      </c>
      <c r="G71" s="65" t="s">
        <v>46</v>
      </c>
      <c r="H71" s="65" t="s">
        <v>271</v>
      </c>
      <c r="I71" s="65" t="s">
        <v>64</v>
      </c>
      <c r="J71" s="65" t="s">
        <v>143</v>
      </c>
      <c r="K71" s="65" t="s">
        <v>75</v>
      </c>
      <c r="L71" s="65" t="s">
        <v>119</v>
      </c>
      <c r="M71" s="67">
        <v>102</v>
      </c>
      <c r="N71" s="65" t="s">
        <v>136</v>
      </c>
      <c r="O71" s="68">
        <v>53.85</v>
      </c>
      <c r="P71" s="68">
        <v>5492.7</v>
      </c>
      <c r="Q71" s="68">
        <v>415.09</v>
      </c>
      <c r="R71" s="62">
        <f t="shared" si="10"/>
        <v>7.5571212700493384E-2</v>
      </c>
      <c r="S71" s="67">
        <v>28</v>
      </c>
      <c r="T71" s="66">
        <v>45058</v>
      </c>
      <c r="U71" s="66">
        <v>45059</v>
      </c>
      <c r="V71" s="63">
        <f t="shared" si="11"/>
        <v>1</v>
      </c>
      <c r="W71" s="65" t="s">
        <v>128</v>
      </c>
      <c r="X71" s="64" t="b">
        <f t="shared" si="12"/>
        <v>0</v>
      </c>
      <c r="Y71" s="67">
        <v>156</v>
      </c>
      <c r="Z71" s="67">
        <v>471</v>
      </c>
      <c r="AA71" s="65" t="s">
        <v>81</v>
      </c>
      <c r="AB71" s="64" t="b">
        <f t="shared" si="13"/>
        <v>1</v>
      </c>
    </row>
    <row r="72" spans="1:28" ht="15" customHeight="1" x14ac:dyDescent="0.3">
      <c r="A72" s="57" t="s">
        <v>272</v>
      </c>
      <c r="B72" s="82">
        <v>45316</v>
      </c>
      <c r="C72" s="59">
        <f t="shared" si="7"/>
        <v>2024</v>
      </c>
      <c r="D72" s="59">
        <f t="shared" si="8"/>
        <v>1</v>
      </c>
      <c r="E72" s="59">
        <f t="shared" si="9"/>
        <v>4</v>
      </c>
      <c r="F72" s="57" t="s">
        <v>54</v>
      </c>
      <c r="G72" s="57" t="s">
        <v>39</v>
      </c>
      <c r="H72" s="57" t="s">
        <v>273</v>
      </c>
      <c r="I72" s="57" t="s">
        <v>69</v>
      </c>
      <c r="J72" s="57" t="s">
        <v>151</v>
      </c>
      <c r="K72" s="57" t="s">
        <v>72</v>
      </c>
      <c r="L72" s="57" t="s">
        <v>119</v>
      </c>
      <c r="M72" s="60">
        <v>439</v>
      </c>
      <c r="N72" s="57" t="s">
        <v>120</v>
      </c>
      <c r="O72" s="61">
        <v>1417.7</v>
      </c>
      <c r="P72" s="61">
        <v>622370.30000000005</v>
      </c>
      <c r="Q72" s="61">
        <v>12787.15</v>
      </c>
      <c r="R72" s="62">
        <f t="shared" si="10"/>
        <v>2.0545887231444043E-2</v>
      </c>
      <c r="S72" s="60">
        <v>15</v>
      </c>
      <c r="T72" s="58">
        <v>45331</v>
      </c>
      <c r="U72" s="58">
        <v>45331</v>
      </c>
      <c r="V72" s="63">
        <f t="shared" si="11"/>
        <v>0</v>
      </c>
      <c r="W72" s="57" t="s">
        <v>125</v>
      </c>
      <c r="X72" s="64" t="b">
        <f t="shared" si="12"/>
        <v>0</v>
      </c>
      <c r="Y72" s="60">
        <v>133</v>
      </c>
      <c r="Z72" s="60">
        <v>396</v>
      </c>
      <c r="AA72" s="57" t="s">
        <v>81</v>
      </c>
      <c r="AB72" s="64" t="b">
        <f t="shared" si="13"/>
        <v>1</v>
      </c>
    </row>
    <row r="73" spans="1:28" ht="15" customHeight="1" x14ac:dyDescent="0.3">
      <c r="A73" s="65" t="s">
        <v>274</v>
      </c>
      <c r="B73" s="81">
        <v>45211</v>
      </c>
      <c r="C73" s="59">
        <f t="shared" si="7"/>
        <v>2023</v>
      </c>
      <c r="D73" s="59">
        <f t="shared" si="8"/>
        <v>10</v>
      </c>
      <c r="E73" s="59">
        <f t="shared" si="9"/>
        <v>41</v>
      </c>
      <c r="F73" s="65" t="s">
        <v>54</v>
      </c>
      <c r="G73" s="65" t="s">
        <v>41</v>
      </c>
      <c r="H73" s="65" t="s">
        <v>275</v>
      </c>
      <c r="I73" s="65" t="s">
        <v>64</v>
      </c>
      <c r="J73" s="65" t="s">
        <v>143</v>
      </c>
      <c r="K73" s="65" t="s">
        <v>71</v>
      </c>
      <c r="L73" s="65" t="s">
        <v>113</v>
      </c>
      <c r="M73" s="67">
        <v>663</v>
      </c>
      <c r="N73" s="65" t="s">
        <v>132</v>
      </c>
      <c r="O73" s="68">
        <v>572.04999999999995</v>
      </c>
      <c r="P73" s="68">
        <v>379269.15</v>
      </c>
      <c r="Q73" s="68">
        <v>9301.4699999999993</v>
      </c>
      <c r="R73" s="62">
        <f t="shared" si="10"/>
        <v>2.4524720768878773E-2</v>
      </c>
      <c r="S73" s="67">
        <v>28</v>
      </c>
      <c r="T73" s="66">
        <v>45239</v>
      </c>
      <c r="U73" s="66">
        <v>45247</v>
      </c>
      <c r="V73" s="63">
        <f t="shared" si="11"/>
        <v>8</v>
      </c>
      <c r="W73" s="65" t="s">
        <v>128</v>
      </c>
      <c r="X73" s="64" t="b">
        <f t="shared" si="12"/>
        <v>0</v>
      </c>
      <c r="Y73" s="67">
        <v>435</v>
      </c>
      <c r="Z73" s="67">
        <v>68</v>
      </c>
      <c r="AA73" s="65" t="s">
        <v>84</v>
      </c>
      <c r="AB73" s="64" t="b">
        <f t="shared" si="13"/>
        <v>1</v>
      </c>
    </row>
    <row r="74" spans="1:28" ht="15" customHeight="1" x14ac:dyDescent="0.3">
      <c r="A74" s="57" t="s">
        <v>276</v>
      </c>
      <c r="B74" s="82">
        <v>45391</v>
      </c>
      <c r="C74" s="59">
        <f t="shared" si="7"/>
        <v>2024</v>
      </c>
      <c r="D74" s="59">
        <f t="shared" si="8"/>
        <v>4</v>
      </c>
      <c r="E74" s="59">
        <f t="shared" si="9"/>
        <v>15</v>
      </c>
      <c r="F74" s="57" t="s">
        <v>60</v>
      </c>
      <c r="G74" s="57" t="s">
        <v>39</v>
      </c>
      <c r="H74" s="57" t="s">
        <v>277</v>
      </c>
      <c r="I74" s="57" t="s">
        <v>64</v>
      </c>
      <c r="J74" s="57" t="s">
        <v>151</v>
      </c>
      <c r="K74" s="57" t="s">
        <v>73</v>
      </c>
      <c r="L74" s="57" t="s">
        <v>113</v>
      </c>
      <c r="M74" s="60">
        <v>443</v>
      </c>
      <c r="N74" s="57" t="s">
        <v>120</v>
      </c>
      <c r="O74" s="61">
        <v>1755.59</v>
      </c>
      <c r="P74" s="61">
        <v>777726.37</v>
      </c>
      <c r="Q74" s="61">
        <v>27237.16</v>
      </c>
      <c r="R74" s="62">
        <f t="shared" si="10"/>
        <v>3.5021520486697655E-2</v>
      </c>
      <c r="S74" s="60">
        <v>7</v>
      </c>
      <c r="T74" s="58">
        <v>45398</v>
      </c>
      <c r="U74" s="58">
        <v>45403</v>
      </c>
      <c r="V74" s="63">
        <f t="shared" si="11"/>
        <v>5</v>
      </c>
      <c r="W74" s="57" t="s">
        <v>125</v>
      </c>
      <c r="X74" s="64" t="b">
        <f t="shared" si="12"/>
        <v>0</v>
      </c>
      <c r="Y74" s="60">
        <v>128</v>
      </c>
      <c r="Z74" s="60">
        <v>22</v>
      </c>
      <c r="AA74" s="57" t="s">
        <v>83</v>
      </c>
      <c r="AB74" s="64" t="b">
        <f t="shared" si="13"/>
        <v>1</v>
      </c>
    </row>
    <row r="75" spans="1:28" ht="15" customHeight="1" x14ac:dyDescent="0.3">
      <c r="A75" s="65" t="s">
        <v>278</v>
      </c>
      <c r="B75" s="81">
        <v>45577</v>
      </c>
      <c r="C75" s="59">
        <f t="shared" si="7"/>
        <v>2024</v>
      </c>
      <c r="D75" s="59">
        <f t="shared" si="8"/>
        <v>10</v>
      </c>
      <c r="E75" s="59">
        <f t="shared" si="9"/>
        <v>41</v>
      </c>
      <c r="F75" s="65" t="s">
        <v>55</v>
      </c>
      <c r="G75" s="65" t="s">
        <v>46</v>
      </c>
      <c r="H75" s="65" t="s">
        <v>279</v>
      </c>
      <c r="I75" s="65" t="s">
        <v>64</v>
      </c>
      <c r="J75" s="65" t="s">
        <v>112</v>
      </c>
      <c r="K75" s="65" t="s">
        <v>71</v>
      </c>
      <c r="L75" s="65" t="s">
        <v>124</v>
      </c>
      <c r="M75" s="67">
        <v>413</v>
      </c>
      <c r="N75" s="65" t="s">
        <v>120</v>
      </c>
      <c r="O75" s="68">
        <v>62.47</v>
      </c>
      <c r="P75" s="68">
        <v>25800.11</v>
      </c>
      <c r="Q75" s="68">
        <v>1552.11</v>
      </c>
      <c r="R75" s="62">
        <f t="shared" si="10"/>
        <v>6.0159045833525514E-2</v>
      </c>
      <c r="S75" s="67">
        <v>12</v>
      </c>
      <c r="T75" s="66">
        <v>45589</v>
      </c>
      <c r="U75" s="66">
        <v>45592</v>
      </c>
      <c r="V75" s="63">
        <f t="shared" si="11"/>
        <v>3</v>
      </c>
      <c r="W75" s="65" t="s">
        <v>125</v>
      </c>
      <c r="X75" s="64" t="b">
        <f t="shared" si="12"/>
        <v>0</v>
      </c>
      <c r="Y75" s="67">
        <v>435</v>
      </c>
      <c r="Z75" s="67">
        <v>189</v>
      </c>
      <c r="AA75" s="65" t="s">
        <v>84</v>
      </c>
      <c r="AB75" s="64" t="b">
        <f t="shared" si="13"/>
        <v>1</v>
      </c>
    </row>
    <row r="76" spans="1:28" ht="15" customHeight="1" x14ac:dyDescent="0.3">
      <c r="A76" s="57" t="s">
        <v>280</v>
      </c>
      <c r="B76" s="82">
        <v>45300</v>
      </c>
      <c r="C76" s="59">
        <f t="shared" si="7"/>
        <v>2024</v>
      </c>
      <c r="D76" s="59">
        <f t="shared" si="8"/>
        <v>1</v>
      </c>
      <c r="E76" s="59">
        <f t="shared" si="9"/>
        <v>2</v>
      </c>
      <c r="F76" s="57" t="s">
        <v>52</v>
      </c>
      <c r="G76" s="57" t="s">
        <v>44</v>
      </c>
      <c r="H76" s="57" t="s">
        <v>281</v>
      </c>
      <c r="I76" s="57" t="s">
        <v>69</v>
      </c>
      <c r="J76" s="57" t="s">
        <v>143</v>
      </c>
      <c r="K76" s="57" t="s">
        <v>73</v>
      </c>
      <c r="L76" s="57" t="s">
        <v>156</v>
      </c>
      <c r="M76" s="60">
        <v>443</v>
      </c>
      <c r="N76" s="57" t="s">
        <v>114</v>
      </c>
      <c r="O76" s="61">
        <v>143.08000000000001</v>
      </c>
      <c r="P76" s="61">
        <v>63384.44</v>
      </c>
      <c r="Q76" s="61">
        <v>4645.8500000000004</v>
      </c>
      <c r="R76" s="62">
        <f t="shared" si="10"/>
        <v>7.329637999483786E-2</v>
      </c>
      <c r="S76" s="60">
        <v>29</v>
      </c>
      <c r="T76" s="58">
        <v>45329</v>
      </c>
      <c r="U76" s="58">
        <v>45328</v>
      </c>
      <c r="V76" s="63">
        <f t="shared" si="11"/>
        <v>-1</v>
      </c>
      <c r="W76" s="57" t="s">
        <v>115</v>
      </c>
      <c r="X76" s="64" t="b">
        <f t="shared" si="12"/>
        <v>1</v>
      </c>
      <c r="Y76" s="60">
        <v>279</v>
      </c>
      <c r="Z76" s="60">
        <v>247</v>
      </c>
      <c r="AA76" s="57" t="s">
        <v>116</v>
      </c>
      <c r="AB76" s="64" t="b">
        <f t="shared" si="13"/>
        <v>0</v>
      </c>
    </row>
    <row r="77" spans="1:28" ht="15" customHeight="1" x14ac:dyDescent="0.3">
      <c r="A77" s="65" t="s">
        <v>282</v>
      </c>
      <c r="B77" s="81">
        <v>45093</v>
      </c>
      <c r="C77" s="59">
        <f t="shared" si="7"/>
        <v>2023</v>
      </c>
      <c r="D77" s="59">
        <f t="shared" si="8"/>
        <v>6</v>
      </c>
      <c r="E77" s="59">
        <f t="shared" si="9"/>
        <v>24</v>
      </c>
      <c r="F77" s="65" t="s">
        <v>52</v>
      </c>
      <c r="G77" s="65" t="s">
        <v>43</v>
      </c>
      <c r="H77" s="65" t="s">
        <v>283</v>
      </c>
      <c r="I77" s="65" t="s">
        <v>68</v>
      </c>
      <c r="J77" s="65" t="s">
        <v>112</v>
      </c>
      <c r="K77" s="65" t="s">
        <v>75</v>
      </c>
      <c r="L77" s="65" t="s">
        <v>124</v>
      </c>
      <c r="M77" s="67">
        <v>121</v>
      </c>
      <c r="N77" s="65" t="s">
        <v>136</v>
      </c>
      <c r="O77" s="68">
        <v>153.05000000000001</v>
      </c>
      <c r="P77" s="68">
        <v>18519.05</v>
      </c>
      <c r="Q77" s="68">
        <v>881.44</v>
      </c>
      <c r="R77" s="62">
        <f t="shared" si="10"/>
        <v>4.7596393983492677E-2</v>
      </c>
      <c r="S77" s="67">
        <v>8</v>
      </c>
      <c r="T77" s="66">
        <v>45101</v>
      </c>
      <c r="U77" s="66">
        <v>45102</v>
      </c>
      <c r="V77" s="63">
        <f t="shared" si="11"/>
        <v>1</v>
      </c>
      <c r="W77" s="65" t="s">
        <v>128</v>
      </c>
      <c r="X77" s="64" t="b">
        <f t="shared" si="12"/>
        <v>0</v>
      </c>
      <c r="Y77" s="67">
        <v>357</v>
      </c>
      <c r="Z77" s="67">
        <v>485</v>
      </c>
      <c r="AA77" s="65" t="s">
        <v>84</v>
      </c>
      <c r="AB77" s="64" t="b">
        <f t="shared" si="13"/>
        <v>1</v>
      </c>
    </row>
    <row r="78" spans="1:28" ht="15" customHeight="1" x14ac:dyDescent="0.3">
      <c r="A78" s="57" t="s">
        <v>284</v>
      </c>
      <c r="B78" s="82">
        <v>45306</v>
      </c>
      <c r="C78" s="59">
        <f t="shared" si="7"/>
        <v>2024</v>
      </c>
      <c r="D78" s="59">
        <f t="shared" si="8"/>
        <v>1</v>
      </c>
      <c r="E78" s="59">
        <f t="shared" si="9"/>
        <v>3</v>
      </c>
      <c r="F78" s="57" t="s">
        <v>56</v>
      </c>
      <c r="G78" s="57" t="s">
        <v>40</v>
      </c>
      <c r="H78" s="57" t="s">
        <v>285</v>
      </c>
      <c r="I78" s="57" t="s">
        <v>64</v>
      </c>
      <c r="J78" s="57" t="s">
        <v>151</v>
      </c>
      <c r="K78" s="57" t="s">
        <v>75</v>
      </c>
      <c r="L78" s="57" t="s">
        <v>113</v>
      </c>
      <c r="M78" s="60">
        <v>938</v>
      </c>
      <c r="N78" s="57" t="s">
        <v>163</v>
      </c>
      <c r="O78" s="61">
        <v>616.17999999999995</v>
      </c>
      <c r="P78" s="61">
        <v>577976.84</v>
      </c>
      <c r="Q78" s="61">
        <v>32608.52</v>
      </c>
      <c r="R78" s="62">
        <f t="shared" si="10"/>
        <v>5.6418385207268863E-2</v>
      </c>
      <c r="S78" s="60">
        <v>15</v>
      </c>
      <c r="T78" s="58">
        <v>45321</v>
      </c>
      <c r="U78" s="58">
        <v>45326</v>
      </c>
      <c r="V78" s="63">
        <f t="shared" si="11"/>
        <v>5</v>
      </c>
      <c r="W78" s="57" t="s">
        <v>125</v>
      </c>
      <c r="X78" s="64" t="b">
        <f t="shared" si="12"/>
        <v>0</v>
      </c>
      <c r="Y78" s="60">
        <v>417</v>
      </c>
      <c r="Z78" s="60">
        <v>414</v>
      </c>
      <c r="AA78" s="57" t="s">
        <v>116</v>
      </c>
      <c r="AB78" s="64" t="b">
        <f t="shared" si="13"/>
        <v>0</v>
      </c>
    </row>
    <row r="79" spans="1:28" ht="15" customHeight="1" x14ac:dyDescent="0.3">
      <c r="A79" s="65" t="s">
        <v>286</v>
      </c>
      <c r="B79" s="81">
        <v>45290</v>
      </c>
      <c r="C79" s="59">
        <f t="shared" si="7"/>
        <v>2023</v>
      </c>
      <c r="D79" s="59">
        <f t="shared" si="8"/>
        <v>12</v>
      </c>
      <c r="E79" s="59">
        <f t="shared" si="9"/>
        <v>52</v>
      </c>
      <c r="F79" s="65" t="s">
        <v>61</v>
      </c>
      <c r="G79" s="65" t="s">
        <v>45</v>
      </c>
      <c r="H79" s="65" t="s">
        <v>287</v>
      </c>
      <c r="I79" s="65" t="s">
        <v>68</v>
      </c>
      <c r="J79" s="65" t="s">
        <v>112</v>
      </c>
      <c r="K79" s="65" t="s">
        <v>74</v>
      </c>
      <c r="L79" s="65" t="s">
        <v>135</v>
      </c>
      <c r="M79" s="67">
        <v>384</v>
      </c>
      <c r="N79" s="65" t="s">
        <v>120</v>
      </c>
      <c r="O79" s="68">
        <v>167.49</v>
      </c>
      <c r="P79" s="68">
        <v>64316.160000000003</v>
      </c>
      <c r="Q79" s="68">
        <v>2013.74</v>
      </c>
      <c r="R79" s="62">
        <f t="shared" si="10"/>
        <v>3.1310016020856965E-2</v>
      </c>
      <c r="S79" s="67">
        <v>3</v>
      </c>
      <c r="T79" s="66">
        <v>45293</v>
      </c>
      <c r="U79" s="66">
        <v>45298</v>
      </c>
      <c r="V79" s="63">
        <f t="shared" si="11"/>
        <v>5</v>
      </c>
      <c r="W79" s="65" t="s">
        <v>128</v>
      </c>
      <c r="X79" s="64" t="b">
        <f t="shared" si="12"/>
        <v>0</v>
      </c>
      <c r="Y79" s="67">
        <v>370</v>
      </c>
      <c r="Z79" s="67">
        <v>308</v>
      </c>
      <c r="AA79" s="65" t="s">
        <v>116</v>
      </c>
      <c r="AB79" s="64" t="b">
        <f t="shared" si="13"/>
        <v>0</v>
      </c>
    </row>
    <row r="80" spans="1:28" ht="15" customHeight="1" x14ac:dyDescent="0.3">
      <c r="A80" s="57" t="s">
        <v>288</v>
      </c>
      <c r="B80" s="82">
        <v>45141</v>
      </c>
      <c r="C80" s="59">
        <f t="shared" si="7"/>
        <v>2023</v>
      </c>
      <c r="D80" s="59">
        <f t="shared" si="8"/>
        <v>8</v>
      </c>
      <c r="E80" s="59">
        <f t="shared" si="9"/>
        <v>31</v>
      </c>
      <c r="F80" s="57" t="s">
        <v>57</v>
      </c>
      <c r="G80" s="57" t="s">
        <v>43</v>
      </c>
      <c r="H80" s="57" t="s">
        <v>289</v>
      </c>
      <c r="I80" s="57" t="s">
        <v>65</v>
      </c>
      <c r="J80" s="57" t="s">
        <v>123</v>
      </c>
      <c r="K80" s="57" t="s">
        <v>73</v>
      </c>
      <c r="L80" s="57" t="s">
        <v>156</v>
      </c>
      <c r="M80" s="60">
        <v>68</v>
      </c>
      <c r="N80" s="57" t="s">
        <v>163</v>
      </c>
      <c r="O80" s="61">
        <v>222.89</v>
      </c>
      <c r="P80" s="61">
        <v>15156.52</v>
      </c>
      <c r="Q80" s="61">
        <v>1035.1600000000001</v>
      </c>
      <c r="R80" s="62">
        <f t="shared" si="10"/>
        <v>6.8297999804704509E-2</v>
      </c>
      <c r="S80" s="60">
        <v>14</v>
      </c>
      <c r="T80" s="58">
        <v>45155</v>
      </c>
      <c r="U80" s="58">
        <v>45163</v>
      </c>
      <c r="V80" s="63">
        <f t="shared" si="11"/>
        <v>8</v>
      </c>
      <c r="W80" s="57" t="s">
        <v>128</v>
      </c>
      <c r="X80" s="64" t="b">
        <f t="shared" si="12"/>
        <v>0</v>
      </c>
      <c r="Y80" s="60">
        <v>251</v>
      </c>
      <c r="Z80" s="60">
        <v>375</v>
      </c>
      <c r="AA80" s="57" t="s">
        <v>84</v>
      </c>
      <c r="AB80" s="64" t="b">
        <f t="shared" si="13"/>
        <v>1</v>
      </c>
    </row>
    <row r="81" spans="1:28" ht="15" customHeight="1" x14ac:dyDescent="0.3">
      <c r="A81" s="65" t="s">
        <v>290</v>
      </c>
      <c r="B81" s="81">
        <v>45613</v>
      </c>
      <c r="C81" s="59">
        <f t="shared" si="7"/>
        <v>2024</v>
      </c>
      <c r="D81" s="59">
        <f t="shared" si="8"/>
        <v>11</v>
      </c>
      <c r="E81" s="59">
        <f t="shared" si="9"/>
        <v>47</v>
      </c>
      <c r="F81" s="65" t="s">
        <v>54</v>
      </c>
      <c r="G81" s="65" t="s">
        <v>39</v>
      </c>
      <c r="H81" s="65" t="s">
        <v>291</v>
      </c>
      <c r="I81" s="65" t="s">
        <v>67</v>
      </c>
      <c r="J81" s="65" t="s">
        <v>139</v>
      </c>
      <c r="K81" s="65" t="s">
        <v>72</v>
      </c>
      <c r="L81" s="65" t="s">
        <v>135</v>
      </c>
      <c r="M81" s="67">
        <v>52</v>
      </c>
      <c r="N81" s="65" t="s">
        <v>140</v>
      </c>
      <c r="O81" s="68">
        <v>1306.79</v>
      </c>
      <c r="P81" s="68">
        <v>67953.08</v>
      </c>
      <c r="Q81" s="68">
        <v>5303.04</v>
      </c>
      <c r="R81" s="62">
        <f t="shared" si="10"/>
        <v>7.8039729766480048E-2</v>
      </c>
      <c r="S81" s="67">
        <v>17</v>
      </c>
      <c r="T81" s="66">
        <v>45630</v>
      </c>
      <c r="U81" s="66">
        <v>45630</v>
      </c>
      <c r="V81" s="63">
        <f t="shared" si="11"/>
        <v>0</v>
      </c>
      <c r="W81" s="65" t="s">
        <v>115</v>
      </c>
      <c r="X81" s="64" t="b">
        <f t="shared" si="12"/>
        <v>1</v>
      </c>
      <c r="Y81" s="67">
        <v>134</v>
      </c>
      <c r="Z81" s="67">
        <v>144</v>
      </c>
      <c r="AA81" s="65" t="s">
        <v>83</v>
      </c>
      <c r="AB81" s="64" t="b">
        <f t="shared" si="13"/>
        <v>1</v>
      </c>
    </row>
    <row r="82" spans="1:28" ht="15" customHeight="1" x14ac:dyDescent="0.3">
      <c r="A82" s="57" t="s">
        <v>292</v>
      </c>
      <c r="B82" s="82">
        <v>45200</v>
      </c>
      <c r="C82" s="59">
        <f t="shared" si="7"/>
        <v>2023</v>
      </c>
      <c r="D82" s="59">
        <f t="shared" si="8"/>
        <v>10</v>
      </c>
      <c r="E82" s="59">
        <f t="shared" si="9"/>
        <v>40</v>
      </c>
      <c r="F82" s="57" t="s">
        <v>54</v>
      </c>
      <c r="G82" s="57" t="s">
        <v>42</v>
      </c>
      <c r="H82" s="57" t="s">
        <v>293</v>
      </c>
      <c r="I82" s="57" t="s">
        <v>68</v>
      </c>
      <c r="J82" s="57" t="s">
        <v>143</v>
      </c>
      <c r="K82" s="57" t="s">
        <v>75</v>
      </c>
      <c r="L82" s="57" t="s">
        <v>124</v>
      </c>
      <c r="M82" s="60">
        <v>216</v>
      </c>
      <c r="N82" s="57" t="s">
        <v>120</v>
      </c>
      <c r="O82" s="61">
        <v>74.13</v>
      </c>
      <c r="P82" s="61">
        <v>16012.08</v>
      </c>
      <c r="Q82" s="61">
        <v>578.29</v>
      </c>
      <c r="R82" s="62">
        <f t="shared" si="10"/>
        <v>3.6115857527566686E-2</v>
      </c>
      <c r="S82" s="60">
        <v>4</v>
      </c>
      <c r="T82" s="58">
        <v>45204</v>
      </c>
      <c r="U82" s="58">
        <v>45205</v>
      </c>
      <c r="V82" s="63">
        <f t="shared" si="11"/>
        <v>1</v>
      </c>
      <c r="W82" s="57" t="s">
        <v>128</v>
      </c>
      <c r="X82" s="64" t="b">
        <f t="shared" si="12"/>
        <v>0</v>
      </c>
      <c r="Y82" s="60">
        <v>330</v>
      </c>
      <c r="Z82" s="60">
        <v>383</v>
      </c>
      <c r="AA82" s="57" t="s">
        <v>116</v>
      </c>
      <c r="AB82" s="64" t="b">
        <f t="shared" si="13"/>
        <v>0</v>
      </c>
    </row>
    <row r="83" spans="1:28" ht="15" customHeight="1" x14ac:dyDescent="0.3">
      <c r="A83" s="65" t="s">
        <v>294</v>
      </c>
      <c r="B83" s="81">
        <v>45645</v>
      </c>
      <c r="C83" s="59">
        <f t="shared" si="7"/>
        <v>2024</v>
      </c>
      <c r="D83" s="59">
        <f t="shared" si="8"/>
        <v>12</v>
      </c>
      <c r="E83" s="59">
        <f t="shared" si="9"/>
        <v>51</v>
      </c>
      <c r="F83" s="65" t="s">
        <v>56</v>
      </c>
      <c r="G83" s="65" t="s">
        <v>43</v>
      </c>
      <c r="H83" s="65" t="s">
        <v>295</v>
      </c>
      <c r="I83" s="65" t="s">
        <v>67</v>
      </c>
      <c r="J83" s="65" t="s">
        <v>123</v>
      </c>
      <c r="K83" s="65" t="s">
        <v>74</v>
      </c>
      <c r="L83" s="65" t="s">
        <v>113</v>
      </c>
      <c r="M83" s="67">
        <v>789</v>
      </c>
      <c r="N83" s="65" t="s">
        <v>163</v>
      </c>
      <c r="O83" s="68">
        <v>204.05</v>
      </c>
      <c r="P83" s="68">
        <v>160995.45000000001</v>
      </c>
      <c r="Q83" s="68">
        <v>7999.79</v>
      </c>
      <c r="R83" s="62">
        <f t="shared" si="10"/>
        <v>4.9689540915597304E-2</v>
      </c>
      <c r="S83" s="67">
        <v>18</v>
      </c>
      <c r="T83" s="66">
        <v>45663</v>
      </c>
      <c r="U83" s="66">
        <v>45660</v>
      </c>
      <c r="V83" s="63">
        <f t="shared" si="11"/>
        <v>-3</v>
      </c>
      <c r="W83" s="65" t="s">
        <v>115</v>
      </c>
      <c r="X83" s="64" t="b">
        <f t="shared" si="12"/>
        <v>1</v>
      </c>
      <c r="Y83" s="67">
        <v>10</v>
      </c>
      <c r="Z83" s="67">
        <v>304</v>
      </c>
      <c r="AA83" s="65" t="s">
        <v>82</v>
      </c>
      <c r="AB83" s="64" t="b">
        <f t="shared" si="13"/>
        <v>1</v>
      </c>
    </row>
    <row r="84" spans="1:28" ht="15" customHeight="1" x14ac:dyDescent="0.3">
      <c r="A84" s="57" t="s">
        <v>296</v>
      </c>
      <c r="B84" s="82">
        <v>45626</v>
      </c>
      <c r="C84" s="59">
        <f t="shared" si="7"/>
        <v>2024</v>
      </c>
      <c r="D84" s="59">
        <f t="shared" si="8"/>
        <v>11</v>
      </c>
      <c r="E84" s="59">
        <f t="shared" si="9"/>
        <v>48</v>
      </c>
      <c r="F84" s="57" t="s">
        <v>61</v>
      </c>
      <c r="G84" s="57" t="s">
        <v>44</v>
      </c>
      <c r="H84" s="57" t="s">
        <v>297</v>
      </c>
      <c r="I84" s="57" t="s">
        <v>64</v>
      </c>
      <c r="J84" s="57" t="s">
        <v>112</v>
      </c>
      <c r="K84" s="57" t="s">
        <v>75</v>
      </c>
      <c r="L84" s="57" t="s">
        <v>156</v>
      </c>
      <c r="M84" s="60">
        <v>305</v>
      </c>
      <c r="N84" s="57" t="s">
        <v>140</v>
      </c>
      <c r="O84" s="61">
        <v>161.94</v>
      </c>
      <c r="P84" s="61">
        <v>49391.7</v>
      </c>
      <c r="Q84" s="61">
        <v>1243.04</v>
      </c>
      <c r="R84" s="62">
        <f t="shared" si="10"/>
        <v>2.5166981496891179E-2</v>
      </c>
      <c r="S84" s="60">
        <v>8</v>
      </c>
      <c r="T84" s="58">
        <v>45634</v>
      </c>
      <c r="U84" s="58">
        <v>45634</v>
      </c>
      <c r="V84" s="63">
        <f t="shared" si="11"/>
        <v>0</v>
      </c>
      <c r="W84" s="57" t="s">
        <v>115</v>
      </c>
      <c r="X84" s="64" t="b">
        <f t="shared" si="12"/>
        <v>1</v>
      </c>
      <c r="Y84" s="60">
        <v>291</v>
      </c>
      <c r="Z84" s="60">
        <v>176</v>
      </c>
      <c r="AA84" s="57" t="s">
        <v>82</v>
      </c>
      <c r="AB84" s="64" t="b">
        <f t="shared" si="13"/>
        <v>1</v>
      </c>
    </row>
    <row r="85" spans="1:28" ht="15" customHeight="1" x14ac:dyDescent="0.3">
      <c r="A85" s="65" t="s">
        <v>298</v>
      </c>
      <c r="B85" s="81">
        <v>45590</v>
      </c>
      <c r="C85" s="59">
        <f t="shared" si="7"/>
        <v>2024</v>
      </c>
      <c r="D85" s="59">
        <f t="shared" si="8"/>
        <v>10</v>
      </c>
      <c r="E85" s="59">
        <f t="shared" si="9"/>
        <v>43</v>
      </c>
      <c r="F85" s="65" t="s">
        <v>55</v>
      </c>
      <c r="G85" s="65" t="s">
        <v>39</v>
      </c>
      <c r="H85" s="65" t="s">
        <v>299</v>
      </c>
      <c r="I85" s="65" t="s">
        <v>67</v>
      </c>
      <c r="J85" s="65" t="s">
        <v>112</v>
      </c>
      <c r="K85" s="65" t="s">
        <v>71</v>
      </c>
      <c r="L85" s="65" t="s">
        <v>124</v>
      </c>
      <c r="M85" s="67">
        <v>127</v>
      </c>
      <c r="N85" s="65" t="s">
        <v>114</v>
      </c>
      <c r="O85" s="68">
        <v>1066.6300000000001</v>
      </c>
      <c r="P85" s="68">
        <v>135462.01</v>
      </c>
      <c r="Q85" s="68">
        <v>7253.75</v>
      </c>
      <c r="R85" s="62">
        <f t="shared" si="10"/>
        <v>5.3548223594201798E-2</v>
      </c>
      <c r="S85" s="67">
        <v>4</v>
      </c>
      <c r="T85" s="66">
        <v>45594</v>
      </c>
      <c r="U85" s="66">
        <v>45591</v>
      </c>
      <c r="V85" s="63">
        <f t="shared" si="11"/>
        <v>-3</v>
      </c>
      <c r="W85" s="65" t="s">
        <v>115</v>
      </c>
      <c r="X85" s="64" t="b">
        <f t="shared" si="12"/>
        <v>1</v>
      </c>
      <c r="Y85" s="67">
        <v>147</v>
      </c>
      <c r="Z85" s="67">
        <v>194</v>
      </c>
      <c r="AA85" s="65" t="s">
        <v>84</v>
      </c>
      <c r="AB85" s="64" t="b">
        <f t="shared" si="13"/>
        <v>1</v>
      </c>
    </row>
    <row r="86" spans="1:28" ht="15" customHeight="1" x14ac:dyDescent="0.3">
      <c r="A86" s="57" t="s">
        <v>300</v>
      </c>
      <c r="B86" s="82">
        <v>45000</v>
      </c>
      <c r="C86" s="59">
        <f t="shared" si="7"/>
        <v>2023</v>
      </c>
      <c r="D86" s="59">
        <f t="shared" si="8"/>
        <v>3</v>
      </c>
      <c r="E86" s="59">
        <f t="shared" si="9"/>
        <v>11</v>
      </c>
      <c r="F86" s="57" t="s">
        <v>54</v>
      </c>
      <c r="G86" s="57" t="s">
        <v>40</v>
      </c>
      <c r="H86" s="57" t="s">
        <v>301</v>
      </c>
      <c r="I86" s="57" t="s">
        <v>67</v>
      </c>
      <c r="J86" s="57" t="s">
        <v>139</v>
      </c>
      <c r="K86" s="57" t="s">
        <v>75</v>
      </c>
      <c r="L86" s="57" t="s">
        <v>119</v>
      </c>
      <c r="M86" s="60">
        <v>541</v>
      </c>
      <c r="N86" s="57" t="s">
        <v>136</v>
      </c>
      <c r="O86" s="61">
        <v>975.6</v>
      </c>
      <c r="P86" s="61">
        <v>527799.6</v>
      </c>
      <c r="Q86" s="61">
        <v>26478.13</v>
      </c>
      <c r="R86" s="62">
        <f t="shared" si="10"/>
        <v>5.0167014147036115E-2</v>
      </c>
      <c r="S86" s="60">
        <v>2</v>
      </c>
      <c r="T86" s="58">
        <v>45002</v>
      </c>
      <c r="U86" s="58">
        <v>45014</v>
      </c>
      <c r="V86" s="63">
        <f t="shared" si="11"/>
        <v>12</v>
      </c>
      <c r="W86" s="57" t="s">
        <v>125</v>
      </c>
      <c r="X86" s="64" t="b">
        <f t="shared" si="12"/>
        <v>0</v>
      </c>
      <c r="Y86" s="60">
        <v>318</v>
      </c>
      <c r="Z86" s="60">
        <v>409</v>
      </c>
      <c r="AA86" s="57" t="s">
        <v>82</v>
      </c>
      <c r="AB86" s="64" t="b">
        <f t="shared" si="13"/>
        <v>1</v>
      </c>
    </row>
    <row r="87" spans="1:28" ht="15" customHeight="1" x14ac:dyDescent="0.3">
      <c r="A87" s="65" t="s">
        <v>302</v>
      </c>
      <c r="B87" s="81">
        <v>45550</v>
      </c>
      <c r="C87" s="59">
        <f t="shared" si="7"/>
        <v>2024</v>
      </c>
      <c r="D87" s="59">
        <f t="shared" si="8"/>
        <v>9</v>
      </c>
      <c r="E87" s="59">
        <f t="shared" si="9"/>
        <v>38</v>
      </c>
      <c r="F87" s="65" t="s">
        <v>58</v>
      </c>
      <c r="G87" s="65" t="s">
        <v>46</v>
      </c>
      <c r="H87" s="65" t="s">
        <v>303</v>
      </c>
      <c r="I87" s="65" t="s">
        <v>64</v>
      </c>
      <c r="J87" s="65" t="s">
        <v>112</v>
      </c>
      <c r="K87" s="65" t="s">
        <v>73</v>
      </c>
      <c r="L87" s="65" t="s">
        <v>124</v>
      </c>
      <c r="M87" s="67">
        <v>231</v>
      </c>
      <c r="N87" s="65" t="s">
        <v>120</v>
      </c>
      <c r="O87" s="68">
        <v>74.11</v>
      </c>
      <c r="P87" s="68">
        <v>17119.41</v>
      </c>
      <c r="Q87" s="68">
        <v>490.75</v>
      </c>
      <c r="R87" s="62">
        <f t="shared" si="10"/>
        <v>2.866629165374274E-2</v>
      </c>
      <c r="S87" s="67">
        <v>6</v>
      </c>
      <c r="T87" s="66">
        <v>45556</v>
      </c>
      <c r="U87" s="66">
        <v>45557</v>
      </c>
      <c r="V87" s="63">
        <f t="shared" si="11"/>
        <v>1</v>
      </c>
      <c r="W87" s="65" t="s">
        <v>128</v>
      </c>
      <c r="X87" s="64" t="b">
        <f t="shared" si="12"/>
        <v>0</v>
      </c>
      <c r="Y87" s="67">
        <v>79</v>
      </c>
      <c r="Z87" s="67">
        <v>12</v>
      </c>
      <c r="AA87" s="65" t="s">
        <v>84</v>
      </c>
      <c r="AB87" s="64" t="b">
        <f t="shared" si="13"/>
        <v>1</v>
      </c>
    </row>
    <row r="88" spans="1:28" ht="15" customHeight="1" x14ac:dyDescent="0.3">
      <c r="A88" s="57" t="s">
        <v>304</v>
      </c>
      <c r="B88" s="82">
        <v>45577</v>
      </c>
      <c r="C88" s="59">
        <f t="shared" si="7"/>
        <v>2024</v>
      </c>
      <c r="D88" s="59">
        <f t="shared" si="8"/>
        <v>10</v>
      </c>
      <c r="E88" s="59">
        <f t="shared" si="9"/>
        <v>41</v>
      </c>
      <c r="F88" s="57" t="s">
        <v>53</v>
      </c>
      <c r="G88" s="57" t="s">
        <v>44</v>
      </c>
      <c r="H88" s="57" t="s">
        <v>305</v>
      </c>
      <c r="I88" s="57" t="s">
        <v>68</v>
      </c>
      <c r="J88" s="57" t="s">
        <v>139</v>
      </c>
      <c r="K88" s="57" t="s">
        <v>74</v>
      </c>
      <c r="L88" s="57" t="s">
        <v>146</v>
      </c>
      <c r="M88" s="60">
        <v>175</v>
      </c>
      <c r="N88" s="57" t="s">
        <v>136</v>
      </c>
      <c r="O88" s="61">
        <v>160.66999999999999</v>
      </c>
      <c r="P88" s="61">
        <v>28117.25</v>
      </c>
      <c r="Q88" s="61">
        <v>1308.1300000000001</v>
      </c>
      <c r="R88" s="62">
        <f t="shared" si="10"/>
        <v>4.6524108865554067E-2</v>
      </c>
      <c r="S88" s="60">
        <v>22</v>
      </c>
      <c r="T88" s="58">
        <v>45599</v>
      </c>
      <c r="U88" s="58">
        <v>45596</v>
      </c>
      <c r="V88" s="63">
        <f t="shared" si="11"/>
        <v>-3</v>
      </c>
      <c r="W88" s="57" t="s">
        <v>115</v>
      </c>
      <c r="X88" s="64" t="b">
        <f t="shared" si="12"/>
        <v>1</v>
      </c>
      <c r="Y88" s="60">
        <v>190</v>
      </c>
      <c r="Z88" s="60">
        <v>363</v>
      </c>
      <c r="AA88" s="57" t="s">
        <v>81</v>
      </c>
      <c r="AB88" s="64" t="b">
        <f t="shared" si="13"/>
        <v>1</v>
      </c>
    </row>
    <row r="89" spans="1:28" ht="15" customHeight="1" x14ac:dyDescent="0.3">
      <c r="A89" s="65" t="s">
        <v>306</v>
      </c>
      <c r="B89" s="81">
        <v>45102</v>
      </c>
      <c r="C89" s="59">
        <f t="shared" si="7"/>
        <v>2023</v>
      </c>
      <c r="D89" s="59">
        <f t="shared" si="8"/>
        <v>6</v>
      </c>
      <c r="E89" s="59">
        <f t="shared" si="9"/>
        <v>26</v>
      </c>
      <c r="F89" s="65" t="s">
        <v>61</v>
      </c>
      <c r="G89" s="65" t="s">
        <v>39</v>
      </c>
      <c r="H89" s="65" t="s">
        <v>307</v>
      </c>
      <c r="I89" s="65" t="s">
        <v>64</v>
      </c>
      <c r="J89" s="65" t="s">
        <v>143</v>
      </c>
      <c r="K89" s="65" t="s">
        <v>73</v>
      </c>
      <c r="L89" s="65" t="s">
        <v>119</v>
      </c>
      <c r="M89" s="67">
        <v>652</v>
      </c>
      <c r="N89" s="65" t="s">
        <v>140</v>
      </c>
      <c r="O89" s="68">
        <v>2169.3000000000002</v>
      </c>
      <c r="P89" s="68">
        <v>1414383.6</v>
      </c>
      <c r="Q89" s="68">
        <v>56640.800000000003</v>
      </c>
      <c r="R89" s="62">
        <f t="shared" si="10"/>
        <v>4.0046278817146917E-2</v>
      </c>
      <c r="S89" s="67">
        <v>10</v>
      </c>
      <c r="T89" s="66">
        <v>45112</v>
      </c>
      <c r="U89" s="66">
        <v>45120</v>
      </c>
      <c r="V89" s="63">
        <f t="shared" si="11"/>
        <v>8</v>
      </c>
      <c r="W89" s="65" t="s">
        <v>125</v>
      </c>
      <c r="X89" s="64" t="b">
        <f t="shared" si="12"/>
        <v>0</v>
      </c>
      <c r="Y89" s="67">
        <v>452</v>
      </c>
      <c r="Z89" s="67">
        <v>165</v>
      </c>
      <c r="AA89" s="65" t="s">
        <v>116</v>
      </c>
      <c r="AB89" s="64" t="b">
        <f t="shared" si="13"/>
        <v>0</v>
      </c>
    </row>
    <row r="90" spans="1:28" ht="15" customHeight="1" x14ac:dyDescent="0.3">
      <c r="A90" s="57" t="s">
        <v>308</v>
      </c>
      <c r="B90" s="82">
        <v>45473</v>
      </c>
      <c r="C90" s="59">
        <f t="shared" si="7"/>
        <v>2024</v>
      </c>
      <c r="D90" s="59">
        <f t="shared" si="8"/>
        <v>6</v>
      </c>
      <c r="E90" s="59">
        <f t="shared" si="9"/>
        <v>27</v>
      </c>
      <c r="F90" s="57" t="s">
        <v>54</v>
      </c>
      <c r="G90" s="57" t="s">
        <v>44</v>
      </c>
      <c r="H90" s="57" t="s">
        <v>309</v>
      </c>
      <c r="I90" s="57" t="s">
        <v>65</v>
      </c>
      <c r="J90" s="57" t="s">
        <v>151</v>
      </c>
      <c r="K90" s="57" t="s">
        <v>72</v>
      </c>
      <c r="L90" s="57" t="s">
        <v>135</v>
      </c>
      <c r="M90" s="60">
        <v>165</v>
      </c>
      <c r="N90" s="57" t="s">
        <v>136</v>
      </c>
      <c r="O90" s="61">
        <v>85.93</v>
      </c>
      <c r="P90" s="61">
        <v>14178.45</v>
      </c>
      <c r="Q90" s="61">
        <v>727.49</v>
      </c>
      <c r="R90" s="62">
        <f t="shared" si="10"/>
        <v>5.1309557814852823E-2</v>
      </c>
      <c r="S90" s="60">
        <v>4</v>
      </c>
      <c r="T90" s="58">
        <v>45477</v>
      </c>
      <c r="U90" s="58">
        <v>45477</v>
      </c>
      <c r="V90" s="63">
        <f t="shared" si="11"/>
        <v>0</v>
      </c>
      <c r="W90" s="57" t="s">
        <v>115</v>
      </c>
      <c r="X90" s="64" t="b">
        <f t="shared" si="12"/>
        <v>1</v>
      </c>
      <c r="Y90" s="60">
        <v>343</v>
      </c>
      <c r="Z90" s="60">
        <v>149</v>
      </c>
      <c r="AA90" s="57" t="s">
        <v>82</v>
      </c>
      <c r="AB90" s="64" t="b">
        <f t="shared" si="13"/>
        <v>1</v>
      </c>
    </row>
    <row r="91" spans="1:28" ht="15" customHeight="1" x14ac:dyDescent="0.3">
      <c r="A91" s="65" t="s">
        <v>310</v>
      </c>
      <c r="B91" s="81">
        <v>45177</v>
      </c>
      <c r="C91" s="59">
        <f t="shared" si="7"/>
        <v>2023</v>
      </c>
      <c r="D91" s="59">
        <f t="shared" si="8"/>
        <v>9</v>
      </c>
      <c r="E91" s="59">
        <f t="shared" si="9"/>
        <v>36</v>
      </c>
      <c r="F91" s="65" t="s">
        <v>61</v>
      </c>
      <c r="G91" s="65" t="s">
        <v>43</v>
      </c>
      <c r="H91" s="65" t="s">
        <v>311</v>
      </c>
      <c r="I91" s="65" t="s">
        <v>66</v>
      </c>
      <c r="J91" s="65" t="s">
        <v>139</v>
      </c>
      <c r="K91" s="65" t="s">
        <v>72</v>
      </c>
      <c r="L91" s="65" t="s">
        <v>119</v>
      </c>
      <c r="M91" s="67">
        <v>193</v>
      </c>
      <c r="N91" s="65" t="s">
        <v>136</v>
      </c>
      <c r="O91" s="68">
        <v>164.61</v>
      </c>
      <c r="P91" s="68">
        <v>31769.73</v>
      </c>
      <c r="Q91" s="68">
        <v>1751.76</v>
      </c>
      <c r="R91" s="62">
        <f t="shared" si="10"/>
        <v>5.5139278804069158E-2</v>
      </c>
      <c r="S91" s="67">
        <v>22</v>
      </c>
      <c r="T91" s="66">
        <v>45199</v>
      </c>
      <c r="U91" s="66">
        <v>45202</v>
      </c>
      <c r="V91" s="63">
        <f t="shared" si="11"/>
        <v>3</v>
      </c>
      <c r="W91" s="65" t="s">
        <v>125</v>
      </c>
      <c r="X91" s="64" t="b">
        <f t="shared" si="12"/>
        <v>0</v>
      </c>
      <c r="Y91" s="67">
        <v>29</v>
      </c>
      <c r="Z91" s="67">
        <v>340</v>
      </c>
      <c r="AA91" s="65" t="s">
        <v>116</v>
      </c>
      <c r="AB91" s="64" t="b">
        <f t="shared" si="13"/>
        <v>0</v>
      </c>
    </row>
    <row r="92" spans="1:28" ht="15" customHeight="1" x14ac:dyDescent="0.3">
      <c r="A92" s="57" t="s">
        <v>312</v>
      </c>
      <c r="B92" s="82">
        <v>45094</v>
      </c>
      <c r="C92" s="59">
        <f t="shared" si="7"/>
        <v>2023</v>
      </c>
      <c r="D92" s="59">
        <f t="shared" si="8"/>
        <v>6</v>
      </c>
      <c r="E92" s="59">
        <f t="shared" si="9"/>
        <v>24</v>
      </c>
      <c r="F92" s="57" t="s">
        <v>52</v>
      </c>
      <c r="G92" s="57" t="s">
        <v>40</v>
      </c>
      <c r="H92" s="57" t="s">
        <v>313</v>
      </c>
      <c r="I92" s="57" t="s">
        <v>69</v>
      </c>
      <c r="J92" s="57" t="s">
        <v>139</v>
      </c>
      <c r="K92" s="57" t="s">
        <v>75</v>
      </c>
      <c r="L92" s="57" t="s">
        <v>124</v>
      </c>
      <c r="M92" s="60">
        <v>99</v>
      </c>
      <c r="N92" s="57" t="s">
        <v>132</v>
      </c>
      <c r="O92" s="61">
        <v>1127.1500000000001</v>
      </c>
      <c r="P92" s="61">
        <v>111587.85</v>
      </c>
      <c r="Q92" s="61">
        <v>2288.64</v>
      </c>
      <c r="R92" s="62">
        <f t="shared" si="10"/>
        <v>2.0509759799117913E-2</v>
      </c>
      <c r="S92" s="60">
        <v>29</v>
      </c>
      <c r="T92" s="58">
        <v>45123</v>
      </c>
      <c r="U92" s="58">
        <v>45118</v>
      </c>
      <c r="V92" s="63">
        <f t="shared" si="11"/>
        <v>-5</v>
      </c>
      <c r="W92" s="57" t="s">
        <v>115</v>
      </c>
      <c r="X92" s="64" t="b">
        <f t="shared" si="12"/>
        <v>1</v>
      </c>
      <c r="Y92" s="60">
        <v>413</v>
      </c>
      <c r="Z92" s="60">
        <v>412</v>
      </c>
      <c r="AA92" s="57" t="s">
        <v>83</v>
      </c>
      <c r="AB92" s="64" t="b">
        <f t="shared" si="13"/>
        <v>1</v>
      </c>
    </row>
    <row r="93" spans="1:28" ht="15" customHeight="1" x14ac:dyDescent="0.3">
      <c r="A93" s="65" t="s">
        <v>314</v>
      </c>
      <c r="B93" s="81">
        <v>45400</v>
      </c>
      <c r="C93" s="59">
        <f t="shared" si="7"/>
        <v>2024</v>
      </c>
      <c r="D93" s="59">
        <f t="shared" si="8"/>
        <v>4</v>
      </c>
      <c r="E93" s="59">
        <f t="shared" si="9"/>
        <v>16</v>
      </c>
      <c r="F93" s="65" t="s">
        <v>57</v>
      </c>
      <c r="G93" s="65" t="s">
        <v>46</v>
      </c>
      <c r="H93" s="65" t="s">
        <v>315</v>
      </c>
      <c r="I93" s="65" t="s">
        <v>64</v>
      </c>
      <c r="J93" s="65" t="s">
        <v>123</v>
      </c>
      <c r="K93" s="65" t="s">
        <v>74</v>
      </c>
      <c r="L93" s="65" t="s">
        <v>119</v>
      </c>
      <c r="M93" s="67">
        <v>103</v>
      </c>
      <c r="N93" s="65" t="s">
        <v>140</v>
      </c>
      <c r="O93" s="68">
        <v>64.010000000000005</v>
      </c>
      <c r="P93" s="68">
        <v>6593.03</v>
      </c>
      <c r="Q93" s="68">
        <v>432.9</v>
      </c>
      <c r="R93" s="62">
        <f t="shared" si="10"/>
        <v>6.5660250294629324E-2</v>
      </c>
      <c r="S93" s="67">
        <v>18</v>
      </c>
      <c r="T93" s="66">
        <v>45418</v>
      </c>
      <c r="U93" s="66">
        <v>45420</v>
      </c>
      <c r="V93" s="63">
        <f t="shared" si="11"/>
        <v>2</v>
      </c>
      <c r="W93" s="65" t="s">
        <v>125</v>
      </c>
      <c r="X93" s="64" t="b">
        <f t="shared" si="12"/>
        <v>0</v>
      </c>
      <c r="Y93" s="67">
        <v>358</v>
      </c>
      <c r="Z93" s="67">
        <v>44</v>
      </c>
      <c r="AA93" s="65" t="s">
        <v>116</v>
      </c>
      <c r="AB93" s="64" t="b">
        <f t="shared" si="13"/>
        <v>0</v>
      </c>
    </row>
    <row r="94" spans="1:28" ht="15" customHeight="1" x14ac:dyDescent="0.3">
      <c r="A94" s="57" t="s">
        <v>316</v>
      </c>
      <c r="B94" s="82">
        <v>45315</v>
      </c>
      <c r="C94" s="59">
        <f t="shared" si="7"/>
        <v>2024</v>
      </c>
      <c r="D94" s="59">
        <f t="shared" si="8"/>
        <v>1</v>
      </c>
      <c r="E94" s="59">
        <f t="shared" si="9"/>
        <v>4</v>
      </c>
      <c r="F94" s="57" t="s">
        <v>54</v>
      </c>
      <c r="G94" s="57" t="s">
        <v>39</v>
      </c>
      <c r="H94" s="57" t="s">
        <v>317</v>
      </c>
      <c r="I94" s="57" t="s">
        <v>64</v>
      </c>
      <c r="J94" s="57" t="s">
        <v>112</v>
      </c>
      <c r="K94" s="57" t="s">
        <v>74</v>
      </c>
      <c r="L94" s="57" t="s">
        <v>146</v>
      </c>
      <c r="M94" s="60">
        <v>22</v>
      </c>
      <c r="N94" s="57" t="s">
        <v>136</v>
      </c>
      <c r="O94" s="61">
        <v>1727.51</v>
      </c>
      <c r="P94" s="61">
        <v>38005.22</v>
      </c>
      <c r="Q94" s="61">
        <v>2386</v>
      </c>
      <c r="R94" s="62">
        <f t="shared" si="10"/>
        <v>6.278084957803165E-2</v>
      </c>
      <c r="S94" s="60">
        <v>26</v>
      </c>
      <c r="T94" s="58">
        <v>45341</v>
      </c>
      <c r="U94" s="58">
        <v>45338</v>
      </c>
      <c r="V94" s="63">
        <f t="shared" si="11"/>
        <v>-3</v>
      </c>
      <c r="W94" s="57" t="s">
        <v>115</v>
      </c>
      <c r="X94" s="64" t="b">
        <f t="shared" si="12"/>
        <v>1</v>
      </c>
      <c r="Y94" s="60">
        <v>367</v>
      </c>
      <c r="Z94" s="60">
        <v>173</v>
      </c>
      <c r="AA94" s="57" t="s">
        <v>116</v>
      </c>
      <c r="AB94" s="64" t="b">
        <f t="shared" si="13"/>
        <v>0</v>
      </c>
    </row>
    <row r="95" spans="1:28" ht="15" customHeight="1" x14ac:dyDescent="0.3">
      <c r="A95" s="65" t="s">
        <v>318</v>
      </c>
      <c r="B95" s="81">
        <v>45203</v>
      </c>
      <c r="C95" s="59">
        <f t="shared" si="7"/>
        <v>2023</v>
      </c>
      <c r="D95" s="59">
        <f t="shared" si="8"/>
        <v>10</v>
      </c>
      <c r="E95" s="59">
        <f t="shared" si="9"/>
        <v>40</v>
      </c>
      <c r="F95" s="65" t="s">
        <v>57</v>
      </c>
      <c r="G95" s="65" t="s">
        <v>41</v>
      </c>
      <c r="H95" s="65" t="s">
        <v>319</v>
      </c>
      <c r="I95" s="65" t="s">
        <v>67</v>
      </c>
      <c r="J95" s="65" t="s">
        <v>143</v>
      </c>
      <c r="K95" s="65" t="s">
        <v>74</v>
      </c>
      <c r="L95" s="65" t="s">
        <v>124</v>
      </c>
      <c r="M95" s="67">
        <v>982</v>
      </c>
      <c r="N95" s="65" t="s">
        <v>163</v>
      </c>
      <c r="O95" s="68">
        <v>615.21</v>
      </c>
      <c r="P95" s="68">
        <v>604136.22</v>
      </c>
      <c r="Q95" s="68">
        <v>25359.94</v>
      </c>
      <c r="R95" s="62">
        <f t="shared" si="10"/>
        <v>4.1977188522151508E-2</v>
      </c>
      <c r="S95" s="67">
        <v>12</v>
      </c>
      <c r="T95" s="66">
        <v>45215</v>
      </c>
      <c r="U95" s="66">
        <v>45227</v>
      </c>
      <c r="V95" s="63">
        <f t="shared" si="11"/>
        <v>12</v>
      </c>
      <c r="W95" s="65" t="s">
        <v>128</v>
      </c>
      <c r="X95" s="64" t="b">
        <f t="shared" si="12"/>
        <v>0</v>
      </c>
      <c r="Y95" s="67">
        <v>494</v>
      </c>
      <c r="Z95" s="67">
        <v>166</v>
      </c>
      <c r="AA95" s="65" t="s">
        <v>116</v>
      </c>
      <c r="AB95" s="64" t="b">
        <f t="shared" si="13"/>
        <v>0</v>
      </c>
    </row>
    <row r="96" spans="1:28" ht="15" customHeight="1" x14ac:dyDescent="0.3">
      <c r="A96" s="57" t="s">
        <v>320</v>
      </c>
      <c r="B96" s="82">
        <v>45582</v>
      </c>
      <c r="C96" s="59">
        <f t="shared" si="7"/>
        <v>2024</v>
      </c>
      <c r="D96" s="59">
        <f t="shared" si="8"/>
        <v>10</v>
      </c>
      <c r="E96" s="59">
        <f t="shared" si="9"/>
        <v>42</v>
      </c>
      <c r="F96" s="57" t="s">
        <v>59</v>
      </c>
      <c r="G96" s="57" t="s">
        <v>45</v>
      </c>
      <c r="H96" s="57" t="s">
        <v>321</v>
      </c>
      <c r="I96" s="57" t="s">
        <v>65</v>
      </c>
      <c r="J96" s="57" t="s">
        <v>151</v>
      </c>
      <c r="K96" s="57" t="s">
        <v>74</v>
      </c>
      <c r="L96" s="57" t="s">
        <v>146</v>
      </c>
      <c r="M96" s="60">
        <v>843</v>
      </c>
      <c r="N96" s="57" t="s">
        <v>140</v>
      </c>
      <c r="O96" s="61">
        <v>248.65</v>
      </c>
      <c r="P96" s="61">
        <v>209611.95</v>
      </c>
      <c r="Q96" s="61">
        <v>4858</v>
      </c>
      <c r="R96" s="62">
        <f t="shared" si="10"/>
        <v>2.3176159565330125E-2</v>
      </c>
      <c r="S96" s="60">
        <v>2</v>
      </c>
      <c r="T96" s="58">
        <v>45584</v>
      </c>
      <c r="U96" s="58">
        <v>45586</v>
      </c>
      <c r="V96" s="63">
        <f t="shared" si="11"/>
        <v>2</v>
      </c>
      <c r="W96" s="57" t="s">
        <v>128</v>
      </c>
      <c r="X96" s="64" t="b">
        <f t="shared" si="12"/>
        <v>0</v>
      </c>
      <c r="Y96" s="60">
        <v>228</v>
      </c>
      <c r="Z96" s="60">
        <v>196</v>
      </c>
      <c r="AA96" s="57" t="s">
        <v>116</v>
      </c>
      <c r="AB96" s="64" t="b">
        <f t="shared" si="13"/>
        <v>0</v>
      </c>
    </row>
    <row r="97" spans="1:28" ht="15" customHeight="1" x14ac:dyDescent="0.3">
      <c r="A97" s="65" t="s">
        <v>322</v>
      </c>
      <c r="B97" s="81">
        <v>45631</v>
      </c>
      <c r="C97" s="59">
        <f t="shared" si="7"/>
        <v>2024</v>
      </c>
      <c r="D97" s="59">
        <f t="shared" si="8"/>
        <v>12</v>
      </c>
      <c r="E97" s="59">
        <f t="shared" si="9"/>
        <v>49</v>
      </c>
      <c r="F97" s="65" t="s">
        <v>53</v>
      </c>
      <c r="G97" s="65" t="s">
        <v>46</v>
      </c>
      <c r="H97" s="65" t="s">
        <v>323</v>
      </c>
      <c r="I97" s="65" t="s">
        <v>67</v>
      </c>
      <c r="J97" s="65" t="s">
        <v>131</v>
      </c>
      <c r="K97" s="65" t="s">
        <v>75</v>
      </c>
      <c r="L97" s="65" t="s">
        <v>119</v>
      </c>
      <c r="M97" s="67">
        <v>814</v>
      </c>
      <c r="N97" s="65" t="s">
        <v>132</v>
      </c>
      <c r="O97" s="68">
        <v>86.72</v>
      </c>
      <c r="P97" s="68">
        <v>70590.080000000002</v>
      </c>
      <c r="Q97" s="68">
        <v>4609.25</v>
      </c>
      <c r="R97" s="62">
        <f t="shared" si="10"/>
        <v>6.5296001931149525E-2</v>
      </c>
      <c r="S97" s="67">
        <v>10</v>
      </c>
      <c r="T97" s="66">
        <v>45641</v>
      </c>
      <c r="U97" s="66">
        <v>45640</v>
      </c>
      <c r="V97" s="63">
        <f t="shared" si="11"/>
        <v>-1</v>
      </c>
      <c r="W97" s="65" t="s">
        <v>115</v>
      </c>
      <c r="X97" s="64" t="b">
        <f t="shared" si="12"/>
        <v>1</v>
      </c>
      <c r="Y97" s="67">
        <v>480</v>
      </c>
      <c r="Z97" s="67">
        <v>205</v>
      </c>
      <c r="AA97" s="65" t="s">
        <v>81</v>
      </c>
      <c r="AB97" s="64" t="b">
        <f t="shared" si="13"/>
        <v>1</v>
      </c>
    </row>
    <row r="98" spans="1:28" ht="15" customHeight="1" x14ac:dyDescent="0.3">
      <c r="A98" s="57" t="s">
        <v>324</v>
      </c>
      <c r="B98" s="82">
        <v>45497</v>
      </c>
      <c r="C98" s="59">
        <f t="shared" si="7"/>
        <v>2024</v>
      </c>
      <c r="D98" s="59">
        <f t="shared" si="8"/>
        <v>7</v>
      </c>
      <c r="E98" s="59">
        <f t="shared" si="9"/>
        <v>30</v>
      </c>
      <c r="F98" s="57" t="s">
        <v>56</v>
      </c>
      <c r="G98" s="57" t="s">
        <v>41</v>
      </c>
      <c r="H98" s="57" t="s">
        <v>325</v>
      </c>
      <c r="I98" s="57" t="s">
        <v>68</v>
      </c>
      <c r="J98" s="57" t="s">
        <v>139</v>
      </c>
      <c r="K98" s="57" t="s">
        <v>73</v>
      </c>
      <c r="L98" s="57" t="s">
        <v>146</v>
      </c>
      <c r="M98" s="60">
        <v>954</v>
      </c>
      <c r="N98" s="57" t="s">
        <v>120</v>
      </c>
      <c r="O98" s="61">
        <v>748.78</v>
      </c>
      <c r="P98" s="61">
        <v>714336.12</v>
      </c>
      <c r="Q98" s="61">
        <v>55225.69</v>
      </c>
      <c r="R98" s="62">
        <f t="shared" si="10"/>
        <v>7.731051035190549E-2</v>
      </c>
      <c r="S98" s="60">
        <v>4</v>
      </c>
      <c r="T98" s="58">
        <v>45501</v>
      </c>
      <c r="U98" s="58">
        <v>45501</v>
      </c>
      <c r="V98" s="63">
        <f t="shared" si="11"/>
        <v>0</v>
      </c>
      <c r="W98" s="57" t="s">
        <v>115</v>
      </c>
      <c r="X98" s="64" t="b">
        <f t="shared" si="12"/>
        <v>1</v>
      </c>
      <c r="Y98" s="60">
        <v>83</v>
      </c>
      <c r="Z98" s="60">
        <v>81</v>
      </c>
      <c r="AA98" s="57" t="s">
        <v>84</v>
      </c>
      <c r="AB98" s="64" t="b">
        <f t="shared" si="13"/>
        <v>1</v>
      </c>
    </row>
    <row r="99" spans="1:28" ht="15" customHeight="1" x14ac:dyDescent="0.3">
      <c r="A99" s="65" t="s">
        <v>326</v>
      </c>
      <c r="B99" s="81">
        <v>45151</v>
      </c>
      <c r="C99" s="59">
        <f t="shared" si="7"/>
        <v>2023</v>
      </c>
      <c r="D99" s="59">
        <f t="shared" si="8"/>
        <v>8</v>
      </c>
      <c r="E99" s="59">
        <f t="shared" si="9"/>
        <v>33</v>
      </c>
      <c r="F99" s="65" t="s">
        <v>57</v>
      </c>
      <c r="G99" s="65" t="s">
        <v>44</v>
      </c>
      <c r="H99" s="65" t="s">
        <v>327</v>
      </c>
      <c r="I99" s="65" t="s">
        <v>64</v>
      </c>
      <c r="J99" s="65" t="s">
        <v>131</v>
      </c>
      <c r="K99" s="65" t="s">
        <v>75</v>
      </c>
      <c r="L99" s="65" t="s">
        <v>119</v>
      </c>
      <c r="M99" s="67">
        <v>751</v>
      </c>
      <c r="N99" s="65" t="s">
        <v>114</v>
      </c>
      <c r="O99" s="68">
        <v>153.13999999999999</v>
      </c>
      <c r="P99" s="68">
        <v>115008.14</v>
      </c>
      <c r="Q99" s="68">
        <v>3957.33</v>
      </c>
      <c r="R99" s="62">
        <f t="shared" si="10"/>
        <v>3.4409129649431769E-2</v>
      </c>
      <c r="S99" s="67">
        <v>14</v>
      </c>
      <c r="T99" s="66">
        <v>45165</v>
      </c>
      <c r="U99" s="66">
        <v>45164</v>
      </c>
      <c r="V99" s="63">
        <f t="shared" si="11"/>
        <v>-1</v>
      </c>
      <c r="W99" s="65" t="s">
        <v>115</v>
      </c>
      <c r="X99" s="64" t="b">
        <f t="shared" si="12"/>
        <v>1</v>
      </c>
      <c r="Y99" s="67">
        <v>149</v>
      </c>
      <c r="Z99" s="67">
        <v>67</v>
      </c>
      <c r="AA99" s="65" t="s">
        <v>81</v>
      </c>
      <c r="AB99" s="64" t="b">
        <f t="shared" si="13"/>
        <v>1</v>
      </c>
    </row>
    <row r="100" spans="1:28" ht="15" customHeight="1" x14ac:dyDescent="0.3">
      <c r="A100" s="57" t="s">
        <v>328</v>
      </c>
      <c r="B100" s="82">
        <v>45628</v>
      </c>
      <c r="C100" s="59">
        <f t="shared" si="7"/>
        <v>2024</v>
      </c>
      <c r="D100" s="59">
        <f t="shared" si="8"/>
        <v>12</v>
      </c>
      <c r="E100" s="59">
        <f t="shared" si="9"/>
        <v>49</v>
      </c>
      <c r="F100" s="57" t="s">
        <v>54</v>
      </c>
      <c r="G100" s="57" t="s">
        <v>42</v>
      </c>
      <c r="H100" s="57" t="s">
        <v>329</v>
      </c>
      <c r="I100" s="57" t="s">
        <v>64</v>
      </c>
      <c r="J100" s="57" t="s">
        <v>112</v>
      </c>
      <c r="K100" s="57" t="s">
        <v>73</v>
      </c>
      <c r="L100" s="57" t="s">
        <v>156</v>
      </c>
      <c r="M100" s="60">
        <v>843</v>
      </c>
      <c r="N100" s="57" t="s">
        <v>136</v>
      </c>
      <c r="O100" s="61">
        <v>74.38</v>
      </c>
      <c r="P100" s="61">
        <v>62702.34</v>
      </c>
      <c r="Q100" s="61">
        <v>2471.19</v>
      </c>
      <c r="R100" s="62">
        <f t="shared" si="10"/>
        <v>3.9411447802426516E-2</v>
      </c>
      <c r="S100" s="60">
        <v>16</v>
      </c>
      <c r="T100" s="58">
        <v>45644</v>
      </c>
      <c r="U100" s="58">
        <v>45645</v>
      </c>
      <c r="V100" s="63">
        <f t="shared" si="11"/>
        <v>1</v>
      </c>
      <c r="W100" s="57" t="s">
        <v>125</v>
      </c>
      <c r="X100" s="64" t="b">
        <f t="shared" si="12"/>
        <v>0</v>
      </c>
      <c r="Y100" s="60">
        <v>360</v>
      </c>
      <c r="Z100" s="60">
        <v>96</v>
      </c>
      <c r="AA100" s="57" t="s">
        <v>116</v>
      </c>
      <c r="AB100" s="64" t="b">
        <f t="shared" si="13"/>
        <v>0</v>
      </c>
    </row>
    <row r="101" spans="1:28" ht="15" customHeight="1" x14ac:dyDescent="0.3">
      <c r="A101" s="65" t="s">
        <v>330</v>
      </c>
      <c r="B101" s="81">
        <v>45259</v>
      </c>
      <c r="C101" s="59">
        <f t="shared" si="7"/>
        <v>2023</v>
      </c>
      <c r="D101" s="59">
        <f t="shared" si="8"/>
        <v>11</v>
      </c>
      <c r="E101" s="59">
        <f t="shared" si="9"/>
        <v>48</v>
      </c>
      <c r="F101" s="65" t="s">
        <v>60</v>
      </c>
      <c r="G101" s="65" t="s">
        <v>46</v>
      </c>
      <c r="H101" s="65" t="s">
        <v>331</v>
      </c>
      <c r="I101" s="65" t="s">
        <v>67</v>
      </c>
      <c r="J101" s="65" t="s">
        <v>139</v>
      </c>
      <c r="K101" s="65" t="s">
        <v>71</v>
      </c>
      <c r="L101" s="65" t="s">
        <v>119</v>
      </c>
      <c r="M101" s="67">
        <v>813</v>
      </c>
      <c r="N101" s="65" t="s">
        <v>163</v>
      </c>
      <c r="O101" s="68">
        <v>84.23</v>
      </c>
      <c r="P101" s="68">
        <v>68478.990000000005</v>
      </c>
      <c r="Q101" s="68">
        <v>2124.8200000000002</v>
      </c>
      <c r="R101" s="62">
        <f t="shared" si="10"/>
        <v>3.1028787077613147E-2</v>
      </c>
      <c r="S101" s="67">
        <v>15</v>
      </c>
      <c r="T101" s="66">
        <v>45274</v>
      </c>
      <c r="U101" s="66">
        <v>45279</v>
      </c>
      <c r="V101" s="63">
        <f t="shared" si="11"/>
        <v>5</v>
      </c>
      <c r="W101" s="65" t="s">
        <v>125</v>
      </c>
      <c r="X101" s="64" t="b">
        <f t="shared" si="12"/>
        <v>0</v>
      </c>
      <c r="Y101" s="67">
        <v>188</v>
      </c>
      <c r="Z101" s="67">
        <v>166</v>
      </c>
      <c r="AA101" s="65" t="s">
        <v>81</v>
      </c>
      <c r="AB101" s="64" t="b">
        <f t="shared" si="13"/>
        <v>1</v>
      </c>
    </row>
    <row r="102" spans="1:28" ht="15" customHeight="1" x14ac:dyDescent="0.3">
      <c r="A102" s="57" t="s">
        <v>332</v>
      </c>
      <c r="B102" s="82">
        <v>44984</v>
      </c>
      <c r="C102" s="59">
        <f t="shared" si="7"/>
        <v>2023</v>
      </c>
      <c r="D102" s="59">
        <f t="shared" si="8"/>
        <v>2</v>
      </c>
      <c r="E102" s="59">
        <f t="shared" si="9"/>
        <v>9</v>
      </c>
      <c r="F102" s="57" t="s">
        <v>56</v>
      </c>
      <c r="G102" s="57" t="s">
        <v>44</v>
      </c>
      <c r="H102" s="57" t="s">
        <v>333</v>
      </c>
      <c r="I102" s="57" t="s">
        <v>64</v>
      </c>
      <c r="J102" s="57" t="s">
        <v>131</v>
      </c>
      <c r="K102" s="57" t="s">
        <v>71</v>
      </c>
      <c r="L102" s="57" t="s">
        <v>113</v>
      </c>
      <c r="M102" s="60">
        <v>447</v>
      </c>
      <c r="N102" s="57" t="s">
        <v>132</v>
      </c>
      <c r="O102" s="61">
        <v>88.73</v>
      </c>
      <c r="P102" s="61">
        <v>39662.31</v>
      </c>
      <c r="Q102" s="61">
        <v>2166.1999999999998</v>
      </c>
      <c r="R102" s="62">
        <f t="shared" si="10"/>
        <v>5.4616082623528482E-2</v>
      </c>
      <c r="S102" s="60">
        <v>8</v>
      </c>
      <c r="T102" s="58">
        <v>44992</v>
      </c>
      <c r="U102" s="58">
        <v>44995</v>
      </c>
      <c r="V102" s="63">
        <f t="shared" si="11"/>
        <v>3</v>
      </c>
      <c r="W102" s="57" t="s">
        <v>125</v>
      </c>
      <c r="X102" s="64" t="b">
        <f t="shared" si="12"/>
        <v>0</v>
      </c>
      <c r="Y102" s="60">
        <v>20</v>
      </c>
      <c r="Z102" s="60">
        <v>403</v>
      </c>
      <c r="AA102" s="57" t="s">
        <v>83</v>
      </c>
      <c r="AB102" s="64" t="b">
        <f t="shared" si="13"/>
        <v>1</v>
      </c>
    </row>
    <row r="103" spans="1:28" ht="15" customHeight="1" x14ac:dyDescent="0.3">
      <c r="A103" s="65" t="s">
        <v>334</v>
      </c>
      <c r="B103" s="81">
        <v>45161</v>
      </c>
      <c r="C103" s="59">
        <f t="shared" si="7"/>
        <v>2023</v>
      </c>
      <c r="D103" s="59">
        <f t="shared" si="8"/>
        <v>8</v>
      </c>
      <c r="E103" s="59">
        <f t="shared" si="9"/>
        <v>34</v>
      </c>
      <c r="F103" s="65" t="s">
        <v>56</v>
      </c>
      <c r="G103" s="65" t="s">
        <v>41</v>
      </c>
      <c r="H103" s="65" t="s">
        <v>335</v>
      </c>
      <c r="I103" s="65" t="s">
        <v>68</v>
      </c>
      <c r="J103" s="65" t="s">
        <v>123</v>
      </c>
      <c r="K103" s="65" t="s">
        <v>73</v>
      </c>
      <c r="L103" s="65" t="s">
        <v>146</v>
      </c>
      <c r="M103" s="67">
        <v>547</v>
      </c>
      <c r="N103" s="65" t="s">
        <v>140</v>
      </c>
      <c r="O103" s="68">
        <v>442.43</v>
      </c>
      <c r="P103" s="68">
        <v>242009.21</v>
      </c>
      <c r="Q103" s="68">
        <v>7088.57</v>
      </c>
      <c r="R103" s="62">
        <f t="shared" si="10"/>
        <v>2.9290496836876581E-2</v>
      </c>
      <c r="S103" s="67">
        <v>14</v>
      </c>
      <c r="T103" s="66">
        <v>45175</v>
      </c>
      <c r="U103" s="66">
        <v>45172</v>
      </c>
      <c r="V103" s="63">
        <f t="shared" si="11"/>
        <v>-3</v>
      </c>
      <c r="W103" s="65" t="s">
        <v>115</v>
      </c>
      <c r="X103" s="64" t="b">
        <f t="shared" si="12"/>
        <v>1</v>
      </c>
      <c r="Y103" s="67">
        <v>36</v>
      </c>
      <c r="Z103" s="67">
        <v>76</v>
      </c>
      <c r="AA103" s="65" t="s">
        <v>84</v>
      </c>
      <c r="AB103" s="64" t="b">
        <f t="shared" si="13"/>
        <v>1</v>
      </c>
    </row>
    <row r="104" spans="1:28" ht="15" customHeight="1" x14ac:dyDescent="0.3">
      <c r="A104" s="57" t="s">
        <v>336</v>
      </c>
      <c r="B104" s="82">
        <v>44959</v>
      </c>
      <c r="C104" s="59">
        <f t="shared" si="7"/>
        <v>2023</v>
      </c>
      <c r="D104" s="59">
        <f t="shared" si="8"/>
        <v>2</v>
      </c>
      <c r="E104" s="59">
        <f t="shared" si="9"/>
        <v>5</v>
      </c>
      <c r="F104" s="57" t="s">
        <v>55</v>
      </c>
      <c r="G104" s="57" t="s">
        <v>43</v>
      </c>
      <c r="H104" s="57" t="s">
        <v>337</v>
      </c>
      <c r="I104" s="57" t="s">
        <v>66</v>
      </c>
      <c r="J104" s="57" t="s">
        <v>131</v>
      </c>
      <c r="K104" s="57" t="s">
        <v>75</v>
      </c>
      <c r="L104" s="57" t="s">
        <v>146</v>
      </c>
      <c r="M104" s="60">
        <v>596</v>
      </c>
      <c r="N104" s="57" t="s">
        <v>114</v>
      </c>
      <c r="O104" s="61">
        <v>283.58</v>
      </c>
      <c r="P104" s="61">
        <v>169013.68</v>
      </c>
      <c r="Q104" s="61">
        <v>6992.37</v>
      </c>
      <c r="R104" s="62">
        <f t="shared" si="10"/>
        <v>4.1371621516080828E-2</v>
      </c>
      <c r="S104" s="60">
        <v>23</v>
      </c>
      <c r="T104" s="58">
        <v>44982</v>
      </c>
      <c r="U104" s="58">
        <v>44994</v>
      </c>
      <c r="V104" s="63">
        <f t="shared" si="11"/>
        <v>12</v>
      </c>
      <c r="W104" s="57" t="s">
        <v>125</v>
      </c>
      <c r="X104" s="64" t="b">
        <f t="shared" si="12"/>
        <v>0</v>
      </c>
      <c r="Y104" s="60">
        <v>245</v>
      </c>
      <c r="Z104" s="60">
        <v>483</v>
      </c>
      <c r="AA104" s="57" t="s">
        <v>116</v>
      </c>
      <c r="AB104" s="64" t="b">
        <f t="shared" si="13"/>
        <v>0</v>
      </c>
    </row>
    <row r="105" spans="1:28" ht="15" customHeight="1" x14ac:dyDescent="0.3">
      <c r="A105" s="65" t="s">
        <v>338</v>
      </c>
      <c r="B105" s="81">
        <v>45250</v>
      </c>
      <c r="C105" s="59">
        <f t="shared" si="7"/>
        <v>2023</v>
      </c>
      <c r="D105" s="59">
        <f t="shared" si="8"/>
        <v>11</v>
      </c>
      <c r="E105" s="59">
        <f t="shared" si="9"/>
        <v>47</v>
      </c>
      <c r="F105" s="65" t="s">
        <v>57</v>
      </c>
      <c r="G105" s="65" t="s">
        <v>43</v>
      </c>
      <c r="H105" s="65" t="s">
        <v>339</v>
      </c>
      <c r="I105" s="65" t="s">
        <v>69</v>
      </c>
      <c r="J105" s="65" t="s">
        <v>123</v>
      </c>
      <c r="K105" s="65" t="s">
        <v>72</v>
      </c>
      <c r="L105" s="65" t="s">
        <v>135</v>
      </c>
      <c r="M105" s="67">
        <v>977</v>
      </c>
      <c r="N105" s="65" t="s">
        <v>114</v>
      </c>
      <c r="O105" s="68">
        <v>180.99</v>
      </c>
      <c r="P105" s="68">
        <v>176827.23</v>
      </c>
      <c r="Q105" s="68">
        <v>10931.6</v>
      </c>
      <c r="R105" s="62">
        <f t="shared" si="10"/>
        <v>6.1820795360533552E-2</v>
      </c>
      <c r="S105" s="67">
        <v>28</v>
      </c>
      <c r="T105" s="66">
        <v>45278</v>
      </c>
      <c r="U105" s="66">
        <v>45290</v>
      </c>
      <c r="V105" s="63">
        <f t="shared" si="11"/>
        <v>12</v>
      </c>
      <c r="W105" s="65" t="s">
        <v>125</v>
      </c>
      <c r="X105" s="64" t="b">
        <f t="shared" si="12"/>
        <v>0</v>
      </c>
      <c r="Y105" s="67">
        <v>282</v>
      </c>
      <c r="Z105" s="67">
        <v>236</v>
      </c>
      <c r="AA105" s="65" t="s">
        <v>116</v>
      </c>
      <c r="AB105" s="64" t="b">
        <f t="shared" si="13"/>
        <v>0</v>
      </c>
    </row>
    <row r="106" spans="1:28" ht="15" customHeight="1" x14ac:dyDescent="0.3">
      <c r="A106" s="57" t="s">
        <v>340</v>
      </c>
      <c r="B106" s="82">
        <v>45337</v>
      </c>
      <c r="C106" s="59">
        <f t="shared" si="7"/>
        <v>2024</v>
      </c>
      <c r="D106" s="59">
        <f t="shared" si="8"/>
        <v>2</v>
      </c>
      <c r="E106" s="59">
        <f t="shared" si="9"/>
        <v>7</v>
      </c>
      <c r="F106" s="57" t="s">
        <v>60</v>
      </c>
      <c r="G106" s="57" t="s">
        <v>42</v>
      </c>
      <c r="H106" s="57" t="s">
        <v>341</v>
      </c>
      <c r="I106" s="57" t="s">
        <v>69</v>
      </c>
      <c r="J106" s="57" t="s">
        <v>151</v>
      </c>
      <c r="K106" s="57" t="s">
        <v>75</v>
      </c>
      <c r="L106" s="57" t="s">
        <v>135</v>
      </c>
      <c r="M106" s="60">
        <v>885</v>
      </c>
      <c r="N106" s="57" t="s">
        <v>136</v>
      </c>
      <c r="O106" s="61">
        <v>70.12</v>
      </c>
      <c r="P106" s="61">
        <v>62056.2</v>
      </c>
      <c r="Q106" s="61">
        <v>3326.64</v>
      </c>
      <c r="R106" s="62">
        <f t="shared" si="10"/>
        <v>5.3606891817417117E-2</v>
      </c>
      <c r="S106" s="60">
        <v>25</v>
      </c>
      <c r="T106" s="58">
        <v>45362</v>
      </c>
      <c r="U106" s="58">
        <v>45362</v>
      </c>
      <c r="V106" s="63">
        <f t="shared" si="11"/>
        <v>0</v>
      </c>
      <c r="W106" s="57" t="s">
        <v>115</v>
      </c>
      <c r="X106" s="64" t="b">
        <f t="shared" si="12"/>
        <v>1</v>
      </c>
      <c r="Y106" s="60">
        <v>101</v>
      </c>
      <c r="Z106" s="60">
        <v>195</v>
      </c>
      <c r="AA106" s="57" t="s">
        <v>81</v>
      </c>
      <c r="AB106" s="64" t="b">
        <f t="shared" si="13"/>
        <v>1</v>
      </c>
    </row>
    <row r="107" spans="1:28" ht="15" customHeight="1" x14ac:dyDescent="0.3">
      <c r="A107" s="65" t="s">
        <v>342</v>
      </c>
      <c r="B107" s="81">
        <v>45201</v>
      </c>
      <c r="C107" s="59">
        <f t="shared" si="7"/>
        <v>2023</v>
      </c>
      <c r="D107" s="59">
        <f t="shared" si="8"/>
        <v>10</v>
      </c>
      <c r="E107" s="59">
        <f t="shared" si="9"/>
        <v>40</v>
      </c>
      <c r="F107" s="65" t="s">
        <v>57</v>
      </c>
      <c r="G107" s="65" t="s">
        <v>45</v>
      </c>
      <c r="H107" s="65" t="s">
        <v>343</v>
      </c>
      <c r="I107" s="65" t="s">
        <v>69</v>
      </c>
      <c r="J107" s="65" t="s">
        <v>112</v>
      </c>
      <c r="K107" s="65" t="s">
        <v>72</v>
      </c>
      <c r="L107" s="65" t="s">
        <v>113</v>
      </c>
      <c r="M107" s="67">
        <v>945</v>
      </c>
      <c r="N107" s="65" t="s">
        <v>132</v>
      </c>
      <c r="O107" s="68">
        <v>162.1</v>
      </c>
      <c r="P107" s="68">
        <v>153184.5</v>
      </c>
      <c r="Q107" s="68">
        <v>6615.69</v>
      </c>
      <c r="R107" s="62">
        <f t="shared" si="10"/>
        <v>4.3187724606601842E-2</v>
      </c>
      <c r="S107" s="67">
        <v>8</v>
      </c>
      <c r="T107" s="66">
        <v>45209</v>
      </c>
      <c r="U107" s="66">
        <v>45209</v>
      </c>
      <c r="V107" s="63">
        <f t="shared" si="11"/>
        <v>0</v>
      </c>
      <c r="W107" s="65" t="s">
        <v>115</v>
      </c>
      <c r="X107" s="64" t="b">
        <f t="shared" si="12"/>
        <v>1</v>
      </c>
      <c r="Y107" s="67">
        <v>418</v>
      </c>
      <c r="Z107" s="67">
        <v>290</v>
      </c>
      <c r="AA107" s="65" t="s">
        <v>82</v>
      </c>
      <c r="AB107" s="64" t="b">
        <f t="shared" si="13"/>
        <v>1</v>
      </c>
    </row>
    <row r="108" spans="1:28" ht="15" customHeight="1" x14ac:dyDescent="0.3">
      <c r="A108" s="57" t="s">
        <v>344</v>
      </c>
      <c r="B108" s="82">
        <v>44994</v>
      </c>
      <c r="C108" s="59">
        <f t="shared" si="7"/>
        <v>2023</v>
      </c>
      <c r="D108" s="59">
        <f t="shared" si="8"/>
        <v>3</v>
      </c>
      <c r="E108" s="59">
        <f t="shared" si="9"/>
        <v>10</v>
      </c>
      <c r="F108" s="57" t="s">
        <v>55</v>
      </c>
      <c r="G108" s="57" t="s">
        <v>46</v>
      </c>
      <c r="H108" s="57" t="s">
        <v>345</v>
      </c>
      <c r="I108" s="57" t="s">
        <v>66</v>
      </c>
      <c r="J108" s="57" t="s">
        <v>143</v>
      </c>
      <c r="K108" s="57" t="s">
        <v>75</v>
      </c>
      <c r="L108" s="57" t="s">
        <v>146</v>
      </c>
      <c r="M108" s="60">
        <v>820</v>
      </c>
      <c r="N108" s="57" t="s">
        <v>132</v>
      </c>
      <c r="O108" s="61">
        <v>83.24</v>
      </c>
      <c r="P108" s="61">
        <v>68256.800000000003</v>
      </c>
      <c r="Q108" s="61">
        <v>3086.23</v>
      </c>
      <c r="R108" s="62">
        <f t="shared" si="10"/>
        <v>4.5214982243527387E-2</v>
      </c>
      <c r="S108" s="60">
        <v>21</v>
      </c>
      <c r="T108" s="58">
        <v>45015</v>
      </c>
      <c r="U108" s="58">
        <v>45015</v>
      </c>
      <c r="V108" s="63">
        <f t="shared" si="11"/>
        <v>0</v>
      </c>
      <c r="W108" s="57" t="s">
        <v>115</v>
      </c>
      <c r="X108" s="64" t="b">
        <f t="shared" si="12"/>
        <v>1</v>
      </c>
      <c r="Y108" s="60">
        <v>293</v>
      </c>
      <c r="Z108" s="60">
        <v>135</v>
      </c>
      <c r="AA108" s="57" t="s">
        <v>84</v>
      </c>
      <c r="AB108" s="64" t="b">
        <f t="shared" si="13"/>
        <v>1</v>
      </c>
    </row>
    <row r="109" spans="1:28" ht="15" customHeight="1" x14ac:dyDescent="0.3">
      <c r="A109" s="65" t="s">
        <v>346</v>
      </c>
      <c r="B109" s="81">
        <v>45143</v>
      </c>
      <c r="C109" s="59">
        <f t="shared" si="7"/>
        <v>2023</v>
      </c>
      <c r="D109" s="59">
        <f t="shared" si="8"/>
        <v>8</v>
      </c>
      <c r="E109" s="59">
        <f t="shared" si="9"/>
        <v>31</v>
      </c>
      <c r="F109" s="65" t="s">
        <v>53</v>
      </c>
      <c r="G109" s="65" t="s">
        <v>46</v>
      </c>
      <c r="H109" s="65" t="s">
        <v>347</v>
      </c>
      <c r="I109" s="65" t="s">
        <v>64</v>
      </c>
      <c r="J109" s="65" t="s">
        <v>131</v>
      </c>
      <c r="K109" s="65" t="s">
        <v>74</v>
      </c>
      <c r="L109" s="65" t="s">
        <v>146</v>
      </c>
      <c r="M109" s="67">
        <v>159</v>
      </c>
      <c r="N109" s="65" t="s">
        <v>163</v>
      </c>
      <c r="O109" s="68">
        <v>66</v>
      </c>
      <c r="P109" s="68">
        <v>10494</v>
      </c>
      <c r="Q109" s="68">
        <v>563.80999999999995</v>
      </c>
      <c r="R109" s="62">
        <f t="shared" si="10"/>
        <v>5.3726891557080228E-2</v>
      </c>
      <c r="S109" s="67">
        <v>16</v>
      </c>
      <c r="T109" s="66">
        <v>45159</v>
      </c>
      <c r="U109" s="66">
        <v>45159</v>
      </c>
      <c r="V109" s="63">
        <f t="shared" si="11"/>
        <v>0</v>
      </c>
      <c r="W109" s="65" t="s">
        <v>115</v>
      </c>
      <c r="X109" s="64" t="b">
        <f t="shared" si="12"/>
        <v>1</v>
      </c>
      <c r="Y109" s="67">
        <v>231</v>
      </c>
      <c r="Z109" s="67">
        <v>307</v>
      </c>
      <c r="AA109" s="65" t="s">
        <v>116</v>
      </c>
      <c r="AB109" s="64" t="b">
        <f t="shared" si="13"/>
        <v>0</v>
      </c>
    </row>
    <row r="110" spans="1:28" ht="15" customHeight="1" x14ac:dyDescent="0.3">
      <c r="A110" s="57" t="s">
        <v>348</v>
      </c>
      <c r="B110" s="82">
        <v>45507</v>
      </c>
      <c r="C110" s="59">
        <f t="shared" si="7"/>
        <v>2024</v>
      </c>
      <c r="D110" s="59">
        <f t="shared" si="8"/>
        <v>8</v>
      </c>
      <c r="E110" s="59">
        <f t="shared" si="9"/>
        <v>31</v>
      </c>
      <c r="F110" s="57" t="s">
        <v>54</v>
      </c>
      <c r="G110" s="57" t="s">
        <v>46</v>
      </c>
      <c r="H110" s="57" t="s">
        <v>349</v>
      </c>
      <c r="I110" s="57" t="s">
        <v>67</v>
      </c>
      <c r="J110" s="57" t="s">
        <v>139</v>
      </c>
      <c r="K110" s="57" t="s">
        <v>74</v>
      </c>
      <c r="L110" s="57" t="s">
        <v>135</v>
      </c>
      <c r="M110" s="60">
        <v>669</v>
      </c>
      <c r="N110" s="57" t="s">
        <v>120</v>
      </c>
      <c r="O110" s="61">
        <v>74.39</v>
      </c>
      <c r="P110" s="61">
        <v>49766.91</v>
      </c>
      <c r="Q110" s="61">
        <v>1012.85</v>
      </c>
      <c r="R110" s="62">
        <f t="shared" si="10"/>
        <v>2.0351876377295675E-2</v>
      </c>
      <c r="S110" s="60">
        <v>13</v>
      </c>
      <c r="T110" s="58">
        <v>45520</v>
      </c>
      <c r="U110" s="58">
        <v>45520</v>
      </c>
      <c r="V110" s="63">
        <f t="shared" si="11"/>
        <v>0</v>
      </c>
      <c r="W110" s="57" t="s">
        <v>115</v>
      </c>
      <c r="X110" s="64" t="b">
        <f t="shared" si="12"/>
        <v>1</v>
      </c>
      <c r="Y110" s="60">
        <v>315</v>
      </c>
      <c r="Z110" s="60">
        <v>295</v>
      </c>
      <c r="AA110" s="57" t="s">
        <v>84</v>
      </c>
      <c r="AB110" s="64" t="b">
        <f t="shared" si="13"/>
        <v>1</v>
      </c>
    </row>
    <row r="111" spans="1:28" ht="15" customHeight="1" x14ac:dyDescent="0.3">
      <c r="A111" s="65" t="s">
        <v>350</v>
      </c>
      <c r="B111" s="81">
        <v>45249</v>
      </c>
      <c r="C111" s="59">
        <f t="shared" si="7"/>
        <v>2023</v>
      </c>
      <c r="D111" s="59">
        <f t="shared" si="8"/>
        <v>11</v>
      </c>
      <c r="E111" s="59">
        <f t="shared" si="9"/>
        <v>47</v>
      </c>
      <c r="F111" s="65" t="s">
        <v>52</v>
      </c>
      <c r="G111" s="65" t="s">
        <v>45</v>
      </c>
      <c r="H111" s="65" t="s">
        <v>351</v>
      </c>
      <c r="I111" s="65" t="s">
        <v>65</v>
      </c>
      <c r="J111" s="65" t="s">
        <v>112</v>
      </c>
      <c r="K111" s="65" t="s">
        <v>71</v>
      </c>
      <c r="L111" s="65" t="s">
        <v>135</v>
      </c>
      <c r="M111" s="67">
        <v>17</v>
      </c>
      <c r="N111" s="65" t="s">
        <v>120</v>
      </c>
      <c r="O111" s="68">
        <v>178.25</v>
      </c>
      <c r="P111" s="68">
        <v>3302.8089</v>
      </c>
      <c r="Q111" s="68">
        <v>142.36009999999999</v>
      </c>
      <c r="R111" s="62">
        <f t="shared" si="10"/>
        <v>4.3102735977246516E-2</v>
      </c>
      <c r="S111" s="67">
        <v>18</v>
      </c>
      <c r="T111" s="66">
        <v>45267</v>
      </c>
      <c r="U111" s="66">
        <v>45264</v>
      </c>
      <c r="V111" s="63">
        <f t="shared" si="11"/>
        <v>-3</v>
      </c>
      <c r="W111" s="65" t="s">
        <v>115</v>
      </c>
      <c r="X111" s="64" t="b">
        <f t="shared" si="12"/>
        <v>1</v>
      </c>
      <c r="Y111" s="67">
        <v>325</v>
      </c>
      <c r="Z111" s="67">
        <v>376</v>
      </c>
      <c r="AA111" s="65" t="s">
        <v>116</v>
      </c>
      <c r="AB111" s="64" t="b">
        <f t="shared" si="13"/>
        <v>0</v>
      </c>
    </row>
    <row r="112" spans="1:28" ht="15" customHeight="1" x14ac:dyDescent="0.3">
      <c r="A112" s="57" t="s">
        <v>352</v>
      </c>
      <c r="B112" s="82">
        <v>45144</v>
      </c>
      <c r="C112" s="59">
        <f t="shared" si="7"/>
        <v>2023</v>
      </c>
      <c r="D112" s="59">
        <f t="shared" si="8"/>
        <v>8</v>
      </c>
      <c r="E112" s="59">
        <f t="shared" si="9"/>
        <v>32</v>
      </c>
      <c r="F112" s="57" t="s">
        <v>52</v>
      </c>
      <c r="G112" s="57" t="s">
        <v>44</v>
      </c>
      <c r="H112" s="57" t="s">
        <v>353</v>
      </c>
      <c r="I112" s="57" t="s">
        <v>64</v>
      </c>
      <c r="J112" s="57" t="s">
        <v>131</v>
      </c>
      <c r="K112" s="57" t="s">
        <v>71</v>
      </c>
      <c r="L112" s="57" t="s">
        <v>119</v>
      </c>
      <c r="M112" s="60">
        <v>38</v>
      </c>
      <c r="N112" s="57" t="s">
        <v>120</v>
      </c>
      <c r="O112" s="61">
        <v>156.77000000000001</v>
      </c>
      <c r="P112" s="61">
        <v>5957.26</v>
      </c>
      <c r="Q112" s="61">
        <v>434.14</v>
      </c>
      <c r="R112" s="62">
        <f t="shared" si="10"/>
        <v>7.2875785176406596E-2</v>
      </c>
      <c r="S112" s="60">
        <v>15</v>
      </c>
      <c r="T112" s="58">
        <v>45159</v>
      </c>
      <c r="U112" s="58">
        <v>45159</v>
      </c>
      <c r="V112" s="63">
        <f t="shared" si="11"/>
        <v>0</v>
      </c>
      <c r="W112" s="57" t="s">
        <v>115</v>
      </c>
      <c r="X112" s="64" t="b">
        <f t="shared" si="12"/>
        <v>1</v>
      </c>
      <c r="Y112" s="60">
        <v>287</v>
      </c>
      <c r="Z112" s="60">
        <v>368</v>
      </c>
      <c r="AA112" s="57" t="s">
        <v>81</v>
      </c>
      <c r="AB112" s="64" t="b">
        <f t="shared" si="13"/>
        <v>1</v>
      </c>
    </row>
    <row r="113" spans="1:28" ht="15" customHeight="1" x14ac:dyDescent="0.3">
      <c r="A113" s="65" t="s">
        <v>354</v>
      </c>
      <c r="B113" s="81">
        <v>45598</v>
      </c>
      <c r="C113" s="59">
        <f t="shared" si="7"/>
        <v>2024</v>
      </c>
      <c r="D113" s="59">
        <f t="shared" si="8"/>
        <v>11</v>
      </c>
      <c r="E113" s="59">
        <f t="shared" si="9"/>
        <v>44</v>
      </c>
      <c r="F113" s="65" t="s">
        <v>57</v>
      </c>
      <c r="G113" s="65" t="s">
        <v>40</v>
      </c>
      <c r="H113" s="65" t="s">
        <v>355</v>
      </c>
      <c r="I113" s="65" t="s">
        <v>66</v>
      </c>
      <c r="J113" s="65" t="s">
        <v>139</v>
      </c>
      <c r="K113" s="65" t="s">
        <v>73</v>
      </c>
      <c r="L113" s="65" t="s">
        <v>124</v>
      </c>
      <c r="M113" s="67">
        <v>305</v>
      </c>
      <c r="N113" s="65" t="s">
        <v>114</v>
      </c>
      <c r="O113" s="68">
        <v>1046.4000000000001</v>
      </c>
      <c r="P113" s="68">
        <v>319152</v>
      </c>
      <c r="Q113" s="68">
        <v>7874.35</v>
      </c>
      <c r="R113" s="62">
        <f t="shared" si="10"/>
        <v>2.4672726475159171E-2</v>
      </c>
      <c r="S113" s="67">
        <v>21</v>
      </c>
      <c r="T113" s="66">
        <v>45619</v>
      </c>
      <c r="U113" s="66">
        <v>45627</v>
      </c>
      <c r="V113" s="63">
        <f t="shared" si="11"/>
        <v>8</v>
      </c>
      <c r="W113" s="65" t="s">
        <v>128</v>
      </c>
      <c r="X113" s="64" t="b">
        <f t="shared" si="12"/>
        <v>0</v>
      </c>
      <c r="Y113" s="67">
        <v>335</v>
      </c>
      <c r="Z113" s="67">
        <v>366</v>
      </c>
      <c r="AA113" s="65" t="s">
        <v>116</v>
      </c>
      <c r="AB113" s="64" t="b">
        <f t="shared" si="13"/>
        <v>0</v>
      </c>
    </row>
    <row r="114" spans="1:28" ht="15" customHeight="1" x14ac:dyDescent="0.3">
      <c r="A114" s="57" t="s">
        <v>356</v>
      </c>
      <c r="B114" s="82">
        <v>45438</v>
      </c>
      <c r="C114" s="59">
        <f t="shared" si="7"/>
        <v>2024</v>
      </c>
      <c r="D114" s="59">
        <f t="shared" si="8"/>
        <v>5</v>
      </c>
      <c r="E114" s="59">
        <f t="shared" si="9"/>
        <v>22</v>
      </c>
      <c r="F114" s="57" t="s">
        <v>55</v>
      </c>
      <c r="G114" s="57" t="s">
        <v>40</v>
      </c>
      <c r="H114" s="57" t="s">
        <v>357</v>
      </c>
      <c r="I114" s="57" t="s">
        <v>68</v>
      </c>
      <c r="J114" s="57" t="s">
        <v>139</v>
      </c>
      <c r="K114" s="57" t="s">
        <v>72</v>
      </c>
      <c r="L114" s="57" t="s">
        <v>146</v>
      </c>
      <c r="M114" s="60">
        <v>995</v>
      </c>
      <c r="N114" s="57" t="s">
        <v>114</v>
      </c>
      <c r="O114" s="61">
        <v>760.06</v>
      </c>
      <c r="P114" s="61">
        <v>756259.7</v>
      </c>
      <c r="Q114" s="61">
        <v>47196.82</v>
      </c>
      <c r="R114" s="62">
        <f t="shared" si="10"/>
        <v>6.2408217706166287E-2</v>
      </c>
      <c r="S114" s="60">
        <v>24</v>
      </c>
      <c r="T114" s="58">
        <v>45462</v>
      </c>
      <c r="U114" s="58">
        <v>45457</v>
      </c>
      <c r="V114" s="63">
        <f t="shared" si="11"/>
        <v>-5</v>
      </c>
      <c r="W114" s="57" t="s">
        <v>115</v>
      </c>
      <c r="X114" s="64" t="b">
        <f t="shared" si="12"/>
        <v>1</v>
      </c>
      <c r="Y114" s="60">
        <v>475</v>
      </c>
      <c r="Z114" s="60">
        <v>35</v>
      </c>
      <c r="AA114" s="57" t="s">
        <v>83</v>
      </c>
      <c r="AB114" s="64" t="b">
        <f t="shared" si="13"/>
        <v>1</v>
      </c>
    </row>
    <row r="115" spans="1:28" ht="15" customHeight="1" x14ac:dyDescent="0.3">
      <c r="A115" s="65" t="s">
        <v>358</v>
      </c>
      <c r="B115" s="81">
        <v>45332</v>
      </c>
      <c r="C115" s="59">
        <f t="shared" si="7"/>
        <v>2024</v>
      </c>
      <c r="D115" s="59">
        <f t="shared" si="8"/>
        <v>2</v>
      </c>
      <c r="E115" s="59">
        <f t="shared" si="9"/>
        <v>6</v>
      </c>
      <c r="F115" s="65" t="s">
        <v>61</v>
      </c>
      <c r="G115" s="65" t="s">
        <v>42</v>
      </c>
      <c r="H115" s="65" t="s">
        <v>359</v>
      </c>
      <c r="I115" s="65" t="s">
        <v>66</v>
      </c>
      <c r="J115" s="65" t="s">
        <v>143</v>
      </c>
      <c r="K115" s="65" t="s">
        <v>74</v>
      </c>
      <c r="L115" s="65" t="s">
        <v>146</v>
      </c>
      <c r="M115" s="67">
        <v>935</v>
      </c>
      <c r="N115" s="65" t="s">
        <v>140</v>
      </c>
      <c r="O115" s="68">
        <v>82.28</v>
      </c>
      <c r="P115" s="68">
        <v>76931.8</v>
      </c>
      <c r="Q115" s="68">
        <v>5785.45</v>
      </c>
      <c r="R115" s="62">
        <f t="shared" si="10"/>
        <v>7.5202322056678761E-2</v>
      </c>
      <c r="S115" s="67">
        <v>26</v>
      </c>
      <c r="T115" s="66">
        <v>45358</v>
      </c>
      <c r="U115" s="66">
        <v>45370</v>
      </c>
      <c r="V115" s="63">
        <f t="shared" si="11"/>
        <v>12</v>
      </c>
      <c r="W115" s="65" t="s">
        <v>128</v>
      </c>
      <c r="X115" s="64" t="b">
        <f t="shared" si="12"/>
        <v>0</v>
      </c>
      <c r="Y115" s="67">
        <v>463</v>
      </c>
      <c r="Z115" s="67">
        <v>389</v>
      </c>
      <c r="AA115" s="65" t="s">
        <v>81</v>
      </c>
      <c r="AB115" s="64" t="b">
        <f t="shared" si="13"/>
        <v>1</v>
      </c>
    </row>
    <row r="116" spans="1:28" ht="15" customHeight="1" x14ac:dyDescent="0.3">
      <c r="A116" s="57" t="s">
        <v>360</v>
      </c>
      <c r="B116" s="82">
        <v>45585</v>
      </c>
      <c r="C116" s="59">
        <f t="shared" si="7"/>
        <v>2024</v>
      </c>
      <c r="D116" s="59">
        <f t="shared" si="8"/>
        <v>10</v>
      </c>
      <c r="E116" s="59">
        <f t="shared" si="9"/>
        <v>43</v>
      </c>
      <c r="F116" s="57" t="s">
        <v>54</v>
      </c>
      <c r="G116" s="57" t="s">
        <v>46</v>
      </c>
      <c r="H116" s="57" t="s">
        <v>361</v>
      </c>
      <c r="I116" s="57" t="s">
        <v>69</v>
      </c>
      <c r="J116" s="57" t="s">
        <v>143</v>
      </c>
      <c r="K116" s="57" t="s">
        <v>75</v>
      </c>
      <c r="L116" s="57" t="s">
        <v>119</v>
      </c>
      <c r="M116" s="60">
        <v>730</v>
      </c>
      <c r="N116" s="57" t="s">
        <v>114</v>
      </c>
      <c r="O116" s="61">
        <v>52.07</v>
      </c>
      <c r="P116" s="61">
        <v>38011.1</v>
      </c>
      <c r="Q116" s="61">
        <v>1377.56</v>
      </c>
      <c r="R116" s="62">
        <f t="shared" si="10"/>
        <v>3.6240992762640388E-2</v>
      </c>
      <c r="S116" s="60">
        <v>25</v>
      </c>
      <c r="T116" s="58">
        <v>45610</v>
      </c>
      <c r="U116" s="58">
        <v>45610</v>
      </c>
      <c r="V116" s="63">
        <f t="shared" si="11"/>
        <v>0</v>
      </c>
      <c r="W116" s="57" t="s">
        <v>115</v>
      </c>
      <c r="X116" s="64" t="b">
        <f t="shared" si="12"/>
        <v>1</v>
      </c>
      <c r="Y116" s="60">
        <v>410</v>
      </c>
      <c r="Z116" s="60">
        <v>247</v>
      </c>
      <c r="AA116" s="57" t="s">
        <v>84</v>
      </c>
      <c r="AB116" s="64" t="b">
        <f t="shared" si="13"/>
        <v>1</v>
      </c>
    </row>
    <row r="117" spans="1:28" ht="15" customHeight="1" x14ac:dyDescent="0.3">
      <c r="A117" s="65" t="s">
        <v>362</v>
      </c>
      <c r="B117" s="81">
        <v>45396</v>
      </c>
      <c r="C117" s="59">
        <f t="shared" si="7"/>
        <v>2024</v>
      </c>
      <c r="D117" s="59">
        <f t="shared" si="8"/>
        <v>4</v>
      </c>
      <c r="E117" s="59">
        <f t="shared" si="9"/>
        <v>16</v>
      </c>
      <c r="F117" s="65" t="s">
        <v>57</v>
      </c>
      <c r="G117" s="65" t="s">
        <v>44</v>
      </c>
      <c r="H117" s="65" t="s">
        <v>363</v>
      </c>
      <c r="I117" s="65" t="s">
        <v>64</v>
      </c>
      <c r="J117" s="65" t="s">
        <v>139</v>
      </c>
      <c r="K117" s="65" t="s">
        <v>73</v>
      </c>
      <c r="L117" s="65" t="s">
        <v>146</v>
      </c>
      <c r="M117" s="67">
        <v>649</v>
      </c>
      <c r="N117" s="65" t="s">
        <v>114</v>
      </c>
      <c r="O117" s="68">
        <v>177.75</v>
      </c>
      <c r="P117" s="68">
        <v>115359.75</v>
      </c>
      <c r="Q117" s="68">
        <v>4871.58</v>
      </c>
      <c r="R117" s="62">
        <f t="shared" si="10"/>
        <v>4.2229460448726698E-2</v>
      </c>
      <c r="S117" s="67">
        <v>28</v>
      </c>
      <c r="T117" s="66">
        <v>45424</v>
      </c>
      <c r="U117" s="66">
        <v>45419</v>
      </c>
      <c r="V117" s="63">
        <f t="shared" si="11"/>
        <v>-5</v>
      </c>
      <c r="W117" s="65" t="s">
        <v>125</v>
      </c>
      <c r="X117" s="64" t="b">
        <f t="shared" si="12"/>
        <v>0</v>
      </c>
      <c r="Y117" s="67">
        <v>244</v>
      </c>
      <c r="Z117" s="67">
        <v>253</v>
      </c>
      <c r="AA117" s="65" t="s">
        <v>116</v>
      </c>
      <c r="AB117" s="64" t="b">
        <f t="shared" si="13"/>
        <v>0</v>
      </c>
    </row>
    <row r="118" spans="1:28" ht="15" customHeight="1" x14ac:dyDescent="0.3">
      <c r="A118" s="57" t="s">
        <v>364</v>
      </c>
      <c r="B118" s="82">
        <v>45073</v>
      </c>
      <c r="C118" s="59">
        <f t="shared" si="7"/>
        <v>2023</v>
      </c>
      <c r="D118" s="59">
        <f t="shared" si="8"/>
        <v>5</v>
      </c>
      <c r="E118" s="59">
        <f t="shared" si="9"/>
        <v>21</v>
      </c>
      <c r="F118" s="57" t="s">
        <v>61</v>
      </c>
      <c r="G118" s="57" t="s">
        <v>43</v>
      </c>
      <c r="H118" s="57" t="s">
        <v>365</v>
      </c>
      <c r="I118" s="57" t="s">
        <v>69</v>
      </c>
      <c r="J118" s="57" t="s">
        <v>143</v>
      </c>
      <c r="K118" s="57" t="s">
        <v>75</v>
      </c>
      <c r="L118" s="57" t="s">
        <v>113</v>
      </c>
      <c r="M118" s="60">
        <v>349</v>
      </c>
      <c r="N118" s="57" t="s">
        <v>132</v>
      </c>
      <c r="O118" s="61">
        <v>243.3</v>
      </c>
      <c r="P118" s="61">
        <v>84911.7</v>
      </c>
      <c r="Q118" s="61">
        <v>4596.72</v>
      </c>
      <c r="R118" s="62">
        <f t="shared" si="10"/>
        <v>5.4135295842622402E-2</v>
      </c>
      <c r="S118" s="60">
        <v>28</v>
      </c>
      <c r="T118" s="58">
        <v>45101</v>
      </c>
      <c r="U118" s="58">
        <v>45106</v>
      </c>
      <c r="V118" s="63">
        <f t="shared" si="11"/>
        <v>5</v>
      </c>
      <c r="W118" s="57" t="s">
        <v>128</v>
      </c>
      <c r="X118" s="64" t="b">
        <f t="shared" si="12"/>
        <v>0</v>
      </c>
      <c r="Y118" s="60">
        <v>386</v>
      </c>
      <c r="Z118" s="60">
        <v>213</v>
      </c>
      <c r="AA118" s="57" t="s">
        <v>116</v>
      </c>
      <c r="AB118" s="64" t="b">
        <f t="shared" si="13"/>
        <v>0</v>
      </c>
    </row>
    <row r="119" spans="1:28" ht="15" customHeight="1" x14ac:dyDescent="0.3">
      <c r="A119" s="65" t="s">
        <v>366</v>
      </c>
      <c r="B119" s="81">
        <v>45198</v>
      </c>
      <c r="C119" s="59">
        <f t="shared" si="7"/>
        <v>2023</v>
      </c>
      <c r="D119" s="59">
        <f t="shared" si="8"/>
        <v>9</v>
      </c>
      <c r="E119" s="59">
        <f t="shared" si="9"/>
        <v>39</v>
      </c>
      <c r="F119" s="65" t="s">
        <v>54</v>
      </c>
      <c r="G119" s="65" t="s">
        <v>41</v>
      </c>
      <c r="H119" s="65" t="s">
        <v>367</v>
      </c>
      <c r="I119" s="65" t="s">
        <v>65</v>
      </c>
      <c r="J119" s="65" t="s">
        <v>139</v>
      </c>
      <c r="K119" s="65" t="s">
        <v>74</v>
      </c>
      <c r="L119" s="65" t="s">
        <v>135</v>
      </c>
      <c r="M119" s="67">
        <v>637</v>
      </c>
      <c r="N119" s="65" t="s">
        <v>140</v>
      </c>
      <c r="O119" s="68">
        <v>723.82</v>
      </c>
      <c r="P119" s="68">
        <v>461073.34</v>
      </c>
      <c r="Q119" s="68">
        <v>33613.42</v>
      </c>
      <c r="R119" s="62">
        <f t="shared" si="10"/>
        <v>7.2902545178604339E-2</v>
      </c>
      <c r="S119" s="67">
        <v>28</v>
      </c>
      <c r="T119" s="66">
        <v>45226</v>
      </c>
      <c r="U119" s="66">
        <v>45226</v>
      </c>
      <c r="V119" s="63">
        <f t="shared" si="11"/>
        <v>0</v>
      </c>
      <c r="W119" s="65" t="s">
        <v>115</v>
      </c>
      <c r="X119" s="64" t="b">
        <f t="shared" si="12"/>
        <v>1</v>
      </c>
      <c r="Y119" s="67">
        <v>176</v>
      </c>
      <c r="Z119" s="67">
        <v>251</v>
      </c>
      <c r="AA119" s="65" t="s">
        <v>82</v>
      </c>
      <c r="AB119" s="64" t="b">
        <f t="shared" si="13"/>
        <v>1</v>
      </c>
    </row>
    <row r="120" spans="1:28" ht="15" customHeight="1" x14ac:dyDescent="0.3">
      <c r="A120" s="57" t="s">
        <v>368</v>
      </c>
      <c r="B120" s="82">
        <v>45069</v>
      </c>
      <c r="C120" s="59">
        <f t="shared" si="7"/>
        <v>2023</v>
      </c>
      <c r="D120" s="59">
        <f t="shared" si="8"/>
        <v>5</v>
      </c>
      <c r="E120" s="59">
        <f t="shared" si="9"/>
        <v>21</v>
      </c>
      <c r="F120" s="57" t="s">
        <v>61</v>
      </c>
      <c r="G120" s="57" t="s">
        <v>44</v>
      </c>
      <c r="H120" s="57" t="s">
        <v>369</v>
      </c>
      <c r="I120" s="57" t="s">
        <v>68</v>
      </c>
      <c r="J120" s="57" t="s">
        <v>131</v>
      </c>
      <c r="K120" s="57" t="s">
        <v>74</v>
      </c>
      <c r="L120" s="57" t="s">
        <v>135</v>
      </c>
      <c r="M120" s="60">
        <v>448</v>
      </c>
      <c r="N120" s="57" t="s">
        <v>132</v>
      </c>
      <c r="O120" s="61">
        <v>113.13</v>
      </c>
      <c r="P120" s="61">
        <v>50682.239999999998</v>
      </c>
      <c r="Q120" s="61">
        <v>3877.92</v>
      </c>
      <c r="R120" s="62">
        <f t="shared" si="10"/>
        <v>7.6514376633708386E-2</v>
      </c>
      <c r="S120" s="60">
        <v>13</v>
      </c>
      <c r="T120" s="58">
        <v>45082</v>
      </c>
      <c r="U120" s="58">
        <v>45077</v>
      </c>
      <c r="V120" s="63">
        <f t="shared" si="11"/>
        <v>-5</v>
      </c>
      <c r="W120" s="57" t="s">
        <v>115</v>
      </c>
      <c r="X120" s="64" t="b">
        <f t="shared" si="12"/>
        <v>1</v>
      </c>
      <c r="Y120" s="60">
        <v>212</v>
      </c>
      <c r="Z120" s="60">
        <v>69</v>
      </c>
      <c r="AA120" s="57" t="s">
        <v>116</v>
      </c>
      <c r="AB120" s="64" t="b">
        <f t="shared" si="13"/>
        <v>0</v>
      </c>
    </row>
    <row r="121" spans="1:28" ht="15" customHeight="1" x14ac:dyDescent="0.3">
      <c r="A121" s="65" t="s">
        <v>370</v>
      </c>
      <c r="B121" s="81">
        <v>45179</v>
      </c>
      <c r="C121" s="59">
        <f t="shared" si="7"/>
        <v>2023</v>
      </c>
      <c r="D121" s="59">
        <f t="shared" si="8"/>
        <v>9</v>
      </c>
      <c r="E121" s="59">
        <f t="shared" si="9"/>
        <v>37</v>
      </c>
      <c r="F121" s="65" t="s">
        <v>56</v>
      </c>
      <c r="G121" s="65" t="s">
        <v>45</v>
      </c>
      <c r="H121" s="65" t="s">
        <v>371</v>
      </c>
      <c r="I121" s="65" t="s">
        <v>69</v>
      </c>
      <c r="J121" s="65" t="s">
        <v>151</v>
      </c>
      <c r="K121" s="65" t="s">
        <v>74</v>
      </c>
      <c r="L121" s="65" t="s">
        <v>124</v>
      </c>
      <c r="M121" s="67">
        <v>153</v>
      </c>
      <c r="N121" s="65" t="s">
        <v>163</v>
      </c>
      <c r="O121" s="68">
        <v>265.10000000000002</v>
      </c>
      <c r="P121" s="68">
        <v>40560.300000000003</v>
      </c>
      <c r="Q121" s="68">
        <v>2611.02</v>
      </c>
      <c r="R121" s="62">
        <f t="shared" si="10"/>
        <v>6.4373784217572352E-2</v>
      </c>
      <c r="S121" s="67">
        <v>9</v>
      </c>
      <c r="T121" s="66">
        <v>45188</v>
      </c>
      <c r="U121" s="66">
        <v>45188</v>
      </c>
      <c r="V121" s="63">
        <f t="shared" si="11"/>
        <v>0</v>
      </c>
      <c r="W121" s="65" t="s">
        <v>115</v>
      </c>
      <c r="X121" s="64" t="b">
        <f t="shared" si="12"/>
        <v>1</v>
      </c>
      <c r="Y121" s="67">
        <v>357</v>
      </c>
      <c r="Z121" s="67">
        <v>233</v>
      </c>
      <c r="AA121" s="65" t="s">
        <v>116</v>
      </c>
      <c r="AB121" s="64" t="b">
        <f t="shared" si="13"/>
        <v>0</v>
      </c>
    </row>
    <row r="122" spans="1:28" ht="15" customHeight="1" x14ac:dyDescent="0.3">
      <c r="A122" s="57" t="s">
        <v>372</v>
      </c>
      <c r="B122" s="82">
        <v>45501</v>
      </c>
      <c r="C122" s="59">
        <f t="shared" si="7"/>
        <v>2024</v>
      </c>
      <c r="D122" s="59">
        <f t="shared" si="8"/>
        <v>7</v>
      </c>
      <c r="E122" s="59">
        <f t="shared" si="9"/>
        <v>31</v>
      </c>
      <c r="F122" s="57" t="s">
        <v>57</v>
      </c>
      <c r="G122" s="57" t="s">
        <v>40</v>
      </c>
      <c r="H122" s="57" t="s">
        <v>373</v>
      </c>
      <c r="I122" s="57" t="s">
        <v>65</v>
      </c>
      <c r="J122" s="57" t="s">
        <v>143</v>
      </c>
      <c r="K122" s="57" t="s">
        <v>74</v>
      </c>
      <c r="L122" s="57" t="s">
        <v>135</v>
      </c>
      <c r="M122" s="60">
        <v>951</v>
      </c>
      <c r="N122" s="57" t="s">
        <v>163</v>
      </c>
      <c r="O122" s="61">
        <v>1050.1500000000001</v>
      </c>
      <c r="P122" s="61">
        <v>998692.65</v>
      </c>
      <c r="Q122" s="61">
        <v>25164.240000000002</v>
      </c>
      <c r="R122" s="62">
        <f t="shared" si="10"/>
        <v>2.5197181535280149E-2</v>
      </c>
      <c r="S122" s="60">
        <v>29</v>
      </c>
      <c r="T122" s="58">
        <v>45530</v>
      </c>
      <c r="U122" s="58">
        <v>45535</v>
      </c>
      <c r="V122" s="63">
        <f t="shared" si="11"/>
        <v>5</v>
      </c>
      <c r="W122" s="57" t="s">
        <v>128</v>
      </c>
      <c r="X122" s="64" t="b">
        <f t="shared" si="12"/>
        <v>0</v>
      </c>
      <c r="Y122" s="60">
        <v>101</v>
      </c>
      <c r="Z122" s="60">
        <v>483</v>
      </c>
      <c r="AA122" s="57" t="s">
        <v>84</v>
      </c>
      <c r="AB122" s="64" t="b">
        <f t="shared" si="13"/>
        <v>1</v>
      </c>
    </row>
    <row r="123" spans="1:28" ht="15" customHeight="1" x14ac:dyDescent="0.3">
      <c r="A123" s="65" t="s">
        <v>374</v>
      </c>
      <c r="B123" s="81">
        <v>45478</v>
      </c>
      <c r="C123" s="59">
        <f t="shared" si="7"/>
        <v>2024</v>
      </c>
      <c r="D123" s="59">
        <f t="shared" si="8"/>
        <v>7</v>
      </c>
      <c r="E123" s="59">
        <f t="shared" si="9"/>
        <v>27</v>
      </c>
      <c r="F123" s="65" t="s">
        <v>55</v>
      </c>
      <c r="G123" s="65" t="s">
        <v>40</v>
      </c>
      <c r="H123" s="65" t="s">
        <v>375</v>
      </c>
      <c r="I123" s="65" t="s">
        <v>66</v>
      </c>
      <c r="J123" s="65" t="s">
        <v>123</v>
      </c>
      <c r="K123" s="65" t="s">
        <v>75</v>
      </c>
      <c r="L123" s="65" t="s">
        <v>156</v>
      </c>
      <c r="M123" s="67">
        <v>839</v>
      </c>
      <c r="N123" s="65" t="s">
        <v>140</v>
      </c>
      <c r="O123" s="68">
        <v>1002.66</v>
      </c>
      <c r="P123" s="68">
        <v>841231.74</v>
      </c>
      <c r="Q123" s="68">
        <v>50599.46</v>
      </c>
      <c r="R123" s="62">
        <f t="shared" si="10"/>
        <v>6.0149252095504625E-2</v>
      </c>
      <c r="S123" s="67">
        <v>15</v>
      </c>
      <c r="T123" s="66">
        <v>45493</v>
      </c>
      <c r="U123" s="66">
        <v>45495</v>
      </c>
      <c r="V123" s="63">
        <f t="shared" si="11"/>
        <v>2</v>
      </c>
      <c r="W123" s="65" t="s">
        <v>128</v>
      </c>
      <c r="X123" s="64" t="b">
        <f t="shared" si="12"/>
        <v>0</v>
      </c>
      <c r="Y123" s="67">
        <v>285</v>
      </c>
      <c r="Z123" s="67">
        <v>328</v>
      </c>
      <c r="AA123" s="65" t="s">
        <v>116</v>
      </c>
      <c r="AB123" s="64" t="b">
        <f t="shared" si="13"/>
        <v>0</v>
      </c>
    </row>
    <row r="124" spans="1:28" ht="15" customHeight="1" x14ac:dyDescent="0.3">
      <c r="A124" s="57" t="s">
        <v>376</v>
      </c>
      <c r="B124" s="82">
        <v>45196</v>
      </c>
      <c r="C124" s="59">
        <f t="shared" si="7"/>
        <v>2023</v>
      </c>
      <c r="D124" s="59">
        <f t="shared" si="8"/>
        <v>9</v>
      </c>
      <c r="E124" s="59">
        <f t="shared" si="9"/>
        <v>39</v>
      </c>
      <c r="F124" s="57" t="s">
        <v>54</v>
      </c>
      <c r="G124" s="57" t="s">
        <v>43</v>
      </c>
      <c r="H124" s="57" t="s">
        <v>377</v>
      </c>
      <c r="I124" s="57" t="s">
        <v>69</v>
      </c>
      <c r="J124" s="57" t="s">
        <v>123</v>
      </c>
      <c r="K124" s="57" t="s">
        <v>73</v>
      </c>
      <c r="L124" s="57" t="s">
        <v>113</v>
      </c>
      <c r="M124" s="60">
        <v>756</v>
      </c>
      <c r="N124" s="57" t="s">
        <v>140</v>
      </c>
      <c r="O124" s="61">
        <v>294.5</v>
      </c>
      <c r="P124" s="61">
        <v>222642</v>
      </c>
      <c r="Q124" s="61">
        <v>9933.89</v>
      </c>
      <c r="R124" s="62">
        <f t="shared" si="10"/>
        <v>4.4618221180190619E-2</v>
      </c>
      <c r="S124" s="60">
        <v>13</v>
      </c>
      <c r="T124" s="58">
        <v>45209</v>
      </c>
      <c r="U124" s="58">
        <v>45217</v>
      </c>
      <c r="V124" s="63">
        <f t="shared" si="11"/>
        <v>8</v>
      </c>
      <c r="W124" s="57" t="s">
        <v>128</v>
      </c>
      <c r="X124" s="64" t="b">
        <f t="shared" si="12"/>
        <v>0</v>
      </c>
      <c r="Y124" s="60">
        <v>21</v>
      </c>
      <c r="Z124" s="60">
        <v>15</v>
      </c>
      <c r="AA124" s="57" t="s">
        <v>83</v>
      </c>
      <c r="AB124" s="64" t="b">
        <f t="shared" si="13"/>
        <v>1</v>
      </c>
    </row>
    <row r="125" spans="1:28" ht="15" customHeight="1" x14ac:dyDescent="0.3">
      <c r="A125" s="65" t="s">
        <v>378</v>
      </c>
      <c r="B125" s="81">
        <v>45525</v>
      </c>
      <c r="C125" s="59">
        <f t="shared" si="7"/>
        <v>2024</v>
      </c>
      <c r="D125" s="59">
        <f t="shared" si="8"/>
        <v>8</v>
      </c>
      <c r="E125" s="59">
        <f t="shared" si="9"/>
        <v>34</v>
      </c>
      <c r="F125" s="65" t="s">
        <v>52</v>
      </c>
      <c r="G125" s="65" t="s">
        <v>43</v>
      </c>
      <c r="H125" s="65" t="s">
        <v>379</v>
      </c>
      <c r="I125" s="65" t="s">
        <v>69</v>
      </c>
      <c r="J125" s="65" t="s">
        <v>123</v>
      </c>
      <c r="K125" s="65" t="s">
        <v>74</v>
      </c>
      <c r="L125" s="65" t="s">
        <v>113</v>
      </c>
      <c r="M125" s="67">
        <v>528</v>
      </c>
      <c r="N125" s="65" t="s">
        <v>114</v>
      </c>
      <c r="O125" s="68">
        <v>202.97</v>
      </c>
      <c r="P125" s="68">
        <v>107168.16</v>
      </c>
      <c r="Q125" s="68">
        <v>5170.01</v>
      </c>
      <c r="R125" s="62">
        <f t="shared" si="10"/>
        <v>4.8242033827957859E-2</v>
      </c>
      <c r="S125" s="67">
        <v>1</v>
      </c>
      <c r="T125" s="66">
        <v>45526</v>
      </c>
      <c r="U125" s="66">
        <v>45526</v>
      </c>
      <c r="V125" s="63">
        <f t="shared" si="11"/>
        <v>0</v>
      </c>
      <c r="W125" s="65" t="s">
        <v>115</v>
      </c>
      <c r="X125" s="64" t="b">
        <f t="shared" si="12"/>
        <v>1</v>
      </c>
      <c r="Y125" s="67">
        <v>18</v>
      </c>
      <c r="Z125" s="67">
        <v>486</v>
      </c>
      <c r="AA125" s="65" t="s">
        <v>83</v>
      </c>
      <c r="AB125" s="64" t="b">
        <f t="shared" si="13"/>
        <v>1</v>
      </c>
    </row>
    <row r="126" spans="1:28" ht="15" customHeight="1" x14ac:dyDescent="0.3">
      <c r="A126" s="57" t="s">
        <v>380</v>
      </c>
      <c r="B126" s="82">
        <v>45365</v>
      </c>
      <c r="C126" s="59">
        <f t="shared" si="7"/>
        <v>2024</v>
      </c>
      <c r="D126" s="59">
        <f t="shared" si="8"/>
        <v>3</v>
      </c>
      <c r="E126" s="59">
        <f t="shared" si="9"/>
        <v>11</v>
      </c>
      <c r="F126" s="57" t="s">
        <v>57</v>
      </c>
      <c r="G126" s="57" t="s">
        <v>45</v>
      </c>
      <c r="H126" s="57" t="s">
        <v>381</v>
      </c>
      <c r="I126" s="57" t="s">
        <v>67</v>
      </c>
      <c r="J126" s="57" t="s">
        <v>151</v>
      </c>
      <c r="K126" s="57" t="s">
        <v>71</v>
      </c>
      <c r="L126" s="57" t="s">
        <v>119</v>
      </c>
      <c r="M126" s="60">
        <v>985</v>
      </c>
      <c r="N126" s="57" t="s">
        <v>163</v>
      </c>
      <c r="O126" s="61">
        <v>160.91</v>
      </c>
      <c r="P126" s="61">
        <v>158496.35</v>
      </c>
      <c r="Q126" s="61">
        <v>3637.32</v>
      </c>
      <c r="R126" s="62">
        <f t="shared" si="10"/>
        <v>2.2948919643890852E-2</v>
      </c>
      <c r="S126" s="60">
        <v>25</v>
      </c>
      <c r="T126" s="58">
        <v>45390</v>
      </c>
      <c r="U126" s="58">
        <v>45387</v>
      </c>
      <c r="V126" s="63">
        <f t="shared" si="11"/>
        <v>-3</v>
      </c>
      <c r="W126" s="57" t="s">
        <v>115</v>
      </c>
      <c r="X126" s="64" t="b">
        <f t="shared" si="12"/>
        <v>1</v>
      </c>
      <c r="Y126" s="60">
        <v>286</v>
      </c>
      <c r="Z126" s="60">
        <v>173</v>
      </c>
      <c r="AA126" s="57" t="s">
        <v>116</v>
      </c>
      <c r="AB126" s="64" t="b">
        <f t="shared" si="13"/>
        <v>0</v>
      </c>
    </row>
    <row r="127" spans="1:28" ht="15" customHeight="1" x14ac:dyDescent="0.3">
      <c r="A127" s="65" t="s">
        <v>382</v>
      </c>
      <c r="B127" s="81">
        <v>45524</v>
      </c>
      <c r="C127" s="59">
        <f t="shared" si="7"/>
        <v>2024</v>
      </c>
      <c r="D127" s="59">
        <f t="shared" si="8"/>
        <v>8</v>
      </c>
      <c r="E127" s="59">
        <f t="shared" si="9"/>
        <v>34</v>
      </c>
      <c r="F127" s="65" t="s">
        <v>54</v>
      </c>
      <c r="G127" s="65" t="s">
        <v>41</v>
      </c>
      <c r="H127" s="65" t="s">
        <v>383</v>
      </c>
      <c r="I127" s="65" t="s">
        <v>68</v>
      </c>
      <c r="J127" s="65" t="s">
        <v>139</v>
      </c>
      <c r="K127" s="65" t="s">
        <v>73</v>
      </c>
      <c r="L127" s="65" t="s">
        <v>156</v>
      </c>
      <c r="M127" s="67">
        <v>54</v>
      </c>
      <c r="N127" s="65" t="s">
        <v>136</v>
      </c>
      <c r="O127" s="68">
        <v>618.67999999999995</v>
      </c>
      <c r="P127" s="68">
        <v>33408.720000000001</v>
      </c>
      <c r="Q127" s="68">
        <v>1051.1600000000001</v>
      </c>
      <c r="R127" s="62">
        <f t="shared" si="10"/>
        <v>3.1463641827642608E-2</v>
      </c>
      <c r="S127" s="67">
        <v>7</v>
      </c>
      <c r="T127" s="66">
        <v>45531</v>
      </c>
      <c r="U127" s="66">
        <v>45543</v>
      </c>
      <c r="V127" s="63">
        <f t="shared" si="11"/>
        <v>12</v>
      </c>
      <c r="W127" s="65" t="s">
        <v>125</v>
      </c>
      <c r="X127" s="64" t="b">
        <f t="shared" si="12"/>
        <v>0</v>
      </c>
      <c r="Y127" s="67">
        <v>275</v>
      </c>
      <c r="Z127" s="67">
        <v>186</v>
      </c>
      <c r="AA127" s="65" t="s">
        <v>116</v>
      </c>
      <c r="AB127" s="64" t="b">
        <f t="shared" si="13"/>
        <v>0</v>
      </c>
    </row>
    <row r="128" spans="1:28" ht="15" customHeight="1" x14ac:dyDescent="0.3">
      <c r="A128" s="57" t="s">
        <v>384</v>
      </c>
      <c r="B128" s="82">
        <v>45335</v>
      </c>
      <c r="C128" s="59">
        <f t="shared" si="7"/>
        <v>2024</v>
      </c>
      <c r="D128" s="59">
        <f t="shared" si="8"/>
        <v>2</v>
      </c>
      <c r="E128" s="59">
        <f t="shared" si="9"/>
        <v>7</v>
      </c>
      <c r="F128" s="57" t="s">
        <v>54</v>
      </c>
      <c r="G128" s="57" t="s">
        <v>43</v>
      </c>
      <c r="H128" s="57" t="s">
        <v>385</v>
      </c>
      <c r="I128" s="57" t="s">
        <v>68</v>
      </c>
      <c r="J128" s="57" t="s">
        <v>139</v>
      </c>
      <c r="K128" s="57" t="s">
        <v>71</v>
      </c>
      <c r="L128" s="57" t="s">
        <v>146</v>
      </c>
      <c r="M128" s="60">
        <v>964</v>
      </c>
      <c r="N128" s="57" t="s">
        <v>120</v>
      </c>
      <c r="O128" s="61">
        <v>256.69</v>
      </c>
      <c r="P128" s="61">
        <v>247449.16</v>
      </c>
      <c r="Q128" s="61">
        <v>16685.7</v>
      </c>
      <c r="R128" s="62">
        <f t="shared" si="10"/>
        <v>6.7430820941158182E-2</v>
      </c>
      <c r="S128" s="60">
        <v>9</v>
      </c>
      <c r="T128" s="58">
        <v>45344</v>
      </c>
      <c r="U128" s="58">
        <v>45344</v>
      </c>
      <c r="V128" s="63">
        <f t="shared" si="11"/>
        <v>0</v>
      </c>
      <c r="W128" s="57" t="s">
        <v>115</v>
      </c>
      <c r="X128" s="64" t="b">
        <f t="shared" si="12"/>
        <v>1</v>
      </c>
      <c r="Y128" s="60">
        <v>494</v>
      </c>
      <c r="Z128" s="60">
        <v>293</v>
      </c>
      <c r="AA128" s="57" t="s">
        <v>116</v>
      </c>
      <c r="AB128" s="64" t="b">
        <f t="shared" si="13"/>
        <v>0</v>
      </c>
    </row>
    <row r="129" spans="1:28" ht="15" customHeight="1" x14ac:dyDescent="0.3">
      <c r="A129" s="65" t="s">
        <v>386</v>
      </c>
      <c r="B129" s="81">
        <v>45297</v>
      </c>
      <c r="C129" s="59">
        <f t="shared" si="7"/>
        <v>2024</v>
      </c>
      <c r="D129" s="59">
        <f t="shared" si="8"/>
        <v>1</v>
      </c>
      <c r="E129" s="59">
        <f t="shared" si="9"/>
        <v>1</v>
      </c>
      <c r="F129" s="65" t="s">
        <v>61</v>
      </c>
      <c r="G129" s="65" t="s">
        <v>42</v>
      </c>
      <c r="H129" s="65" t="s">
        <v>387</v>
      </c>
      <c r="I129" s="65" t="s">
        <v>66</v>
      </c>
      <c r="J129" s="65" t="s">
        <v>112</v>
      </c>
      <c r="K129" s="65" t="s">
        <v>75</v>
      </c>
      <c r="L129" s="65" t="s">
        <v>124</v>
      </c>
      <c r="M129" s="67">
        <v>248</v>
      </c>
      <c r="N129" s="65" t="s">
        <v>114</v>
      </c>
      <c r="O129" s="68">
        <v>92.8</v>
      </c>
      <c r="P129" s="68">
        <v>23014.400000000001</v>
      </c>
      <c r="Q129" s="68">
        <v>1087.1400000000001</v>
      </c>
      <c r="R129" s="62">
        <f t="shared" si="10"/>
        <v>4.7237381813125694E-2</v>
      </c>
      <c r="S129" s="67">
        <v>24</v>
      </c>
      <c r="T129" s="66">
        <v>45321</v>
      </c>
      <c r="U129" s="66">
        <v>45329</v>
      </c>
      <c r="V129" s="63">
        <f t="shared" si="11"/>
        <v>8</v>
      </c>
      <c r="W129" s="65" t="s">
        <v>125</v>
      </c>
      <c r="X129" s="64" t="b">
        <f t="shared" si="12"/>
        <v>0</v>
      </c>
      <c r="Y129" s="67">
        <v>146</v>
      </c>
      <c r="Z129" s="67">
        <v>224</v>
      </c>
      <c r="AA129" s="65" t="s">
        <v>84</v>
      </c>
      <c r="AB129" s="64" t="b">
        <f t="shared" si="13"/>
        <v>1</v>
      </c>
    </row>
    <row r="130" spans="1:28" ht="15" customHeight="1" x14ac:dyDescent="0.3">
      <c r="A130" s="57" t="s">
        <v>388</v>
      </c>
      <c r="B130" s="82">
        <v>45151</v>
      </c>
      <c r="C130" s="59">
        <f t="shared" ref="C130:C193" si="14">YEAR(B130)</f>
        <v>2023</v>
      </c>
      <c r="D130" s="59">
        <f t="shared" ref="D130:D193" si="15">MONTH(B130)</f>
        <v>8</v>
      </c>
      <c r="E130" s="59">
        <f t="shared" ref="E130:E193" si="16">WEEKNUM(B130,1)</f>
        <v>33</v>
      </c>
      <c r="F130" s="57" t="s">
        <v>61</v>
      </c>
      <c r="G130" s="57" t="s">
        <v>41</v>
      </c>
      <c r="H130" s="57" t="s">
        <v>389</v>
      </c>
      <c r="I130" s="57" t="s">
        <v>67</v>
      </c>
      <c r="J130" s="57" t="s">
        <v>123</v>
      </c>
      <c r="K130" s="57" t="s">
        <v>74</v>
      </c>
      <c r="L130" s="57" t="s">
        <v>113</v>
      </c>
      <c r="M130" s="60">
        <v>961</v>
      </c>
      <c r="N130" s="57" t="s">
        <v>120</v>
      </c>
      <c r="O130" s="61">
        <v>432.73</v>
      </c>
      <c r="P130" s="61">
        <v>415853.53</v>
      </c>
      <c r="Q130" s="61">
        <v>15843.91</v>
      </c>
      <c r="R130" s="62">
        <f t="shared" ref="R130:R193" si="17">Q130/P130</f>
        <v>3.809973670296847E-2</v>
      </c>
      <c r="S130" s="60">
        <v>1</v>
      </c>
      <c r="T130" s="58">
        <v>45152</v>
      </c>
      <c r="U130" s="58">
        <v>45151</v>
      </c>
      <c r="V130" s="63">
        <f t="shared" ref="V130:V193" si="18">U130-T130</f>
        <v>-1</v>
      </c>
      <c r="W130" s="57" t="s">
        <v>115</v>
      </c>
      <c r="X130" s="64" t="b">
        <f t="shared" ref="X130:X193" si="19">IF(W130="Entregado", TRUE(), FALSE())</f>
        <v>1</v>
      </c>
      <c r="Y130" s="60">
        <v>385</v>
      </c>
      <c r="Z130" s="60">
        <v>273</v>
      </c>
      <c r="AA130" s="57" t="s">
        <v>116</v>
      </c>
      <c r="AB130" s="64" t="b">
        <f t="shared" ref="AB130:AB193" si="20">IF(AA130="Ninguna",FALSE(),TRUE())</f>
        <v>0</v>
      </c>
    </row>
    <row r="131" spans="1:28" ht="15" customHeight="1" x14ac:dyDescent="0.3">
      <c r="A131" s="65" t="s">
        <v>390</v>
      </c>
      <c r="B131" s="81">
        <v>45068</v>
      </c>
      <c r="C131" s="59">
        <f t="shared" si="14"/>
        <v>2023</v>
      </c>
      <c r="D131" s="59">
        <f t="shared" si="15"/>
        <v>5</v>
      </c>
      <c r="E131" s="59">
        <f t="shared" si="16"/>
        <v>21</v>
      </c>
      <c r="F131" s="65" t="s">
        <v>60</v>
      </c>
      <c r="G131" s="65" t="s">
        <v>43</v>
      </c>
      <c r="H131" s="65" t="s">
        <v>391</v>
      </c>
      <c r="I131" s="65" t="s">
        <v>65</v>
      </c>
      <c r="J131" s="65" t="s">
        <v>123</v>
      </c>
      <c r="K131" s="65" t="s">
        <v>73</v>
      </c>
      <c r="L131" s="65" t="s">
        <v>156</v>
      </c>
      <c r="M131" s="67">
        <v>953</v>
      </c>
      <c r="N131" s="65" t="s">
        <v>163</v>
      </c>
      <c r="O131" s="68">
        <v>220.71</v>
      </c>
      <c r="P131" s="68">
        <v>210336.63</v>
      </c>
      <c r="Q131" s="68">
        <v>9053.1299999999992</v>
      </c>
      <c r="R131" s="62">
        <f t="shared" si="17"/>
        <v>4.3041147897063856E-2</v>
      </c>
      <c r="S131" s="67">
        <v>12</v>
      </c>
      <c r="T131" s="66">
        <v>45080</v>
      </c>
      <c r="U131" s="66">
        <v>45080</v>
      </c>
      <c r="V131" s="63">
        <f t="shared" si="18"/>
        <v>0</v>
      </c>
      <c r="W131" s="65" t="s">
        <v>115</v>
      </c>
      <c r="X131" s="64" t="b">
        <f t="shared" si="19"/>
        <v>1</v>
      </c>
      <c r="Y131" s="67">
        <v>39</v>
      </c>
      <c r="Z131" s="67">
        <v>11</v>
      </c>
      <c r="AA131" s="65" t="s">
        <v>116</v>
      </c>
      <c r="AB131" s="64" t="b">
        <f t="shared" si="20"/>
        <v>0</v>
      </c>
    </row>
    <row r="132" spans="1:28" ht="15" customHeight="1" x14ac:dyDescent="0.3">
      <c r="A132" s="57" t="s">
        <v>392</v>
      </c>
      <c r="B132" s="82">
        <v>45448</v>
      </c>
      <c r="C132" s="59">
        <f t="shared" si="14"/>
        <v>2024</v>
      </c>
      <c r="D132" s="59">
        <f t="shared" si="15"/>
        <v>6</v>
      </c>
      <c r="E132" s="59">
        <f t="shared" si="16"/>
        <v>23</v>
      </c>
      <c r="F132" s="57" t="s">
        <v>57</v>
      </c>
      <c r="G132" s="57" t="s">
        <v>39</v>
      </c>
      <c r="H132" s="57" t="s">
        <v>393</v>
      </c>
      <c r="I132" s="57" t="s">
        <v>65</v>
      </c>
      <c r="J132" s="57" t="s">
        <v>139</v>
      </c>
      <c r="K132" s="57" t="s">
        <v>74</v>
      </c>
      <c r="L132" s="57" t="s">
        <v>156</v>
      </c>
      <c r="M132" s="60">
        <v>164</v>
      </c>
      <c r="N132" s="57" t="s">
        <v>120</v>
      </c>
      <c r="O132" s="61">
        <v>1424.63</v>
      </c>
      <c r="P132" s="61">
        <v>233639.32</v>
      </c>
      <c r="Q132" s="61">
        <v>16650.07</v>
      </c>
      <c r="R132" s="62">
        <f t="shared" si="17"/>
        <v>7.1263989297691843E-2</v>
      </c>
      <c r="S132" s="60">
        <v>8</v>
      </c>
      <c r="T132" s="58">
        <v>45456</v>
      </c>
      <c r="U132" s="58">
        <v>45468</v>
      </c>
      <c r="V132" s="63">
        <f t="shared" si="18"/>
        <v>12</v>
      </c>
      <c r="W132" s="57" t="s">
        <v>128</v>
      </c>
      <c r="X132" s="64" t="b">
        <f t="shared" si="19"/>
        <v>0</v>
      </c>
      <c r="Y132" s="60">
        <v>166</v>
      </c>
      <c r="Z132" s="60">
        <v>309</v>
      </c>
      <c r="AA132" s="57" t="s">
        <v>83</v>
      </c>
      <c r="AB132" s="64" t="b">
        <f t="shared" si="20"/>
        <v>1</v>
      </c>
    </row>
    <row r="133" spans="1:28" ht="15" customHeight="1" x14ac:dyDescent="0.3">
      <c r="A133" s="65" t="s">
        <v>394</v>
      </c>
      <c r="B133" s="81">
        <v>45432</v>
      </c>
      <c r="C133" s="59">
        <f t="shared" si="14"/>
        <v>2024</v>
      </c>
      <c r="D133" s="59">
        <f t="shared" si="15"/>
        <v>5</v>
      </c>
      <c r="E133" s="59">
        <f t="shared" si="16"/>
        <v>21</v>
      </c>
      <c r="F133" s="65" t="s">
        <v>59</v>
      </c>
      <c r="G133" s="65" t="s">
        <v>44</v>
      </c>
      <c r="H133" s="65" t="s">
        <v>395</v>
      </c>
      <c r="I133" s="65" t="s">
        <v>66</v>
      </c>
      <c r="J133" s="65" t="s">
        <v>123</v>
      </c>
      <c r="K133" s="65" t="s">
        <v>74</v>
      </c>
      <c r="L133" s="65" t="s">
        <v>113</v>
      </c>
      <c r="M133" s="67">
        <v>190</v>
      </c>
      <c r="N133" s="65" t="s">
        <v>136</v>
      </c>
      <c r="O133" s="68">
        <v>125.04</v>
      </c>
      <c r="P133" s="68">
        <v>23757.599999999999</v>
      </c>
      <c r="Q133" s="68">
        <v>1542.82</v>
      </c>
      <c r="R133" s="62">
        <f t="shared" si="17"/>
        <v>6.4940061285651746E-2</v>
      </c>
      <c r="S133" s="67">
        <v>24</v>
      </c>
      <c r="T133" s="66">
        <v>45456</v>
      </c>
      <c r="U133" s="66">
        <v>45457</v>
      </c>
      <c r="V133" s="63">
        <f t="shared" si="18"/>
        <v>1</v>
      </c>
      <c r="W133" s="65" t="s">
        <v>125</v>
      </c>
      <c r="X133" s="64" t="b">
        <f t="shared" si="19"/>
        <v>0</v>
      </c>
      <c r="Y133" s="67">
        <v>90</v>
      </c>
      <c r="Z133" s="67">
        <v>218</v>
      </c>
      <c r="AA133" s="65" t="s">
        <v>116</v>
      </c>
      <c r="AB133" s="64" t="b">
        <f t="shared" si="20"/>
        <v>0</v>
      </c>
    </row>
    <row r="134" spans="1:28" ht="15" customHeight="1" x14ac:dyDescent="0.3">
      <c r="A134" s="57" t="s">
        <v>396</v>
      </c>
      <c r="B134" s="82">
        <v>45020</v>
      </c>
      <c r="C134" s="59">
        <f t="shared" si="14"/>
        <v>2023</v>
      </c>
      <c r="D134" s="59">
        <f t="shared" si="15"/>
        <v>4</v>
      </c>
      <c r="E134" s="59">
        <f t="shared" si="16"/>
        <v>14</v>
      </c>
      <c r="F134" s="57" t="s">
        <v>58</v>
      </c>
      <c r="G134" s="57" t="s">
        <v>43</v>
      </c>
      <c r="H134" s="57" t="s">
        <v>397</v>
      </c>
      <c r="I134" s="57" t="s">
        <v>68</v>
      </c>
      <c r="J134" s="57" t="s">
        <v>139</v>
      </c>
      <c r="K134" s="57" t="s">
        <v>73</v>
      </c>
      <c r="L134" s="57" t="s">
        <v>119</v>
      </c>
      <c r="M134" s="60">
        <v>224</v>
      </c>
      <c r="N134" s="57" t="s">
        <v>136</v>
      </c>
      <c r="O134" s="61">
        <v>243.23</v>
      </c>
      <c r="P134" s="61">
        <v>54483.519999999997</v>
      </c>
      <c r="Q134" s="61">
        <v>1979.87</v>
      </c>
      <c r="R134" s="62">
        <f t="shared" si="17"/>
        <v>3.6338878251625448E-2</v>
      </c>
      <c r="S134" s="60">
        <v>11</v>
      </c>
      <c r="T134" s="58">
        <v>45031</v>
      </c>
      <c r="U134" s="58">
        <v>45039</v>
      </c>
      <c r="V134" s="63">
        <f t="shared" si="18"/>
        <v>8</v>
      </c>
      <c r="W134" s="57" t="s">
        <v>128</v>
      </c>
      <c r="X134" s="64" t="b">
        <f t="shared" si="19"/>
        <v>0</v>
      </c>
      <c r="Y134" s="60">
        <v>71</v>
      </c>
      <c r="Z134" s="60">
        <v>430</v>
      </c>
      <c r="AA134" s="57" t="s">
        <v>116</v>
      </c>
      <c r="AB134" s="64" t="b">
        <f t="shared" si="20"/>
        <v>0</v>
      </c>
    </row>
    <row r="135" spans="1:28" ht="15" customHeight="1" x14ac:dyDescent="0.3">
      <c r="A135" s="65" t="s">
        <v>398</v>
      </c>
      <c r="B135" s="81">
        <v>44975</v>
      </c>
      <c r="C135" s="59">
        <f t="shared" si="14"/>
        <v>2023</v>
      </c>
      <c r="D135" s="59">
        <f t="shared" si="15"/>
        <v>2</v>
      </c>
      <c r="E135" s="59">
        <f t="shared" si="16"/>
        <v>7</v>
      </c>
      <c r="F135" s="65" t="s">
        <v>59</v>
      </c>
      <c r="G135" s="65" t="s">
        <v>42</v>
      </c>
      <c r="H135" s="65" t="s">
        <v>399</v>
      </c>
      <c r="I135" s="65" t="s">
        <v>65</v>
      </c>
      <c r="J135" s="65" t="s">
        <v>139</v>
      </c>
      <c r="K135" s="65" t="s">
        <v>74</v>
      </c>
      <c r="L135" s="65" t="s">
        <v>156</v>
      </c>
      <c r="M135" s="67">
        <v>97</v>
      </c>
      <c r="N135" s="65" t="s">
        <v>132</v>
      </c>
      <c r="O135" s="68">
        <v>103.69</v>
      </c>
      <c r="P135" s="68">
        <v>10057.93</v>
      </c>
      <c r="Q135" s="68">
        <v>272.07</v>
      </c>
      <c r="R135" s="62">
        <f t="shared" si="17"/>
        <v>2.7050297625853429E-2</v>
      </c>
      <c r="S135" s="67">
        <v>19</v>
      </c>
      <c r="T135" s="66">
        <v>44994</v>
      </c>
      <c r="U135" s="66">
        <v>44989</v>
      </c>
      <c r="V135" s="63">
        <f t="shared" si="18"/>
        <v>-5</v>
      </c>
      <c r="W135" s="65" t="s">
        <v>125</v>
      </c>
      <c r="X135" s="64" t="b">
        <f t="shared" si="19"/>
        <v>0</v>
      </c>
      <c r="Y135" s="67">
        <v>364</v>
      </c>
      <c r="Z135" s="67">
        <v>0</v>
      </c>
      <c r="AA135" s="65" t="s">
        <v>81</v>
      </c>
      <c r="AB135" s="64" t="b">
        <f t="shared" si="20"/>
        <v>1</v>
      </c>
    </row>
    <row r="136" spans="1:28" ht="15" customHeight="1" x14ac:dyDescent="0.3">
      <c r="A136" s="57" t="s">
        <v>400</v>
      </c>
      <c r="B136" s="82">
        <v>45039</v>
      </c>
      <c r="C136" s="59">
        <f t="shared" si="14"/>
        <v>2023</v>
      </c>
      <c r="D136" s="59">
        <f t="shared" si="15"/>
        <v>4</v>
      </c>
      <c r="E136" s="59">
        <f t="shared" si="16"/>
        <v>17</v>
      </c>
      <c r="F136" s="57" t="s">
        <v>54</v>
      </c>
      <c r="G136" s="57" t="s">
        <v>46</v>
      </c>
      <c r="H136" s="57" t="s">
        <v>401</v>
      </c>
      <c r="I136" s="57" t="s">
        <v>66</v>
      </c>
      <c r="J136" s="57" t="s">
        <v>143</v>
      </c>
      <c r="K136" s="57" t="s">
        <v>74</v>
      </c>
      <c r="L136" s="57" t="s">
        <v>135</v>
      </c>
      <c r="M136" s="60">
        <v>265</v>
      </c>
      <c r="N136" s="57" t="s">
        <v>140</v>
      </c>
      <c r="O136" s="61">
        <v>53.15</v>
      </c>
      <c r="P136" s="61">
        <v>14084.75</v>
      </c>
      <c r="Q136" s="61">
        <v>494.65</v>
      </c>
      <c r="R136" s="62">
        <f t="shared" si="17"/>
        <v>3.5119544187862756E-2</v>
      </c>
      <c r="S136" s="60">
        <v>17</v>
      </c>
      <c r="T136" s="58">
        <v>45056</v>
      </c>
      <c r="U136" s="58">
        <v>45056</v>
      </c>
      <c r="V136" s="63">
        <f t="shared" si="18"/>
        <v>0</v>
      </c>
      <c r="W136" s="57" t="s">
        <v>115</v>
      </c>
      <c r="X136" s="64" t="b">
        <f t="shared" si="19"/>
        <v>1</v>
      </c>
      <c r="Y136" s="60">
        <v>437</v>
      </c>
      <c r="Z136" s="60">
        <v>398</v>
      </c>
      <c r="AA136" s="57" t="s">
        <v>116</v>
      </c>
      <c r="AB136" s="64" t="b">
        <f t="shared" si="20"/>
        <v>0</v>
      </c>
    </row>
    <row r="137" spans="1:28" ht="15" customHeight="1" x14ac:dyDescent="0.3">
      <c r="A137" s="65" t="s">
        <v>402</v>
      </c>
      <c r="B137" s="81">
        <v>45083</v>
      </c>
      <c r="C137" s="59">
        <f t="shared" si="14"/>
        <v>2023</v>
      </c>
      <c r="D137" s="59">
        <f t="shared" si="15"/>
        <v>6</v>
      </c>
      <c r="E137" s="59">
        <f t="shared" si="16"/>
        <v>23</v>
      </c>
      <c r="F137" s="65" t="s">
        <v>60</v>
      </c>
      <c r="G137" s="65" t="s">
        <v>43</v>
      </c>
      <c r="H137" s="65" t="s">
        <v>403</v>
      </c>
      <c r="I137" s="65" t="s">
        <v>65</v>
      </c>
      <c r="J137" s="65" t="s">
        <v>139</v>
      </c>
      <c r="K137" s="65" t="s">
        <v>72</v>
      </c>
      <c r="L137" s="65" t="s">
        <v>156</v>
      </c>
      <c r="M137" s="67">
        <v>520</v>
      </c>
      <c r="N137" s="65" t="s">
        <v>120</v>
      </c>
      <c r="O137" s="68">
        <v>204.85</v>
      </c>
      <c r="P137" s="68">
        <v>106522</v>
      </c>
      <c r="Q137" s="68">
        <v>8015.29</v>
      </c>
      <c r="R137" s="62">
        <f t="shared" si="17"/>
        <v>7.5245395317399225E-2</v>
      </c>
      <c r="S137" s="67">
        <v>8</v>
      </c>
      <c r="T137" s="66">
        <v>45091</v>
      </c>
      <c r="U137" s="66">
        <v>45090</v>
      </c>
      <c r="V137" s="63">
        <f t="shared" si="18"/>
        <v>-1</v>
      </c>
      <c r="W137" s="65" t="s">
        <v>115</v>
      </c>
      <c r="X137" s="64" t="b">
        <f t="shared" si="19"/>
        <v>1</v>
      </c>
      <c r="Y137" s="67">
        <v>282</v>
      </c>
      <c r="Z137" s="67">
        <v>110</v>
      </c>
      <c r="AA137" s="65" t="s">
        <v>84</v>
      </c>
      <c r="AB137" s="64" t="b">
        <f t="shared" si="20"/>
        <v>1</v>
      </c>
    </row>
    <row r="138" spans="1:28" ht="15" customHeight="1" x14ac:dyDescent="0.3">
      <c r="A138" s="57" t="s">
        <v>404</v>
      </c>
      <c r="B138" s="82">
        <v>45569</v>
      </c>
      <c r="C138" s="59">
        <f t="shared" si="14"/>
        <v>2024</v>
      </c>
      <c r="D138" s="59">
        <f t="shared" si="15"/>
        <v>10</v>
      </c>
      <c r="E138" s="59">
        <f t="shared" si="16"/>
        <v>40</v>
      </c>
      <c r="F138" s="57" t="s">
        <v>54</v>
      </c>
      <c r="G138" s="57" t="s">
        <v>40</v>
      </c>
      <c r="H138" s="57" t="s">
        <v>405</v>
      </c>
      <c r="I138" s="57" t="s">
        <v>64</v>
      </c>
      <c r="J138" s="57" t="s">
        <v>131</v>
      </c>
      <c r="K138" s="57" t="s">
        <v>72</v>
      </c>
      <c r="L138" s="57" t="s">
        <v>146</v>
      </c>
      <c r="M138" s="60">
        <v>82</v>
      </c>
      <c r="N138" s="57" t="s">
        <v>136</v>
      </c>
      <c r="O138" s="61">
        <v>732.26</v>
      </c>
      <c r="P138" s="61">
        <v>60045.32</v>
      </c>
      <c r="Q138" s="61">
        <v>3296.21</v>
      </c>
      <c r="R138" s="62">
        <f t="shared" si="17"/>
        <v>5.4895369031258391E-2</v>
      </c>
      <c r="S138" s="60">
        <v>3</v>
      </c>
      <c r="T138" s="58">
        <v>45572</v>
      </c>
      <c r="U138" s="58">
        <v>45580</v>
      </c>
      <c r="V138" s="63">
        <f t="shared" si="18"/>
        <v>8</v>
      </c>
      <c r="W138" s="57" t="s">
        <v>125</v>
      </c>
      <c r="X138" s="64" t="b">
        <f t="shared" si="19"/>
        <v>0</v>
      </c>
      <c r="Y138" s="60">
        <v>334</v>
      </c>
      <c r="Z138" s="60">
        <v>474</v>
      </c>
      <c r="AA138" s="57" t="s">
        <v>116</v>
      </c>
      <c r="AB138" s="64" t="b">
        <f t="shared" si="20"/>
        <v>0</v>
      </c>
    </row>
    <row r="139" spans="1:28" ht="15" customHeight="1" x14ac:dyDescent="0.3">
      <c r="A139" s="65" t="s">
        <v>406</v>
      </c>
      <c r="B139" s="81">
        <v>45090</v>
      </c>
      <c r="C139" s="59">
        <f t="shared" si="14"/>
        <v>2023</v>
      </c>
      <c r="D139" s="59">
        <f t="shared" si="15"/>
        <v>6</v>
      </c>
      <c r="E139" s="59">
        <f t="shared" si="16"/>
        <v>24</v>
      </c>
      <c r="F139" s="65" t="s">
        <v>59</v>
      </c>
      <c r="G139" s="65" t="s">
        <v>40</v>
      </c>
      <c r="H139" s="65" t="s">
        <v>407</v>
      </c>
      <c r="I139" s="65" t="s">
        <v>69</v>
      </c>
      <c r="J139" s="65" t="s">
        <v>131</v>
      </c>
      <c r="K139" s="65" t="s">
        <v>73</v>
      </c>
      <c r="L139" s="65" t="s">
        <v>113</v>
      </c>
      <c r="M139" s="67">
        <v>940</v>
      </c>
      <c r="N139" s="65" t="s">
        <v>140</v>
      </c>
      <c r="O139" s="68">
        <v>687.12</v>
      </c>
      <c r="P139" s="68">
        <v>645892.80000000005</v>
      </c>
      <c r="Q139" s="68">
        <v>33592.120000000003</v>
      </c>
      <c r="R139" s="62">
        <f t="shared" si="17"/>
        <v>5.2008816323699539E-2</v>
      </c>
      <c r="S139" s="67">
        <v>3</v>
      </c>
      <c r="T139" s="66">
        <v>45093</v>
      </c>
      <c r="U139" s="66">
        <v>45098</v>
      </c>
      <c r="V139" s="63">
        <f t="shared" si="18"/>
        <v>5</v>
      </c>
      <c r="W139" s="65" t="s">
        <v>125</v>
      </c>
      <c r="X139" s="64" t="b">
        <f t="shared" si="19"/>
        <v>0</v>
      </c>
      <c r="Y139" s="67">
        <v>139</v>
      </c>
      <c r="Z139" s="67">
        <v>463</v>
      </c>
      <c r="AA139" s="65" t="s">
        <v>84</v>
      </c>
      <c r="AB139" s="64" t="b">
        <f t="shared" si="20"/>
        <v>1</v>
      </c>
    </row>
    <row r="140" spans="1:28" ht="15" customHeight="1" x14ac:dyDescent="0.3">
      <c r="A140" s="57" t="s">
        <v>408</v>
      </c>
      <c r="B140" s="82">
        <v>45623</v>
      </c>
      <c r="C140" s="59">
        <f t="shared" si="14"/>
        <v>2024</v>
      </c>
      <c r="D140" s="59">
        <f t="shared" si="15"/>
        <v>11</v>
      </c>
      <c r="E140" s="59">
        <f t="shared" si="16"/>
        <v>48</v>
      </c>
      <c r="F140" s="57" t="s">
        <v>54</v>
      </c>
      <c r="G140" s="57" t="s">
        <v>40</v>
      </c>
      <c r="H140" s="57" t="s">
        <v>409</v>
      </c>
      <c r="I140" s="57" t="s">
        <v>68</v>
      </c>
      <c r="J140" s="57" t="s">
        <v>131</v>
      </c>
      <c r="K140" s="57" t="s">
        <v>73</v>
      </c>
      <c r="L140" s="57" t="s">
        <v>146</v>
      </c>
      <c r="M140" s="60">
        <v>188</v>
      </c>
      <c r="N140" s="57" t="s">
        <v>140</v>
      </c>
      <c r="O140" s="61">
        <v>1061.3699999999999</v>
      </c>
      <c r="P140" s="61">
        <v>199537.56</v>
      </c>
      <c r="Q140" s="61">
        <v>11130.93</v>
      </c>
      <c r="R140" s="62">
        <f t="shared" si="17"/>
        <v>5.578363291602844E-2</v>
      </c>
      <c r="S140" s="60">
        <v>1</v>
      </c>
      <c r="T140" s="58">
        <v>45624</v>
      </c>
      <c r="U140" s="58">
        <v>45625</v>
      </c>
      <c r="V140" s="63">
        <f t="shared" si="18"/>
        <v>1</v>
      </c>
      <c r="W140" s="57" t="s">
        <v>125</v>
      </c>
      <c r="X140" s="64" t="b">
        <f t="shared" si="19"/>
        <v>0</v>
      </c>
      <c r="Y140" s="60">
        <v>238</v>
      </c>
      <c r="Z140" s="60">
        <v>276</v>
      </c>
      <c r="AA140" s="57" t="s">
        <v>81</v>
      </c>
      <c r="AB140" s="64" t="b">
        <f t="shared" si="20"/>
        <v>1</v>
      </c>
    </row>
    <row r="141" spans="1:28" ht="15" customHeight="1" x14ac:dyDescent="0.3">
      <c r="A141" s="65" t="s">
        <v>410</v>
      </c>
      <c r="B141" s="81">
        <v>45359</v>
      </c>
      <c r="C141" s="59">
        <f t="shared" si="14"/>
        <v>2024</v>
      </c>
      <c r="D141" s="59">
        <f t="shared" si="15"/>
        <v>3</v>
      </c>
      <c r="E141" s="59">
        <f t="shared" si="16"/>
        <v>10</v>
      </c>
      <c r="F141" s="65" t="s">
        <v>61</v>
      </c>
      <c r="G141" s="65" t="s">
        <v>46</v>
      </c>
      <c r="H141" s="65" t="s">
        <v>411</v>
      </c>
      <c r="I141" s="65" t="s">
        <v>64</v>
      </c>
      <c r="J141" s="65" t="s">
        <v>131</v>
      </c>
      <c r="K141" s="65" t="s">
        <v>74</v>
      </c>
      <c r="L141" s="65" t="s">
        <v>119</v>
      </c>
      <c r="M141" s="67">
        <v>221</v>
      </c>
      <c r="N141" s="65" t="s">
        <v>132</v>
      </c>
      <c r="O141" s="68">
        <v>85.64</v>
      </c>
      <c r="P141" s="68">
        <v>18926.439999999999</v>
      </c>
      <c r="Q141" s="68">
        <v>794.19</v>
      </c>
      <c r="R141" s="62">
        <f t="shared" si="17"/>
        <v>4.1961932619129644E-2</v>
      </c>
      <c r="S141" s="67">
        <v>27</v>
      </c>
      <c r="T141" s="66">
        <v>45386</v>
      </c>
      <c r="U141" s="66">
        <v>45391</v>
      </c>
      <c r="V141" s="63">
        <f t="shared" si="18"/>
        <v>5</v>
      </c>
      <c r="W141" s="65" t="s">
        <v>128</v>
      </c>
      <c r="X141" s="64" t="b">
        <f t="shared" si="19"/>
        <v>0</v>
      </c>
      <c r="Y141" s="67">
        <v>77</v>
      </c>
      <c r="Z141" s="67">
        <v>128</v>
      </c>
      <c r="AA141" s="65" t="s">
        <v>116</v>
      </c>
      <c r="AB141" s="64" t="b">
        <f t="shared" si="20"/>
        <v>0</v>
      </c>
    </row>
    <row r="142" spans="1:28" ht="15" customHeight="1" x14ac:dyDescent="0.3">
      <c r="A142" s="57" t="s">
        <v>412</v>
      </c>
      <c r="B142" s="82">
        <v>45537</v>
      </c>
      <c r="C142" s="59">
        <f t="shared" si="14"/>
        <v>2024</v>
      </c>
      <c r="D142" s="59">
        <f t="shared" si="15"/>
        <v>9</v>
      </c>
      <c r="E142" s="59">
        <f t="shared" si="16"/>
        <v>36</v>
      </c>
      <c r="F142" s="57" t="s">
        <v>57</v>
      </c>
      <c r="G142" s="57" t="s">
        <v>40</v>
      </c>
      <c r="H142" s="57" t="s">
        <v>413</v>
      </c>
      <c r="I142" s="57" t="s">
        <v>66</v>
      </c>
      <c r="J142" s="57" t="s">
        <v>151</v>
      </c>
      <c r="K142" s="57" t="s">
        <v>71</v>
      </c>
      <c r="L142" s="57" t="s">
        <v>124</v>
      </c>
      <c r="M142" s="60">
        <v>814</v>
      </c>
      <c r="N142" s="57" t="s">
        <v>140</v>
      </c>
      <c r="O142" s="61">
        <v>796.95</v>
      </c>
      <c r="P142" s="61">
        <v>648717.30000000005</v>
      </c>
      <c r="Q142" s="61">
        <v>44389.4</v>
      </c>
      <c r="R142" s="62">
        <f t="shared" si="17"/>
        <v>6.8426416252503203E-2</v>
      </c>
      <c r="S142" s="60">
        <v>5</v>
      </c>
      <c r="T142" s="58">
        <v>45542</v>
      </c>
      <c r="U142" s="58">
        <v>45539</v>
      </c>
      <c r="V142" s="63">
        <f t="shared" si="18"/>
        <v>-3</v>
      </c>
      <c r="W142" s="57" t="s">
        <v>115</v>
      </c>
      <c r="X142" s="64" t="b">
        <f t="shared" si="19"/>
        <v>1</v>
      </c>
      <c r="Y142" s="60">
        <v>198</v>
      </c>
      <c r="Z142" s="60">
        <v>92</v>
      </c>
      <c r="AA142" s="57" t="s">
        <v>81</v>
      </c>
      <c r="AB142" s="64" t="b">
        <f t="shared" si="20"/>
        <v>1</v>
      </c>
    </row>
    <row r="143" spans="1:28" ht="15" customHeight="1" x14ac:dyDescent="0.3">
      <c r="A143" s="65" t="s">
        <v>414</v>
      </c>
      <c r="B143" s="81">
        <v>44992</v>
      </c>
      <c r="C143" s="59">
        <f t="shared" si="14"/>
        <v>2023</v>
      </c>
      <c r="D143" s="59">
        <f t="shared" si="15"/>
        <v>3</v>
      </c>
      <c r="E143" s="59">
        <f t="shared" si="16"/>
        <v>10</v>
      </c>
      <c r="F143" s="65" t="s">
        <v>52</v>
      </c>
      <c r="G143" s="65" t="s">
        <v>39</v>
      </c>
      <c r="H143" s="65" t="s">
        <v>415</v>
      </c>
      <c r="I143" s="65" t="s">
        <v>66</v>
      </c>
      <c r="J143" s="65" t="s">
        <v>112</v>
      </c>
      <c r="K143" s="65" t="s">
        <v>73</v>
      </c>
      <c r="L143" s="65" t="s">
        <v>135</v>
      </c>
      <c r="M143" s="67">
        <v>243</v>
      </c>
      <c r="N143" s="65" t="s">
        <v>140</v>
      </c>
      <c r="O143" s="68">
        <v>1951.53</v>
      </c>
      <c r="P143" s="68">
        <v>474221.79</v>
      </c>
      <c r="Q143" s="68">
        <v>24373.66</v>
      </c>
      <c r="R143" s="62">
        <f t="shared" si="17"/>
        <v>5.1397174305297111E-2</v>
      </c>
      <c r="S143" s="67">
        <v>10</v>
      </c>
      <c r="T143" s="66">
        <v>45002</v>
      </c>
      <c r="U143" s="66">
        <v>44999</v>
      </c>
      <c r="V143" s="63">
        <f t="shared" si="18"/>
        <v>-3</v>
      </c>
      <c r="W143" s="65" t="s">
        <v>125</v>
      </c>
      <c r="X143" s="64" t="b">
        <f t="shared" si="19"/>
        <v>0</v>
      </c>
      <c r="Y143" s="67">
        <v>16</v>
      </c>
      <c r="Z143" s="67">
        <v>450</v>
      </c>
      <c r="AA143" s="65" t="s">
        <v>82</v>
      </c>
      <c r="AB143" s="64" t="b">
        <f t="shared" si="20"/>
        <v>1</v>
      </c>
    </row>
    <row r="144" spans="1:28" ht="15" customHeight="1" x14ac:dyDescent="0.3">
      <c r="A144" s="57" t="s">
        <v>416</v>
      </c>
      <c r="B144" s="82">
        <v>45321</v>
      </c>
      <c r="C144" s="59">
        <f t="shared" si="14"/>
        <v>2024</v>
      </c>
      <c r="D144" s="59">
        <f t="shared" si="15"/>
        <v>1</v>
      </c>
      <c r="E144" s="59">
        <f t="shared" si="16"/>
        <v>5</v>
      </c>
      <c r="F144" s="57" t="s">
        <v>59</v>
      </c>
      <c r="G144" s="57" t="s">
        <v>43</v>
      </c>
      <c r="H144" s="57" t="s">
        <v>417</v>
      </c>
      <c r="I144" s="57" t="s">
        <v>64</v>
      </c>
      <c r="J144" s="57" t="s">
        <v>112</v>
      </c>
      <c r="K144" s="57" t="s">
        <v>74</v>
      </c>
      <c r="L144" s="57" t="s">
        <v>113</v>
      </c>
      <c r="M144" s="60">
        <v>474</v>
      </c>
      <c r="N144" s="57" t="s">
        <v>114</v>
      </c>
      <c r="O144" s="61">
        <v>283.52</v>
      </c>
      <c r="P144" s="61">
        <v>134388.48000000001</v>
      </c>
      <c r="Q144" s="61">
        <v>3629.14</v>
      </c>
      <c r="R144" s="62">
        <f t="shared" si="17"/>
        <v>2.7004844462858717E-2</v>
      </c>
      <c r="S144" s="60">
        <v>7</v>
      </c>
      <c r="T144" s="58">
        <v>45328</v>
      </c>
      <c r="U144" s="58">
        <v>45328</v>
      </c>
      <c r="V144" s="63">
        <f t="shared" si="18"/>
        <v>0</v>
      </c>
      <c r="W144" s="57" t="s">
        <v>115</v>
      </c>
      <c r="X144" s="64" t="b">
        <f t="shared" si="19"/>
        <v>1</v>
      </c>
      <c r="Y144" s="60">
        <v>217</v>
      </c>
      <c r="Z144" s="60">
        <v>395</v>
      </c>
      <c r="AA144" s="57" t="s">
        <v>116</v>
      </c>
      <c r="AB144" s="64" t="b">
        <f t="shared" si="20"/>
        <v>0</v>
      </c>
    </row>
    <row r="145" spans="1:28" ht="15" customHeight="1" x14ac:dyDescent="0.3">
      <c r="A145" s="65" t="s">
        <v>418</v>
      </c>
      <c r="B145" s="81">
        <v>45317</v>
      </c>
      <c r="C145" s="59">
        <f t="shared" si="14"/>
        <v>2024</v>
      </c>
      <c r="D145" s="59">
        <f t="shared" si="15"/>
        <v>1</v>
      </c>
      <c r="E145" s="59">
        <f t="shared" si="16"/>
        <v>4</v>
      </c>
      <c r="F145" s="65" t="s">
        <v>58</v>
      </c>
      <c r="G145" s="65" t="s">
        <v>45</v>
      </c>
      <c r="H145" s="65" t="s">
        <v>419</v>
      </c>
      <c r="I145" s="65" t="s">
        <v>69</v>
      </c>
      <c r="J145" s="65" t="s">
        <v>139</v>
      </c>
      <c r="K145" s="65" t="s">
        <v>71</v>
      </c>
      <c r="L145" s="65" t="s">
        <v>156</v>
      </c>
      <c r="M145" s="67">
        <v>760</v>
      </c>
      <c r="N145" s="65" t="s">
        <v>163</v>
      </c>
      <c r="O145" s="68">
        <v>275.38</v>
      </c>
      <c r="P145" s="68">
        <v>209288.8</v>
      </c>
      <c r="Q145" s="68">
        <v>5806.49</v>
      </c>
      <c r="R145" s="62">
        <f t="shared" si="17"/>
        <v>2.7743911762120096E-2</v>
      </c>
      <c r="S145" s="67">
        <v>26</v>
      </c>
      <c r="T145" s="66">
        <v>45343</v>
      </c>
      <c r="U145" s="66">
        <v>45338</v>
      </c>
      <c r="V145" s="63">
        <f t="shared" si="18"/>
        <v>-5</v>
      </c>
      <c r="W145" s="65" t="s">
        <v>115</v>
      </c>
      <c r="X145" s="64" t="b">
        <f t="shared" si="19"/>
        <v>1</v>
      </c>
      <c r="Y145" s="67">
        <v>228</v>
      </c>
      <c r="Z145" s="67">
        <v>379</v>
      </c>
      <c r="AA145" s="65" t="s">
        <v>83</v>
      </c>
      <c r="AB145" s="64" t="b">
        <f t="shared" si="20"/>
        <v>1</v>
      </c>
    </row>
    <row r="146" spans="1:28" ht="15" customHeight="1" x14ac:dyDescent="0.3">
      <c r="A146" s="57" t="s">
        <v>420</v>
      </c>
      <c r="B146" s="82">
        <v>45537</v>
      </c>
      <c r="C146" s="59">
        <f t="shared" si="14"/>
        <v>2024</v>
      </c>
      <c r="D146" s="59">
        <f t="shared" si="15"/>
        <v>9</v>
      </c>
      <c r="E146" s="59">
        <f t="shared" si="16"/>
        <v>36</v>
      </c>
      <c r="F146" s="57" t="s">
        <v>58</v>
      </c>
      <c r="G146" s="57" t="s">
        <v>40</v>
      </c>
      <c r="H146" s="57" t="s">
        <v>421</v>
      </c>
      <c r="I146" s="57" t="s">
        <v>69</v>
      </c>
      <c r="J146" s="57" t="s">
        <v>123</v>
      </c>
      <c r="K146" s="57" t="s">
        <v>72</v>
      </c>
      <c r="L146" s="57" t="s">
        <v>135</v>
      </c>
      <c r="M146" s="60">
        <v>232</v>
      </c>
      <c r="N146" s="57" t="s">
        <v>132</v>
      </c>
      <c r="O146" s="61">
        <v>677</v>
      </c>
      <c r="P146" s="61">
        <v>157064</v>
      </c>
      <c r="Q146" s="61">
        <v>8200.5499999999993</v>
      </c>
      <c r="R146" s="62">
        <f t="shared" si="17"/>
        <v>5.221151887128813E-2</v>
      </c>
      <c r="S146" s="60">
        <v>9</v>
      </c>
      <c r="T146" s="58">
        <v>45546</v>
      </c>
      <c r="U146" s="58">
        <v>45545</v>
      </c>
      <c r="V146" s="63">
        <f t="shared" si="18"/>
        <v>-1</v>
      </c>
      <c r="W146" s="57" t="s">
        <v>115</v>
      </c>
      <c r="X146" s="64" t="b">
        <f t="shared" si="19"/>
        <v>1</v>
      </c>
      <c r="Y146" s="60">
        <v>339</v>
      </c>
      <c r="Z146" s="60">
        <v>411</v>
      </c>
      <c r="AA146" s="57" t="s">
        <v>116</v>
      </c>
      <c r="AB146" s="64" t="b">
        <f t="shared" si="20"/>
        <v>0</v>
      </c>
    </row>
    <row r="147" spans="1:28" ht="15" customHeight="1" x14ac:dyDescent="0.3">
      <c r="A147" s="65" t="s">
        <v>422</v>
      </c>
      <c r="B147" s="81">
        <v>45406</v>
      </c>
      <c r="C147" s="59">
        <f t="shared" si="14"/>
        <v>2024</v>
      </c>
      <c r="D147" s="59">
        <f t="shared" si="15"/>
        <v>4</v>
      </c>
      <c r="E147" s="59">
        <f t="shared" si="16"/>
        <v>17</v>
      </c>
      <c r="F147" s="65" t="s">
        <v>61</v>
      </c>
      <c r="G147" s="65" t="s">
        <v>41</v>
      </c>
      <c r="H147" s="65" t="s">
        <v>423</v>
      </c>
      <c r="I147" s="65" t="s">
        <v>67</v>
      </c>
      <c r="J147" s="65" t="s">
        <v>131</v>
      </c>
      <c r="K147" s="65" t="s">
        <v>73</v>
      </c>
      <c r="L147" s="65" t="s">
        <v>156</v>
      </c>
      <c r="M147" s="67">
        <v>640</v>
      </c>
      <c r="N147" s="65" t="s">
        <v>132</v>
      </c>
      <c r="O147" s="68">
        <v>732.52</v>
      </c>
      <c r="P147" s="68">
        <v>468812.79999999999</v>
      </c>
      <c r="Q147" s="68">
        <v>35720.82</v>
      </c>
      <c r="R147" s="62">
        <f t="shared" si="17"/>
        <v>7.6194208007972483E-2</v>
      </c>
      <c r="S147" s="67">
        <v>28</v>
      </c>
      <c r="T147" s="66">
        <v>45434</v>
      </c>
      <c r="U147" s="66">
        <v>45437</v>
      </c>
      <c r="V147" s="63">
        <f t="shared" si="18"/>
        <v>3</v>
      </c>
      <c r="W147" s="65" t="s">
        <v>128</v>
      </c>
      <c r="X147" s="64" t="b">
        <f t="shared" si="19"/>
        <v>0</v>
      </c>
      <c r="Y147" s="67">
        <v>137</v>
      </c>
      <c r="Z147" s="67">
        <v>38</v>
      </c>
      <c r="AA147" s="65" t="s">
        <v>116</v>
      </c>
      <c r="AB147" s="64" t="b">
        <f t="shared" si="20"/>
        <v>0</v>
      </c>
    </row>
    <row r="148" spans="1:28" ht="15" customHeight="1" x14ac:dyDescent="0.3">
      <c r="A148" s="57" t="s">
        <v>424</v>
      </c>
      <c r="B148" s="82">
        <v>45468</v>
      </c>
      <c r="C148" s="59">
        <f t="shared" si="14"/>
        <v>2024</v>
      </c>
      <c r="D148" s="59">
        <f t="shared" si="15"/>
        <v>6</v>
      </c>
      <c r="E148" s="59">
        <f t="shared" si="16"/>
        <v>26</v>
      </c>
      <c r="F148" s="57" t="s">
        <v>57</v>
      </c>
      <c r="G148" s="57" t="s">
        <v>45</v>
      </c>
      <c r="H148" s="57" t="s">
        <v>425</v>
      </c>
      <c r="I148" s="57" t="s">
        <v>65</v>
      </c>
      <c r="J148" s="57" t="s">
        <v>112</v>
      </c>
      <c r="K148" s="57" t="s">
        <v>74</v>
      </c>
      <c r="L148" s="57" t="s">
        <v>119</v>
      </c>
      <c r="M148" s="60">
        <v>834</v>
      </c>
      <c r="N148" s="57" t="s">
        <v>120</v>
      </c>
      <c r="O148" s="61">
        <v>200.27</v>
      </c>
      <c r="P148" s="61">
        <v>167025.18</v>
      </c>
      <c r="Q148" s="61">
        <v>6430.66</v>
      </c>
      <c r="R148" s="62">
        <f t="shared" si="17"/>
        <v>3.8501140965691523E-2</v>
      </c>
      <c r="S148" s="60">
        <v>7</v>
      </c>
      <c r="T148" s="58">
        <v>45475</v>
      </c>
      <c r="U148" s="58">
        <v>45476</v>
      </c>
      <c r="V148" s="63">
        <f t="shared" si="18"/>
        <v>1</v>
      </c>
      <c r="W148" s="57" t="s">
        <v>128</v>
      </c>
      <c r="X148" s="64" t="b">
        <f t="shared" si="19"/>
        <v>0</v>
      </c>
      <c r="Y148" s="60">
        <v>146</v>
      </c>
      <c r="Z148" s="60">
        <v>420</v>
      </c>
      <c r="AA148" s="57" t="s">
        <v>83</v>
      </c>
      <c r="AB148" s="64" t="b">
        <f t="shared" si="20"/>
        <v>1</v>
      </c>
    </row>
    <row r="149" spans="1:28" ht="15" customHeight="1" x14ac:dyDescent="0.3">
      <c r="A149" s="65" t="s">
        <v>426</v>
      </c>
      <c r="B149" s="81">
        <v>45184</v>
      </c>
      <c r="C149" s="59">
        <f t="shared" si="14"/>
        <v>2023</v>
      </c>
      <c r="D149" s="59">
        <f t="shared" si="15"/>
        <v>9</v>
      </c>
      <c r="E149" s="59">
        <f t="shared" si="16"/>
        <v>37</v>
      </c>
      <c r="F149" s="65" t="s">
        <v>53</v>
      </c>
      <c r="G149" s="65" t="s">
        <v>46</v>
      </c>
      <c r="H149" s="65" t="s">
        <v>427</v>
      </c>
      <c r="I149" s="65" t="s">
        <v>67</v>
      </c>
      <c r="J149" s="65" t="s">
        <v>112</v>
      </c>
      <c r="K149" s="65" t="s">
        <v>72</v>
      </c>
      <c r="L149" s="65" t="s">
        <v>124</v>
      </c>
      <c r="M149" s="67">
        <v>273</v>
      </c>
      <c r="N149" s="65" t="s">
        <v>140</v>
      </c>
      <c r="O149" s="68">
        <v>58.28</v>
      </c>
      <c r="P149" s="68">
        <v>15910.44</v>
      </c>
      <c r="Q149" s="68">
        <v>1148.3</v>
      </c>
      <c r="R149" s="62">
        <f t="shared" si="17"/>
        <v>7.2172736894768455E-2</v>
      </c>
      <c r="S149" s="67">
        <v>9</v>
      </c>
      <c r="T149" s="66">
        <v>45193</v>
      </c>
      <c r="U149" s="66">
        <v>45194</v>
      </c>
      <c r="V149" s="63">
        <f t="shared" si="18"/>
        <v>1</v>
      </c>
      <c r="W149" s="65" t="s">
        <v>125</v>
      </c>
      <c r="X149" s="64" t="b">
        <f t="shared" si="19"/>
        <v>0</v>
      </c>
      <c r="Y149" s="67">
        <v>209</v>
      </c>
      <c r="Z149" s="67">
        <v>478</v>
      </c>
      <c r="AA149" s="65" t="s">
        <v>81</v>
      </c>
      <c r="AB149" s="64" t="b">
        <f t="shared" si="20"/>
        <v>1</v>
      </c>
    </row>
    <row r="150" spans="1:28" ht="15" customHeight="1" x14ac:dyDescent="0.3">
      <c r="A150" s="57" t="s">
        <v>428</v>
      </c>
      <c r="B150" s="82">
        <v>45493</v>
      </c>
      <c r="C150" s="59">
        <f t="shared" si="14"/>
        <v>2024</v>
      </c>
      <c r="D150" s="59">
        <f t="shared" si="15"/>
        <v>7</v>
      </c>
      <c r="E150" s="59">
        <f t="shared" si="16"/>
        <v>29</v>
      </c>
      <c r="F150" s="57" t="s">
        <v>53</v>
      </c>
      <c r="G150" s="57" t="s">
        <v>39</v>
      </c>
      <c r="H150" s="57" t="s">
        <v>429</v>
      </c>
      <c r="I150" s="57" t="s">
        <v>69</v>
      </c>
      <c r="J150" s="57" t="s">
        <v>131</v>
      </c>
      <c r="K150" s="57" t="s">
        <v>75</v>
      </c>
      <c r="L150" s="57" t="s">
        <v>113</v>
      </c>
      <c r="M150" s="60">
        <v>216</v>
      </c>
      <c r="N150" s="57" t="s">
        <v>120</v>
      </c>
      <c r="O150" s="61">
        <v>1124.92</v>
      </c>
      <c r="P150" s="61">
        <v>242982.72</v>
      </c>
      <c r="Q150" s="61">
        <v>15999.38</v>
      </c>
      <c r="R150" s="62">
        <f t="shared" si="17"/>
        <v>6.5845752323457407E-2</v>
      </c>
      <c r="S150" s="60">
        <v>8</v>
      </c>
      <c r="T150" s="58">
        <v>45501</v>
      </c>
      <c r="U150" s="58">
        <v>45509</v>
      </c>
      <c r="V150" s="63">
        <f t="shared" si="18"/>
        <v>8</v>
      </c>
      <c r="W150" s="57" t="s">
        <v>128</v>
      </c>
      <c r="X150" s="64" t="b">
        <f t="shared" si="19"/>
        <v>0</v>
      </c>
      <c r="Y150" s="60">
        <v>157</v>
      </c>
      <c r="Z150" s="60">
        <v>315</v>
      </c>
      <c r="AA150" s="57" t="s">
        <v>116</v>
      </c>
      <c r="AB150" s="64" t="b">
        <f t="shared" si="20"/>
        <v>0</v>
      </c>
    </row>
    <row r="151" spans="1:28" ht="15" customHeight="1" x14ac:dyDescent="0.3">
      <c r="A151" s="65" t="s">
        <v>430</v>
      </c>
      <c r="B151" s="81">
        <v>44938</v>
      </c>
      <c r="C151" s="59">
        <f t="shared" si="14"/>
        <v>2023</v>
      </c>
      <c r="D151" s="59">
        <f t="shared" si="15"/>
        <v>1</v>
      </c>
      <c r="E151" s="59">
        <f t="shared" si="16"/>
        <v>2</v>
      </c>
      <c r="F151" s="65" t="s">
        <v>55</v>
      </c>
      <c r="G151" s="65" t="s">
        <v>41</v>
      </c>
      <c r="H151" s="65" t="s">
        <v>431</v>
      </c>
      <c r="I151" s="65" t="s">
        <v>64</v>
      </c>
      <c r="J151" s="65" t="s">
        <v>151</v>
      </c>
      <c r="K151" s="65" t="s">
        <v>72</v>
      </c>
      <c r="L151" s="65" t="s">
        <v>119</v>
      </c>
      <c r="M151" s="67">
        <v>616</v>
      </c>
      <c r="N151" s="65" t="s">
        <v>114</v>
      </c>
      <c r="O151" s="68">
        <v>544.47</v>
      </c>
      <c r="P151" s="68">
        <v>335393.52</v>
      </c>
      <c r="Q151" s="68">
        <v>11694.75</v>
      </c>
      <c r="R151" s="62">
        <f t="shared" si="17"/>
        <v>3.4868741650107012E-2</v>
      </c>
      <c r="S151" s="67">
        <v>12</v>
      </c>
      <c r="T151" s="66">
        <v>44950</v>
      </c>
      <c r="U151" s="66">
        <v>44950</v>
      </c>
      <c r="V151" s="63">
        <f t="shared" si="18"/>
        <v>0</v>
      </c>
      <c r="W151" s="65" t="s">
        <v>115</v>
      </c>
      <c r="X151" s="64" t="b">
        <f t="shared" si="19"/>
        <v>1</v>
      </c>
      <c r="Y151" s="67">
        <v>413</v>
      </c>
      <c r="Z151" s="67">
        <v>158</v>
      </c>
      <c r="AA151" s="65" t="s">
        <v>82</v>
      </c>
      <c r="AB151" s="64" t="b">
        <f t="shared" si="20"/>
        <v>1</v>
      </c>
    </row>
    <row r="152" spans="1:28" ht="15" customHeight="1" x14ac:dyDescent="0.3">
      <c r="A152" s="57" t="s">
        <v>432</v>
      </c>
      <c r="B152" s="82">
        <v>45623</v>
      </c>
      <c r="C152" s="59">
        <f t="shared" si="14"/>
        <v>2024</v>
      </c>
      <c r="D152" s="59">
        <f t="shared" si="15"/>
        <v>11</v>
      </c>
      <c r="E152" s="59">
        <f t="shared" si="16"/>
        <v>48</v>
      </c>
      <c r="F152" s="57" t="s">
        <v>55</v>
      </c>
      <c r="G152" s="57" t="s">
        <v>41</v>
      </c>
      <c r="H152" s="57" t="s">
        <v>433</v>
      </c>
      <c r="I152" s="57" t="s">
        <v>65</v>
      </c>
      <c r="J152" s="57" t="s">
        <v>151</v>
      </c>
      <c r="K152" s="57" t="s">
        <v>74</v>
      </c>
      <c r="L152" s="57" t="s">
        <v>119</v>
      </c>
      <c r="M152" s="60">
        <v>894</v>
      </c>
      <c r="N152" s="57" t="s">
        <v>136</v>
      </c>
      <c r="O152" s="61">
        <v>393.61</v>
      </c>
      <c r="P152" s="61">
        <v>351887.34</v>
      </c>
      <c r="Q152" s="61">
        <v>7805.02</v>
      </c>
      <c r="R152" s="62">
        <f t="shared" si="17"/>
        <v>2.2180451277388949E-2</v>
      </c>
      <c r="S152" s="60">
        <v>2</v>
      </c>
      <c r="T152" s="58">
        <v>45625</v>
      </c>
      <c r="U152" s="58">
        <v>45625</v>
      </c>
      <c r="V152" s="63">
        <f t="shared" si="18"/>
        <v>0</v>
      </c>
      <c r="W152" s="57" t="s">
        <v>115</v>
      </c>
      <c r="X152" s="64" t="b">
        <f t="shared" si="19"/>
        <v>1</v>
      </c>
      <c r="Y152" s="60">
        <v>152</v>
      </c>
      <c r="Z152" s="60">
        <v>185</v>
      </c>
      <c r="AA152" s="57" t="s">
        <v>116</v>
      </c>
      <c r="AB152" s="64" t="b">
        <f t="shared" si="20"/>
        <v>0</v>
      </c>
    </row>
    <row r="153" spans="1:28" ht="15" customHeight="1" x14ac:dyDescent="0.3">
      <c r="A153" s="65" t="s">
        <v>434</v>
      </c>
      <c r="B153" s="81">
        <v>45044</v>
      </c>
      <c r="C153" s="59">
        <f t="shared" si="14"/>
        <v>2023</v>
      </c>
      <c r="D153" s="59">
        <f t="shared" si="15"/>
        <v>4</v>
      </c>
      <c r="E153" s="59">
        <f t="shared" si="16"/>
        <v>17</v>
      </c>
      <c r="F153" s="65" t="s">
        <v>59</v>
      </c>
      <c r="G153" s="65" t="s">
        <v>41</v>
      </c>
      <c r="H153" s="65" t="s">
        <v>435</v>
      </c>
      <c r="I153" s="65" t="s">
        <v>64</v>
      </c>
      <c r="J153" s="65" t="s">
        <v>112</v>
      </c>
      <c r="K153" s="65" t="s">
        <v>71</v>
      </c>
      <c r="L153" s="65" t="s">
        <v>124</v>
      </c>
      <c r="M153" s="67">
        <v>743</v>
      </c>
      <c r="N153" s="65" t="s">
        <v>140</v>
      </c>
      <c r="O153" s="68">
        <v>449.42</v>
      </c>
      <c r="P153" s="68">
        <v>333919.06</v>
      </c>
      <c r="Q153" s="68">
        <v>8718.91</v>
      </c>
      <c r="R153" s="62">
        <f t="shared" si="17"/>
        <v>2.6110848539163952E-2</v>
      </c>
      <c r="S153" s="67">
        <v>1</v>
      </c>
      <c r="T153" s="66">
        <v>45045</v>
      </c>
      <c r="U153" s="66">
        <v>45045</v>
      </c>
      <c r="V153" s="63">
        <f t="shared" si="18"/>
        <v>0</v>
      </c>
      <c r="W153" s="65" t="s">
        <v>115</v>
      </c>
      <c r="X153" s="64" t="b">
        <f t="shared" si="19"/>
        <v>1</v>
      </c>
      <c r="Y153" s="67">
        <v>343</v>
      </c>
      <c r="Z153" s="67">
        <v>480</v>
      </c>
      <c r="AA153" s="65" t="s">
        <v>83</v>
      </c>
      <c r="AB153" s="64" t="b">
        <f t="shared" si="20"/>
        <v>1</v>
      </c>
    </row>
    <row r="154" spans="1:28" ht="15" customHeight="1" x14ac:dyDescent="0.3">
      <c r="A154" s="57" t="s">
        <v>436</v>
      </c>
      <c r="B154" s="82">
        <v>45625</v>
      </c>
      <c r="C154" s="59">
        <f t="shared" si="14"/>
        <v>2024</v>
      </c>
      <c r="D154" s="59">
        <f t="shared" si="15"/>
        <v>11</v>
      </c>
      <c r="E154" s="59">
        <f t="shared" si="16"/>
        <v>48</v>
      </c>
      <c r="F154" s="57" t="s">
        <v>61</v>
      </c>
      <c r="G154" s="57" t="s">
        <v>41</v>
      </c>
      <c r="H154" s="57" t="s">
        <v>437</v>
      </c>
      <c r="I154" s="57" t="s">
        <v>67</v>
      </c>
      <c r="J154" s="57" t="s">
        <v>151</v>
      </c>
      <c r="K154" s="57" t="s">
        <v>75</v>
      </c>
      <c r="L154" s="57" t="s">
        <v>119</v>
      </c>
      <c r="M154" s="60">
        <v>375</v>
      </c>
      <c r="N154" s="57" t="s">
        <v>136</v>
      </c>
      <c r="O154" s="61">
        <v>476.78</v>
      </c>
      <c r="P154" s="61">
        <v>178792.5</v>
      </c>
      <c r="Q154" s="61">
        <v>11390.81</v>
      </c>
      <c r="R154" s="62">
        <f t="shared" si="17"/>
        <v>6.3709663436665412E-2</v>
      </c>
      <c r="S154" s="60">
        <v>16</v>
      </c>
      <c r="T154" s="58">
        <v>45641</v>
      </c>
      <c r="U154" s="58">
        <v>45641</v>
      </c>
      <c r="V154" s="63">
        <f t="shared" si="18"/>
        <v>0</v>
      </c>
      <c r="W154" s="57" t="s">
        <v>115</v>
      </c>
      <c r="X154" s="64" t="b">
        <f t="shared" si="19"/>
        <v>1</v>
      </c>
      <c r="Y154" s="60">
        <v>329</v>
      </c>
      <c r="Z154" s="60">
        <v>352</v>
      </c>
      <c r="AA154" s="57" t="s">
        <v>84</v>
      </c>
      <c r="AB154" s="64" t="b">
        <f t="shared" si="20"/>
        <v>1</v>
      </c>
    </row>
    <row r="155" spans="1:28" ht="15" customHeight="1" x14ac:dyDescent="0.3">
      <c r="A155" s="65" t="s">
        <v>438</v>
      </c>
      <c r="B155" s="81">
        <v>45476</v>
      </c>
      <c r="C155" s="59">
        <f t="shared" si="14"/>
        <v>2024</v>
      </c>
      <c r="D155" s="59">
        <f t="shared" si="15"/>
        <v>7</v>
      </c>
      <c r="E155" s="59">
        <f t="shared" si="16"/>
        <v>27</v>
      </c>
      <c r="F155" s="65" t="s">
        <v>61</v>
      </c>
      <c r="G155" s="65" t="s">
        <v>45</v>
      </c>
      <c r="H155" s="65" t="s">
        <v>439</v>
      </c>
      <c r="I155" s="65" t="s">
        <v>66</v>
      </c>
      <c r="J155" s="65" t="s">
        <v>143</v>
      </c>
      <c r="K155" s="65" t="s">
        <v>75</v>
      </c>
      <c r="L155" s="65" t="s">
        <v>119</v>
      </c>
      <c r="M155" s="67">
        <v>285</v>
      </c>
      <c r="N155" s="65" t="s">
        <v>163</v>
      </c>
      <c r="O155" s="68">
        <v>269.41000000000003</v>
      </c>
      <c r="P155" s="68">
        <v>76781.850000000006</v>
      </c>
      <c r="Q155" s="68">
        <v>2455.5</v>
      </c>
      <c r="R155" s="62">
        <f t="shared" si="17"/>
        <v>3.1980214074029213E-2</v>
      </c>
      <c r="S155" s="67">
        <v>23</v>
      </c>
      <c r="T155" s="66">
        <v>45499</v>
      </c>
      <c r="U155" s="66">
        <v>45507</v>
      </c>
      <c r="V155" s="63">
        <f t="shared" si="18"/>
        <v>8</v>
      </c>
      <c r="W155" s="65" t="s">
        <v>128</v>
      </c>
      <c r="X155" s="64" t="b">
        <f t="shared" si="19"/>
        <v>0</v>
      </c>
      <c r="Y155" s="67">
        <v>382</v>
      </c>
      <c r="Z155" s="67">
        <v>255</v>
      </c>
      <c r="AA155" s="65" t="s">
        <v>83</v>
      </c>
      <c r="AB155" s="64" t="b">
        <f t="shared" si="20"/>
        <v>1</v>
      </c>
    </row>
    <row r="156" spans="1:28" ht="15" customHeight="1" x14ac:dyDescent="0.3">
      <c r="A156" s="57" t="s">
        <v>440</v>
      </c>
      <c r="B156" s="82">
        <v>45200</v>
      </c>
      <c r="C156" s="59">
        <f t="shared" si="14"/>
        <v>2023</v>
      </c>
      <c r="D156" s="59">
        <f t="shared" si="15"/>
        <v>10</v>
      </c>
      <c r="E156" s="59">
        <f t="shared" si="16"/>
        <v>40</v>
      </c>
      <c r="F156" s="57" t="s">
        <v>54</v>
      </c>
      <c r="G156" s="57" t="s">
        <v>45</v>
      </c>
      <c r="H156" s="57" t="s">
        <v>441</v>
      </c>
      <c r="I156" s="57" t="s">
        <v>64</v>
      </c>
      <c r="J156" s="57" t="s">
        <v>131</v>
      </c>
      <c r="K156" s="57" t="s">
        <v>75</v>
      </c>
      <c r="L156" s="57" t="s">
        <v>156</v>
      </c>
      <c r="M156" s="60">
        <v>389</v>
      </c>
      <c r="N156" s="57" t="s">
        <v>114</v>
      </c>
      <c r="O156" s="61">
        <v>280.08</v>
      </c>
      <c r="P156" s="61">
        <v>108951.12</v>
      </c>
      <c r="Q156" s="61">
        <v>4606.05</v>
      </c>
      <c r="R156" s="62">
        <f t="shared" si="17"/>
        <v>4.2276297848062513E-2</v>
      </c>
      <c r="S156" s="60">
        <v>23</v>
      </c>
      <c r="T156" s="58">
        <v>45223</v>
      </c>
      <c r="U156" s="58">
        <v>45231</v>
      </c>
      <c r="V156" s="63">
        <f t="shared" si="18"/>
        <v>8</v>
      </c>
      <c r="W156" s="57" t="s">
        <v>128</v>
      </c>
      <c r="X156" s="64" t="b">
        <f t="shared" si="19"/>
        <v>0</v>
      </c>
      <c r="Y156" s="60">
        <v>449</v>
      </c>
      <c r="Z156" s="60">
        <v>238</v>
      </c>
      <c r="AA156" s="57" t="s">
        <v>116</v>
      </c>
      <c r="AB156" s="64" t="b">
        <f t="shared" si="20"/>
        <v>0</v>
      </c>
    </row>
    <row r="157" spans="1:28" ht="15" customHeight="1" x14ac:dyDescent="0.3">
      <c r="A157" s="65" t="s">
        <v>442</v>
      </c>
      <c r="B157" s="81">
        <v>45583</v>
      </c>
      <c r="C157" s="59">
        <f t="shared" si="14"/>
        <v>2024</v>
      </c>
      <c r="D157" s="59">
        <f t="shared" si="15"/>
        <v>10</v>
      </c>
      <c r="E157" s="59">
        <f t="shared" si="16"/>
        <v>42</v>
      </c>
      <c r="F157" s="65" t="s">
        <v>58</v>
      </c>
      <c r="G157" s="65" t="s">
        <v>43</v>
      </c>
      <c r="H157" s="65" t="s">
        <v>443</v>
      </c>
      <c r="I157" s="65" t="s">
        <v>67</v>
      </c>
      <c r="J157" s="65" t="s">
        <v>112</v>
      </c>
      <c r="K157" s="65" t="s">
        <v>73</v>
      </c>
      <c r="L157" s="65" t="s">
        <v>146</v>
      </c>
      <c r="M157" s="67">
        <v>752</v>
      </c>
      <c r="N157" s="65" t="s">
        <v>140</v>
      </c>
      <c r="O157" s="68">
        <v>188.39</v>
      </c>
      <c r="P157" s="68">
        <v>141669.28</v>
      </c>
      <c r="Q157" s="68">
        <v>7097.91</v>
      </c>
      <c r="R157" s="62">
        <f t="shared" si="17"/>
        <v>5.0101969883661439E-2</v>
      </c>
      <c r="S157" s="67">
        <v>24</v>
      </c>
      <c r="T157" s="66">
        <v>45607</v>
      </c>
      <c r="U157" s="66">
        <v>45606</v>
      </c>
      <c r="V157" s="63">
        <f t="shared" si="18"/>
        <v>-1</v>
      </c>
      <c r="W157" s="65" t="s">
        <v>115</v>
      </c>
      <c r="X157" s="64" t="b">
        <f t="shared" si="19"/>
        <v>1</v>
      </c>
      <c r="Y157" s="67">
        <v>357</v>
      </c>
      <c r="Z157" s="67">
        <v>103</v>
      </c>
      <c r="AA157" s="65" t="s">
        <v>116</v>
      </c>
      <c r="AB157" s="64" t="b">
        <f t="shared" si="20"/>
        <v>0</v>
      </c>
    </row>
    <row r="158" spans="1:28" ht="15" customHeight="1" x14ac:dyDescent="0.3">
      <c r="A158" s="57" t="s">
        <v>444</v>
      </c>
      <c r="B158" s="82">
        <v>45275</v>
      </c>
      <c r="C158" s="59">
        <f t="shared" si="14"/>
        <v>2023</v>
      </c>
      <c r="D158" s="59">
        <f t="shared" si="15"/>
        <v>12</v>
      </c>
      <c r="E158" s="59">
        <f t="shared" si="16"/>
        <v>50</v>
      </c>
      <c r="F158" s="57" t="s">
        <v>58</v>
      </c>
      <c r="G158" s="57" t="s">
        <v>40</v>
      </c>
      <c r="H158" s="57" t="s">
        <v>445</v>
      </c>
      <c r="I158" s="57" t="s">
        <v>67</v>
      </c>
      <c r="J158" s="57" t="s">
        <v>131</v>
      </c>
      <c r="K158" s="57" t="s">
        <v>74</v>
      </c>
      <c r="L158" s="57" t="s">
        <v>156</v>
      </c>
      <c r="M158" s="60">
        <v>318</v>
      </c>
      <c r="N158" s="57" t="s">
        <v>120</v>
      </c>
      <c r="O158" s="61">
        <v>1109.57</v>
      </c>
      <c r="P158" s="61">
        <v>352843.26</v>
      </c>
      <c r="Q158" s="61">
        <v>22415.46</v>
      </c>
      <c r="R158" s="62">
        <f t="shared" si="17"/>
        <v>6.3528094599284671E-2</v>
      </c>
      <c r="S158" s="60">
        <v>5</v>
      </c>
      <c r="T158" s="58">
        <v>45280</v>
      </c>
      <c r="U158" s="58">
        <v>45275</v>
      </c>
      <c r="V158" s="63">
        <f t="shared" si="18"/>
        <v>-5</v>
      </c>
      <c r="W158" s="57" t="s">
        <v>115</v>
      </c>
      <c r="X158" s="64" t="b">
        <f t="shared" si="19"/>
        <v>1</v>
      </c>
      <c r="Y158" s="60">
        <v>351</v>
      </c>
      <c r="Z158" s="60">
        <v>394</v>
      </c>
      <c r="AA158" s="57" t="s">
        <v>116</v>
      </c>
      <c r="AB158" s="64" t="b">
        <f t="shared" si="20"/>
        <v>0</v>
      </c>
    </row>
    <row r="159" spans="1:28" ht="15" customHeight="1" x14ac:dyDescent="0.3">
      <c r="A159" s="65" t="s">
        <v>446</v>
      </c>
      <c r="B159" s="81">
        <v>45041</v>
      </c>
      <c r="C159" s="59">
        <f t="shared" si="14"/>
        <v>2023</v>
      </c>
      <c r="D159" s="59">
        <f t="shared" si="15"/>
        <v>4</v>
      </c>
      <c r="E159" s="59">
        <f t="shared" si="16"/>
        <v>17</v>
      </c>
      <c r="F159" s="65" t="s">
        <v>58</v>
      </c>
      <c r="G159" s="65" t="s">
        <v>44</v>
      </c>
      <c r="H159" s="65" t="s">
        <v>447</v>
      </c>
      <c r="I159" s="65" t="s">
        <v>67</v>
      </c>
      <c r="J159" s="65" t="s">
        <v>151</v>
      </c>
      <c r="K159" s="65" t="s">
        <v>75</v>
      </c>
      <c r="L159" s="65" t="s">
        <v>124</v>
      </c>
      <c r="M159" s="67">
        <v>640</v>
      </c>
      <c r="N159" s="65" t="s">
        <v>120</v>
      </c>
      <c r="O159" s="68">
        <v>166.29</v>
      </c>
      <c r="P159" s="68">
        <v>106425.60000000001</v>
      </c>
      <c r="Q159" s="68">
        <v>2851.55</v>
      </c>
      <c r="R159" s="62">
        <f t="shared" si="17"/>
        <v>2.679383531781827E-2</v>
      </c>
      <c r="S159" s="67">
        <v>3</v>
      </c>
      <c r="T159" s="66">
        <v>45044</v>
      </c>
      <c r="U159" s="66">
        <v>45056</v>
      </c>
      <c r="V159" s="63">
        <f t="shared" si="18"/>
        <v>12</v>
      </c>
      <c r="W159" s="65" t="s">
        <v>128</v>
      </c>
      <c r="X159" s="64" t="b">
        <f t="shared" si="19"/>
        <v>0</v>
      </c>
      <c r="Y159" s="67">
        <v>162</v>
      </c>
      <c r="Z159" s="67">
        <v>365</v>
      </c>
      <c r="AA159" s="65" t="s">
        <v>116</v>
      </c>
      <c r="AB159" s="64" t="b">
        <f t="shared" si="20"/>
        <v>0</v>
      </c>
    </row>
    <row r="160" spans="1:28" ht="15" customHeight="1" x14ac:dyDescent="0.3">
      <c r="A160" s="57" t="s">
        <v>448</v>
      </c>
      <c r="B160" s="82">
        <v>45227</v>
      </c>
      <c r="C160" s="59">
        <f t="shared" si="14"/>
        <v>2023</v>
      </c>
      <c r="D160" s="59">
        <f t="shared" si="15"/>
        <v>10</v>
      </c>
      <c r="E160" s="59">
        <f t="shared" si="16"/>
        <v>43</v>
      </c>
      <c r="F160" s="57" t="s">
        <v>60</v>
      </c>
      <c r="G160" s="57" t="s">
        <v>43</v>
      </c>
      <c r="H160" s="57" t="s">
        <v>449</v>
      </c>
      <c r="I160" s="57" t="s">
        <v>66</v>
      </c>
      <c r="J160" s="57" t="s">
        <v>131</v>
      </c>
      <c r="K160" s="57" t="s">
        <v>72</v>
      </c>
      <c r="L160" s="57" t="s">
        <v>135</v>
      </c>
      <c r="M160" s="60">
        <v>277</v>
      </c>
      <c r="N160" s="57" t="s">
        <v>140</v>
      </c>
      <c r="O160" s="61">
        <v>262.33999999999997</v>
      </c>
      <c r="P160" s="61">
        <v>72668.179999999993</v>
      </c>
      <c r="Q160" s="61">
        <v>3225.16</v>
      </c>
      <c r="R160" s="62">
        <f t="shared" si="17"/>
        <v>4.4382011493889074E-2</v>
      </c>
      <c r="S160" s="60">
        <v>12</v>
      </c>
      <c r="T160" s="58">
        <v>45239</v>
      </c>
      <c r="U160" s="58">
        <v>45241</v>
      </c>
      <c r="V160" s="63">
        <f t="shared" si="18"/>
        <v>2</v>
      </c>
      <c r="W160" s="57" t="s">
        <v>125</v>
      </c>
      <c r="X160" s="64" t="b">
        <f t="shared" si="19"/>
        <v>0</v>
      </c>
      <c r="Y160" s="60">
        <v>306</v>
      </c>
      <c r="Z160" s="60">
        <v>28</v>
      </c>
      <c r="AA160" s="57" t="s">
        <v>84</v>
      </c>
      <c r="AB160" s="64" t="b">
        <f t="shared" si="20"/>
        <v>1</v>
      </c>
    </row>
    <row r="161" spans="1:28" ht="15" customHeight="1" x14ac:dyDescent="0.3">
      <c r="A161" s="65" t="s">
        <v>450</v>
      </c>
      <c r="B161" s="81">
        <v>45372</v>
      </c>
      <c r="C161" s="59">
        <f t="shared" si="14"/>
        <v>2024</v>
      </c>
      <c r="D161" s="59">
        <f t="shared" si="15"/>
        <v>3</v>
      </c>
      <c r="E161" s="59">
        <f t="shared" si="16"/>
        <v>12</v>
      </c>
      <c r="F161" s="65" t="s">
        <v>57</v>
      </c>
      <c r="G161" s="65" t="s">
        <v>43</v>
      </c>
      <c r="H161" s="65" t="s">
        <v>451</v>
      </c>
      <c r="I161" s="65" t="s">
        <v>66</v>
      </c>
      <c r="J161" s="65" t="s">
        <v>151</v>
      </c>
      <c r="K161" s="65" t="s">
        <v>71</v>
      </c>
      <c r="L161" s="65" t="s">
        <v>124</v>
      </c>
      <c r="M161" s="67">
        <v>954</v>
      </c>
      <c r="N161" s="65" t="s">
        <v>120</v>
      </c>
      <c r="O161" s="68">
        <v>163.47</v>
      </c>
      <c r="P161" s="68">
        <v>155950.38</v>
      </c>
      <c r="Q161" s="68">
        <v>7657.85</v>
      </c>
      <c r="R161" s="62">
        <f t="shared" si="17"/>
        <v>4.9104401028070593E-2</v>
      </c>
      <c r="S161" s="67">
        <v>8</v>
      </c>
      <c r="T161" s="66">
        <v>45380</v>
      </c>
      <c r="U161" s="66">
        <v>45392</v>
      </c>
      <c r="V161" s="63">
        <f t="shared" si="18"/>
        <v>12</v>
      </c>
      <c r="W161" s="65" t="s">
        <v>125</v>
      </c>
      <c r="X161" s="64" t="b">
        <f t="shared" si="19"/>
        <v>0</v>
      </c>
      <c r="Y161" s="67">
        <v>100</v>
      </c>
      <c r="Z161" s="67">
        <v>88</v>
      </c>
      <c r="AA161" s="65" t="s">
        <v>83</v>
      </c>
      <c r="AB161" s="64" t="b">
        <f t="shared" si="20"/>
        <v>1</v>
      </c>
    </row>
    <row r="162" spans="1:28" ht="15" customHeight="1" x14ac:dyDescent="0.3">
      <c r="A162" s="57" t="s">
        <v>452</v>
      </c>
      <c r="B162" s="82">
        <v>45088</v>
      </c>
      <c r="C162" s="59">
        <f t="shared" si="14"/>
        <v>2023</v>
      </c>
      <c r="D162" s="59">
        <f t="shared" si="15"/>
        <v>6</v>
      </c>
      <c r="E162" s="59">
        <f t="shared" si="16"/>
        <v>24</v>
      </c>
      <c r="F162" s="57" t="s">
        <v>56</v>
      </c>
      <c r="G162" s="57" t="s">
        <v>39</v>
      </c>
      <c r="H162" s="57" t="s">
        <v>453</v>
      </c>
      <c r="I162" s="57" t="s">
        <v>66</v>
      </c>
      <c r="J162" s="57" t="s">
        <v>151</v>
      </c>
      <c r="K162" s="57" t="s">
        <v>74</v>
      </c>
      <c r="L162" s="57" t="s">
        <v>124</v>
      </c>
      <c r="M162" s="60">
        <v>794</v>
      </c>
      <c r="N162" s="57" t="s">
        <v>140</v>
      </c>
      <c r="O162" s="61">
        <v>1878.39</v>
      </c>
      <c r="P162" s="61">
        <v>1491441.66</v>
      </c>
      <c r="Q162" s="61">
        <v>78225.55</v>
      </c>
      <c r="R162" s="62">
        <f t="shared" si="17"/>
        <v>5.2449621126983946E-2</v>
      </c>
      <c r="S162" s="60">
        <v>22</v>
      </c>
      <c r="T162" s="58">
        <v>45110</v>
      </c>
      <c r="U162" s="58">
        <v>45110</v>
      </c>
      <c r="V162" s="63">
        <f t="shared" si="18"/>
        <v>0</v>
      </c>
      <c r="W162" s="57" t="s">
        <v>115</v>
      </c>
      <c r="X162" s="64" t="b">
        <f t="shared" si="19"/>
        <v>1</v>
      </c>
      <c r="Y162" s="60">
        <v>326</v>
      </c>
      <c r="Z162" s="60">
        <v>374</v>
      </c>
      <c r="AA162" s="57" t="s">
        <v>116</v>
      </c>
      <c r="AB162" s="64" t="b">
        <f t="shared" si="20"/>
        <v>0</v>
      </c>
    </row>
    <row r="163" spans="1:28" ht="15" customHeight="1" x14ac:dyDescent="0.3">
      <c r="A163" s="65" t="s">
        <v>454</v>
      </c>
      <c r="B163" s="81">
        <v>45391</v>
      </c>
      <c r="C163" s="59">
        <f t="shared" si="14"/>
        <v>2024</v>
      </c>
      <c r="D163" s="59">
        <f t="shared" si="15"/>
        <v>4</v>
      </c>
      <c r="E163" s="59">
        <f t="shared" si="16"/>
        <v>15</v>
      </c>
      <c r="F163" s="65" t="s">
        <v>54</v>
      </c>
      <c r="G163" s="65" t="s">
        <v>39</v>
      </c>
      <c r="H163" s="65" t="s">
        <v>455</v>
      </c>
      <c r="I163" s="65" t="s">
        <v>65</v>
      </c>
      <c r="J163" s="65" t="s">
        <v>131</v>
      </c>
      <c r="K163" s="65" t="s">
        <v>72</v>
      </c>
      <c r="L163" s="65" t="s">
        <v>124</v>
      </c>
      <c r="M163" s="67">
        <v>73</v>
      </c>
      <c r="N163" s="65" t="s">
        <v>132</v>
      </c>
      <c r="O163" s="68">
        <v>2184.0300000000002</v>
      </c>
      <c r="P163" s="68">
        <v>159434.19</v>
      </c>
      <c r="Q163" s="68">
        <v>11017.16</v>
      </c>
      <c r="R163" s="62">
        <f t="shared" si="17"/>
        <v>6.9101614904557171E-2</v>
      </c>
      <c r="S163" s="67">
        <v>27</v>
      </c>
      <c r="T163" s="66">
        <v>45418</v>
      </c>
      <c r="U163" s="66">
        <v>45418</v>
      </c>
      <c r="V163" s="63">
        <f t="shared" si="18"/>
        <v>0</v>
      </c>
      <c r="W163" s="65" t="s">
        <v>115</v>
      </c>
      <c r="X163" s="64" t="b">
        <f t="shared" si="19"/>
        <v>1</v>
      </c>
      <c r="Y163" s="67">
        <v>326</v>
      </c>
      <c r="Z163" s="67">
        <v>396</v>
      </c>
      <c r="AA163" s="65" t="s">
        <v>83</v>
      </c>
      <c r="AB163" s="64" t="b">
        <f t="shared" si="20"/>
        <v>1</v>
      </c>
    </row>
    <row r="164" spans="1:28" ht="15" customHeight="1" x14ac:dyDescent="0.3">
      <c r="A164" s="57" t="s">
        <v>456</v>
      </c>
      <c r="B164" s="82">
        <v>44930</v>
      </c>
      <c r="C164" s="59">
        <f t="shared" si="14"/>
        <v>2023</v>
      </c>
      <c r="D164" s="59">
        <f t="shared" si="15"/>
        <v>1</v>
      </c>
      <c r="E164" s="59">
        <f t="shared" si="16"/>
        <v>1</v>
      </c>
      <c r="F164" s="57" t="s">
        <v>53</v>
      </c>
      <c r="G164" s="57" t="s">
        <v>40</v>
      </c>
      <c r="H164" s="57" t="s">
        <v>457</v>
      </c>
      <c r="I164" s="57" t="s">
        <v>66</v>
      </c>
      <c r="J164" s="57" t="s">
        <v>151</v>
      </c>
      <c r="K164" s="57" t="s">
        <v>73</v>
      </c>
      <c r="L164" s="57" t="s">
        <v>124</v>
      </c>
      <c r="M164" s="60">
        <v>819</v>
      </c>
      <c r="N164" s="57" t="s">
        <v>120</v>
      </c>
      <c r="O164" s="61">
        <v>996.83</v>
      </c>
      <c r="P164" s="61">
        <v>816403.77</v>
      </c>
      <c r="Q164" s="61">
        <v>24737.599999999999</v>
      </c>
      <c r="R164" s="62">
        <f t="shared" si="17"/>
        <v>3.0300693001454413E-2</v>
      </c>
      <c r="S164" s="60">
        <v>3</v>
      </c>
      <c r="T164" s="58">
        <v>44933</v>
      </c>
      <c r="U164" s="58">
        <v>44941</v>
      </c>
      <c r="V164" s="63">
        <f t="shared" si="18"/>
        <v>8</v>
      </c>
      <c r="W164" s="57" t="s">
        <v>128</v>
      </c>
      <c r="X164" s="64" t="b">
        <f t="shared" si="19"/>
        <v>0</v>
      </c>
      <c r="Y164" s="60">
        <v>154</v>
      </c>
      <c r="Z164" s="60">
        <v>50</v>
      </c>
      <c r="AA164" s="57" t="s">
        <v>82</v>
      </c>
      <c r="AB164" s="64" t="b">
        <f t="shared" si="20"/>
        <v>1</v>
      </c>
    </row>
    <row r="165" spans="1:28" ht="15" customHeight="1" x14ac:dyDescent="0.3">
      <c r="A165" s="65" t="s">
        <v>458</v>
      </c>
      <c r="B165" s="81">
        <v>45196</v>
      </c>
      <c r="C165" s="59">
        <f t="shared" si="14"/>
        <v>2023</v>
      </c>
      <c r="D165" s="59">
        <f t="shared" si="15"/>
        <v>9</v>
      </c>
      <c r="E165" s="59">
        <f t="shared" si="16"/>
        <v>39</v>
      </c>
      <c r="F165" s="65" t="s">
        <v>61</v>
      </c>
      <c r="G165" s="65" t="s">
        <v>44</v>
      </c>
      <c r="H165" s="65" t="s">
        <v>459</v>
      </c>
      <c r="I165" s="65" t="s">
        <v>66</v>
      </c>
      <c r="J165" s="65" t="s">
        <v>143</v>
      </c>
      <c r="K165" s="65" t="s">
        <v>75</v>
      </c>
      <c r="L165" s="65" t="s">
        <v>119</v>
      </c>
      <c r="M165" s="67">
        <v>359</v>
      </c>
      <c r="N165" s="65" t="s">
        <v>140</v>
      </c>
      <c r="O165" s="68">
        <v>115.84</v>
      </c>
      <c r="P165" s="68">
        <v>41586.559999999998</v>
      </c>
      <c r="Q165" s="68">
        <v>2847.43</v>
      </c>
      <c r="R165" s="62">
        <f t="shared" si="17"/>
        <v>6.8469957601686698E-2</v>
      </c>
      <c r="S165" s="67">
        <v>1</v>
      </c>
      <c r="T165" s="66">
        <v>45197</v>
      </c>
      <c r="U165" s="66">
        <v>45197</v>
      </c>
      <c r="V165" s="63">
        <f t="shared" si="18"/>
        <v>0</v>
      </c>
      <c r="W165" s="65" t="s">
        <v>115</v>
      </c>
      <c r="X165" s="64" t="b">
        <f t="shared" si="19"/>
        <v>1</v>
      </c>
      <c r="Y165" s="67">
        <v>9</v>
      </c>
      <c r="Z165" s="67">
        <v>363</v>
      </c>
      <c r="AA165" s="65" t="s">
        <v>83</v>
      </c>
      <c r="AB165" s="64" t="b">
        <f t="shared" si="20"/>
        <v>1</v>
      </c>
    </row>
    <row r="166" spans="1:28" ht="15" customHeight="1" x14ac:dyDescent="0.3">
      <c r="A166" s="57" t="s">
        <v>460</v>
      </c>
      <c r="B166" s="82">
        <v>45439</v>
      </c>
      <c r="C166" s="59">
        <f t="shared" si="14"/>
        <v>2024</v>
      </c>
      <c r="D166" s="59">
        <f t="shared" si="15"/>
        <v>5</v>
      </c>
      <c r="E166" s="59">
        <f t="shared" si="16"/>
        <v>22</v>
      </c>
      <c r="F166" s="57" t="s">
        <v>53</v>
      </c>
      <c r="G166" s="57" t="s">
        <v>39</v>
      </c>
      <c r="H166" s="57" t="s">
        <v>461</v>
      </c>
      <c r="I166" s="57" t="s">
        <v>66</v>
      </c>
      <c r="J166" s="57" t="s">
        <v>139</v>
      </c>
      <c r="K166" s="57" t="s">
        <v>72</v>
      </c>
      <c r="L166" s="57" t="s">
        <v>124</v>
      </c>
      <c r="M166" s="60">
        <v>934</v>
      </c>
      <c r="N166" s="57" t="s">
        <v>140</v>
      </c>
      <c r="O166" s="61">
        <v>1650.7</v>
      </c>
      <c r="P166" s="61">
        <v>1541753.8</v>
      </c>
      <c r="Q166" s="61">
        <v>94929.95</v>
      </c>
      <c r="R166" s="62">
        <f t="shared" si="17"/>
        <v>6.1572703761132289E-2</v>
      </c>
      <c r="S166" s="60">
        <v>3</v>
      </c>
      <c r="T166" s="58">
        <v>45442</v>
      </c>
      <c r="U166" s="58">
        <v>45442</v>
      </c>
      <c r="V166" s="63">
        <f t="shared" si="18"/>
        <v>0</v>
      </c>
      <c r="W166" s="57" t="s">
        <v>115</v>
      </c>
      <c r="X166" s="64" t="b">
        <f t="shared" si="19"/>
        <v>1</v>
      </c>
      <c r="Y166" s="60">
        <v>352</v>
      </c>
      <c r="Z166" s="60">
        <v>437</v>
      </c>
      <c r="AA166" s="57" t="s">
        <v>82</v>
      </c>
      <c r="AB166" s="64" t="b">
        <f t="shared" si="20"/>
        <v>1</v>
      </c>
    </row>
    <row r="167" spans="1:28" ht="15" customHeight="1" x14ac:dyDescent="0.3">
      <c r="A167" s="65" t="s">
        <v>462</v>
      </c>
      <c r="B167" s="81">
        <v>45109</v>
      </c>
      <c r="C167" s="59">
        <f t="shared" si="14"/>
        <v>2023</v>
      </c>
      <c r="D167" s="59">
        <f t="shared" si="15"/>
        <v>7</v>
      </c>
      <c r="E167" s="59">
        <f t="shared" si="16"/>
        <v>27</v>
      </c>
      <c r="F167" s="65" t="s">
        <v>60</v>
      </c>
      <c r="G167" s="65" t="s">
        <v>40</v>
      </c>
      <c r="H167" s="65" t="s">
        <v>463</v>
      </c>
      <c r="I167" s="65" t="s">
        <v>64</v>
      </c>
      <c r="J167" s="65" t="s">
        <v>131</v>
      </c>
      <c r="K167" s="65" t="s">
        <v>74</v>
      </c>
      <c r="L167" s="65" t="s">
        <v>135</v>
      </c>
      <c r="M167" s="67">
        <v>924</v>
      </c>
      <c r="N167" s="65" t="s">
        <v>120</v>
      </c>
      <c r="O167" s="68">
        <v>973.26</v>
      </c>
      <c r="P167" s="68">
        <v>899292.24</v>
      </c>
      <c r="Q167" s="68">
        <v>47979.26</v>
      </c>
      <c r="R167" s="62">
        <f t="shared" si="17"/>
        <v>5.335224509443115E-2</v>
      </c>
      <c r="S167" s="67">
        <v>5</v>
      </c>
      <c r="T167" s="66">
        <v>45114</v>
      </c>
      <c r="U167" s="66">
        <v>45113</v>
      </c>
      <c r="V167" s="63">
        <f t="shared" si="18"/>
        <v>-1</v>
      </c>
      <c r="W167" s="65" t="s">
        <v>115</v>
      </c>
      <c r="X167" s="64" t="b">
        <f t="shared" si="19"/>
        <v>1</v>
      </c>
      <c r="Y167" s="67">
        <v>426</v>
      </c>
      <c r="Z167" s="67">
        <v>146</v>
      </c>
      <c r="AA167" s="65" t="s">
        <v>83</v>
      </c>
      <c r="AB167" s="64" t="b">
        <f t="shared" si="20"/>
        <v>1</v>
      </c>
    </row>
    <row r="168" spans="1:28" ht="15" customHeight="1" x14ac:dyDescent="0.3">
      <c r="A168" s="57" t="s">
        <v>464</v>
      </c>
      <c r="B168" s="82">
        <v>45446</v>
      </c>
      <c r="C168" s="59">
        <f t="shared" si="14"/>
        <v>2024</v>
      </c>
      <c r="D168" s="59">
        <f t="shared" si="15"/>
        <v>6</v>
      </c>
      <c r="E168" s="59">
        <f t="shared" si="16"/>
        <v>23</v>
      </c>
      <c r="F168" s="57" t="s">
        <v>53</v>
      </c>
      <c r="G168" s="57" t="s">
        <v>40</v>
      </c>
      <c r="H168" s="57" t="s">
        <v>465</v>
      </c>
      <c r="I168" s="57" t="s">
        <v>66</v>
      </c>
      <c r="J168" s="57" t="s">
        <v>139</v>
      </c>
      <c r="K168" s="57" t="s">
        <v>72</v>
      </c>
      <c r="L168" s="57" t="s">
        <v>124</v>
      </c>
      <c r="M168" s="60">
        <v>503</v>
      </c>
      <c r="N168" s="57" t="s">
        <v>132</v>
      </c>
      <c r="O168" s="61">
        <v>886.77</v>
      </c>
      <c r="P168" s="61">
        <v>446045.31</v>
      </c>
      <c r="Q168" s="61">
        <v>27642.17</v>
      </c>
      <c r="R168" s="62">
        <f t="shared" si="17"/>
        <v>6.1971663820431157E-2</v>
      </c>
      <c r="S168" s="60">
        <v>15</v>
      </c>
      <c r="T168" s="58">
        <v>45461</v>
      </c>
      <c r="U168" s="58">
        <v>45464</v>
      </c>
      <c r="V168" s="63">
        <f t="shared" si="18"/>
        <v>3</v>
      </c>
      <c r="W168" s="57" t="s">
        <v>128</v>
      </c>
      <c r="X168" s="64" t="b">
        <f t="shared" si="19"/>
        <v>0</v>
      </c>
      <c r="Y168" s="60">
        <v>182</v>
      </c>
      <c r="Z168" s="60">
        <v>313</v>
      </c>
      <c r="AA168" s="57" t="s">
        <v>82</v>
      </c>
      <c r="AB168" s="64" t="b">
        <f t="shared" si="20"/>
        <v>1</v>
      </c>
    </row>
    <row r="169" spans="1:28" ht="15" customHeight="1" x14ac:dyDescent="0.3">
      <c r="A169" s="65" t="s">
        <v>466</v>
      </c>
      <c r="B169" s="81">
        <v>45035</v>
      </c>
      <c r="C169" s="59">
        <f t="shared" si="14"/>
        <v>2023</v>
      </c>
      <c r="D169" s="59">
        <f t="shared" si="15"/>
        <v>4</v>
      </c>
      <c r="E169" s="59">
        <f t="shared" si="16"/>
        <v>16</v>
      </c>
      <c r="F169" s="65" t="s">
        <v>58</v>
      </c>
      <c r="G169" s="65" t="s">
        <v>45</v>
      </c>
      <c r="H169" s="65" t="s">
        <v>467</v>
      </c>
      <c r="I169" s="65" t="s">
        <v>65</v>
      </c>
      <c r="J169" s="65" t="s">
        <v>131</v>
      </c>
      <c r="K169" s="65" t="s">
        <v>73</v>
      </c>
      <c r="L169" s="65" t="s">
        <v>156</v>
      </c>
      <c r="M169" s="67">
        <v>532</v>
      </c>
      <c r="N169" s="65" t="s">
        <v>120</v>
      </c>
      <c r="O169" s="68">
        <v>159.19</v>
      </c>
      <c r="P169" s="68">
        <v>84689.08</v>
      </c>
      <c r="Q169" s="68">
        <v>3787.39</v>
      </c>
      <c r="R169" s="62">
        <f t="shared" si="17"/>
        <v>4.4721113985415825E-2</v>
      </c>
      <c r="S169" s="67">
        <v>14</v>
      </c>
      <c r="T169" s="66">
        <v>45049</v>
      </c>
      <c r="U169" s="66">
        <v>45049</v>
      </c>
      <c r="V169" s="63">
        <f t="shared" si="18"/>
        <v>0</v>
      </c>
      <c r="W169" s="65" t="s">
        <v>115</v>
      </c>
      <c r="X169" s="64" t="b">
        <f t="shared" si="19"/>
        <v>1</v>
      </c>
      <c r="Y169" s="67">
        <v>454</v>
      </c>
      <c r="Z169" s="67">
        <v>35</v>
      </c>
      <c r="AA169" s="65" t="s">
        <v>116</v>
      </c>
      <c r="AB169" s="64" t="b">
        <f t="shared" si="20"/>
        <v>0</v>
      </c>
    </row>
    <row r="170" spans="1:28" ht="15" customHeight="1" x14ac:dyDescent="0.3">
      <c r="A170" s="57" t="s">
        <v>468</v>
      </c>
      <c r="B170" s="82">
        <v>45567</v>
      </c>
      <c r="C170" s="59">
        <f t="shared" si="14"/>
        <v>2024</v>
      </c>
      <c r="D170" s="59">
        <f t="shared" si="15"/>
        <v>10</v>
      </c>
      <c r="E170" s="59">
        <f t="shared" si="16"/>
        <v>40</v>
      </c>
      <c r="F170" s="57" t="s">
        <v>52</v>
      </c>
      <c r="G170" s="57" t="s">
        <v>42</v>
      </c>
      <c r="H170" s="57" t="s">
        <v>469</v>
      </c>
      <c r="I170" s="57" t="s">
        <v>67</v>
      </c>
      <c r="J170" s="57" t="s">
        <v>151</v>
      </c>
      <c r="K170" s="57" t="s">
        <v>71</v>
      </c>
      <c r="L170" s="57" t="s">
        <v>119</v>
      </c>
      <c r="M170" s="60">
        <v>107</v>
      </c>
      <c r="N170" s="57" t="s">
        <v>140</v>
      </c>
      <c r="O170" s="61">
        <v>75.97</v>
      </c>
      <c r="P170" s="61">
        <v>8128.79</v>
      </c>
      <c r="Q170" s="61">
        <v>230.08</v>
      </c>
      <c r="R170" s="62">
        <f t="shared" si="17"/>
        <v>2.8304335577619796E-2</v>
      </c>
      <c r="S170" s="60">
        <v>3</v>
      </c>
      <c r="T170" s="58">
        <v>45570</v>
      </c>
      <c r="U170" s="58">
        <v>45569</v>
      </c>
      <c r="V170" s="63">
        <f t="shared" si="18"/>
        <v>-1</v>
      </c>
      <c r="W170" s="57" t="s">
        <v>115</v>
      </c>
      <c r="X170" s="64" t="b">
        <f t="shared" si="19"/>
        <v>1</v>
      </c>
      <c r="Y170" s="60">
        <v>133</v>
      </c>
      <c r="Z170" s="60">
        <v>283</v>
      </c>
      <c r="AA170" s="57" t="s">
        <v>81</v>
      </c>
      <c r="AB170" s="64" t="b">
        <f t="shared" si="20"/>
        <v>1</v>
      </c>
    </row>
    <row r="171" spans="1:28" ht="15" customHeight="1" x14ac:dyDescent="0.3">
      <c r="A171" s="65" t="s">
        <v>470</v>
      </c>
      <c r="B171" s="81">
        <v>45232</v>
      </c>
      <c r="C171" s="59">
        <f t="shared" si="14"/>
        <v>2023</v>
      </c>
      <c r="D171" s="59">
        <f t="shared" si="15"/>
        <v>11</v>
      </c>
      <c r="E171" s="59">
        <f t="shared" si="16"/>
        <v>44</v>
      </c>
      <c r="F171" s="65" t="s">
        <v>54</v>
      </c>
      <c r="G171" s="65" t="s">
        <v>45</v>
      </c>
      <c r="H171" s="65" t="s">
        <v>471</v>
      </c>
      <c r="I171" s="65" t="s">
        <v>64</v>
      </c>
      <c r="J171" s="65" t="s">
        <v>151</v>
      </c>
      <c r="K171" s="65" t="s">
        <v>75</v>
      </c>
      <c r="L171" s="65" t="s">
        <v>156</v>
      </c>
      <c r="M171" s="67">
        <v>955</v>
      </c>
      <c r="N171" s="65" t="s">
        <v>132</v>
      </c>
      <c r="O171" s="68">
        <v>268.38</v>
      </c>
      <c r="P171" s="68">
        <v>256302.9</v>
      </c>
      <c r="Q171" s="68">
        <v>15364.31</v>
      </c>
      <c r="R171" s="62">
        <f t="shared" si="17"/>
        <v>5.994590775211673E-2</v>
      </c>
      <c r="S171" s="67">
        <v>1</v>
      </c>
      <c r="T171" s="66">
        <v>45233</v>
      </c>
      <c r="U171" s="66">
        <v>45241</v>
      </c>
      <c r="V171" s="63">
        <f t="shared" si="18"/>
        <v>8</v>
      </c>
      <c r="W171" s="65" t="s">
        <v>128</v>
      </c>
      <c r="X171" s="64" t="b">
        <f t="shared" si="19"/>
        <v>0</v>
      </c>
      <c r="Y171" s="67">
        <v>5</v>
      </c>
      <c r="Z171" s="67">
        <v>451</v>
      </c>
      <c r="AA171" s="65" t="s">
        <v>82</v>
      </c>
      <c r="AB171" s="64" t="b">
        <f t="shared" si="20"/>
        <v>1</v>
      </c>
    </row>
    <row r="172" spans="1:28" ht="15" customHeight="1" x14ac:dyDescent="0.3">
      <c r="A172" s="57" t="s">
        <v>472</v>
      </c>
      <c r="B172" s="82">
        <v>45581</v>
      </c>
      <c r="C172" s="59">
        <f t="shared" si="14"/>
        <v>2024</v>
      </c>
      <c r="D172" s="59">
        <f t="shared" si="15"/>
        <v>10</v>
      </c>
      <c r="E172" s="59">
        <f t="shared" si="16"/>
        <v>42</v>
      </c>
      <c r="F172" s="57" t="s">
        <v>52</v>
      </c>
      <c r="G172" s="57" t="s">
        <v>44</v>
      </c>
      <c r="H172" s="57" t="s">
        <v>473</v>
      </c>
      <c r="I172" s="57" t="s">
        <v>69</v>
      </c>
      <c r="J172" s="57" t="s">
        <v>112</v>
      </c>
      <c r="K172" s="57" t="s">
        <v>74</v>
      </c>
      <c r="L172" s="57" t="s">
        <v>119</v>
      </c>
      <c r="M172" s="60">
        <v>80</v>
      </c>
      <c r="N172" s="57" t="s">
        <v>136</v>
      </c>
      <c r="O172" s="61">
        <v>166.7</v>
      </c>
      <c r="P172" s="61">
        <v>13336</v>
      </c>
      <c r="Q172" s="61">
        <v>686.54</v>
      </c>
      <c r="R172" s="62">
        <f t="shared" si="17"/>
        <v>5.1480203959208153E-2</v>
      </c>
      <c r="S172" s="60">
        <v>5</v>
      </c>
      <c r="T172" s="58">
        <v>45586</v>
      </c>
      <c r="U172" s="58">
        <v>45581</v>
      </c>
      <c r="V172" s="63">
        <f t="shared" si="18"/>
        <v>-5</v>
      </c>
      <c r="W172" s="57" t="s">
        <v>115</v>
      </c>
      <c r="X172" s="64" t="b">
        <f t="shared" si="19"/>
        <v>1</v>
      </c>
      <c r="Y172" s="60">
        <v>332</v>
      </c>
      <c r="Z172" s="60">
        <v>386</v>
      </c>
      <c r="AA172" s="57" t="s">
        <v>81</v>
      </c>
      <c r="AB172" s="64" t="b">
        <f t="shared" si="20"/>
        <v>1</v>
      </c>
    </row>
    <row r="173" spans="1:28" ht="15" customHeight="1" x14ac:dyDescent="0.3">
      <c r="A173" s="65" t="s">
        <v>474</v>
      </c>
      <c r="B173" s="81">
        <v>45446</v>
      </c>
      <c r="C173" s="59">
        <f t="shared" si="14"/>
        <v>2024</v>
      </c>
      <c r="D173" s="59">
        <f t="shared" si="15"/>
        <v>6</v>
      </c>
      <c r="E173" s="59">
        <f t="shared" si="16"/>
        <v>23</v>
      </c>
      <c r="F173" s="65" t="s">
        <v>55</v>
      </c>
      <c r="G173" s="65" t="s">
        <v>39</v>
      </c>
      <c r="H173" s="65" t="s">
        <v>475</v>
      </c>
      <c r="I173" s="65" t="s">
        <v>66</v>
      </c>
      <c r="J173" s="65" t="s">
        <v>143</v>
      </c>
      <c r="K173" s="65" t="s">
        <v>75</v>
      </c>
      <c r="L173" s="65" t="s">
        <v>156</v>
      </c>
      <c r="M173" s="67">
        <v>373</v>
      </c>
      <c r="N173" s="65" t="s">
        <v>163</v>
      </c>
      <c r="O173" s="68">
        <v>1214.76</v>
      </c>
      <c r="P173" s="68">
        <v>453105.48</v>
      </c>
      <c r="Q173" s="68">
        <v>26444.36</v>
      </c>
      <c r="R173" s="62">
        <f t="shared" si="17"/>
        <v>5.8362481071736326E-2</v>
      </c>
      <c r="S173" s="67">
        <v>26</v>
      </c>
      <c r="T173" s="66">
        <v>45472</v>
      </c>
      <c r="U173" s="66">
        <v>45477</v>
      </c>
      <c r="V173" s="63">
        <f t="shared" si="18"/>
        <v>5</v>
      </c>
      <c r="W173" s="65" t="s">
        <v>128</v>
      </c>
      <c r="X173" s="64" t="b">
        <f t="shared" si="19"/>
        <v>0</v>
      </c>
      <c r="Y173" s="67">
        <v>431</v>
      </c>
      <c r="Z173" s="67">
        <v>485</v>
      </c>
      <c r="AA173" s="65" t="s">
        <v>81</v>
      </c>
      <c r="AB173" s="64" t="b">
        <f t="shared" si="20"/>
        <v>1</v>
      </c>
    </row>
    <row r="174" spans="1:28" ht="15" customHeight="1" x14ac:dyDescent="0.3">
      <c r="A174" s="57" t="s">
        <v>476</v>
      </c>
      <c r="B174" s="82">
        <v>45550</v>
      </c>
      <c r="C174" s="59">
        <f t="shared" si="14"/>
        <v>2024</v>
      </c>
      <c r="D174" s="59">
        <f t="shared" si="15"/>
        <v>9</v>
      </c>
      <c r="E174" s="59">
        <f t="shared" si="16"/>
        <v>38</v>
      </c>
      <c r="F174" s="57" t="s">
        <v>52</v>
      </c>
      <c r="G174" s="57" t="s">
        <v>44</v>
      </c>
      <c r="H174" s="57" t="s">
        <v>477</v>
      </c>
      <c r="I174" s="57" t="s">
        <v>67</v>
      </c>
      <c r="J174" s="57" t="s">
        <v>112</v>
      </c>
      <c r="K174" s="57" t="s">
        <v>75</v>
      </c>
      <c r="L174" s="57" t="s">
        <v>113</v>
      </c>
      <c r="M174" s="60">
        <v>579</v>
      </c>
      <c r="N174" s="57" t="s">
        <v>120</v>
      </c>
      <c r="O174" s="61">
        <v>175.43</v>
      </c>
      <c r="P174" s="61">
        <v>101573.97</v>
      </c>
      <c r="Q174" s="61">
        <v>4091.39</v>
      </c>
      <c r="R174" s="62">
        <f t="shared" si="17"/>
        <v>4.0279906357898583E-2</v>
      </c>
      <c r="S174" s="60">
        <v>23</v>
      </c>
      <c r="T174" s="58">
        <v>45573</v>
      </c>
      <c r="U174" s="58">
        <v>45585</v>
      </c>
      <c r="V174" s="63">
        <f t="shared" si="18"/>
        <v>12</v>
      </c>
      <c r="W174" s="57" t="s">
        <v>128</v>
      </c>
      <c r="X174" s="64" t="b">
        <f t="shared" si="19"/>
        <v>0</v>
      </c>
      <c r="Y174" s="60">
        <v>332</v>
      </c>
      <c r="Z174" s="60">
        <v>100</v>
      </c>
      <c r="AA174" s="57" t="s">
        <v>116</v>
      </c>
      <c r="AB174" s="64" t="b">
        <f t="shared" si="20"/>
        <v>0</v>
      </c>
    </row>
    <row r="175" spans="1:28" ht="15" customHeight="1" x14ac:dyDescent="0.3">
      <c r="A175" s="65" t="s">
        <v>478</v>
      </c>
      <c r="B175" s="81">
        <v>45130</v>
      </c>
      <c r="C175" s="59">
        <f t="shared" si="14"/>
        <v>2023</v>
      </c>
      <c r="D175" s="59">
        <f t="shared" si="15"/>
        <v>7</v>
      </c>
      <c r="E175" s="59">
        <f t="shared" si="16"/>
        <v>30</v>
      </c>
      <c r="F175" s="65" t="s">
        <v>56</v>
      </c>
      <c r="G175" s="65" t="s">
        <v>43</v>
      </c>
      <c r="H175" s="65" t="s">
        <v>479</v>
      </c>
      <c r="I175" s="65" t="s">
        <v>67</v>
      </c>
      <c r="J175" s="65" t="s">
        <v>139</v>
      </c>
      <c r="K175" s="65" t="s">
        <v>75</v>
      </c>
      <c r="L175" s="65" t="s">
        <v>146</v>
      </c>
      <c r="M175" s="67">
        <v>811</v>
      </c>
      <c r="N175" s="65" t="s">
        <v>114</v>
      </c>
      <c r="O175" s="68">
        <v>192.61</v>
      </c>
      <c r="P175" s="68">
        <v>156206.71</v>
      </c>
      <c r="Q175" s="68">
        <v>11623.65</v>
      </c>
      <c r="R175" s="62">
        <f t="shared" si="17"/>
        <v>7.4411976284501483E-2</v>
      </c>
      <c r="S175" s="67">
        <v>14</v>
      </c>
      <c r="T175" s="66">
        <v>45144</v>
      </c>
      <c r="U175" s="66">
        <v>45144</v>
      </c>
      <c r="V175" s="63">
        <f t="shared" si="18"/>
        <v>0</v>
      </c>
      <c r="W175" s="65" t="s">
        <v>115</v>
      </c>
      <c r="X175" s="64" t="b">
        <f t="shared" si="19"/>
        <v>1</v>
      </c>
      <c r="Y175" s="67">
        <v>257</v>
      </c>
      <c r="Z175" s="67">
        <v>106</v>
      </c>
      <c r="AA175" s="65" t="s">
        <v>116</v>
      </c>
      <c r="AB175" s="64" t="b">
        <f t="shared" si="20"/>
        <v>0</v>
      </c>
    </row>
    <row r="176" spans="1:28" ht="15" customHeight="1" x14ac:dyDescent="0.3">
      <c r="A176" s="57" t="s">
        <v>480</v>
      </c>
      <c r="B176" s="82">
        <v>45083</v>
      </c>
      <c r="C176" s="59">
        <f t="shared" si="14"/>
        <v>2023</v>
      </c>
      <c r="D176" s="59">
        <f t="shared" si="15"/>
        <v>6</v>
      </c>
      <c r="E176" s="59">
        <f t="shared" si="16"/>
        <v>23</v>
      </c>
      <c r="F176" s="57" t="s">
        <v>61</v>
      </c>
      <c r="G176" s="57" t="s">
        <v>43</v>
      </c>
      <c r="H176" s="57" t="s">
        <v>481</v>
      </c>
      <c r="I176" s="57" t="s">
        <v>64</v>
      </c>
      <c r="J176" s="57" t="s">
        <v>151</v>
      </c>
      <c r="K176" s="57" t="s">
        <v>72</v>
      </c>
      <c r="L176" s="57" t="s">
        <v>146</v>
      </c>
      <c r="M176" s="60">
        <v>772</v>
      </c>
      <c r="N176" s="57" t="s">
        <v>140</v>
      </c>
      <c r="O176" s="61">
        <v>245.97</v>
      </c>
      <c r="P176" s="61">
        <v>189888.84</v>
      </c>
      <c r="Q176" s="61">
        <v>10489.88</v>
      </c>
      <c r="R176" s="62">
        <f t="shared" si="17"/>
        <v>5.5242214339715802E-2</v>
      </c>
      <c r="S176" s="60">
        <v>7</v>
      </c>
      <c r="T176" s="58">
        <v>45090</v>
      </c>
      <c r="U176" s="58">
        <v>45087</v>
      </c>
      <c r="V176" s="63">
        <f t="shared" si="18"/>
        <v>-3</v>
      </c>
      <c r="W176" s="57" t="s">
        <v>115</v>
      </c>
      <c r="X176" s="64" t="b">
        <f t="shared" si="19"/>
        <v>1</v>
      </c>
      <c r="Y176" s="60">
        <v>210</v>
      </c>
      <c r="Z176" s="60">
        <v>344</v>
      </c>
      <c r="AA176" s="57" t="s">
        <v>84</v>
      </c>
      <c r="AB176" s="64" t="b">
        <f t="shared" si="20"/>
        <v>1</v>
      </c>
    </row>
    <row r="177" spans="1:28" ht="15" customHeight="1" x14ac:dyDescent="0.3">
      <c r="A177" s="65" t="s">
        <v>482</v>
      </c>
      <c r="B177" s="81">
        <v>45309</v>
      </c>
      <c r="C177" s="59">
        <f t="shared" si="14"/>
        <v>2024</v>
      </c>
      <c r="D177" s="59">
        <f t="shared" si="15"/>
        <v>1</v>
      </c>
      <c r="E177" s="59">
        <f t="shared" si="16"/>
        <v>3</v>
      </c>
      <c r="F177" s="65" t="s">
        <v>60</v>
      </c>
      <c r="G177" s="65" t="s">
        <v>44</v>
      </c>
      <c r="H177" s="65" t="s">
        <v>483</v>
      </c>
      <c r="I177" s="65" t="s">
        <v>69</v>
      </c>
      <c r="J177" s="65" t="s">
        <v>112</v>
      </c>
      <c r="K177" s="65" t="s">
        <v>72</v>
      </c>
      <c r="L177" s="65" t="s">
        <v>119</v>
      </c>
      <c r="M177" s="67">
        <v>285</v>
      </c>
      <c r="N177" s="65" t="s">
        <v>132</v>
      </c>
      <c r="O177" s="68">
        <v>156.18</v>
      </c>
      <c r="P177" s="68">
        <v>44511.3</v>
      </c>
      <c r="Q177" s="68">
        <v>1118.31</v>
      </c>
      <c r="R177" s="62">
        <f t="shared" si="17"/>
        <v>2.5124181949302757E-2</v>
      </c>
      <c r="S177" s="67">
        <v>27</v>
      </c>
      <c r="T177" s="66">
        <v>45336</v>
      </c>
      <c r="U177" s="66">
        <v>45335</v>
      </c>
      <c r="V177" s="63">
        <f t="shared" si="18"/>
        <v>-1</v>
      </c>
      <c r="W177" s="65" t="s">
        <v>115</v>
      </c>
      <c r="X177" s="64" t="b">
        <f t="shared" si="19"/>
        <v>1</v>
      </c>
      <c r="Y177" s="67">
        <v>50</v>
      </c>
      <c r="Z177" s="67">
        <v>424</v>
      </c>
      <c r="AA177" s="65" t="s">
        <v>81</v>
      </c>
      <c r="AB177" s="64" t="b">
        <f t="shared" si="20"/>
        <v>1</v>
      </c>
    </row>
    <row r="178" spans="1:28" ht="15" customHeight="1" x14ac:dyDescent="0.3">
      <c r="A178" s="57" t="s">
        <v>484</v>
      </c>
      <c r="B178" s="82">
        <v>45092</v>
      </c>
      <c r="C178" s="59">
        <f t="shared" si="14"/>
        <v>2023</v>
      </c>
      <c r="D178" s="59">
        <f t="shared" si="15"/>
        <v>6</v>
      </c>
      <c r="E178" s="59">
        <f t="shared" si="16"/>
        <v>24</v>
      </c>
      <c r="F178" s="57" t="s">
        <v>61</v>
      </c>
      <c r="G178" s="57" t="s">
        <v>42</v>
      </c>
      <c r="H178" s="57" t="s">
        <v>485</v>
      </c>
      <c r="I178" s="57" t="s">
        <v>68</v>
      </c>
      <c r="J178" s="57" t="s">
        <v>151</v>
      </c>
      <c r="K178" s="57" t="s">
        <v>71</v>
      </c>
      <c r="L178" s="57" t="s">
        <v>113</v>
      </c>
      <c r="M178" s="60">
        <v>59</v>
      </c>
      <c r="N178" s="57" t="s">
        <v>132</v>
      </c>
      <c r="O178" s="61">
        <v>107.96</v>
      </c>
      <c r="P178" s="61">
        <v>6369.64</v>
      </c>
      <c r="Q178" s="61">
        <v>299.3</v>
      </c>
      <c r="R178" s="62">
        <f t="shared" si="17"/>
        <v>4.6988526824121926E-2</v>
      </c>
      <c r="S178" s="60">
        <v>9</v>
      </c>
      <c r="T178" s="58">
        <v>45101</v>
      </c>
      <c r="U178" s="58">
        <v>45096</v>
      </c>
      <c r="V178" s="63">
        <f t="shared" si="18"/>
        <v>-5</v>
      </c>
      <c r="W178" s="57" t="s">
        <v>115</v>
      </c>
      <c r="X178" s="64" t="b">
        <f t="shared" si="19"/>
        <v>1</v>
      </c>
      <c r="Y178" s="60">
        <v>444</v>
      </c>
      <c r="Z178" s="60">
        <v>290</v>
      </c>
      <c r="AA178" s="57" t="s">
        <v>83</v>
      </c>
      <c r="AB178" s="64" t="b">
        <f t="shared" si="20"/>
        <v>1</v>
      </c>
    </row>
    <row r="179" spans="1:28" ht="15" customHeight="1" x14ac:dyDescent="0.3">
      <c r="A179" s="65" t="s">
        <v>486</v>
      </c>
      <c r="B179" s="81">
        <v>45479</v>
      </c>
      <c r="C179" s="59">
        <f t="shared" si="14"/>
        <v>2024</v>
      </c>
      <c r="D179" s="59">
        <f t="shared" si="15"/>
        <v>7</v>
      </c>
      <c r="E179" s="59">
        <f t="shared" si="16"/>
        <v>27</v>
      </c>
      <c r="F179" s="65" t="s">
        <v>56</v>
      </c>
      <c r="G179" s="65" t="s">
        <v>42</v>
      </c>
      <c r="H179" s="65" t="s">
        <v>487</v>
      </c>
      <c r="I179" s="65" t="s">
        <v>65</v>
      </c>
      <c r="J179" s="65" t="s">
        <v>131</v>
      </c>
      <c r="K179" s="65" t="s">
        <v>73</v>
      </c>
      <c r="L179" s="65" t="s">
        <v>135</v>
      </c>
      <c r="M179" s="67">
        <v>367</v>
      </c>
      <c r="N179" s="65" t="s">
        <v>136</v>
      </c>
      <c r="O179" s="68">
        <v>116.53</v>
      </c>
      <c r="P179" s="68">
        <v>42766.51</v>
      </c>
      <c r="Q179" s="68">
        <v>2796.13</v>
      </c>
      <c r="R179" s="62">
        <f t="shared" si="17"/>
        <v>6.5381299526194675E-2</v>
      </c>
      <c r="S179" s="67">
        <v>15</v>
      </c>
      <c r="T179" s="66">
        <v>45494</v>
      </c>
      <c r="U179" s="66">
        <v>45497</v>
      </c>
      <c r="V179" s="63">
        <f t="shared" si="18"/>
        <v>3</v>
      </c>
      <c r="W179" s="65" t="s">
        <v>128</v>
      </c>
      <c r="X179" s="64" t="b">
        <f t="shared" si="19"/>
        <v>0</v>
      </c>
      <c r="Y179" s="67">
        <v>146</v>
      </c>
      <c r="Z179" s="67">
        <v>348</v>
      </c>
      <c r="AA179" s="65" t="s">
        <v>116</v>
      </c>
      <c r="AB179" s="64" t="b">
        <f t="shared" si="20"/>
        <v>0</v>
      </c>
    </row>
    <row r="180" spans="1:28" ht="15" customHeight="1" x14ac:dyDescent="0.3">
      <c r="A180" s="57" t="s">
        <v>488</v>
      </c>
      <c r="B180" s="82">
        <v>45470</v>
      </c>
      <c r="C180" s="59">
        <f t="shared" si="14"/>
        <v>2024</v>
      </c>
      <c r="D180" s="59">
        <f t="shared" si="15"/>
        <v>6</v>
      </c>
      <c r="E180" s="59">
        <f t="shared" si="16"/>
        <v>26</v>
      </c>
      <c r="F180" s="57" t="s">
        <v>61</v>
      </c>
      <c r="G180" s="57" t="s">
        <v>45</v>
      </c>
      <c r="H180" s="57" t="s">
        <v>489</v>
      </c>
      <c r="I180" s="57" t="s">
        <v>68</v>
      </c>
      <c r="J180" s="57" t="s">
        <v>112</v>
      </c>
      <c r="K180" s="57" t="s">
        <v>74</v>
      </c>
      <c r="L180" s="57" t="s">
        <v>113</v>
      </c>
      <c r="M180" s="60">
        <v>737</v>
      </c>
      <c r="N180" s="57" t="s">
        <v>120</v>
      </c>
      <c r="O180" s="61">
        <v>190.07</v>
      </c>
      <c r="P180" s="61">
        <v>140081.59</v>
      </c>
      <c r="Q180" s="61">
        <v>9476.25</v>
      </c>
      <c r="R180" s="62">
        <f t="shared" si="17"/>
        <v>6.7648075667901833E-2</v>
      </c>
      <c r="S180" s="60">
        <v>15</v>
      </c>
      <c r="T180" s="58">
        <v>45485</v>
      </c>
      <c r="U180" s="58">
        <v>45487</v>
      </c>
      <c r="V180" s="63">
        <f t="shared" si="18"/>
        <v>2</v>
      </c>
      <c r="W180" s="57" t="s">
        <v>125</v>
      </c>
      <c r="X180" s="64" t="b">
        <f t="shared" si="19"/>
        <v>0</v>
      </c>
      <c r="Y180" s="60">
        <v>497</v>
      </c>
      <c r="Z180" s="60">
        <v>104</v>
      </c>
      <c r="AA180" s="57" t="s">
        <v>116</v>
      </c>
      <c r="AB180" s="64" t="b">
        <f t="shared" si="20"/>
        <v>0</v>
      </c>
    </row>
    <row r="181" spans="1:28" ht="15" customHeight="1" x14ac:dyDescent="0.3">
      <c r="A181" s="65" t="s">
        <v>490</v>
      </c>
      <c r="B181" s="81">
        <v>44927</v>
      </c>
      <c r="C181" s="59">
        <f t="shared" si="14"/>
        <v>2023</v>
      </c>
      <c r="D181" s="59">
        <f t="shared" si="15"/>
        <v>1</v>
      </c>
      <c r="E181" s="59">
        <f t="shared" si="16"/>
        <v>1</v>
      </c>
      <c r="F181" s="65" t="s">
        <v>52</v>
      </c>
      <c r="G181" s="65" t="s">
        <v>44</v>
      </c>
      <c r="H181" s="65" t="s">
        <v>491</v>
      </c>
      <c r="I181" s="65" t="s">
        <v>67</v>
      </c>
      <c r="J181" s="65" t="s">
        <v>139</v>
      </c>
      <c r="K181" s="65" t="s">
        <v>72</v>
      </c>
      <c r="L181" s="65" t="s">
        <v>119</v>
      </c>
      <c r="M181" s="67">
        <v>915</v>
      </c>
      <c r="N181" s="65" t="s">
        <v>114</v>
      </c>
      <c r="O181" s="68">
        <v>166.42</v>
      </c>
      <c r="P181" s="68">
        <v>152274.29999999999</v>
      </c>
      <c r="Q181" s="68">
        <v>7564.35</v>
      </c>
      <c r="R181" s="62">
        <f t="shared" si="17"/>
        <v>4.9675815288594341E-2</v>
      </c>
      <c r="S181" s="67">
        <v>26</v>
      </c>
      <c r="T181" s="66">
        <v>44953</v>
      </c>
      <c r="U181" s="66">
        <v>44965</v>
      </c>
      <c r="V181" s="63">
        <f t="shared" si="18"/>
        <v>12</v>
      </c>
      <c r="W181" s="65" t="s">
        <v>125</v>
      </c>
      <c r="X181" s="64" t="b">
        <f t="shared" si="19"/>
        <v>0</v>
      </c>
      <c r="Y181" s="67">
        <v>376</v>
      </c>
      <c r="Z181" s="67">
        <v>220</v>
      </c>
      <c r="AA181" s="65" t="s">
        <v>81</v>
      </c>
      <c r="AB181" s="64" t="b">
        <f t="shared" si="20"/>
        <v>1</v>
      </c>
    </row>
    <row r="182" spans="1:28" ht="15" customHeight="1" x14ac:dyDescent="0.3">
      <c r="A182" s="57" t="s">
        <v>492</v>
      </c>
      <c r="B182" s="82">
        <v>45540</v>
      </c>
      <c r="C182" s="59">
        <f t="shared" si="14"/>
        <v>2024</v>
      </c>
      <c r="D182" s="59">
        <f t="shared" si="15"/>
        <v>9</v>
      </c>
      <c r="E182" s="59">
        <f t="shared" si="16"/>
        <v>36</v>
      </c>
      <c r="F182" s="57" t="s">
        <v>57</v>
      </c>
      <c r="G182" s="57" t="s">
        <v>39</v>
      </c>
      <c r="H182" s="57" t="s">
        <v>493</v>
      </c>
      <c r="I182" s="57" t="s">
        <v>68</v>
      </c>
      <c r="J182" s="57" t="s">
        <v>112</v>
      </c>
      <c r="K182" s="57" t="s">
        <v>75</v>
      </c>
      <c r="L182" s="57" t="s">
        <v>113</v>
      </c>
      <c r="M182" s="60">
        <v>937</v>
      </c>
      <c r="N182" s="57" t="s">
        <v>132</v>
      </c>
      <c r="O182" s="61">
        <v>1208.02</v>
      </c>
      <c r="P182" s="61">
        <v>1131914.74</v>
      </c>
      <c r="Q182" s="61">
        <v>83404.97</v>
      </c>
      <c r="R182" s="62">
        <f t="shared" si="17"/>
        <v>7.3684851917380279E-2</v>
      </c>
      <c r="S182" s="60">
        <v>10</v>
      </c>
      <c r="T182" s="58">
        <v>45550</v>
      </c>
      <c r="U182" s="58">
        <v>45547</v>
      </c>
      <c r="V182" s="63">
        <f t="shared" si="18"/>
        <v>-3</v>
      </c>
      <c r="W182" s="57" t="s">
        <v>115</v>
      </c>
      <c r="X182" s="64" t="b">
        <f t="shared" si="19"/>
        <v>1</v>
      </c>
      <c r="Y182" s="60">
        <v>127</v>
      </c>
      <c r="Z182" s="60">
        <v>75</v>
      </c>
      <c r="AA182" s="57" t="s">
        <v>116</v>
      </c>
      <c r="AB182" s="64" t="b">
        <f t="shared" si="20"/>
        <v>0</v>
      </c>
    </row>
    <row r="183" spans="1:28" ht="15" customHeight="1" x14ac:dyDescent="0.3">
      <c r="A183" s="65" t="s">
        <v>494</v>
      </c>
      <c r="B183" s="81">
        <v>45258</v>
      </c>
      <c r="C183" s="59">
        <f t="shared" si="14"/>
        <v>2023</v>
      </c>
      <c r="D183" s="59">
        <f t="shared" si="15"/>
        <v>11</v>
      </c>
      <c r="E183" s="59">
        <f t="shared" si="16"/>
        <v>48</v>
      </c>
      <c r="F183" s="65" t="s">
        <v>61</v>
      </c>
      <c r="G183" s="65" t="s">
        <v>45</v>
      </c>
      <c r="H183" s="65" t="s">
        <v>495</v>
      </c>
      <c r="I183" s="65" t="s">
        <v>67</v>
      </c>
      <c r="J183" s="65" t="s">
        <v>151</v>
      </c>
      <c r="K183" s="65" t="s">
        <v>73</v>
      </c>
      <c r="L183" s="65" t="s">
        <v>135</v>
      </c>
      <c r="M183" s="67">
        <v>573</v>
      </c>
      <c r="N183" s="65" t="s">
        <v>136</v>
      </c>
      <c r="O183" s="68">
        <v>252.81</v>
      </c>
      <c r="P183" s="68">
        <v>144860.13</v>
      </c>
      <c r="Q183" s="68">
        <v>5223.67</v>
      </c>
      <c r="R183" s="62">
        <f t="shared" si="17"/>
        <v>3.6060094658205817E-2</v>
      </c>
      <c r="S183" s="67">
        <v>28</v>
      </c>
      <c r="T183" s="66">
        <v>45286</v>
      </c>
      <c r="U183" s="66">
        <v>45298</v>
      </c>
      <c r="V183" s="63">
        <f t="shared" si="18"/>
        <v>12</v>
      </c>
      <c r="W183" s="65" t="s">
        <v>128</v>
      </c>
      <c r="X183" s="64" t="b">
        <f t="shared" si="19"/>
        <v>0</v>
      </c>
      <c r="Y183" s="67">
        <v>485</v>
      </c>
      <c r="Z183" s="67">
        <v>226</v>
      </c>
      <c r="AA183" s="65" t="s">
        <v>83</v>
      </c>
      <c r="AB183" s="64" t="b">
        <f t="shared" si="20"/>
        <v>1</v>
      </c>
    </row>
    <row r="184" spans="1:28" ht="15" customHeight="1" x14ac:dyDescent="0.3">
      <c r="A184" s="57" t="s">
        <v>496</v>
      </c>
      <c r="B184" s="82">
        <v>45427</v>
      </c>
      <c r="C184" s="59">
        <f t="shared" si="14"/>
        <v>2024</v>
      </c>
      <c r="D184" s="59">
        <f t="shared" si="15"/>
        <v>5</v>
      </c>
      <c r="E184" s="59">
        <f t="shared" si="16"/>
        <v>20</v>
      </c>
      <c r="F184" s="57" t="s">
        <v>55</v>
      </c>
      <c r="G184" s="57" t="s">
        <v>46</v>
      </c>
      <c r="H184" s="57" t="s">
        <v>497</v>
      </c>
      <c r="I184" s="57" t="s">
        <v>68</v>
      </c>
      <c r="J184" s="57" t="s">
        <v>123</v>
      </c>
      <c r="K184" s="57" t="s">
        <v>74</v>
      </c>
      <c r="L184" s="57" t="s">
        <v>119</v>
      </c>
      <c r="M184" s="60">
        <v>792</v>
      </c>
      <c r="N184" s="57" t="s">
        <v>140</v>
      </c>
      <c r="O184" s="61">
        <v>77.61</v>
      </c>
      <c r="P184" s="61">
        <v>61467.12</v>
      </c>
      <c r="Q184" s="61">
        <v>2743.64</v>
      </c>
      <c r="R184" s="62">
        <f t="shared" si="17"/>
        <v>4.4635896394690358E-2</v>
      </c>
      <c r="S184" s="60">
        <v>13</v>
      </c>
      <c r="T184" s="58">
        <v>45440</v>
      </c>
      <c r="U184" s="58">
        <v>45448</v>
      </c>
      <c r="V184" s="63">
        <f t="shared" si="18"/>
        <v>8</v>
      </c>
      <c r="W184" s="57" t="s">
        <v>128</v>
      </c>
      <c r="X184" s="64" t="b">
        <f t="shared" si="19"/>
        <v>0</v>
      </c>
      <c r="Y184" s="60">
        <v>257</v>
      </c>
      <c r="Z184" s="60">
        <v>83</v>
      </c>
      <c r="AA184" s="57" t="s">
        <v>83</v>
      </c>
      <c r="AB184" s="64" t="b">
        <f t="shared" si="20"/>
        <v>1</v>
      </c>
    </row>
    <row r="185" spans="1:28" ht="15" customHeight="1" x14ac:dyDescent="0.3">
      <c r="A185" s="65" t="s">
        <v>498</v>
      </c>
      <c r="B185" s="81">
        <v>44946</v>
      </c>
      <c r="C185" s="59">
        <f t="shared" si="14"/>
        <v>2023</v>
      </c>
      <c r="D185" s="59">
        <f t="shared" si="15"/>
        <v>1</v>
      </c>
      <c r="E185" s="59">
        <f t="shared" si="16"/>
        <v>3</v>
      </c>
      <c r="F185" s="65" t="s">
        <v>54</v>
      </c>
      <c r="G185" s="65" t="s">
        <v>42</v>
      </c>
      <c r="H185" s="65" t="s">
        <v>499</v>
      </c>
      <c r="I185" s="65" t="s">
        <v>67</v>
      </c>
      <c r="J185" s="65" t="s">
        <v>123</v>
      </c>
      <c r="K185" s="65" t="s">
        <v>74</v>
      </c>
      <c r="L185" s="65" t="s">
        <v>146</v>
      </c>
      <c r="M185" s="67">
        <v>494</v>
      </c>
      <c r="N185" s="65" t="s">
        <v>136</v>
      </c>
      <c r="O185" s="68">
        <v>99.37</v>
      </c>
      <c r="P185" s="68">
        <v>49088.78</v>
      </c>
      <c r="Q185" s="68">
        <v>3628.44</v>
      </c>
      <c r="R185" s="62">
        <f t="shared" si="17"/>
        <v>7.3915872425430004E-2</v>
      </c>
      <c r="S185" s="67">
        <v>19</v>
      </c>
      <c r="T185" s="66">
        <v>44965</v>
      </c>
      <c r="U185" s="66">
        <v>44967</v>
      </c>
      <c r="V185" s="63">
        <f t="shared" si="18"/>
        <v>2</v>
      </c>
      <c r="W185" s="65" t="s">
        <v>125</v>
      </c>
      <c r="X185" s="64" t="b">
        <f t="shared" si="19"/>
        <v>0</v>
      </c>
      <c r="Y185" s="67">
        <v>50</v>
      </c>
      <c r="Z185" s="67">
        <v>464</v>
      </c>
      <c r="AA185" s="65" t="s">
        <v>116</v>
      </c>
      <c r="AB185" s="64" t="b">
        <f t="shared" si="20"/>
        <v>0</v>
      </c>
    </row>
    <row r="186" spans="1:28" ht="15" customHeight="1" x14ac:dyDescent="0.3">
      <c r="A186" s="57" t="s">
        <v>500</v>
      </c>
      <c r="B186" s="82">
        <v>45041</v>
      </c>
      <c r="C186" s="59">
        <f t="shared" si="14"/>
        <v>2023</v>
      </c>
      <c r="D186" s="59">
        <f t="shared" si="15"/>
        <v>4</v>
      </c>
      <c r="E186" s="59">
        <f t="shared" si="16"/>
        <v>17</v>
      </c>
      <c r="F186" s="57" t="s">
        <v>54</v>
      </c>
      <c r="G186" s="57" t="s">
        <v>41</v>
      </c>
      <c r="H186" s="57" t="s">
        <v>501</v>
      </c>
      <c r="I186" s="57" t="s">
        <v>67</v>
      </c>
      <c r="J186" s="57" t="s">
        <v>143</v>
      </c>
      <c r="K186" s="57" t="s">
        <v>74</v>
      </c>
      <c r="L186" s="57" t="s">
        <v>124</v>
      </c>
      <c r="M186" s="60">
        <v>93</v>
      </c>
      <c r="N186" s="57" t="s">
        <v>120</v>
      </c>
      <c r="O186" s="61">
        <v>450.93</v>
      </c>
      <c r="P186" s="61">
        <v>41936.49</v>
      </c>
      <c r="Q186" s="61">
        <v>3093.88</v>
      </c>
      <c r="R186" s="62">
        <f t="shared" si="17"/>
        <v>7.3775368420199217E-2</v>
      </c>
      <c r="S186" s="60">
        <v>7</v>
      </c>
      <c r="T186" s="58">
        <v>45048</v>
      </c>
      <c r="U186" s="58">
        <v>45060</v>
      </c>
      <c r="V186" s="63">
        <f t="shared" si="18"/>
        <v>12</v>
      </c>
      <c r="W186" s="57" t="s">
        <v>128</v>
      </c>
      <c r="X186" s="64" t="b">
        <f t="shared" si="19"/>
        <v>0</v>
      </c>
      <c r="Y186" s="60">
        <v>153</v>
      </c>
      <c r="Z186" s="60">
        <v>75</v>
      </c>
      <c r="AA186" s="57" t="s">
        <v>116</v>
      </c>
      <c r="AB186" s="64" t="b">
        <f t="shared" si="20"/>
        <v>0</v>
      </c>
    </row>
    <row r="187" spans="1:28" ht="15" customHeight="1" x14ac:dyDescent="0.3">
      <c r="A187" s="65" t="s">
        <v>502</v>
      </c>
      <c r="B187" s="81">
        <v>45298</v>
      </c>
      <c r="C187" s="59">
        <f t="shared" si="14"/>
        <v>2024</v>
      </c>
      <c r="D187" s="59">
        <f t="shared" si="15"/>
        <v>1</v>
      </c>
      <c r="E187" s="59">
        <f t="shared" si="16"/>
        <v>2</v>
      </c>
      <c r="F187" s="65" t="s">
        <v>53</v>
      </c>
      <c r="G187" s="65" t="s">
        <v>45</v>
      </c>
      <c r="H187" s="65" t="s">
        <v>503</v>
      </c>
      <c r="I187" s="65" t="s">
        <v>64</v>
      </c>
      <c r="J187" s="65" t="s">
        <v>151</v>
      </c>
      <c r="K187" s="65" t="s">
        <v>74</v>
      </c>
      <c r="L187" s="65" t="s">
        <v>113</v>
      </c>
      <c r="M187" s="67">
        <v>908</v>
      </c>
      <c r="N187" s="65" t="s">
        <v>136</v>
      </c>
      <c r="O187" s="68">
        <v>279.69</v>
      </c>
      <c r="P187" s="68">
        <v>253958.52</v>
      </c>
      <c r="Q187" s="68">
        <v>15527.73</v>
      </c>
      <c r="R187" s="62">
        <f t="shared" si="17"/>
        <v>6.1142780324912903E-2</v>
      </c>
      <c r="S187" s="67">
        <v>17</v>
      </c>
      <c r="T187" s="66">
        <v>45315</v>
      </c>
      <c r="U187" s="66">
        <v>45318</v>
      </c>
      <c r="V187" s="63">
        <f t="shared" si="18"/>
        <v>3</v>
      </c>
      <c r="W187" s="65" t="s">
        <v>125</v>
      </c>
      <c r="X187" s="64" t="b">
        <f t="shared" si="19"/>
        <v>0</v>
      </c>
      <c r="Y187" s="67">
        <v>69</v>
      </c>
      <c r="Z187" s="67">
        <v>248</v>
      </c>
      <c r="AA187" s="65" t="s">
        <v>116</v>
      </c>
      <c r="AB187" s="64" t="b">
        <f t="shared" si="20"/>
        <v>0</v>
      </c>
    </row>
    <row r="188" spans="1:28" ht="15" customHeight="1" x14ac:dyDescent="0.3">
      <c r="A188" s="57" t="s">
        <v>504</v>
      </c>
      <c r="B188" s="82">
        <v>45241</v>
      </c>
      <c r="C188" s="59">
        <f t="shared" si="14"/>
        <v>2023</v>
      </c>
      <c r="D188" s="59">
        <f t="shared" si="15"/>
        <v>11</v>
      </c>
      <c r="E188" s="59">
        <f t="shared" si="16"/>
        <v>45</v>
      </c>
      <c r="F188" s="57" t="s">
        <v>59</v>
      </c>
      <c r="G188" s="57" t="s">
        <v>43</v>
      </c>
      <c r="H188" s="57" t="s">
        <v>505</v>
      </c>
      <c r="I188" s="57" t="s">
        <v>69</v>
      </c>
      <c r="J188" s="57" t="s">
        <v>131</v>
      </c>
      <c r="K188" s="57" t="s">
        <v>71</v>
      </c>
      <c r="L188" s="57" t="s">
        <v>146</v>
      </c>
      <c r="M188" s="60">
        <v>814</v>
      </c>
      <c r="N188" s="57" t="s">
        <v>132</v>
      </c>
      <c r="O188" s="61">
        <v>167.02</v>
      </c>
      <c r="P188" s="61">
        <v>135954.28</v>
      </c>
      <c r="Q188" s="61">
        <v>9726.01</v>
      </c>
      <c r="R188" s="62">
        <f t="shared" si="17"/>
        <v>7.1538829082835792E-2</v>
      </c>
      <c r="S188" s="60">
        <v>20</v>
      </c>
      <c r="T188" s="58">
        <v>45261</v>
      </c>
      <c r="U188" s="58">
        <v>45256</v>
      </c>
      <c r="V188" s="63">
        <f t="shared" si="18"/>
        <v>-5</v>
      </c>
      <c r="W188" s="57" t="s">
        <v>115</v>
      </c>
      <c r="X188" s="64" t="b">
        <f t="shared" si="19"/>
        <v>1</v>
      </c>
      <c r="Y188" s="60">
        <v>275</v>
      </c>
      <c r="Z188" s="60">
        <v>254</v>
      </c>
      <c r="AA188" s="57" t="s">
        <v>82</v>
      </c>
      <c r="AB188" s="64" t="b">
        <f t="shared" si="20"/>
        <v>1</v>
      </c>
    </row>
    <row r="189" spans="1:28" ht="15" customHeight="1" x14ac:dyDescent="0.3">
      <c r="A189" s="65" t="s">
        <v>506</v>
      </c>
      <c r="B189" s="81">
        <v>45172</v>
      </c>
      <c r="C189" s="59">
        <f t="shared" si="14"/>
        <v>2023</v>
      </c>
      <c r="D189" s="59">
        <f t="shared" si="15"/>
        <v>9</v>
      </c>
      <c r="E189" s="59">
        <f t="shared" si="16"/>
        <v>36</v>
      </c>
      <c r="F189" s="65" t="s">
        <v>52</v>
      </c>
      <c r="G189" s="65" t="s">
        <v>45</v>
      </c>
      <c r="H189" s="65" t="s">
        <v>507</v>
      </c>
      <c r="I189" s="65" t="s">
        <v>67</v>
      </c>
      <c r="J189" s="65" t="s">
        <v>112</v>
      </c>
      <c r="K189" s="65" t="s">
        <v>74</v>
      </c>
      <c r="L189" s="65" t="s">
        <v>146</v>
      </c>
      <c r="M189" s="67">
        <v>647</v>
      </c>
      <c r="N189" s="65" t="s">
        <v>132</v>
      </c>
      <c r="O189" s="68">
        <v>148.58000000000001</v>
      </c>
      <c r="P189" s="68">
        <v>96131.26</v>
      </c>
      <c r="Q189" s="68">
        <v>2434.66</v>
      </c>
      <c r="R189" s="62">
        <f t="shared" si="17"/>
        <v>2.5326413073125224E-2</v>
      </c>
      <c r="S189" s="67">
        <v>29</v>
      </c>
      <c r="T189" s="66">
        <v>45201</v>
      </c>
      <c r="U189" s="66">
        <v>45201</v>
      </c>
      <c r="V189" s="63">
        <f t="shared" si="18"/>
        <v>0</v>
      </c>
      <c r="W189" s="65" t="s">
        <v>115</v>
      </c>
      <c r="X189" s="64" t="b">
        <f t="shared" si="19"/>
        <v>1</v>
      </c>
      <c r="Y189" s="67">
        <v>278</v>
      </c>
      <c r="Z189" s="67">
        <v>49</v>
      </c>
      <c r="AA189" s="65" t="s">
        <v>82</v>
      </c>
      <c r="AB189" s="64" t="b">
        <f t="shared" si="20"/>
        <v>1</v>
      </c>
    </row>
    <row r="190" spans="1:28" ht="15" customHeight="1" x14ac:dyDescent="0.3">
      <c r="A190" s="57" t="s">
        <v>508</v>
      </c>
      <c r="B190" s="82">
        <v>44986</v>
      </c>
      <c r="C190" s="59">
        <f t="shared" si="14"/>
        <v>2023</v>
      </c>
      <c r="D190" s="59">
        <f t="shared" si="15"/>
        <v>3</v>
      </c>
      <c r="E190" s="59">
        <f t="shared" si="16"/>
        <v>9</v>
      </c>
      <c r="F190" s="57" t="s">
        <v>58</v>
      </c>
      <c r="G190" s="57" t="s">
        <v>44</v>
      </c>
      <c r="H190" s="57" t="s">
        <v>509</v>
      </c>
      <c r="I190" s="57" t="s">
        <v>65</v>
      </c>
      <c r="J190" s="57" t="s">
        <v>123</v>
      </c>
      <c r="K190" s="57" t="s">
        <v>73</v>
      </c>
      <c r="L190" s="57" t="s">
        <v>156</v>
      </c>
      <c r="M190" s="60">
        <v>817</v>
      </c>
      <c r="N190" s="57" t="s">
        <v>163</v>
      </c>
      <c r="O190" s="61">
        <v>152.88</v>
      </c>
      <c r="P190" s="61">
        <v>124902.96</v>
      </c>
      <c r="Q190" s="61">
        <v>8980.49</v>
      </c>
      <c r="R190" s="62">
        <f t="shared" si="17"/>
        <v>7.1899737203986194E-2</v>
      </c>
      <c r="S190" s="60">
        <v>4</v>
      </c>
      <c r="T190" s="58">
        <v>44990</v>
      </c>
      <c r="U190" s="58">
        <v>44992</v>
      </c>
      <c r="V190" s="63">
        <f t="shared" si="18"/>
        <v>2</v>
      </c>
      <c r="W190" s="57" t="s">
        <v>128</v>
      </c>
      <c r="X190" s="64" t="b">
        <f t="shared" si="19"/>
        <v>0</v>
      </c>
      <c r="Y190" s="60">
        <v>309</v>
      </c>
      <c r="Z190" s="60">
        <v>355</v>
      </c>
      <c r="AA190" s="57" t="s">
        <v>82</v>
      </c>
      <c r="AB190" s="64" t="b">
        <f t="shared" si="20"/>
        <v>1</v>
      </c>
    </row>
    <row r="191" spans="1:28" ht="15" customHeight="1" x14ac:dyDescent="0.3">
      <c r="A191" s="65" t="s">
        <v>510</v>
      </c>
      <c r="B191" s="81">
        <v>45173</v>
      </c>
      <c r="C191" s="59">
        <f t="shared" si="14"/>
        <v>2023</v>
      </c>
      <c r="D191" s="59">
        <f t="shared" si="15"/>
        <v>9</v>
      </c>
      <c r="E191" s="59">
        <f t="shared" si="16"/>
        <v>36</v>
      </c>
      <c r="F191" s="65" t="s">
        <v>56</v>
      </c>
      <c r="G191" s="65" t="s">
        <v>41</v>
      </c>
      <c r="H191" s="65" t="s">
        <v>511</v>
      </c>
      <c r="I191" s="65" t="s">
        <v>65</v>
      </c>
      <c r="J191" s="65" t="s">
        <v>131</v>
      </c>
      <c r="K191" s="65" t="s">
        <v>72</v>
      </c>
      <c r="L191" s="65" t="s">
        <v>135</v>
      </c>
      <c r="M191" s="67">
        <v>593</v>
      </c>
      <c r="N191" s="65" t="s">
        <v>136</v>
      </c>
      <c r="O191" s="68">
        <v>540.19000000000005</v>
      </c>
      <c r="P191" s="68">
        <v>320332.67</v>
      </c>
      <c r="Q191" s="68">
        <v>12568.96</v>
      </c>
      <c r="R191" s="62">
        <f t="shared" si="17"/>
        <v>3.9237209242504047E-2</v>
      </c>
      <c r="S191" s="67">
        <v>5</v>
      </c>
      <c r="T191" s="66">
        <v>45178</v>
      </c>
      <c r="U191" s="66">
        <v>45186</v>
      </c>
      <c r="V191" s="63">
        <f t="shared" si="18"/>
        <v>8</v>
      </c>
      <c r="W191" s="65" t="s">
        <v>125</v>
      </c>
      <c r="X191" s="64" t="b">
        <f t="shared" si="19"/>
        <v>0</v>
      </c>
      <c r="Y191" s="67">
        <v>398</v>
      </c>
      <c r="Z191" s="67">
        <v>457</v>
      </c>
      <c r="AA191" s="65" t="s">
        <v>116</v>
      </c>
      <c r="AB191" s="64" t="b">
        <f t="shared" si="20"/>
        <v>0</v>
      </c>
    </row>
    <row r="192" spans="1:28" ht="15" customHeight="1" x14ac:dyDescent="0.3">
      <c r="A192" s="57" t="s">
        <v>512</v>
      </c>
      <c r="B192" s="82">
        <v>45507</v>
      </c>
      <c r="C192" s="59">
        <f t="shared" si="14"/>
        <v>2024</v>
      </c>
      <c r="D192" s="59">
        <f t="shared" si="15"/>
        <v>8</v>
      </c>
      <c r="E192" s="59">
        <f t="shared" si="16"/>
        <v>31</v>
      </c>
      <c r="F192" s="57" t="s">
        <v>60</v>
      </c>
      <c r="G192" s="57" t="s">
        <v>44</v>
      </c>
      <c r="H192" s="57" t="s">
        <v>513</v>
      </c>
      <c r="I192" s="57" t="s">
        <v>66</v>
      </c>
      <c r="J192" s="57" t="s">
        <v>151</v>
      </c>
      <c r="K192" s="57" t="s">
        <v>73</v>
      </c>
      <c r="L192" s="57" t="s">
        <v>124</v>
      </c>
      <c r="M192" s="60">
        <v>305</v>
      </c>
      <c r="N192" s="57" t="s">
        <v>140</v>
      </c>
      <c r="O192" s="61">
        <v>165.51</v>
      </c>
      <c r="P192" s="61">
        <v>50480.55</v>
      </c>
      <c r="Q192" s="61">
        <v>1549.75</v>
      </c>
      <c r="R192" s="62">
        <f t="shared" si="17"/>
        <v>3.0699942849275609E-2</v>
      </c>
      <c r="S192" s="60">
        <v>23</v>
      </c>
      <c r="T192" s="58">
        <v>45530</v>
      </c>
      <c r="U192" s="58">
        <v>45527</v>
      </c>
      <c r="V192" s="63">
        <f t="shared" si="18"/>
        <v>-3</v>
      </c>
      <c r="W192" s="57" t="s">
        <v>115</v>
      </c>
      <c r="X192" s="64" t="b">
        <f t="shared" si="19"/>
        <v>1</v>
      </c>
      <c r="Y192" s="60">
        <v>133</v>
      </c>
      <c r="Z192" s="60">
        <v>209</v>
      </c>
      <c r="AA192" s="57" t="s">
        <v>82</v>
      </c>
      <c r="AB192" s="64" t="b">
        <f t="shared" si="20"/>
        <v>1</v>
      </c>
    </row>
    <row r="193" spans="1:28" ht="15" customHeight="1" x14ac:dyDescent="0.3">
      <c r="A193" s="65" t="s">
        <v>514</v>
      </c>
      <c r="B193" s="81">
        <v>45007</v>
      </c>
      <c r="C193" s="59">
        <f t="shared" si="14"/>
        <v>2023</v>
      </c>
      <c r="D193" s="59">
        <f t="shared" si="15"/>
        <v>3</v>
      </c>
      <c r="E193" s="59">
        <f t="shared" si="16"/>
        <v>12</v>
      </c>
      <c r="F193" s="65" t="s">
        <v>52</v>
      </c>
      <c r="G193" s="65" t="s">
        <v>40</v>
      </c>
      <c r="H193" s="65" t="s">
        <v>515</v>
      </c>
      <c r="I193" s="65" t="s">
        <v>67</v>
      </c>
      <c r="J193" s="65" t="s">
        <v>131</v>
      </c>
      <c r="K193" s="65" t="s">
        <v>75</v>
      </c>
      <c r="L193" s="65" t="s">
        <v>113</v>
      </c>
      <c r="M193" s="67">
        <v>245</v>
      </c>
      <c r="N193" s="65" t="s">
        <v>114</v>
      </c>
      <c r="O193" s="68">
        <v>805.37</v>
      </c>
      <c r="P193" s="68">
        <v>197315.65</v>
      </c>
      <c r="Q193" s="68">
        <v>6780.2</v>
      </c>
      <c r="R193" s="62">
        <f t="shared" si="17"/>
        <v>3.4362200869520486E-2</v>
      </c>
      <c r="S193" s="67">
        <v>7</v>
      </c>
      <c r="T193" s="66">
        <v>45014</v>
      </c>
      <c r="U193" s="66">
        <v>45014</v>
      </c>
      <c r="V193" s="63">
        <f t="shared" si="18"/>
        <v>0</v>
      </c>
      <c r="W193" s="65" t="s">
        <v>115</v>
      </c>
      <c r="X193" s="64" t="b">
        <f t="shared" si="19"/>
        <v>1</v>
      </c>
      <c r="Y193" s="67">
        <v>219</v>
      </c>
      <c r="Z193" s="67">
        <v>157</v>
      </c>
      <c r="AA193" s="65" t="s">
        <v>81</v>
      </c>
      <c r="AB193" s="64" t="b">
        <f t="shared" si="20"/>
        <v>1</v>
      </c>
    </row>
    <row r="194" spans="1:28" ht="15" customHeight="1" x14ac:dyDescent="0.3">
      <c r="A194" s="57" t="s">
        <v>516</v>
      </c>
      <c r="B194" s="82">
        <v>45014</v>
      </c>
      <c r="C194" s="59">
        <f t="shared" ref="C194:C257" si="21">YEAR(B194)</f>
        <v>2023</v>
      </c>
      <c r="D194" s="59">
        <f t="shared" ref="D194:D257" si="22">MONTH(B194)</f>
        <v>3</v>
      </c>
      <c r="E194" s="59">
        <f t="shared" ref="E194:E257" si="23">WEEKNUM(B194,1)</f>
        <v>13</v>
      </c>
      <c r="F194" s="57" t="s">
        <v>54</v>
      </c>
      <c r="G194" s="57" t="s">
        <v>43</v>
      </c>
      <c r="H194" s="57" t="s">
        <v>517</v>
      </c>
      <c r="I194" s="57" t="s">
        <v>67</v>
      </c>
      <c r="J194" s="57" t="s">
        <v>151</v>
      </c>
      <c r="K194" s="57" t="s">
        <v>71</v>
      </c>
      <c r="L194" s="57" t="s">
        <v>146</v>
      </c>
      <c r="M194" s="60">
        <v>65</v>
      </c>
      <c r="N194" s="57" t="s">
        <v>114</v>
      </c>
      <c r="O194" s="61">
        <v>166.92</v>
      </c>
      <c r="P194" s="61">
        <v>10849.8</v>
      </c>
      <c r="Q194" s="61">
        <v>489.09</v>
      </c>
      <c r="R194" s="62">
        <f t="shared" ref="R194:R257" si="24">Q194/P194</f>
        <v>4.5078250290327936E-2</v>
      </c>
      <c r="S194" s="60">
        <v>13</v>
      </c>
      <c r="T194" s="58">
        <v>45027</v>
      </c>
      <c r="U194" s="58">
        <v>45028</v>
      </c>
      <c r="V194" s="63">
        <f t="shared" ref="V194:V257" si="25">U194-T194</f>
        <v>1</v>
      </c>
      <c r="W194" s="57" t="s">
        <v>128</v>
      </c>
      <c r="X194" s="64" t="b">
        <f t="shared" ref="X194:X257" si="26">IF(W194="Entregado", TRUE(), FALSE())</f>
        <v>0</v>
      </c>
      <c r="Y194" s="60">
        <v>162</v>
      </c>
      <c r="Z194" s="60">
        <v>327</v>
      </c>
      <c r="AA194" s="57" t="s">
        <v>83</v>
      </c>
      <c r="AB194" s="64" t="b">
        <f t="shared" ref="AB194:AB257" si="27">IF(AA194="Ninguna",FALSE(),TRUE())</f>
        <v>1</v>
      </c>
    </row>
    <row r="195" spans="1:28" ht="15" customHeight="1" x14ac:dyDescent="0.3">
      <c r="A195" s="65" t="s">
        <v>518</v>
      </c>
      <c r="B195" s="81">
        <v>45424</v>
      </c>
      <c r="C195" s="59">
        <f t="shared" si="21"/>
        <v>2024</v>
      </c>
      <c r="D195" s="59">
        <f t="shared" si="22"/>
        <v>5</v>
      </c>
      <c r="E195" s="59">
        <f t="shared" si="23"/>
        <v>20</v>
      </c>
      <c r="F195" s="65" t="s">
        <v>53</v>
      </c>
      <c r="G195" s="65" t="s">
        <v>43</v>
      </c>
      <c r="H195" s="65" t="s">
        <v>519</v>
      </c>
      <c r="I195" s="65" t="s">
        <v>67</v>
      </c>
      <c r="J195" s="65" t="s">
        <v>143</v>
      </c>
      <c r="K195" s="65" t="s">
        <v>71</v>
      </c>
      <c r="L195" s="65" t="s">
        <v>146</v>
      </c>
      <c r="M195" s="67">
        <v>928</v>
      </c>
      <c r="N195" s="65" t="s">
        <v>120</v>
      </c>
      <c r="O195" s="68">
        <v>273.83</v>
      </c>
      <c r="P195" s="68">
        <v>254114.24</v>
      </c>
      <c r="Q195" s="68">
        <v>8912.17</v>
      </c>
      <c r="R195" s="62">
        <f t="shared" si="24"/>
        <v>3.5071509569869048E-2</v>
      </c>
      <c r="S195" s="67">
        <v>15</v>
      </c>
      <c r="T195" s="66">
        <v>45439</v>
      </c>
      <c r="U195" s="66">
        <v>45438</v>
      </c>
      <c r="V195" s="63">
        <f t="shared" si="25"/>
        <v>-1</v>
      </c>
      <c r="W195" s="65" t="s">
        <v>115</v>
      </c>
      <c r="X195" s="64" t="b">
        <f t="shared" si="26"/>
        <v>1</v>
      </c>
      <c r="Y195" s="67">
        <v>458</v>
      </c>
      <c r="Z195" s="67">
        <v>232</v>
      </c>
      <c r="AA195" s="65" t="s">
        <v>84</v>
      </c>
      <c r="AB195" s="64" t="b">
        <f t="shared" si="27"/>
        <v>1</v>
      </c>
    </row>
    <row r="196" spans="1:28" ht="15" customHeight="1" x14ac:dyDescent="0.3">
      <c r="A196" s="57" t="s">
        <v>520</v>
      </c>
      <c r="B196" s="82">
        <v>44997</v>
      </c>
      <c r="C196" s="59">
        <f t="shared" si="21"/>
        <v>2023</v>
      </c>
      <c r="D196" s="59">
        <f t="shared" si="22"/>
        <v>3</v>
      </c>
      <c r="E196" s="59">
        <f t="shared" si="23"/>
        <v>11</v>
      </c>
      <c r="F196" s="57" t="s">
        <v>61</v>
      </c>
      <c r="G196" s="57" t="s">
        <v>42</v>
      </c>
      <c r="H196" s="57" t="s">
        <v>521</v>
      </c>
      <c r="I196" s="57" t="s">
        <v>68</v>
      </c>
      <c r="J196" s="57" t="s">
        <v>112</v>
      </c>
      <c r="K196" s="57" t="s">
        <v>75</v>
      </c>
      <c r="L196" s="57" t="s">
        <v>135</v>
      </c>
      <c r="M196" s="60">
        <v>369</v>
      </c>
      <c r="N196" s="57" t="s">
        <v>163</v>
      </c>
      <c r="O196" s="61">
        <v>91.13</v>
      </c>
      <c r="P196" s="61">
        <v>33626.97</v>
      </c>
      <c r="Q196" s="61">
        <v>1319.32</v>
      </c>
      <c r="R196" s="62">
        <f t="shared" si="24"/>
        <v>3.9233983912317999E-2</v>
      </c>
      <c r="S196" s="60">
        <v>11</v>
      </c>
      <c r="T196" s="58">
        <v>45008</v>
      </c>
      <c r="U196" s="58">
        <v>45020</v>
      </c>
      <c r="V196" s="63">
        <f t="shared" si="25"/>
        <v>12</v>
      </c>
      <c r="W196" s="57" t="s">
        <v>128</v>
      </c>
      <c r="X196" s="64" t="b">
        <f t="shared" si="26"/>
        <v>0</v>
      </c>
      <c r="Y196" s="60">
        <v>135</v>
      </c>
      <c r="Z196" s="60">
        <v>370</v>
      </c>
      <c r="AA196" s="57" t="s">
        <v>116</v>
      </c>
      <c r="AB196" s="64" t="b">
        <f t="shared" si="27"/>
        <v>0</v>
      </c>
    </row>
    <row r="197" spans="1:28" ht="15" customHeight="1" x14ac:dyDescent="0.3">
      <c r="A197" s="65" t="s">
        <v>522</v>
      </c>
      <c r="B197" s="81">
        <v>45472</v>
      </c>
      <c r="C197" s="59">
        <f t="shared" si="21"/>
        <v>2024</v>
      </c>
      <c r="D197" s="59">
        <f t="shared" si="22"/>
        <v>6</v>
      </c>
      <c r="E197" s="59">
        <f t="shared" si="23"/>
        <v>26</v>
      </c>
      <c r="F197" s="65" t="s">
        <v>58</v>
      </c>
      <c r="G197" s="65" t="s">
        <v>45</v>
      </c>
      <c r="H197" s="65" t="s">
        <v>523</v>
      </c>
      <c r="I197" s="65" t="s">
        <v>67</v>
      </c>
      <c r="J197" s="65" t="s">
        <v>131</v>
      </c>
      <c r="K197" s="65" t="s">
        <v>73</v>
      </c>
      <c r="L197" s="65" t="s">
        <v>124</v>
      </c>
      <c r="M197" s="67">
        <v>916</v>
      </c>
      <c r="N197" s="65" t="s">
        <v>136</v>
      </c>
      <c r="O197" s="68">
        <v>170.27</v>
      </c>
      <c r="P197" s="68">
        <v>155967.32</v>
      </c>
      <c r="Q197" s="68">
        <v>4382.4799999999996</v>
      </c>
      <c r="R197" s="62">
        <f t="shared" si="24"/>
        <v>2.8098706831661911E-2</v>
      </c>
      <c r="S197" s="67">
        <v>29</v>
      </c>
      <c r="T197" s="66">
        <v>45501</v>
      </c>
      <c r="U197" s="66">
        <v>45501</v>
      </c>
      <c r="V197" s="63">
        <f t="shared" si="25"/>
        <v>0</v>
      </c>
      <c r="W197" s="65" t="s">
        <v>115</v>
      </c>
      <c r="X197" s="64" t="b">
        <f t="shared" si="26"/>
        <v>1</v>
      </c>
      <c r="Y197" s="67">
        <v>56</v>
      </c>
      <c r="Z197" s="67">
        <v>76</v>
      </c>
      <c r="AA197" s="65" t="s">
        <v>82</v>
      </c>
      <c r="AB197" s="64" t="b">
        <f t="shared" si="27"/>
        <v>1</v>
      </c>
    </row>
    <row r="198" spans="1:28" ht="15" customHeight="1" x14ac:dyDescent="0.3">
      <c r="A198" s="57" t="s">
        <v>524</v>
      </c>
      <c r="B198" s="82">
        <v>45055</v>
      </c>
      <c r="C198" s="59">
        <f t="shared" si="21"/>
        <v>2023</v>
      </c>
      <c r="D198" s="59">
        <f t="shared" si="22"/>
        <v>5</v>
      </c>
      <c r="E198" s="59">
        <f t="shared" si="23"/>
        <v>19</v>
      </c>
      <c r="F198" s="57" t="s">
        <v>58</v>
      </c>
      <c r="G198" s="57" t="s">
        <v>42</v>
      </c>
      <c r="H198" s="57" t="s">
        <v>525</v>
      </c>
      <c r="I198" s="57" t="s">
        <v>67</v>
      </c>
      <c r="J198" s="57" t="s">
        <v>112</v>
      </c>
      <c r="K198" s="57" t="s">
        <v>73</v>
      </c>
      <c r="L198" s="57" t="s">
        <v>124</v>
      </c>
      <c r="M198" s="60">
        <v>119</v>
      </c>
      <c r="N198" s="57" t="s">
        <v>140</v>
      </c>
      <c r="O198" s="61">
        <v>102.1</v>
      </c>
      <c r="P198" s="61">
        <v>12149.9</v>
      </c>
      <c r="Q198" s="61">
        <v>458.91</v>
      </c>
      <c r="R198" s="62">
        <f t="shared" si="24"/>
        <v>3.7770681240174818E-2</v>
      </c>
      <c r="S198" s="60">
        <v>4</v>
      </c>
      <c r="T198" s="58">
        <v>45059</v>
      </c>
      <c r="U198" s="58">
        <v>45061</v>
      </c>
      <c r="V198" s="63">
        <f t="shared" si="25"/>
        <v>2</v>
      </c>
      <c r="W198" s="57" t="s">
        <v>128</v>
      </c>
      <c r="X198" s="64" t="b">
        <f t="shared" si="26"/>
        <v>0</v>
      </c>
      <c r="Y198" s="60">
        <v>433</v>
      </c>
      <c r="Z198" s="60">
        <v>222</v>
      </c>
      <c r="AA198" s="57" t="s">
        <v>81</v>
      </c>
      <c r="AB198" s="64" t="b">
        <f t="shared" si="27"/>
        <v>1</v>
      </c>
    </row>
    <row r="199" spans="1:28" ht="15" customHeight="1" x14ac:dyDescent="0.3">
      <c r="A199" s="65" t="s">
        <v>526</v>
      </c>
      <c r="B199" s="81">
        <v>45058</v>
      </c>
      <c r="C199" s="59">
        <f t="shared" si="21"/>
        <v>2023</v>
      </c>
      <c r="D199" s="59">
        <f t="shared" si="22"/>
        <v>5</v>
      </c>
      <c r="E199" s="59">
        <f t="shared" si="23"/>
        <v>19</v>
      </c>
      <c r="F199" s="65" t="s">
        <v>59</v>
      </c>
      <c r="G199" s="65" t="s">
        <v>41</v>
      </c>
      <c r="H199" s="65" t="s">
        <v>527</v>
      </c>
      <c r="I199" s="65" t="s">
        <v>65</v>
      </c>
      <c r="J199" s="65" t="s">
        <v>131</v>
      </c>
      <c r="K199" s="65" t="s">
        <v>75</v>
      </c>
      <c r="L199" s="65" t="s">
        <v>146</v>
      </c>
      <c r="M199" s="67">
        <v>201</v>
      </c>
      <c r="N199" s="65" t="s">
        <v>163</v>
      </c>
      <c r="O199" s="68">
        <v>554.45000000000005</v>
      </c>
      <c r="P199" s="68">
        <v>111444.45</v>
      </c>
      <c r="Q199" s="68">
        <v>6055.56</v>
      </c>
      <c r="R199" s="62">
        <f t="shared" si="24"/>
        <v>5.4337026204535087E-2</v>
      </c>
      <c r="S199" s="67">
        <v>13</v>
      </c>
      <c r="T199" s="66">
        <v>45071</v>
      </c>
      <c r="U199" s="66">
        <v>45083</v>
      </c>
      <c r="V199" s="63">
        <f t="shared" si="25"/>
        <v>12</v>
      </c>
      <c r="W199" s="65" t="s">
        <v>128</v>
      </c>
      <c r="X199" s="64" t="b">
        <f t="shared" si="26"/>
        <v>0</v>
      </c>
      <c r="Y199" s="67">
        <v>176</v>
      </c>
      <c r="Z199" s="67">
        <v>120</v>
      </c>
      <c r="AA199" s="65" t="s">
        <v>81</v>
      </c>
      <c r="AB199" s="64" t="b">
        <f t="shared" si="27"/>
        <v>1</v>
      </c>
    </row>
    <row r="200" spans="1:28" ht="15" customHeight="1" x14ac:dyDescent="0.3">
      <c r="A200" s="57" t="s">
        <v>528</v>
      </c>
      <c r="B200" s="82">
        <v>45602</v>
      </c>
      <c r="C200" s="59">
        <f t="shared" si="21"/>
        <v>2024</v>
      </c>
      <c r="D200" s="59">
        <f t="shared" si="22"/>
        <v>11</v>
      </c>
      <c r="E200" s="59">
        <f t="shared" si="23"/>
        <v>45</v>
      </c>
      <c r="F200" s="57" t="s">
        <v>57</v>
      </c>
      <c r="G200" s="57" t="s">
        <v>45</v>
      </c>
      <c r="H200" s="57" t="s">
        <v>529</v>
      </c>
      <c r="I200" s="57" t="s">
        <v>69</v>
      </c>
      <c r="J200" s="57" t="s">
        <v>151</v>
      </c>
      <c r="K200" s="57" t="s">
        <v>74</v>
      </c>
      <c r="L200" s="57" t="s">
        <v>146</v>
      </c>
      <c r="M200" s="60">
        <v>913</v>
      </c>
      <c r="N200" s="57" t="s">
        <v>132</v>
      </c>
      <c r="O200" s="61">
        <v>236.69</v>
      </c>
      <c r="P200" s="61">
        <v>216097.97</v>
      </c>
      <c r="Q200" s="61">
        <v>10050.98</v>
      </c>
      <c r="R200" s="62">
        <f t="shared" si="24"/>
        <v>4.651121896239932E-2</v>
      </c>
      <c r="S200" s="60">
        <v>7</v>
      </c>
      <c r="T200" s="58">
        <v>45609</v>
      </c>
      <c r="U200" s="58">
        <v>45614</v>
      </c>
      <c r="V200" s="63">
        <f t="shared" si="25"/>
        <v>5</v>
      </c>
      <c r="W200" s="57" t="s">
        <v>128</v>
      </c>
      <c r="X200" s="64" t="b">
        <f t="shared" si="26"/>
        <v>0</v>
      </c>
      <c r="Y200" s="60">
        <v>114</v>
      </c>
      <c r="Z200" s="60">
        <v>453</v>
      </c>
      <c r="AA200" s="57" t="s">
        <v>82</v>
      </c>
      <c r="AB200" s="64" t="b">
        <f t="shared" si="27"/>
        <v>1</v>
      </c>
    </row>
    <row r="201" spans="1:28" ht="15" customHeight="1" x14ac:dyDescent="0.3">
      <c r="A201" s="65" t="s">
        <v>530</v>
      </c>
      <c r="B201" s="81">
        <v>45413</v>
      </c>
      <c r="C201" s="59">
        <f t="shared" si="21"/>
        <v>2024</v>
      </c>
      <c r="D201" s="59">
        <f t="shared" si="22"/>
        <v>5</v>
      </c>
      <c r="E201" s="59">
        <f t="shared" si="23"/>
        <v>18</v>
      </c>
      <c r="F201" s="65" t="s">
        <v>59</v>
      </c>
      <c r="G201" s="65" t="s">
        <v>40</v>
      </c>
      <c r="H201" s="65" t="s">
        <v>531</v>
      </c>
      <c r="I201" s="65" t="s">
        <v>69</v>
      </c>
      <c r="J201" s="65" t="s">
        <v>151</v>
      </c>
      <c r="K201" s="65" t="s">
        <v>74</v>
      </c>
      <c r="L201" s="65" t="s">
        <v>146</v>
      </c>
      <c r="M201" s="67">
        <v>102</v>
      </c>
      <c r="N201" s="65" t="s">
        <v>120</v>
      </c>
      <c r="O201" s="68">
        <v>854.97</v>
      </c>
      <c r="P201" s="68">
        <v>87206.94</v>
      </c>
      <c r="Q201" s="68">
        <v>3558.32</v>
      </c>
      <c r="R201" s="62">
        <f t="shared" si="24"/>
        <v>4.0803174609727162E-2</v>
      </c>
      <c r="S201" s="67">
        <v>27</v>
      </c>
      <c r="T201" s="66">
        <v>45440</v>
      </c>
      <c r="U201" s="66">
        <v>45439</v>
      </c>
      <c r="V201" s="63">
        <f t="shared" si="25"/>
        <v>-1</v>
      </c>
      <c r="W201" s="65" t="s">
        <v>115</v>
      </c>
      <c r="X201" s="64" t="b">
        <f t="shared" si="26"/>
        <v>1</v>
      </c>
      <c r="Y201" s="67">
        <v>498</v>
      </c>
      <c r="Z201" s="67">
        <v>309</v>
      </c>
      <c r="AA201" s="65" t="s">
        <v>82</v>
      </c>
      <c r="AB201" s="64" t="b">
        <f t="shared" si="27"/>
        <v>1</v>
      </c>
    </row>
    <row r="202" spans="1:28" ht="15" customHeight="1" x14ac:dyDescent="0.3">
      <c r="A202" s="57" t="s">
        <v>532</v>
      </c>
      <c r="B202" s="82">
        <v>45489</v>
      </c>
      <c r="C202" s="59">
        <f t="shared" si="21"/>
        <v>2024</v>
      </c>
      <c r="D202" s="59">
        <f t="shared" si="22"/>
        <v>7</v>
      </c>
      <c r="E202" s="59">
        <f t="shared" si="23"/>
        <v>29</v>
      </c>
      <c r="F202" s="57" t="s">
        <v>61</v>
      </c>
      <c r="G202" s="57" t="s">
        <v>44</v>
      </c>
      <c r="H202" s="57" t="s">
        <v>533</v>
      </c>
      <c r="I202" s="57" t="s">
        <v>66</v>
      </c>
      <c r="J202" s="57" t="s">
        <v>131</v>
      </c>
      <c r="K202" s="57" t="s">
        <v>72</v>
      </c>
      <c r="L202" s="57" t="s">
        <v>146</v>
      </c>
      <c r="M202" s="60">
        <v>871</v>
      </c>
      <c r="N202" s="57" t="s">
        <v>136</v>
      </c>
      <c r="O202" s="61">
        <v>163.56</v>
      </c>
      <c r="P202" s="61">
        <v>142460.76</v>
      </c>
      <c r="Q202" s="61">
        <v>9229.6200000000008</v>
      </c>
      <c r="R202" s="62">
        <f t="shared" si="24"/>
        <v>6.4787103480284672E-2</v>
      </c>
      <c r="S202" s="60">
        <v>19</v>
      </c>
      <c r="T202" s="58">
        <v>45508</v>
      </c>
      <c r="U202" s="58">
        <v>45508</v>
      </c>
      <c r="V202" s="63">
        <f t="shared" si="25"/>
        <v>0</v>
      </c>
      <c r="W202" s="57" t="s">
        <v>115</v>
      </c>
      <c r="X202" s="64" t="b">
        <f t="shared" si="26"/>
        <v>1</v>
      </c>
      <c r="Y202" s="60">
        <v>471</v>
      </c>
      <c r="Z202" s="60">
        <v>326</v>
      </c>
      <c r="AA202" s="57" t="s">
        <v>116</v>
      </c>
      <c r="AB202" s="64" t="b">
        <f t="shared" si="27"/>
        <v>0</v>
      </c>
    </row>
    <row r="203" spans="1:28" ht="15" customHeight="1" x14ac:dyDescent="0.3">
      <c r="A203" s="65" t="s">
        <v>534</v>
      </c>
      <c r="B203" s="81">
        <v>45096</v>
      </c>
      <c r="C203" s="59">
        <f t="shared" si="21"/>
        <v>2023</v>
      </c>
      <c r="D203" s="59">
        <f t="shared" si="22"/>
        <v>6</v>
      </c>
      <c r="E203" s="59">
        <f t="shared" si="23"/>
        <v>25</v>
      </c>
      <c r="F203" s="65" t="s">
        <v>52</v>
      </c>
      <c r="G203" s="65" t="s">
        <v>40</v>
      </c>
      <c r="H203" s="65" t="s">
        <v>535</v>
      </c>
      <c r="I203" s="65" t="s">
        <v>65</v>
      </c>
      <c r="J203" s="65" t="s">
        <v>143</v>
      </c>
      <c r="K203" s="65" t="s">
        <v>73</v>
      </c>
      <c r="L203" s="65" t="s">
        <v>156</v>
      </c>
      <c r="M203" s="67">
        <v>577</v>
      </c>
      <c r="N203" s="65" t="s">
        <v>114</v>
      </c>
      <c r="O203" s="68">
        <v>1090.92</v>
      </c>
      <c r="P203" s="68">
        <v>629460.84</v>
      </c>
      <c r="Q203" s="68">
        <v>46334.99</v>
      </c>
      <c r="R203" s="62">
        <f t="shared" si="24"/>
        <v>7.3610599826988449E-2</v>
      </c>
      <c r="S203" s="67">
        <v>22</v>
      </c>
      <c r="T203" s="66">
        <v>45118</v>
      </c>
      <c r="U203" s="66">
        <v>45121</v>
      </c>
      <c r="V203" s="63">
        <f t="shared" si="25"/>
        <v>3</v>
      </c>
      <c r="W203" s="65" t="s">
        <v>125</v>
      </c>
      <c r="X203" s="64" t="b">
        <f t="shared" si="26"/>
        <v>0</v>
      </c>
      <c r="Y203" s="67">
        <v>148</v>
      </c>
      <c r="Z203" s="67">
        <v>340</v>
      </c>
      <c r="AA203" s="65" t="s">
        <v>116</v>
      </c>
      <c r="AB203" s="64" t="b">
        <f t="shared" si="27"/>
        <v>0</v>
      </c>
    </row>
    <row r="204" spans="1:28" ht="15" customHeight="1" x14ac:dyDescent="0.3">
      <c r="A204" s="57" t="s">
        <v>536</v>
      </c>
      <c r="B204" s="82">
        <v>45198</v>
      </c>
      <c r="C204" s="59">
        <f t="shared" si="21"/>
        <v>2023</v>
      </c>
      <c r="D204" s="59">
        <f t="shared" si="22"/>
        <v>9</v>
      </c>
      <c r="E204" s="59">
        <f t="shared" si="23"/>
        <v>39</v>
      </c>
      <c r="F204" s="57" t="s">
        <v>55</v>
      </c>
      <c r="G204" s="57" t="s">
        <v>43</v>
      </c>
      <c r="H204" s="57" t="s">
        <v>537</v>
      </c>
      <c r="I204" s="57" t="s">
        <v>67</v>
      </c>
      <c r="J204" s="57" t="s">
        <v>151</v>
      </c>
      <c r="K204" s="57" t="s">
        <v>73</v>
      </c>
      <c r="L204" s="57" t="s">
        <v>156</v>
      </c>
      <c r="M204" s="60">
        <v>69</v>
      </c>
      <c r="N204" s="57" t="s">
        <v>140</v>
      </c>
      <c r="O204" s="61">
        <v>253.5</v>
      </c>
      <c r="P204" s="61">
        <v>17491.5</v>
      </c>
      <c r="Q204" s="61">
        <v>1144.07</v>
      </c>
      <c r="R204" s="62">
        <f t="shared" si="24"/>
        <v>6.5407197781779725E-2</v>
      </c>
      <c r="S204" s="60">
        <v>28</v>
      </c>
      <c r="T204" s="58">
        <v>45226</v>
      </c>
      <c r="U204" s="58">
        <v>45227</v>
      </c>
      <c r="V204" s="63">
        <f t="shared" si="25"/>
        <v>1</v>
      </c>
      <c r="W204" s="57" t="s">
        <v>128</v>
      </c>
      <c r="X204" s="64" t="b">
        <f t="shared" si="26"/>
        <v>0</v>
      </c>
      <c r="Y204" s="60">
        <v>240</v>
      </c>
      <c r="Z204" s="60">
        <v>357</v>
      </c>
      <c r="AA204" s="57" t="s">
        <v>84</v>
      </c>
      <c r="AB204" s="64" t="b">
        <f t="shared" si="27"/>
        <v>1</v>
      </c>
    </row>
    <row r="205" spans="1:28" ht="15" customHeight="1" x14ac:dyDescent="0.3">
      <c r="A205" s="65" t="s">
        <v>538</v>
      </c>
      <c r="B205" s="81">
        <v>45467</v>
      </c>
      <c r="C205" s="59">
        <f t="shared" si="21"/>
        <v>2024</v>
      </c>
      <c r="D205" s="59">
        <f t="shared" si="22"/>
        <v>6</v>
      </c>
      <c r="E205" s="59">
        <f t="shared" si="23"/>
        <v>26</v>
      </c>
      <c r="F205" s="65" t="s">
        <v>56</v>
      </c>
      <c r="G205" s="65" t="s">
        <v>41</v>
      </c>
      <c r="H205" s="65" t="s">
        <v>539</v>
      </c>
      <c r="I205" s="65" t="s">
        <v>69</v>
      </c>
      <c r="J205" s="65" t="s">
        <v>139</v>
      </c>
      <c r="K205" s="65" t="s">
        <v>75</v>
      </c>
      <c r="L205" s="65" t="s">
        <v>124</v>
      </c>
      <c r="M205" s="67">
        <v>659</v>
      </c>
      <c r="N205" s="65" t="s">
        <v>132</v>
      </c>
      <c r="O205" s="68">
        <v>392.16</v>
      </c>
      <c r="P205" s="68">
        <v>258433.44</v>
      </c>
      <c r="Q205" s="68">
        <v>10316.67</v>
      </c>
      <c r="R205" s="62">
        <f t="shared" si="24"/>
        <v>3.9920027377262017E-2</v>
      </c>
      <c r="S205" s="67">
        <v>2</v>
      </c>
      <c r="T205" s="66">
        <v>45469</v>
      </c>
      <c r="U205" s="66">
        <v>45469</v>
      </c>
      <c r="V205" s="63">
        <f t="shared" si="25"/>
        <v>0</v>
      </c>
      <c r="W205" s="65" t="s">
        <v>115</v>
      </c>
      <c r="X205" s="64" t="b">
        <f t="shared" si="26"/>
        <v>1</v>
      </c>
      <c r="Y205" s="67">
        <v>122</v>
      </c>
      <c r="Z205" s="67">
        <v>106</v>
      </c>
      <c r="AA205" s="65" t="s">
        <v>83</v>
      </c>
      <c r="AB205" s="64" t="b">
        <f t="shared" si="27"/>
        <v>1</v>
      </c>
    </row>
    <row r="206" spans="1:28" ht="15" customHeight="1" x14ac:dyDescent="0.3">
      <c r="A206" s="57" t="s">
        <v>540</v>
      </c>
      <c r="B206" s="82">
        <v>45548</v>
      </c>
      <c r="C206" s="59">
        <f t="shared" si="21"/>
        <v>2024</v>
      </c>
      <c r="D206" s="59">
        <f t="shared" si="22"/>
        <v>9</v>
      </c>
      <c r="E206" s="59">
        <f t="shared" si="23"/>
        <v>37</v>
      </c>
      <c r="F206" s="57" t="s">
        <v>58</v>
      </c>
      <c r="G206" s="57" t="s">
        <v>46</v>
      </c>
      <c r="H206" s="57" t="s">
        <v>541</v>
      </c>
      <c r="I206" s="57" t="s">
        <v>64</v>
      </c>
      <c r="J206" s="57" t="s">
        <v>139</v>
      </c>
      <c r="K206" s="57" t="s">
        <v>75</v>
      </c>
      <c r="L206" s="57" t="s">
        <v>119</v>
      </c>
      <c r="M206" s="60">
        <v>48</v>
      </c>
      <c r="N206" s="57" t="s">
        <v>163</v>
      </c>
      <c r="O206" s="61">
        <v>82.26</v>
      </c>
      <c r="P206" s="61">
        <v>3948.48</v>
      </c>
      <c r="Q206" s="61">
        <v>255.33</v>
      </c>
      <c r="R206" s="62">
        <f t="shared" si="24"/>
        <v>6.4665390226112326E-2</v>
      </c>
      <c r="S206" s="60">
        <v>10</v>
      </c>
      <c r="T206" s="58">
        <v>45558</v>
      </c>
      <c r="U206" s="58">
        <v>45570</v>
      </c>
      <c r="V206" s="63">
        <f t="shared" si="25"/>
        <v>12</v>
      </c>
      <c r="W206" s="57" t="s">
        <v>128</v>
      </c>
      <c r="X206" s="64" t="b">
        <f t="shared" si="26"/>
        <v>0</v>
      </c>
      <c r="Y206" s="60">
        <v>291</v>
      </c>
      <c r="Z206" s="60">
        <v>240</v>
      </c>
      <c r="AA206" s="57" t="s">
        <v>82</v>
      </c>
      <c r="AB206" s="64" t="b">
        <f t="shared" si="27"/>
        <v>1</v>
      </c>
    </row>
    <row r="207" spans="1:28" ht="15" customHeight="1" x14ac:dyDescent="0.3">
      <c r="A207" s="65" t="s">
        <v>542</v>
      </c>
      <c r="B207" s="81">
        <v>45360</v>
      </c>
      <c r="C207" s="59">
        <f t="shared" si="21"/>
        <v>2024</v>
      </c>
      <c r="D207" s="59">
        <f t="shared" si="22"/>
        <v>3</v>
      </c>
      <c r="E207" s="59">
        <f t="shared" si="23"/>
        <v>10</v>
      </c>
      <c r="F207" s="65" t="s">
        <v>60</v>
      </c>
      <c r="G207" s="65" t="s">
        <v>41</v>
      </c>
      <c r="H207" s="65" t="s">
        <v>543</v>
      </c>
      <c r="I207" s="65" t="s">
        <v>64</v>
      </c>
      <c r="J207" s="65" t="s">
        <v>112</v>
      </c>
      <c r="K207" s="65" t="s">
        <v>74</v>
      </c>
      <c r="L207" s="65" t="s">
        <v>113</v>
      </c>
      <c r="M207" s="67">
        <v>549</v>
      </c>
      <c r="N207" s="65" t="s">
        <v>120</v>
      </c>
      <c r="O207" s="68">
        <v>618.41</v>
      </c>
      <c r="P207" s="68">
        <v>339507.09</v>
      </c>
      <c r="Q207" s="68">
        <v>9886.0400000000009</v>
      </c>
      <c r="R207" s="62">
        <f t="shared" si="24"/>
        <v>2.9118802791423294E-2</v>
      </c>
      <c r="S207" s="67">
        <v>13</v>
      </c>
      <c r="T207" s="66">
        <v>45373</v>
      </c>
      <c r="U207" s="66">
        <v>45373</v>
      </c>
      <c r="V207" s="63">
        <f t="shared" si="25"/>
        <v>0</v>
      </c>
      <c r="W207" s="65" t="s">
        <v>115</v>
      </c>
      <c r="X207" s="64" t="b">
        <f t="shared" si="26"/>
        <v>1</v>
      </c>
      <c r="Y207" s="67">
        <v>326</v>
      </c>
      <c r="Z207" s="67">
        <v>434</v>
      </c>
      <c r="AA207" s="65" t="s">
        <v>116</v>
      </c>
      <c r="AB207" s="64" t="b">
        <f t="shared" si="27"/>
        <v>0</v>
      </c>
    </row>
    <row r="208" spans="1:28" ht="15" customHeight="1" x14ac:dyDescent="0.3">
      <c r="A208" s="57" t="s">
        <v>544</v>
      </c>
      <c r="B208" s="82">
        <v>45143</v>
      </c>
      <c r="C208" s="59">
        <f t="shared" si="21"/>
        <v>2023</v>
      </c>
      <c r="D208" s="59">
        <f t="shared" si="22"/>
        <v>8</v>
      </c>
      <c r="E208" s="59">
        <f t="shared" si="23"/>
        <v>31</v>
      </c>
      <c r="F208" s="57" t="s">
        <v>52</v>
      </c>
      <c r="G208" s="57" t="s">
        <v>39</v>
      </c>
      <c r="H208" s="57" t="s">
        <v>545</v>
      </c>
      <c r="I208" s="57" t="s">
        <v>64</v>
      </c>
      <c r="J208" s="57" t="s">
        <v>139</v>
      </c>
      <c r="K208" s="57" t="s">
        <v>73</v>
      </c>
      <c r="L208" s="57" t="s">
        <v>135</v>
      </c>
      <c r="M208" s="60">
        <v>58</v>
      </c>
      <c r="N208" s="57" t="s">
        <v>163</v>
      </c>
      <c r="O208" s="61">
        <v>1886.43</v>
      </c>
      <c r="P208" s="61">
        <v>109412.94</v>
      </c>
      <c r="Q208" s="61">
        <v>3043.77</v>
      </c>
      <c r="R208" s="62">
        <f t="shared" si="24"/>
        <v>2.7819104394781823E-2</v>
      </c>
      <c r="S208" s="60">
        <v>25</v>
      </c>
      <c r="T208" s="58">
        <v>45168</v>
      </c>
      <c r="U208" s="58">
        <v>45168</v>
      </c>
      <c r="V208" s="63">
        <f t="shared" si="25"/>
        <v>0</v>
      </c>
      <c r="W208" s="57" t="s">
        <v>115</v>
      </c>
      <c r="X208" s="64" t="b">
        <f t="shared" si="26"/>
        <v>1</v>
      </c>
      <c r="Y208" s="60">
        <v>68</v>
      </c>
      <c r="Z208" s="60">
        <v>27</v>
      </c>
      <c r="AA208" s="57" t="s">
        <v>116</v>
      </c>
      <c r="AB208" s="64" t="b">
        <f t="shared" si="27"/>
        <v>0</v>
      </c>
    </row>
    <row r="209" spans="1:28" ht="15" customHeight="1" x14ac:dyDescent="0.3">
      <c r="A209" s="65" t="s">
        <v>546</v>
      </c>
      <c r="B209" s="81">
        <v>45479</v>
      </c>
      <c r="C209" s="59">
        <f t="shared" si="21"/>
        <v>2024</v>
      </c>
      <c r="D209" s="59">
        <f t="shared" si="22"/>
        <v>7</v>
      </c>
      <c r="E209" s="59">
        <f t="shared" si="23"/>
        <v>27</v>
      </c>
      <c r="F209" s="65" t="s">
        <v>60</v>
      </c>
      <c r="G209" s="65" t="s">
        <v>41</v>
      </c>
      <c r="H209" s="65" t="s">
        <v>547</v>
      </c>
      <c r="I209" s="65" t="s">
        <v>67</v>
      </c>
      <c r="J209" s="65" t="s">
        <v>139</v>
      </c>
      <c r="K209" s="65" t="s">
        <v>73</v>
      </c>
      <c r="L209" s="65" t="s">
        <v>119</v>
      </c>
      <c r="M209" s="67">
        <v>429</v>
      </c>
      <c r="N209" s="65" t="s">
        <v>114</v>
      </c>
      <c r="O209" s="68">
        <v>495.19</v>
      </c>
      <c r="P209" s="68">
        <v>212436.51</v>
      </c>
      <c r="Q209" s="68">
        <v>8654.16</v>
      </c>
      <c r="R209" s="62">
        <f t="shared" si="24"/>
        <v>4.0737630268921285E-2</v>
      </c>
      <c r="S209" s="67">
        <v>21</v>
      </c>
      <c r="T209" s="66">
        <v>45500</v>
      </c>
      <c r="U209" s="66">
        <v>45503</v>
      </c>
      <c r="V209" s="63">
        <f t="shared" si="25"/>
        <v>3</v>
      </c>
      <c r="W209" s="65" t="s">
        <v>125</v>
      </c>
      <c r="X209" s="64" t="b">
        <f t="shared" si="26"/>
        <v>0</v>
      </c>
      <c r="Y209" s="67">
        <v>313</v>
      </c>
      <c r="Z209" s="67">
        <v>191</v>
      </c>
      <c r="AA209" s="65" t="s">
        <v>83</v>
      </c>
      <c r="AB209" s="64" t="b">
        <f t="shared" si="27"/>
        <v>1</v>
      </c>
    </row>
    <row r="210" spans="1:28" ht="15" customHeight="1" x14ac:dyDescent="0.3">
      <c r="A210" s="57" t="s">
        <v>548</v>
      </c>
      <c r="B210" s="82">
        <v>45633</v>
      </c>
      <c r="C210" s="59">
        <f t="shared" si="21"/>
        <v>2024</v>
      </c>
      <c r="D210" s="59">
        <f t="shared" si="22"/>
        <v>12</v>
      </c>
      <c r="E210" s="59">
        <f t="shared" si="23"/>
        <v>49</v>
      </c>
      <c r="F210" s="57" t="s">
        <v>53</v>
      </c>
      <c r="G210" s="57" t="s">
        <v>40</v>
      </c>
      <c r="H210" s="57" t="s">
        <v>549</v>
      </c>
      <c r="I210" s="57" t="s">
        <v>67</v>
      </c>
      <c r="J210" s="57" t="s">
        <v>143</v>
      </c>
      <c r="K210" s="57" t="s">
        <v>71</v>
      </c>
      <c r="L210" s="57" t="s">
        <v>156</v>
      </c>
      <c r="M210" s="60">
        <v>646</v>
      </c>
      <c r="N210" s="57" t="s">
        <v>163</v>
      </c>
      <c r="O210" s="61">
        <v>1122.74</v>
      </c>
      <c r="P210" s="61">
        <v>725290.04</v>
      </c>
      <c r="Q210" s="61">
        <v>49654.91</v>
      </c>
      <c r="R210" s="62">
        <f t="shared" si="24"/>
        <v>6.846214240030099E-2</v>
      </c>
      <c r="S210" s="60">
        <v>6</v>
      </c>
      <c r="T210" s="58">
        <v>45639</v>
      </c>
      <c r="U210" s="58">
        <v>45639</v>
      </c>
      <c r="V210" s="63">
        <f t="shared" si="25"/>
        <v>0</v>
      </c>
      <c r="W210" s="57" t="s">
        <v>115</v>
      </c>
      <c r="X210" s="64" t="b">
        <f t="shared" si="26"/>
        <v>1</v>
      </c>
      <c r="Y210" s="60">
        <v>62</v>
      </c>
      <c r="Z210" s="60">
        <v>248</v>
      </c>
      <c r="AA210" s="57" t="s">
        <v>82</v>
      </c>
      <c r="AB210" s="64" t="b">
        <f t="shared" si="27"/>
        <v>1</v>
      </c>
    </row>
    <row r="211" spans="1:28" ht="15" customHeight="1" x14ac:dyDescent="0.3">
      <c r="A211" s="65" t="s">
        <v>550</v>
      </c>
      <c r="B211" s="81">
        <v>45132</v>
      </c>
      <c r="C211" s="59">
        <f t="shared" si="21"/>
        <v>2023</v>
      </c>
      <c r="D211" s="59">
        <f t="shared" si="22"/>
        <v>7</v>
      </c>
      <c r="E211" s="59">
        <f t="shared" si="23"/>
        <v>30</v>
      </c>
      <c r="F211" s="65" t="s">
        <v>60</v>
      </c>
      <c r="G211" s="65" t="s">
        <v>39</v>
      </c>
      <c r="H211" s="65" t="s">
        <v>551</v>
      </c>
      <c r="I211" s="65" t="s">
        <v>66</v>
      </c>
      <c r="J211" s="65" t="s">
        <v>143</v>
      </c>
      <c r="K211" s="65" t="s">
        <v>72</v>
      </c>
      <c r="L211" s="65" t="s">
        <v>156</v>
      </c>
      <c r="M211" s="67">
        <v>22</v>
      </c>
      <c r="N211" s="65" t="s">
        <v>140</v>
      </c>
      <c r="O211" s="68">
        <v>1920.45</v>
      </c>
      <c r="P211" s="68">
        <v>42249.9</v>
      </c>
      <c r="Q211" s="68">
        <v>1469.49</v>
      </c>
      <c r="R211" s="62">
        <f t="shared" si="24"/>
        <v>3.4780910724049048E-2</v>
      </c>
      <c r="S211" s="67">
        <v>28</v>
      </c>
      <c r="T211" s="66">
        <v>45160</v>
      </c>
      <c r="U211" s="66">
        <v>45163</v>
      </c>
      <c r="V211" s="63">
        <f t="shared" si="25"/>
        <v>3</v>
      </c>
      <c r="W211" s="65" t="s">
        <v>125</v>
      </c>
      <c r="X211" s="64" t="b">
        <f t="shared" si="26"/>
        <v>0</v>
      </c>
      <c r="Y211" s="67">
        <v>220</v>
      </c>
      <c r="Z211" s="67">
        <v>363</v>
      </c>
      <c r="AA211" s="65" t="s">
        <v>82</v>
      </c>
      <c r="AB211" s="64" t="b">
        <f t="shared" si="27"/>
        <v>1</v>
      </c>
    </row>
    <row r="212" spans="1:28" ht="15" customHeight="1" x14ac:dyDescent="0.3">
      <c r="A212" s="57" t="s">
        <v>552</v>
      </c>
      <c r="B212" s="82">
        <v>45657</v>
      </c>
      <c r="C212" s="59">
        <f t="shared" si="21"/>
        <v>2024</v>
      </c>
      <c r="D212" s="59">
        <f t="shared" si="22"/>
        <v>12</v>
      </c>
      <c r="E212" s="59">
        <f t="shared" si="23"/>
        <v>53</v>
      </c>
      <c r="F212" s="57" t="s">
        <v>58</v>
      </c>
      <c r="G212" s="57" t="s">
        <v>39</v>
      </c>
      <c r="H212" s="57" t="s">
        <v>553</v>
      </c>
      <c r="I212" s="57" t="s">
        <v>66</v>
      </c>
      <c r="J212" s="57" t="s">
        <v>123</v>
      </c>
      <c r="K212" s="57" t="s">
        <v>72</v>
      </c>
      <c r="L212" s="57" t="s">
        <v>156</v>
      </c>
      <c r="M212" s="60">
        <v>45</v>
      </c>
      <c r="N212" s="57" t="s">
        <v>132</v>
      </c>
      <c r="O212" s="61">
        <v>1185.1099999999999</v>
      </c>
      <c r="P212" s="61">
        <v>53329.95</v>
      </c>
      <c r="Q212" s="61">
        <v>1269</v>
      </c>
      <c r="R212" s="62">
        <f t="shared" si="24"/>
        <v>2.3795259511775281E-2</v>
      </c>
      <c r="S212" s="60">
        <v>28</v>
      </c>
      <c r="T212" s="58">
        <v>45685</v>
      </c>
      <c r="U212" s="58">
        <v>45697</v>
      </c>
      <c r="V212" s="63">
        <f t="shared" si="25"/>
        <v>12</v>
      </c>
      <c r="W212" s="57" t="s">
        <v>125</v>
      </c>
      <c r="X212" s="64" t="b">
        <f t="shared" si="26"/>
        <v>0</v>
      </c>
      <c r="Y212" s="60">
        <v>15</v>
      </c>
      <c r="Z212" s="60">
        <v>212</v>
      </c>
      <c r="AA212" s="57" t="s">
        <v>81</v>
      </c>
      <c r="AB212" s="64" t="b">
        <f t="shared" si="27"/>
        <v>1</v>
      </c>
    </row>
    <row r="213" spans="1:28" ht="15" customHeight="1" x14ac:dyDescent="0.3">
      <c r="A213" s="65" t="s">
        <v>554</v>
      </c>
      <c r="B213" s="81">
        <v>45246</v>
      </c>
      <c r="C213" s="59">
        <f t="shared" si="21"/>
        <v>2023</v>
      </c>
      <c r="D213" s="59">
        <f t="shared" si="22"/>
        <v>11</v>
      </c>
      <c r="E213" s="59">
        <f t="shared" si="23"/>
        <v>46</v>
      </c>
      <c r="F213" s="65" t="s">
        <v>58</v>
      </c>
      <c r="G213" s="65" t="s">
        <v>45</v>
      </c>
      <c r="H213" s="65" t="s">
        <v>555</v>
      </c>
      <c r="I213" s="65" t="s">
        <v>66</v>
      </c>
      <c r="J213" s="65" t="s">
        <v>123</v>
      </c>
      <c r="K213" s="65" t="s">
        <v>74</v>
      </c>
      <c r="L213" s="65" t="s">
        <v>119</v>
      </c>
      <c r="M213" s="67">
        <v>110</v>
      </c>
      <c r="N213" s="65" t="s">
        <v>136</v>
      </c>
      <c r="O213" s="68">
        <v>205.24</v>
      </c>
      <c r="P213" s="68">
        <v>22576.400000000001</v>
      </c>
      <c r="Q213" s="68">
        <v>629.94000000000005</v>
      </c>
      <c r="R213" s="62">
        <f t="shared" si="24"/>
        <v>2.7902588543789089E-2</v>
      </c>
      <c r="S213" s="67">
        <v>12</v>
      </c>
      <c r="T213" s="66">
        <v>45258</v>
      </c>
      <c r="U213" s="66">
        <v>45258</v>
      </c>
      <c r="V213" s="63">
        <f t="shared" si="25"/>
        <v>0</v>
      </c>
      <c r="W213" s="65" t="s">
        <v>115</v>
      </c>
      <c r="X213" s="64" t="b">
        <f t="shared" si="26"/>
        <v>1</v>
      </c>
      <c r="Y213" s="67">
        <v>389</v>
      </c>
      <c r="Z213" s="67">
        <v>20</v>
      </c>
      <c r="AA213" s="65" t="s">
        <v>116</v>
      </c>
      <c r="AB213" s="64" t="b">
        <f t="shared" si="27"/>
        <v>0</v>
      </c>
    </row>
    <row r="214" spans="1:28" ht="15" customHeight="1" x14ac:dyDescent="0.3">
      <c r="A214" s="57" t="s">
        <v>556</v>
      </c>
      <c r="B214" s="82">
        <v>45335</v>
      </c>
      <c r="C214" s="59">
        <f t="shared" si="21"/>
        <v>2024</v>
      </c>
      <c r="D214" s="59">
        <f t="shared" si="22"/>
        <v>2</v>
      </c>
      <c r="E214" s="59">
        <f t="shared" si="23"/>
        <v>7</v>
      </c>
      <c r="F214" s="57" t="s">
        <v>58</v>
      </c>
      <c r="G214" s="57" t="s">
        <v>45</v>
      </c>
      <c r="H214" s="57" t="s">
        <v>557</v>
      </c>
      <c r="I214" s="57" t="s">
        <v>68</v>
      </c>
      <c r="J214" s="57" t="s">
        <v>143</v>
      </c>
      <c r="K214" s="57" t="s">
        <v>73</v>
      </c>
      <c r="L214" s="57" t="s">
        <v>156</v>
      </c>
      <c r="M214" s="60">
        <v>803</v>
      </c>
      <c r="N214" s="57" t="s">
        <v>140</v>
      </c>
      <c r="O214" s="61">
        <v>281.82</v>
      </c>
      <c r="P214" s="61">
        <v>226301.46</v>
      </c>
      <c r="Q214" s="61">
        <v>16186.14</v>
      </c>
      <c r="R214" s="62">
        <f t="shared" si="24"/>
        <v>7.1524682165108433E-2</v>
      </c>
      <c r="S214" s="60">
        <v>12</v>
      </c>
      <c r="T214" s="58">
        <v>45347</v>
      </c>
      <c r="U214" s="58">
        <v>45347</v>
      </c>
      <c r="V214" s="63">
        <f t="shared" si="25"/>
        <v>0</v>
      </c>
      <c r="W214" s="57" t="s">
        <v>115</v>
      </c>
      <c r="X214" s="64" t="b">
        <f t="shared" si="26"/>
        <v>1</v>
      </c>
      <c r="Y214" s="60">
        <v>77</v>
      </c>
      <c r="Z214" s="60">
        <v>471</v>
      </c>
      <c r="AA214" s="57" t="s">
        <v>84</v>
      </c>
      <c r="AB214" s="64" t="b">
        <f t="shared" si="27"/>
        <v>1</v>
      </c>
    </row>
    <row r="215" spans="1:28" ht="15" customHeight="1" x14ac:dyDescent="0.3">
      <c r="A215" s="65" t="s">
        <v>558</v>
      </c>
      <c r="B215" s="81">
        <v>45614</v>
      </c>
      <c r="C215" s="59">
        <f t="shared" si="21"/>
        <v>2024</v>
      </c>
      <c r="D215" s="59">
        <f t="shared" si="22"/>
        <v>11</v>
      </c>
      <c r="E215" s="59">
        <f t="shared" si="23"/>
        <v>47</v>
      </c>
      <c r="F215" s="65" t="s">
        <v>52</v>
      </c>
      <c r="G215" s="65" t="s">
        <v>39</v>
      </c>
      <c r="H215" s="65" t="s">
        <v>559</v>
      </c>
      <c r="I215" s="65" t="s">
        <v>64</v>
      </c>
      <c r="J215" s="65" t="s">
        <v>123</v>
      </c>
      <c r="K215" s="65" t="s">
        <v>71</v>
      </c>
      <c r="L215" s="65" t="s">
        <v>119</v>
      </c>
      <c r="M215" s="67">
        <v>95</v>
      </c>
      <c r="N215" s="65" t="s">
        <v>114</v>
      </c>
      <c r="O215" s="68">
        <v>1106.6400000000001</v>
      </c>
      <c r="P215" s="68">
        <v>105130.8</v>
      </c>
      <c r="Q215" s="68">
        <v>6100.42</v>
      </c>
      <c r="R215" s="62">
        <f t="shared" si="24"/>
        <v>5.8026953090816388E-2</v>
      </c>
      <c r="S215" s="67">
        <v>20</v>
      </c>
      <c r="T215" s="66">
        <v>45634</v>
      </c>
      <c r="U215" s="66">
        <v>45634</v>
      </c>
      <c r="V215" s="63">
        <f t="shared" si="25"/>
        <v>0</v>
      </c>
      <c r="W215" s="65" t="s">
        <v>115</v>
      </c>
      <c r="X215" s="64" t="b">
        <f t="shared" si="26"/>
        <v>1</v>
      </c>
      <c r="Y215" s="67">
        <v>121</v>
      </c>
      <c r="Z215" s="67">
        <v>154</v>
      </c>
      <c r="AA215" s="65" t="s">
        <v>81</v>
      </c>
      <c r="AB215" s="64" t="b">
        <f t="shared" si="27"/>
        <v>1</v>
      </c>
    </row>
    <row r="216" spans="1:28" ht="15" customHeight="1" x14ac:dyDescent="0.3">
      <c r="A216" s="57" t="s">
        <v>560</v>
      </c>
      <c r="B216" s="82">
        <v>45592</v>
      </c>
      <c r="C216" s="59">
        <f t="shared" si="21"/>
        <v>2024</v>
      </c>
      <c r="D216" s="59">
        <f t="shared" si="22"/>
        <v>10</v>
      </c>
      <c r="E216" s="59">
        <f t="shared" si="23"/>
        <v>44</v>
      </c>
      <c r="F216" s="57" t="s">
        <v>52</v>
      </c>
      <c r="G216" s="57" t="s">
        <v>46</v>
      </c>
      <c r="H216" s="57" t="s">
        <v>561</v>
      </c>
      <c r="I216" s="57" t="s">
        <v>67</v>
      </c>
      <c r="J216" s="57" t="s">
        <v>143</v>
      </c>
      <c r="K216" s="57" t="s">
        <v>73</v>
      </c>
      <c r="L216" s="57" t="s">
        <v>156</v>
      </c>
      <c r="M216" s="60">
        <v>525</v>
      </c>
      <c r="N216" s="57" t="s">
        <v>120</v>
      </c>
      <c r="O216" s="61">
        <v>88.15</v>
      </c>
      <c r="P216" s="61">
        <v>46278.75</v>
      </c>
      <c r="Q216" s="61">
        <v>1628.65</v>
      </c>
      <c r="R216" s="62">
        <f t="shared" si="24"/>
        <v>3.5192177835399616E-2</v>
      </c>
      <c r="S216" s="60">
        <v>11</v>
      </c>
      <c r="T216" s="58">
        <v>45603</v>
      </c>
      <c r="U216" s="58">
        <v>45603</v>
      </c>
      <c r="V216" s="63">
        <f t="shared" si="25"/>
        <v>0</v>
      </c>
      <c r="W216" s="57" t="s">
        <v>115</v>
      </c>
      <c r="X216" s="64" t="b">
        <f t="shared" si="26"/>
        <v>1</v>
      </c>
      <c r="Y216" s="60">
        <v>435</v>
      </c>
      <c r="Z216" s="60">
        <v>26</v>
      </c>
      <c r="AA216" s="57" t="s">
        <v>116</v>
      </c>
      <c r="AB216" s="64" t="b">
        <f t="shared" si="27"/>
        <v>0</v>
      </c>
    </row>
    <row r="217" spans="1:28" ht="15" customHeight="1" x14ac:dyDescent="0.3">
      <c r="A217" s="65" t="s">
        <v>562</v>
      </c>
      <c r="B217" s="81">
        <v>45309</v>
      </c>
      <c r="C217" s="59">
        <f t="shared" si="21"/>
        <v>2024</v>
      </c>
      <c r="D217" s="59">
        <f t="shared" si="22"/>
        <v>1</v>
      </c>
      <c r="E217" s="59">
        <f t="shared" si="23"/>
        <v>3</v>
      </c>
      <c r="F217" s="65" t="s">
        <v>56</v>
      </c>
      <c r="G217" s="65" t="s">
        <v>45</v>
      </c>
      <c r="H217" s="65" t="s">
        <v>563</v>
      </c>
      <c r="I217" s="65" t="s">
        <v>64</v>
      </c>
      <c r="J217" s="65" t="s">
        <v>123</v>
      </c>
      <c r="K217" s="65" t="s">
        <v>75</v>
      </c>
      <c r="L217" s="65" t="s">
        <v>146</v>
      </c>
      <c r="M217" s="67">
        <v>232</v>
      </c>
      <c r="N217" s="65" t="s">
        <v>114</v>
      </c>
      <c r="O217" s="68">
        <v>248.67</v>
      </c>
      <c r="P217" s="68">
        <v>57691.44</v>
      </c>
      <c r="Q217" s="68">
        <v>3075.98</v>
      </c>
      <c r="R217" s="62">
        <f t="shared" si="24"/>
        <v>5.3317788566206697E-2</v>
      </c>
      <c r="S217" s="67">
        <v>26</v>
      </c>
      <c r="T217" s="66">
        <v>45335</v>
      </c>
      <c r="U217" s="66">
        <v>45332</v>
      </c>
      <c r="V217" s="63">
        <f t="shared" si="25"/>
        <v>-3</v>
      </c>
      <c r="W217" s="65" t="s">
        <v>115</v>
      </c>
      <c r="X217" s="64" t="b">
        <f t="shared" si="26"/>
        <v>1</v>
      </c>
      <c r="Y217" s="67">
        <v>257</v>
      </c>
      <c r="Z217" s="67">
        <v>76</v>
      </c>
      <c r="AA217" s="65" t="s">
        <v>116</v>
      </c>
      <c r="AB217" s="64" t="b">
        <f t="shared" si="27"/>
        <v>0</v>
      </c>
    </row>
    <row r="218" spans="1:28" ht="15" customHeight="1" x14ac:dyDescent="0.3">
      <c r="A218" s="57" t="s">
        <v>564</v>
      </c>
      <c r="B218" s="82">
        <v>45375</v>
      </c>
      <c r="C218" s="59">
        <f t="shared" si="21"/>
        <v>2024</v>
      </c>
      <c r="D218" s="59">
        <f t="shared" si="22"/>
        <v>3</v>
      </c>
      <c r="E218" s="59">
        <f t="shared" si="23"/>
        <v>13</v>
      </c>
      <c r="F218" s="57" t="s">
        <v>54</v>
      </c>
      <c r="G218" s="57" t="s">
        <v>41</v>
      </c>
      <c r="H218" s="57" t="s">
        <v>565</v>
      </c>
      <c r="I218" s="57" t="s">
        <v>66</v>
      </c>
      <c r="J218" s="57" t="s">
        <v>151</v>
      </c>
      <c r="K218" s="57" t="s">
        <v>74</v>
      </c>
      <c r="L218" s="57" t="s">
        <v>146</v>
      </c>
      <c r="M218" s="60">
        <v>347</v>
      </c>
      <c r="N218" s="57" t="s">
        <v>114</v>
      </c>
      <c r="O218" s="61">
        <v>602.54999999999995</v>
      </c>
      <c r="P218" s="61">
        <v>209084.85</v>
      </c>
      <c r="Q218" s="61">
        <v>10800.23</v>
      </c>
      <c r="R218" s="62">
        <f t="shared" si="24"/>
        <v>5.1654770778466252E-2</v>
      </c>
      <c r="S218" s="60">
        <v>23</v>
      </c>
      <c r="T218" s="58">
        <v>45398</v>
      </c>
      <c r="U218" s="58">
        <v>45400</v>
      </c>
      <c r="V218" s="63">
        <f t="shared" si="25"/>
        <v>2</v>
      </c>
      <c r="W218" s="57" t="s">
        <v>128</v>
      </c>
      <c r="X218" s="64" t="b">
        <f t="shared" si="26"/>
        <v>0</v>
      </c>
      <c r="Y218" s="60">
        <v>216</v>
      </c>
      <c r="Z218" s="60">
        <v>305</v>
      </c>
      <c r="AA218" s="57" t="s">
        <v>84</v>
      </c>
      <c r="AB218" s="64" t="b">
        <f t="shared" si="27"/>
        <v>1</v>
      </c>
    </row>
    <row r="219" spans="1:28" ht="15" customHeight="1" x14ac:dyDescent="0.3">
      <c r="A219" s="65" t="s">
        <v>566</v>
      </c>
      <c r="B219" s="81">
        <v>45456</v>
      </c>
      <c r="C219" s="59">
        <f t="shared" si="21"/>
        <v>2024</v>
      </c>
      <c r="D219" s="59">
        <f t="shared" si="22"/>
        <v>6</v>
      </c>
      <c r="E219" s="59">
        <f t="shared" si="23"/>
        <v>24</v>
      </c>
      <c r="F219" s="65" t="s">
        <v>57</v>
      </c>
      <c r="G219" s="65" t="s">
        <v>40</v>
      </c>
      <c r="H219" s="65" t="s">
        <v>567</v>
      </c>
      <c r="I219" s="65" t="s">
        <v>67</v>
      </c>
      <c r="J219" s="65" t="s">
        <v>143</v>
      </c>
      <c r="K219" s="65" t="s">
        <v>72</v>
      </c>
      <c r="L219" s="65" t="s">
        <v>113</v>
      </c>
      <c r="M219" s="67">
        <v>969</v>
      </c>
      <c r="N219" s="65" t="s">
        <v>163</v>
      </c>
      <c r="O219" s="68">
        <v>733.16</v>
      </c>
      <c r="P219" s="68">
        <v>710432.04</v>
      </c>
      <c r="Q219" s="68">
        <v>42147.199999999997</v>
      </c>
      <c r="R219" s="62">
        <f t="shared" si="24"/>
        <v>5.9326153139151766E-2</v>
      </c>
      <c r="S219" s="67">
        <v>28</v>
      </c>
      <c r="T219" s="66">
        <v>45484</v>
      </c>
      <c r="U219" s="66">
        <v>45486</v>
      </c>
      <c r="V219" s="63">
        <f t="shared" si="25"/>
        <v>2</v>
      </c>
      <c r="W219" s="65" t="s">
        <v>125</v>
      </c>
      <c r="X219" s="64" t="b">
        <f t="shared" si="26"/>
        <v>0</v>
      </c>
      <c r="Y219" s="67">
        <v>478</v>
      </c>
      <c r="Z219" s="67">
        <v>412</v>
      </c>
      <c r="AA219" s="65" t="s">
        <v>81</v>
      </c>
      <c r="AB219" s="64" t="b">
        <f t="shared" si="27"/>
        <v>1</v>
      </c>
    </row>
    <row r="220" spans="1:28" ht="15" customHeight="1" x14ac:dyDescent="0.3">
      <c r="A220" s="57" t="s">
        <v>568</v>
      </c>
      <c r="B220" s="82">
        <v>45389</v>
      </c>
      <c r="C220" s="59">
        <f t="shared" si="21"/>
        <v>2024</v>
      </c>
      <c r="D220" s="59">
        <f t="shared" si="22"/>
        <v>4</v>
      </c>
      <c r="E220" s="59">
        <f t="shared" si="23"/>
        <v>15</v>
      </c>
      <c r="F220" s="57" t="s">
        <v>61</v>
      </c>
      <c r="G220" s="57" t="s">
        <v>41</v>
      </c>
      <c r="H220" s="57" t="s">
        <v>569</v>
      </c>
      <c r="I220" s="57" t="s">
        <v>65</v>
      </c>
      <c r="J220" s="57" t="s">
        <v>112</v>
      </c>
      <c r="K220" s="57" t="s">
        <v>73</v>
      </c>
      <c r="L220" s="57" t="s">
        <v>156</v>
      </c>
      <c r="M220" s="60">
        <v>175</v>
      </c>
      <c r="N220" s="57" t="s">
        <v>120</v>
      </c>
      <c r="O220" s="61">
        <v>449.52</v>
      </c>
      <c r="P220" s="61">
        <v>78666</v>
      </c>
      <c r="Q220" s="61">
        <v>2673.96</v>
      </c>
      <c r="R220" s="62">
        <f t="shared" si="24"/>
        <v>3.3991305011059417E-2</v>
      </c>
      <c r="S220" s="60">
        <v>25</v>
      </c>
      <c r="T220" s="58">
        <v>45414</v>
      </c>
      <c r="U220" s="58">
        <v>45422</v>
      </c>
      <c r="V220" s="63">
        <f t="shared" si="25"/>
        <v>8</v>
      </c>
      <c r="W220" s="57" t="s">
        <v>125</v>
      </c>
      <c r="X220" s="64" t="b">
        <f t="shared" si="26"/>
        <v>0</v>
      </c>
      <c r="Y220" s="60">
        <v>113</v>
      </c>
      <c r="Z220" s="60">
        <v>422</v>
      </c>
      <c r="AA220" s="57" t="s">
        <v>116</v>
      </c>
      <c r="AB220" s="64" t="b">
        <f t="shared" si="27"/>
        <v>0</v>
      </c>
    </row>
    <row r="221" spans="1:28" ht="15" customHeight="1" x14ac:dyDescent="0.3">
      <c r="A221" s="65" t="s">
        <v>570</v>
      </c>
      <c r="B221" s="81">
        <v>45050</v>
      </c>
      <c r="C221" s="59">
        <f t="shared" si="21"/>
        <v>2023</v>
      </c>
      <c r="D221" s="59">
        <f t="shared" si="22"/>
        <v>5</v>
      </c>
      <c r="E221" s="59">
        <f t="shared" si="23"/>
        <v>18</v>
      </c>
      <c r="F221" s="65" t="s">
        <v>61</v>
      </c>
      <c r="G221" s="65" t="s">
        <v>46</v>
      </c>
      <c r="H221" s="65" t="s">
        <v>571</v>
      </c>
      <c r="I221" s="65" t="s">
        <v>69</v>
      </c>
      <c r="J221" s="65" t="s">
        <v>112</v>
      </c>
      <c r="K221" s="65" t="s">
        <v>74</v>
      </c>
      <c r="L221" s="65" t="s">
        <v>113</v>
      </c>
      <c r="M221" s="67">
        <v>392</v>
      </c>
      <c r="N221" s="65" t="s">
        <v>140</v>
      </c>
      <c r="O221" s="68">
        <v>87.22</v>
      </c>
      <c r="P221" s="68">
        <v>34190.239999999998</v>
      </c>
      <c r="Q221" s="68">
        <v>2457.0500000000002</v>
      </c>
      <c r="R221" s="62">
        <f t="shared" si="24"/>
        <v>7.186407582982747E-2</v>
      </c>
      <c r="S221" s="67">
        <v>7</v>
      </c>
      <c r="T221" s="66">
        <v>45057</v>
      </c>
      <c r="U221" s="66">
        <v>45052</v>
      </c>
      <c r="V221" s="63">
        <f t="shared" si="25"/>
        <v>-5</v>
      </c>
      <c r="W221" s="65" t="s">
        <v>125</v>
      </c>
      <c r="X221" s="64" t="b">
        <f t="shared" si="26"/>
        <v>0</v>
      </c>
      <c r="Y221" s="67">
        <v>369</v>
      </c>
      <c r="Z221" s="67">
        <v>56</v>
      </c>
      <c r="AA221" s="65" t="s">
        <v>83</v>
      </c>
      <c r="AB221" s="64" t="b">
        <f t="shared" si="27"/>
        <v>1</v>
      </c>
    </row>
    <row r="222" spans="1:28" ht="15" customHeight="1" x14ac:dyDescent="0.3">
      <c r="A222" s="57" t="s">
        <v>572</v>
      </c>
      <c r="B222" s="82">
        <v>45180</v>
      </c>
      <c r="C222" s="59">
        <f t="shared" si="21"/>
        <v>2023</v>
      </c>
      <c r="D222" s="59">
        <f t="shared" si="22"/>
        <v>9</v>
      </c>
      <c r="E222" s="59">
        <f t="shared" si="23"/>
        <v>37</v>
      </c>
      <c r="F222" s="57" t="s">
        <v>53</v>
      </c>
      <c r="G222" s="57" t="s">
        <v>43</v>
      </c>
      <c r="H222" s="57" t="s">
        <v>573</v>
      </c>
      <c r="I222" s="57" t="s">
        <v>69</v>
      </c>
      <c r="J222" s="57" t="s">
        <v>143</v>
      </c>
      <c r="K222" s="57" t="s">
        <v>72</v>
      </c>
      <c r="L222" s="57" t="s">
        <v>119</v>
      </c>
      <c r="M222" s="60">
        <v>865</v>
      </c>
      <c r="N222" s="57" t="s">
        <v>114</v>
      </c>
      <c r="O222" s="61">
        <v>187.72</v>
      </c>
      <c r="P222" s="61">
        <v>162377.79999999999</v>
      </c>
      <c r="Q222" s="61">
        <v>6261.63</v>
      </c>
      <c r="R222" s="62">
        <f t="shared" si="24"/>
        <v>3.8562106396317727E-2</v>
      </c>
      <c r="S222" s="60">
        <v>1</v>
      </c>
      <c r="T222" s="58">
        <v>45181</v>
      </c>
      <c r="U222" s="58">
        <v>45183</v>
      </c>
      <c r="V222" s="63">
        <f t="shared" si="25"/>
        <v>2</v>
      </c>
      <c r="W222" s="57" t="s">
        <v>128</v>
      </c>
      <c r="X222" s="64" t="b">
        <f t="shared" si="26"/>
        <v>0</v>
      </c>
      <c r="Y222" s="60">
        <v>460</v>
      </c>
      <c r="Z222" s="60">
        <v>118</v>
      </c>
      <c r="AA222" s="57" t="s">
        <v>82</v>
      </c>
      <c r="AB222" s="64" t="b">
        <f t="shared" si="27"/>
        <v>1</v>
      </c>
    </row>
    <row r="223" spans="1:28" ht="15" customHeight="1" x14ac:dyDescent="0.3">
      <c r="A223" s="65" t="s">
        <v>574</v>
      </c>
      <c r="B223" s="81">
        <v>45157</v>
      </c>
      <c r="C223" s="59">
        <f t="shared" si="21"/>
        <v>2023</v>
      </c>
      <c r="D223" s="59">
        <f t="shared" si="22"/>
        <v>8</v>
      </c>
      <c r="E223" s="59">
        <f t="shared" si="23"/>
        <v>33</v>
      </c>
      <c r="F223" s="65" t="s">
        <v>59</v>
      </c>
      <c r="G223" s="65" t="s">
        <v>42</v>
      </c>
      <c r="H223" s="65" t="s">
        <v>575</v>
      </c>
      <c r="I223" s="65" t="s">
        <v>66</v>
      </c>
      <c r="J223" s="65" t="s">
        <v>139</v>
      </c>
      <c r="K223" s="65" t="s">
        <v>73</v>
      </c>
      <c r="L223" s="65" t="s">
        <v>113</v>
      </c>
      <c r="M223" s="67">
        <v>904</v>
      </c>
      <c r="N223" s="65" t="s">
        <v>140</v>
      </c>
      <c r="O223" s="68">
        <v>105.63</v>
      </c>
      <c r="P223" s="68">
        <v>95489.52</v>
      </c>
      <c r="Q223" s="68">
        <v>5886.73</v>
      </c>
      <c r="R223" s="62">
        <f t="shared" si="24"/>
        <v>6.1647916965128731E-2</v>
      </c>
      <c r="S223" s="67">
        <v>1</v>
      </c>
      <c r="T223" s="66">
        <v>45158</v>
      </c>
      <c r="U223" s="66">
        <v>45158</v>
      </c>
      <c r="V223" s="63">
        <f t="shared" si="25"/>
        <v>0</v>
      </c>
      <c r="W223" s="65" t="s">
        <v>115</v>
      </c>
      <c r="X223" s="64" t="b">
        <f t="shared" si="26"/>
        <v>1</v>
      </c>
      <c r="Y223" s="67">
        <v>379</v>
      </c>
      <c r="Z223" s="67">
        <v>475</v>
      </c>
      <c r="AA223" s="65" t="s">
        <v>84</v>
      </c>
      <c r="AB223" s="64" t="b">
        <f t="shared" si="27"/>
        <v>1</v>
      </c>
    </row>
    <row r="224" spans="1:28" ht="15" customHeight="1" x14ac:dyDescent="0.3">
      <c r="A224" s="57" t="s">
        <v>576</v>
      </c>
      <c r="B224" s="82">
        <v>44992</v>
      </c>
      <c r="C224" s="59">
        <f t="shared" si="21"/>
        <v>2023</v>
      </c>
      <c r="D224" s="59">
        <f t="shared" si="22"/>
        <v>3</v>
      </c>
      <c r="E224" s="59">
        <f t="shared" si="23"/>
        <v>10</v>
      </c>
      <c r="F224" s="57" t="s">
        <v>56</v>
      </c>
      <c r="G224" s="57" t="s">
        <v>40</v>
      </c>
      <c r="H224" s="57" t="s">
        <v>577</v>
      </c>
      <c r="I224" s="57" t="s">
        <v>64</v>
      </c>
      <c r="J224" s="57" t="s">
        <v>112</v>
      </c>
      <c r="K224" s="57" t="s">
        <v>71</v>
      </c>
      <c r="L224" s="57" t="s">
        <v>156</v>
      </c>
      <c r="M224" s="60">
        <v>385</v>
      </c>
      <c r="N224" s="57" t="s">
        <v>136</v>
      </c>
      <c r="O224" s="61">
        <v>811.6</v>
      </c>
      <c r="P224" s="61">
        <v>312466</v>
      </c>
      <c r="Q224" s="61">
        <v>6551.62</v>
      </c>
      <c r="R224" s="62">
        <f t="shared" si="24"/>
        <v>2.0967465260220312E-2</v>
      </c>
      <c r="S224" s="60">
        <v>25</v>
      </c>
      <c r="T224" s="58">
        <v>45017</v>
      </c>
      <c r="U224" s="58">
        <v>45014</v>
      </c>
      <c r="V224" s="63">
        <f t="shared" si="25"/>
        <v>-3</v>
      </c>
      <c r="W224" s="57" t="s">
        <v>115</v>
      </c>
      <c r="X224" s="64" t="b">
        <f t="shared" si="26"/>
        <v>1</v>
      </c>
      <c r="Y224" s="60">
        <v>145</v>
      </c>
      <c r="Z224" s="60">
        <v>164</v>
      </c>
      <c r="AA224" s="57" t="s">
        <v>81</v>
      </c>
      <c r="AB224" s="64" t="b">
        <f t="shared" si="27"/>
        <v>1</v>
      </c>
    </row>
    <row r="225" spans="1:28" ht="15" customHeight="1" x14ac:dyDescent="0.3">
      <c r="A225" s="65" t="s">
        <v>578</v>
      </c>
      <c r="B225" s="81">
        <v>45273</v>
      </c>
      <c r="C225" s="59">
        <f t="shared" si="21"/>
        <v>2023</v>
      </c>
      <c r="D225" s="59">
        <f t="shared" si="22"/>
        <v>12</v>
      </c>
      <c r="E225" s="59">
        <f t="shared" si="23"/>
        <v>50</v>
      </c>
      <c r="F225" s="65" t="s">
        <v>54</v>
      </c>
      <c r="G225" s="65" t="s">
        <v>45</v>
      </c>
      <c r="H225" s="65" t="s">
        <v>579</v>
      </c>
      <c r="I225" s="65" t="s">
        <v>65</v>
      </c>
      <c r="J225" s="65" t="s">
        <v>139</v>
      </c>
      <c r="K225" s="65" t="s">
        <v>74</v>
      </c>
      <c r="L225" s="65" t="s">
        <v>119</v>
      </c>
      <c r="M225" s="67">
        <v>480</v>
      </c>
      <c r="N225" s="65" t="s">
        <v>163</v>
      </c>
      <c r="O225" s="68">
        <v>162.28</v>
      </c>
      <c r="P225" s="68">
        <v>77894.399999999994</v>
      </c>
      <c r="Q225" s="68">
        <v>3299.56</v>
      </c>
      <c r="R225" s="62">
        <f t="shared" si="24"/>
        <v>4.2359399391997371E-2</v>
      </c>
      <c r="S225" s="67">
        <v>27</v>
      </c>
      <c r="T225" s="66">
        <v>45300</v>
      </c>
      <c r="U225" s="66">
        <v>45297</v>
      </c>
      <c r="V225" s="63">
        <f t="shared" si="25"/>
        <v>-3</v>
      </c>
      <c r="W225" s="65" t="s">
        <v>115</v>
      </c>
      <c r="X225" s="64" t="b">
        <f t="shared" si="26"/>
        <v>1</v>
      </c>
      <c r="Y225" s="67">
        <v>464</v>
      </c>
      <c r="Z225" s="67">
        <v>476</v>
      </c>
      <c r="AA225" s="65" t="s">
        <v>83</v>
      </c>
      <c r="AB225" s="64" t="b">
        <f t="shared" si="27"/>
        <v>1</v>
      </c>
    </row>
    <row r="226" spans="1:28" ht="15" customHeight="1" x14ac:dyDescent="0.3">
      <c r="A226" s="57" t="s">
        <v>580</v>
      </c>
      <c r="B226" s="82">
        <v>44948</v>
      </c>
      <c r="C226" s="59">
        <f t="shared" si="21"/>
        <v>2023</v>
      </c>
      <c r="D226" s="59">
        <f t="shared" si="22"/>
        <v>1</v>
      </c>
      <c r="E226" s="59">
        <f t="shared" si="23"/>
        <v>4</v>
      </c>
      <c r="F226" s="57" t="s">
        <v>55</v>
      </c>
      <c r="G226" s="57" t="s">
        <v>40</v>
      </c>
      <c r="H226" s="57" t="s">
        <v>581</v>
      </c>
      <c r="I226" s="57" t="s">
        <v>67</v>
      </c>
      <c r="J226" s="57" t="s">
        <v>112</v>
      </c>
      <c r="K226" s="57" t="s">
        <v>73</v>
      </c>
      <c r="L226" s="57" t="s">
        <v>119</v>
      </c>
      <c r="M226" s="60">
        <v>799</v>
      </c>
      <c r="N226" s="57" t="s">
        <v>140</v>
      </c>
      <c r="O226" s="61">
        <v>566.86</v>
      </c>
      <c r="P226" s="61">
        <v>452921.14</v>
      </c>
      <c r="Q226" s="61">
        <v>18616.23</v>
      </c>
      <c r="R226" s="62">
        <f t="shared" si="24"/>
        <v>4.1102585761397664E-2</v>
      </c>
      <c r="S226" s="60">
        <v>25</v>
      </c>
      <c r="T226" s="58">
        <v>44973</v>
      </c>
      <c r="U226" s="58">
        <v>44973</v>
      </c>
      <c r="V226" s="63">
        <f t="shared" si="25"/>
        <v>0</v>
      </c>
      <c r="W226" s="57" t="s">
        <v>115</v>
      </c>
      <c r="X226" s="64" t="b">
        <f t="shared" si="26"/>
        <v>1</v>
      </c>
      <c r="Y226" s="60">
        <v>236</v>
      </c>
      <c r="Z226" s="60">
        <v>63</v>
      </c>
      <c r="AA226" s="57" t="s">
        <v>116</v>
      </c>
      <c r="AB226" s="64" t="b">
        <f t="shared" si="27"/>
        <v>0</v>
      </c>
    </row>
    <row r="227" spans="1:28" ht="15" customHeight="1" x14ac:dyDescent="0.3">
      <c r="A227" s="65" t="s">
        <v>582</v>
      </c>
      <c r="B227" s="81">
        <v>45529</v>
      </c>
      <c r="C227" s="59">
        <f t="shared" si="21"/>
        <v>2024</v>
      </c>
      <c r="D227" s="59">
        <f t="shared" si="22"/>
        <v>8</v>
      </c>
      <c r="E227" s="59">
        <f t="shared" si="23"/>
        <v>35</v>
      </c>
      <c r="F227" s="65" t="s">
        <v>53</v>
      </c>
      <c r="G227" s="65" t="s">
        <v>41</v>
      </c>
      <c r="H227" s="65" t="s">
        <v>583</v>
      </c>
      <c r="I227" s="65" t="s">
        <v>64</v>
      </c>
      <c r="J227" s="65" t="s">
        <v>131</v>
      </c>
      <c r="K227" s="65" t="s">
        <v>72</v>
      </c>
      <c r="L227" s="65" t="s">
        <v>146</v>
      </c>
      <c r="M227" s="67">
        <v>651</v>
      </c>
      <c r="N227" s="65" t="s">
        <v>120</v>
      </c>
      <c r="O227" s="68">
        <v>567.70000000000005</v>
      </c>
      <c r="P227" s="68">
        <v>369572.7</v>
      </c>
      <c r="Q227" s="68">
        <v>19442.87</v>
      </c>
      <c r="R227" s="62">
        <f t="shared" si="24"/>
        <v>5.2609053644925609E-2</v>
      </c>
      <c r="S227" s="67">
        <v>20</v>
      </c>
      <c r="T227" s="66">
        <v>45549</v>
      </c>
      <c r="U227" s="66">
        <v>45557</v>
      </c>
      <c r="V227" s="63">
        <f t="shared" si="25"/>
        <v>8</v>
      </c>
      <c r="W227" s="65" t="s">
        <v>128</v>
      </c>
      <c r="X227" s="64" t="b">
        <f t="shared" si="26"/>
        <v>0</v>
      </c>
      <c r="Y227" s="67">
        <v>475</v>
      </c>
      <c r="Z227" s="67">
        <v>47</v>
      </c>
      <c r="AA227" s="65" t="s">
        <v>116</v>
      </c>
      <c r="AB227" s="64" t="b">
        <f t="shared" si="27"/>
        <v>0</v>
      </c>
    </row>
    <row r="228" spans="1:28" ht="15" customHeight="1" x14ac:dyDescent="0.3">
      <c r="A228" s="57" t="s">
        <v>584</v>
      </c>
      <c r="B228" s="82">
        <v>45494</v>
      </c>
      <c r="C228" s="59">
        <f t="shared" si="21"/>
        <v>2024</v>
      </c>
      <c r="D228" s="59">
        <f t="shared" si="22"/>
        <v>7</v>
      </c>
      <c r="E228" s="59">
        <f t="shared" si="23"/>
        <v>30</v>
      </c>
      <c r="F228" s="57" t="s">
        <v>52</v>
      </c>
      <c r="G228" s="57" t="s">
        <v>42</v>
      </c>
      <c r="H228" s="57" t="s">
        <v>585</v>
      </c>
      <c r="I228" s="57" t="s">
        <v>66</v>
      </c>
      <c r="J228" s="57" t="s">
        <v>131</v>
      </c>
      <c r="K228" s="57" t="s">
        <v>72</v>
      </c>
      <c r="L228" s="57" t="s">
        <v>119</v>
      </c>
      <c r="M228" s="60">
        <v>40</v>
      </c>
      <c r="N228" s="57" t="s">
        <v>114</v>
      </c>
      <c r="O228" s="61">
        <v>118.45</v>
      </c>
      <c r="P228" s="61">
        <v>4738</v>
      </c>
      <c r="Q228" s="61">
        <v>142.36009999999999</v>
      </c>
      <c r="R228" s="62">
        <f t="shared" si="24"/>
        <v>3.0046454200084421E-2</v>
      </c>
      <c r="S228" s="60">
        <v>13</v>
      </c>
      <c r="T228" s="58">
        <v>45507</v>
      </c>
      <c r="U228" s="58">
        <v>45510</v>
      </c>
      <c r="V228" s="63">
        <f t="shared" si="25"/>
        <v>3</v>
      </c>
      <c r="W228" s="57" t="s">
        <v>125</v>
      </c>
      <c r="X228" s="64" t="b">
        <f t="shared" si="26"/>
        <v>0</v>
      </c>
      <c r="Y228" s="60">
        <v>459</v>
      </c>
      <c r="Z228" s="60">
        <v>149</v>
      </c>
      <c r="AA228" s="57" t="s">
        <v>116</v>
      </c>
      <c r="AB228" s="64" t="b">
        <f t="shared" si="27"/>
        <v>0</v>
      </c>
    </row>
    <row r="229" spans="1:28" ht="15" customHeight="1" x14ac:dyDescent="0.3">
      <c r="A229" s="65" t="s">
        <v>586</v>
      </c>
      <c r="B229" s="81">
        <v>45162</v>
      </c>
      <c r="C229" s="59">
        <f t="shared" si="21"/>
        <v>2023</v>
      </c>
      <c r="D229" s="59">
        <f t="shared" si="22"/>
        <v>8</v>
      </c>
      <c r="E229" s="59">
        <f t="shared" si="23"/>
        <v>34</v>
      </c>
      <c r="F229" s="65" t="s">
        <v>54</v>
      </c>
      <c r="G229" s="65" t="s">
        <v>44</v>
      </c>
      <c r="H229" s="65" t="s">
        <v>587</v>
      </c>
      <c r="I229" s="65" t="s">
        <v>64</v>
      </c>
      <c r="J229" s="65" t="s">
        <v>143</v>
      </c>
      <c r="K229" s="65" t="s">
        <v>71</v>
      </c>
      <c r="L229" s="65" t="s">
        <v>119</v>
      </c>
      <c r="M229" s="67">
        <v>384</v>
      </c>
      <c r="N229" s="65" t="s">
        <v>136</v>
      </c>
      <c r="O229" s="68">
        <v>119.44</v>
      </c>
      <c r="P229" s="68">
        <v>45864.959999999999</v>
      </c>
      <c r="Q229" s="68">
        <v>3091.66</v>
      </c>
      <c r="R229" s="62">
        <f t="shared" si="24"/>
        <v>6.7407886107390041E-2</v>
      </c>
      <c r="S229" s="67">
        <v>9</v>
      </c>
      <c r="T229" s="66">
        <v>45171</v>
      </c>
      <c r="U229" s="66">
        <v>45166</v>
      </c>
      <c r="V229" s="63">
        <f t="shared" si="25"/>
        <v>-5</v>
      </c>
      <c r="W229" s="65" t="s">
        <v>115</v>
      </c>
      <c r="X229" s="64" t="b">
        <f t="shared" si="26"/>
        <v>1</v>
      </c>
      <c r="Y229" s="67">
        <v>418</v>
      </c>
      <c r="Z229" s="67">
        <v>483</v>
      </c>
      <c r="AA229" s="65" t="s">
        <v>116</v>
      </c>
      <c r="AB229" s="64" t="b">
        <f t="shared" si="27"/>
        <v>0</v>
      </c>
    </row>
    <row r="230" spans="1:28" ht="15" customHeight="1" x14ac:dyDescent="0.3">
      <c r="A230" s="57" t="s">
        <v>588</v>
      </c>
      <c r="B230" s="82">
        <v>45529</v>
      </c>
      <c r="C230" s="59">
        <f t="shared" si="21"/>
        <v>2024</v>
      </c>
      <c r="D230" s="59">
        <f t="shared" si="22"/>
        <v>8</v>
      </c>
      <c r="E230" s="59">
        <f t="shared" si="23"/>
        <v>35</v>
      </c>
      <c r="F230" s="57" t="s">
        <v>58</v>
      </c>
      <c r="G230" s="57" t="s">
        <v>44</v>
      </c>
      <c r="H230" s="57" t="s">
        <v>589</v>
      </c>
      <c r="I230" s="57" t="s">
        <v>66</v>
      </c>
      <c r="J230" s="57" t="s">
        <v>112</v>
      </c>
      <c r="K230" s="57" t="s">
        <v>74</v>
      </c>
      <c r="L230" s="57" t="s">
        <v>113</v>
      </c>
      <c r="M230" s="60">
        <v>20</v>
      </c>
      <c r="N230" s="57" t="s">
        <v>120</v>
      </c>
      <c r="O230" s="61">
        <v>118.29</v>
      </c>
      <c r="P230" s="61">
        <v>3302.8089</v>
      </c>
      <c r="Q230" s="61">
        <v>142.36009999999999</v>
      </c>
      <c r="R230" s="62">
        <f t="shared" si="24"/>
        <v>4.3102735977246516E-2</v>
      </c>
      <c r="S230" s="60">
        <v>3</v>
      </c>
      <c r="T230" s="58">
        <v>45532</v>
      </c>
      <c r="U230" s="58">
        <v>45544</v>
      </c>
      <c r="V230" s="63">
        <f t="shared" si="25"/>
        <v>12</v>
      </c>
      <c r="W230" s="57" t="s">
        <v>128</v>
      </c>
      <c r="X230" s="64" t="b">
        <f t="shared" si="26"/>
        <v>0</v>
      </c>
      <c r="Y230" s="60">
        <v>85</v>
      </c>
      <c r="Z230" s="60">
        <v>157</v>
      </c>
      <c r="AA230" s="57" t="s">
        <v>83</v>
      </c>
      <c r="AB230" s="64" t="b">
        <f t="shared" si="27"/>
        <v>1</v>
      </c>
    </row>
    <row r="231" spans="1:28" ht="15" customHeight="1" x14ac:dyDescent="0.3">
      <c r="A231" s="65" t="s">
        <v>590</v>
      </c>
      <c r="B231" s="81">
        <v>45152</v>
      </c>
      <c r="C231" s="59">
        <f t="shared" si="21"/>
        <v>2023</v>
      </c>
      <c r="D231" s="59">
        <f t="shared" si="22"/>
        <v>8</v>
      </c>
      <c r="E231" s="59">
        <f t="shared" si="23"/>
        <v>33</v>
      </c>
      <c r="F231" s="65" t="s">
        <v>52</v>
      </c>
      <c r="G231" s="65" t="s">
        <v>45</v>
      </c>
      <c r="H231" s="65" t="s">
        <v>591</v>
      </c>
      <c r="I231" s="65" t="s">
        <v>68</v>
      </c>
      <c r="J231" s="65" t="s">
        <v>151</v>
      </c>
      <c r="K231" s="65" t="s">
        <v>74</v>
      </c>
      <c r="L231" s="65" t="s">
        <v>124</v>
      </c>
      <c r="M231" s="67">
        <v>997</v>
      </c>
      <c r="N231" s="65" t="s">
        <v>163</v>
      </c>
      <c r="O231" s="68">
        <v>195.05</v>
      </c>
      <c r="P231" s="68">
        <v>194464.85</v>
      </c>
      <c r="Q231" s="68">
        <v>11788.9</v>
      </c>
      <c r="R231" s="62">
        <f t="shared" si="24"/>
        <v>6.0622266697554848E-2</v>
      </c>
      <c r="S231" s="67">
        <v>7</v>
      </c>
      <c r="T231" s="66">
        <v>45159</v>
      </c>
      <c r="U231" s="66">
        <v>45159</v>
      </c>
      <c r="V231" s="63">
        <f t="shared" si="25"/>
        <v>0</v>
      </c>
      <c r="W231" s="65" t="s">
        <v>115</v>
      </c>
      <c r="X231" s="64" t="b">
        <f t="shared" si="26"/>
        <v>1</v>
      </c>
      <c r="Y231" s="67">
        <v>166</v>
      </c>
      <c r="Z231" s="67">
        <v>155</v>
      </c>
      <c r="AA231" s="65" t="s">
        <v>116</v>
      </c>
      <c r="AB231" s="64" t="b">
        <f t="shared" si="27"/>
        <v>0</v>
      </c>
    </row>
    <row r="232" spans="1:28" ht="15" customHeight="1" x14ac:dyDescent="0.3">
      <c r="A232" s="57" t="s">
        <v>592</v>
      </c>
      <c r="B232" s="82">
        <v>44934</v>
      </c>
      <c r="C232" s="59">
        <f t="shared" si="21"/>
        <v>2023</v>
      </c>
      <c r="D232" s="59">
        <f t="shared" si="22"/>
        <v>1</v>
      </c>
      <c r="E232" s="59">
        <f t="shared" si="23"/>
        <v>2</v>
      </c>
      <c r="F232" s="57" t="s">
        <v>59</v>
      </c>
      <c r="G232" s="57" t="s">
        <v>46</v>
      </c>
      <c r="H232" s="57" t="s">
        <v>593</v>
      </c>
      <c r="I232" s="57" t="s">
        <v>69</v>
      </c>
      <c r="J232" s="57" t="s">
        <v>139</v>
      </c>
      <c r="K232" s="57" t="s">
        <v>73</v>
      </c>
      <c r="L232" s="57" t="s">
        <v>119</v>
      </c>
      <c r="M232" s="60">
        <v>311</v>
      </c>
      <c r="N232" s="57" t="s">
        <v>136</v>
      </c>
      <c r="O232" s="61">
        <v>66.989999999999995</v>
      </c>
      <c r="P232" s="61">
        <v>20833.89</v>
      </c>
      <c r="Q232" s="61">
        <v>1420.72</v>
      </c>
      <c r="R232" s="62">
        <f t="shared" si="24"/>
        <v>6.8192737890043584E-2</v>
      </c>
      <c r="S232" s="60">
        <v>6</v>
      </c>
      <c r="T232" s="58">
        <v>44940</v>
      </c>
      <c r="U232" s="58">
        <v>44943</v>
      </c>
      <c r="V232" s="63">
        <f t="shared" si="25"/>
        <v>3</v>
      </c>
      <c r="W232" s="57" t="s">
        <v>125</v>
      </c>
      <c r="X232" s="64" t="b">
        <f t="shared" si="26"/>
        <v>0</v>
      </c>
      <c r="Y232" s="60">
        <v>128</v>
      </c>
      <c r="Z232" s="60">
        <v>150</v>
      </c>
      <c r="AA232" s="57" t="s">
        <v>116</v>
      </c>
      <c r="AB232" s="64" t="b">
        <f t="shared" si="27"/>
        <v>0</v>
      </c>
    </row>
    <row r="233" spans="1:28" ht="15" customHeight="1" x14ac:dyDescent="0.3">
      <c r="A233" s="65" t="s">
        <v>594</v>
      </c>
      <c r="B233" s="81">
        <v>44999</v>
      </c>
      <c r="C233" s="59">
        <f t="shared" si="21"/>
        <v>2023</v>
      </c>
      <c r="D233" s="59">
        <f t="shared" si="22"/>
        <v>3</v>
      </c>
      <c r="E233" s="59">
        <f t="shared" si="23"/>
        <v>11</v>
      </c>
      <c r="F233" s="65" t="s">
        <v>59</v>
      </c>
      <c r="G233" s="65" t="s">
        <v>44</v>
      </c>
      <c r="H233" s="65" t="s">
        <v>595</v>
      </c>
      <c r="I233" s="65" t="s">
        <v>69</v>
      </c>
      <c r="J233" s="65" t="s">
        <v>112</v>
      </c>
      <c r="K233" s="65" t="s">
        <v>72</v>
      </c>
      <c r="L233" s="65" t="s">
        <v>135</v>
      </c>
      <c r="M233" s="67">
        <v>105</v>
      </c>
      <c r="N233" s="65" t="s">
        <v>136</v>
      </c>
      <c r="O233" s="68">
        <v>126.3</v>
      </c>
      <c r="P233" s="68">
        <v>13261.5</v>
      </c>
      <c r="Q233" s="68">
        <v>712.31</v>
      </c>
      <c r="R233" s="62">
        <f t="shared" si="24"/>
        <v>5.3712626776759788E-2</v>
      </c>
      <c r="S233" s="67">
        <v>8</v>
      </c>
      <c r="T233" s="66">
        <v>45007</v>
      </c>
      <c r="U233" s="66">
        <v>45009</v>
      </c>
      <c r="V233" s="63">
        <f t="shared" si="25"/>
        <v>2</v>
      </c>
      <c r="W233" s="65" t="s">
        <v>125</v>
      </c>
      <c r="X233" s="64" t="b">
        <f t="shared" si="26"/>
        <v>0</v>
      </c>
      <c r="Y233" s="67">
        <v>164</v>
      </c>
      <c r="Z233" s="67">
        <v>224</v>
      </c>
      <c r="AA233" s="65" t="s">
        <v>81</v>
      </c>
      <c r="AB233" s="64" t="b">
        <f t="shared" si="27"/>
        <v>1</v>
      </c>
    </row>
    <row r="234" spans="1:28" ht="15" customHeight="1" x14ac:dyDescent="0.3">
      <c r="A234" s="57" t="s">
        <v>596</v>
      </c>
      <c r="B234" s="82">
        <v>45651</v>
      </c>
      <c r="C234" s="59">
        <f t="shared" si="21"/>
        <v>2024</v>
      </c>
      <c r="D234" s="59">
        <f t="shared" si="22"/>
        <v>12</v>
      </c>
      <c r="E234" s="59">
        <f t="shared" si="23"/>
        <v>52</v>
      </c>
      <c r="F234" s="57" t="s">
        <v>61</v>
      </c>
      <c r="G234" s="57" t="s">
        <v>40</v>
      </c>
      <c r="H234" s="57" t="s">
        <v>597</v>
      </c>
      <c r="I234" s="57" t="s">
        <v>64</v>
      </c>
      <c r="J234" s="57" t="s">
        <v>143</v>
      </c>
      <c r="K234" s="57" t="s">
        <v>72</v>
      </c>
      <c r="L234" s="57" t="s">
        <v>124</v>
      </c>
      <c r="M234" s="60">
        <v>199</v>
      </c>
      <c r="N234" s="57" t="s">
        <v>136</v>
      </c>
      <c r="O234" s="61">
        <v>1123.1500000000001</v>
      </c>
      <c r="P234" s="61">
        <v>223506.85</v>
      </c>
      <c r="Q234" s="61">
        <v>14405.69</v>
      </c>
      <c r="R234" s="62">
        <f t="shared" si="24"/>
        <v>6.4453013408761292E-2</v>
      </c>
      <c r="S234" s="60">
        <v>27</v>
      </c>
      <c r="T234" s="58">
        <v>45678</v>
      </c>
      <c r="U234" s="58">
        <v>45686</v>
      </c>
      <c r="V234" s="63">
        <f t="shared" si="25"/>
        <v>8</v>
      </c>
      <c r="W234" s="57" t="s">
        <v>128</v>
      </c>
      <c r="X234" s="64" t="b">
        <f t="shared" si="26"/>
        <v>0</v>
      </c>
      <c r="Y234" s="60">
        <v>276</v>
      </c>
      <c r="Z234" s="60">
        <v>259</v>
      </c>
      <c r="AA234" s="57" t="s">
        <v>84</v>
      </c>
      <c r="AB234" s="64" t="b">
        <f t="shared" si="27"/>
        <v>1</v>
      </c>
    </row>
    <row r="235" spans="1:28" ht="15" customHeight="1" x14ac:dyDescent="0.3">
      <c r="A235" s="65" t="s">
        <v>598</v>
      </c>
      <c r="B235" s="81">
        <v>45573</v>
      </c>
      <c r="C235" s="59">
        <f t="shared" si="21"/>
        <v>2024</v>
      </c>
      <c r="D235" s="59">
        <f t="shared" si="22"/>
        <v>10</v>
      </c>
      <c r="E235" s="59">
        <f t="shared" si="23"/>
        <v>41</v>
      </c>
      <c r="F235" s="65" t="s">
        <v>57</v>
      </c>
      <c r="G235" s="65" t="s">
        <v>44</v>
      </c>
      <c r="H235" s="65" t="s">
        <v>599</v>
      </c>
      <c r="I235" s="65" t="s">
        <v>65</v>
      </c>
      <c r="J235" s="65" t="s">
        <v>139</v>
      </c>
      <c r="K235" s="65" t="s">
        <v>71</v>
      </c>
      <c r="L235" s="65" t="s">
        <v>146</v>
      </c>
      <c r="M235" s="67">
        <v>462</v>
      </c>
      <c r="N235" s="65" t="s">
        <v>114</v>
      </c>
      <c r="O235" s="68">
        <v>132.53</v>
      </c>
      <c r="P235" s="68">
        <v>61228.86</v>
      </c>
      <c r="Q235" s="68">
        <v>3656.07</v>
      </c>
      <c r="R235" s="62">
        <f t="shared" si="24"/>
        <v>5.9711547789718773E-2</v>
      </c>
      <c r="S235" s="67">
        <v>9</v>
      </c>
      <c r="T235" s="66">
        <v>45582</v>
      </c>
      <c r="U235" s="66">
        <v>45582</v>
      </c>
      <c r="V235" s="63">
        <f t="shared" si="25"/>
        <v>0</v>
      </c>
      <c r="W235" s="65" t="s">
        <v>115</v>
      </c>
      <c r="X235" s="64" t="b">
        <f t="shared" si="26"/>
        <v>1</v>
      </c>
      <c r="Y235" s="67">
        <v>256</v>
      </c>
      <c r="Z235" s="67">
        <v>386</v>
      </c>
      <c r="AA235" s="65" t="s">
        <v>82</v>
      </c>
      <c r="AB235" s="64" t="b">
        <f t="shared" si="27"/>
        <v>1</v>
      </c>
    </row>
    <row r="236" spans="1:28" ht="15" customHeight="1" x14ac:dyDescent="0.3">
      <c r="A236" s="57" t="s">
        <v>600</v>
      </c>
      <c r="B236" s="82">
        <v>44987</v>
      </c>
      <c r="C236" s="59">
        <f t="shared" si="21"/>
        <v>2023</v>
      </c>
      <c r="D236" s="59">
        <f t="shared" si="22"/>
        <v>3</v>
      </c>
      <c r="E236" s="59">
        <f t="shared" si="23"/>
        <v>9</v>
      </c>
      <c r="F236" s="57" t="s">
        <v>57</v>
      </c>
      <c r="G236" s="57" t="s">
        <v>43</v>
      </c>
      <c r="H236" s="57" t="s">
        <v>601</v>
      </c>
      <c r="I236" s="57" t="s">
        <v>67</v>
      </c>
      <c r="J236" s="57" t="s">
        <v>123</v>
      </c>
      <c r="K236" s="57" t="s">
        <v>71</v>
      </c>
      <c r="L236" s="57" t="s">
        <v>146</v>
      </c>
      <c r="M236" s="60">
        <v>201</v>
      </c>
      <c r="N236" s="57" t="s">
        <v>132</v>
      </c>
      <c r="O236" s="61">
        <v>221.24</v>
      </c>
      <c r="P236" s="61">
        <v>44469.24</v>
      </c>
      <c r="Q236" s="61">
        <v>1837.99</v>
      </c>
      <c r="R236" s="62">
        <f t="shared" si="24"/>
        <v>4.1331716035623731E-2</v>
      </c>
      <c r="S236" s="60">
        <v>5</v>
      </c>
      <c r="T236" s="58">
        <v>44992</v>
      </c>
      <c r="U236" s="58">
        <v>44991</v>
      </c>
      <c r="V236" s="63">
        <f t="shared" si="25"/>
        <v>-1</v>
      </c>
      <c r="W236" s="57" t="s">
        <v>115</v>
      </c>
      <c r="X236" s="64" t="b">
        <f t="shared" si="26"/>
        <v>1</v>
      </c>
      <c r="Y236" s="60">
        <v>131</v>
      </c>
      <c r="Z236" s="60">
        <v>255</v>
      </c>
      <c r="AA236" s="57" t="s">
        <v>82</v>
      </c>
      <c r="AB236" s="64" t="b">
        <f t="shared" si="27"/>
        <v>1</v>
      </c>
    </row>
    <row r="237" spans="1:28" ht="15" customHeight="1" x14ac:dyDescent="0.3">
      <c r="A237" s="65" t="s">
        <v>602</v>
      </c>
      <c r="B237" s="81">
        <v>45161</v>
      </c>
      <c r="C237" s="59">
        <f t="shared" si="21"/>
        <v>2023</v>
      </c>
      <c r="D237" s="59">
        <f t="shared" si="22"/>
        <v>8</v>
      </c>
      <c r="E237" s="59">
        <f t="shared" si="23"/>
        <v>34</v>
      </c>
      <c r="F237" s="65" t="s">
        <v>55</v>
      </c>
      <c r="G237" s="65" t="s">
        <v>43</v>
      </c>
      <c r="H237" s="65" t="s">
        <v>603</v>
      </c>
      <c r="I237" s="65" t="s">
        <v>66</v>
      </c>
      <c r="J237" s="65" t="s">
        <v>143</v>
      </c>
      <c r="K237" s="65" t="s">
        <v>74</v>
      </c>
      <c r="L237" s="65" t="s">
        <v>119</v>
      </c>
      <c r="M237" s="67">
        <v>495</v>
      </c>
      <c r="N237" s="65" t="s">
        <v>136</v>
      </c>
      <c r="O237" s="68">
        <v>162.13999999999999</v>
      </c>
      <c r="P237" s="68">
        <v>80259.3</v>
      </c>
      <c r="Q237" s="68">
        <v>5500.29</v>
      </c>
      <c r="R237" s="62">
        <f t="shared" si="24"/>
        <v>6.8531497284426854E-2</v>
      </c>
      <c r="S237" s="67">
        <v>1</v>
      </c>
      <c r="T237" s="66">
        <v>45162</v>
      </c>
      <c r="U237" s="66">
        <v>45164</v>
      </c>
      <c r="V237" s="63">
        <f t="shared" si="25"/>
        <v>2</v>
      </c>
      <c r="W237" s="65" t="s">
        <v>125</v>
      </c>
      <c r="X237" s="64" t="b">
        <f t="shared" si="26"/>
        <v>0</v>
      </c>
      <c r="Y237" s="67">
        <v>479</v>
      </c>
      <c r="Z237" s="67">
        <v>60</v>
      </c>
      <c r="AA237" s="65" t="s">
        <v>83</v>
      </c>
      <c r="AB237" s="64" t="b">
        <f t="shared" si="27"/>
        <v>1</v>
      </c>
    </row>
    <row r="238" spans="1:28" ht="15" customHeight="1" x14ac:dyDescent="0.3">
      <c r="A238" s="57" t="s">
        <v>604</v>
      </c>
      <c r="B238" s="82">
        <v>44996</v>
      </c>
      <c r="C238" s="59">
        <f t="shared" si="21"/>
        <v>2023</v>
      </c>
      <c r="D238" s="59">
        <f t="shared" si="22"/>
        <v>3</v>
      </c>
      <c r="E238" s="59">
        <f t="shared" si="23"/>
        <v>10</v>
      </c>
      <c r="F238" s="57" t="s">
        <v>52</v>
      </c>
      <c r="G238" s="57" t="s">
        <v>45</v>
      </c>
      <c r="H238" s="57" t="s">
        <v>605</v>
      </c>
      <c r="I238" s="57" t="s">
        <v>67</v>
      </c>
      <c r="J238" s="57" t="s">
        <v>112</v>
      </c>
      <c r="K238" s="57" t="s">
        <v>72</v>
      </c>
      <c r="L238" s="57" t="s">
        <v>113</v>
      </c>
      <c r="M238" s="60">
        <v>275</v>
      </c>
      <c r="N238" s="57" t="s">
        <v>120</v>
      </c>
      <c r="O238" s="61">
        <v>297.24</v>
      </c>
      <c r="P238" s="61">
        <v>81741</v>
      </c>
      <c r="Q238" s="61">
        <v>3080.17</v>
      </c>
      <c r="R238" s="62">
        <f t="shared" si="24"/>
        <v>3.7682068973954319E-2</v>
      </c>
      <c r="S238" s="60">
        <v>19</v>
      </c>
      <c r="T238" s="58">
        <v>45015</v>
      </c>
      <c r="U238" s="58">
        <v>45018</v>
      </c>
      <c r="V238" s="63">
        <f t="shared" si="25"/>
        <v>3</v>
      </c>
      <c r="W238" s="57" t="s">
        <v>128</v>
      </c>
      <c r="X238" s="64" t="b">
        <f t="shared" si="26"/>
        <v>0</v>
      </c>
      <c r="Y238" s="60">
        <v>57</v>
      </c>
      <c r="Z238" s="60">
        <v>351</v>
      </c>
      <c r="AA238" s="57" t="s">
        <v>81</v>
      </c>
      <c r="AB238" s="64" t="b">
        <f t="shared" si="27"/>
        <v>1</v>
      </c>
    </row>
    <row r="239" spans="1:28" ht="15" customHeight="1" x14ac:dyDescent="0.3">
      <c r="A239" s="65" t="s">
        <v>606</v>
      </c>
      <c r="B239" s="81">
        <v>44959</v>
      </c>
      <c r="C239" s="59">
        <f t="shared" si="21"/>
        <v>2023</v>
      </c>
      <c r="D239" s="59">
        <f t="shared" si="22"/>
        <v>2</v>
      </c>
      <c r="E239" s="59">
        <f t="shared" si="23"/>
        <v>5</v>
      </c>
      <c r="F239" s="65" t="s">
        <v>52</v>
      </c>
      <c r="G239" s="65" t="s">
        <v>43</v>
      </c>
      <c r="H239" s="65" t="s">
        <v>607</v>
      </c>
      <c r="I239" s="65" t="s">
        <v>69</v>
      </c>
      <c r="J239" s="65" t="s">
        <v>151</v>
      </c>
      <c r="K239" s="65" t="s">
        <v>73</v>
      </c>
      <c r="L239" s="65" t="s">
        <v>124</v>
      </c>
      <c r="M239" s="67">
        <v>433</v>
      </c>
      <c r="N239" s="65" t="s">
        <v>120</v>
      </c>
      <c r="O239" s="68">
        <v>180</v>
      </c>
      <c r="P239" s="68">
        <v>77940</v>
      </c>
      <c r="Q239" s="68">
        <v>4230.0200000000004</v>
      </c>
      <c r="R239" s="62">
        <f t="shared" si="24"/>
        <v>5.427277392866308E-2</v>
      </c>
      <c r="S239" s="67">
        <v>10</v>
      </c>
      <c r="T239" s="66">
        <v>44969</v>
      </c>
      <c r="U239" s="66">
        <v>44964</v>
      </c>
      <c r="V239" s="63">
        <f t="shared" si="25"/>
        <v>-5</v>
      </c>
      <c r="W239" s="65" t="s">
        <v>125</v>
      </c>
      <c r="X239" s="64" t="b">
        <f t="shared" si="26"/>
        <v>0</v>
      </c>
      <c r="Y239" s="67">
        <v>256</v>
      </c>
      <c r="Z239" s="67">
        <v>259</v>
      </c>
      <c r="AA239" s="65" t="s">
        <v>81</v>
      </c>
      <c r="AB239" s="64" t="b">
        <f t="shared" si="27"/>
        <v>1</v>
      </c>
    </row>
    <row r="240" spans="1:28" ht="15" customHeight="1" x14ac:dyDescent="0.3">
      <c r="A240" s="57" t="s">
        <v>608</v>
      </c>
      <c r="B240" s="82">
        <v>45265</v>
      </c>
      <c r="C240" s="59">
        <f t="shared" si="21"/>
        <v>2023</v>
      </c>
      <c r="D240" s="59">
        <f t="shared" si="22"/>
        <v>12</v>
      </c>
      <c r="E240" s="59">
        <f t="shared" si="23"/>
        <v>49</v>
      </c>
      <c r="F240" s="57" t="s">
        <v>59</v>
      </c>
      <c r="G240" s="57" t="s">
        <v>44</v>
      </c>
      <c r="H240" s="57" t="s">
        <v>609</v>
      </c>
      <c r="I240" s="57" t="s">
        <v>65</v>
      </c>
      <c r="J240" s="57" t="s">
        <v>123</v>
      </c>
      <c r="K240" s="57" t="s">
        <v>75</v>
      </c>
      <c r="L240" s="57" t="s">
        <v>146</v>
      </c>
      <c r="M240" s="60">
        <v>137</v>
      </c>
      <c r="N240" s="57" t="s">
        <v>163</v>
      </c>
      <c r="O240" s="61">
        <v>91.04</v>
      </c>
      <c r="P240" s="61">
        <v>12472.48</v>
      </c>
      <c r="Q240" s="61">
        <v>807.27</v>
      </c>
      <c r="R240" s="62">
        <f t="shared" si="24"/>
        <v>6.4724096571010734E-2</v>
      </c>
      <c r="S240" s="60">
        <v>12</v>
      </c>
      <c r="T240" s="58">
        <v>45277</v>
      </c>
      <c r="U240" s="58">
        <v>45289</v>
      </c>
      <c r="V240" s="63">
        <f t="shared" si="25"/>
        <v>12</v>
      </c>
      <c r="W240" s="57" t="s">
        <v>128</v>
      </c>
      <c r="X240" s="64" t="b">
        <f t="shared" si="26"/>
        <v>0</v>
      </c>
      <c r="Y240" s="60">
        <v>140</v>
      </c>
      <c r="Z240" s="60">
        <v>320</v>
      </c>
      <c r="AA240" s="57" t="s">
        <v>116</v>
      </c>
      <c r="AB240" s="64" t="b">
        <f t="shared" si="27"/>
        <v>0</v>
      </c>
    </row>
    <row r="241" spans="1:28" ht="15" customHeight="1" x14ac:dyDescent="0.3">
      <c r="A241" s="65" t="s">
        <v>610</v>
      </c>
      <c r="B241" s="81">
        <v>44999</v>
      </c>
      <c r="C241" s="59">
        <f t="shared" si="21"/>
        <v>2023</v>
      </c>
      <c r="D241" s="59">
        <f t="shared" si="22"/>
        <v>3</v>
      </c>
      <c r="E241" s="59">
        <f t="shared" si="23"/>
        <v>11</v>
      </c>
      <c r="F241" s="65" t="s">
        <v>58</v>
      </c>
      <c r="G241" s="65" t="s">
        <v>46</v>
      </c>
      <c r="H241" s="65" t="s">
        <v>611</v>
      </c>
      <c r="I241" s="65" t="s">
        <v>65</v>
      </c>
      <c r="J241" s="65" t="s">
        <v>143</v>
      </c>
      <c r="K241" s="65" t="s">
        <v>73</v>
      </c>
      <c r="L241" s="65" t="s">
        <v>146</v>
      </c>
      <c r="M241" s="67">
        <v>247</v>
      </c>
      <c r="N241" s="65" t="s">
        <v>140</v>
      </c>
      <c r="O241" s="68">
        <v>73.83</v>
      </c>
      <c r="P241" s="68">
        <v>18236.009999999998</v>
      </c>
      <c r="Q241" s="68">
        <v>779.36</v>
      </c>
      <c r="R241" s="62">
        <f t="shared" si="24"/>
        <v>4.2737418985841755E-2</v>
      </c>
      <c r="S241" s="67">
        <v>24</v>
      </c>
      <c r="T241" s="66">
        <v>45023</v>
      </c>
      <c r="U241" s="66">
        <v>45026</v>
      </c>
      <c r="V241" s="63">
        <f t="shared" si="25"/>
        <v>3</v>
      </c>
      <c r="W241" s="65" t="s">
        <v>128</v>
      </c>
      <c r="X241" s="64" t="b">
        <f t="shared" si="26"/>
        <v>0</v>
      </c>
      <c r="Y241" s="67">
        <v>173</v>
      </c>
      <c r="Z241" s="67">
        <v>395</v>
      </c>
      <c r="AA241" s="65" t="s">
        <v>81</v>
      </c>
      <c r="AB241" s="64" t="b">
        <f t="shared" si="27"/>
        <v>1</v>
      </c>
    </row>
    <row r="242" spans="1:28" ht="15" customHeight="1" x14ac:dyDescent="0.3">
      <c r="A242" s="57" t="s">
        <v>612</v>
      </c>
      <c r="B242" s="82">
        <v>45453</v>
      </c>
      <c r="C242" s="59">
        <f t="shared" si="21"/>
        <v>2024</v>
      </c>
      <c r="D242" s="59">
        <f t="shared" si="22"/>
        <v>6</v>
      </c>
      <c r="E242" s="59">
        <f t="shared" si="23"/>
        <v>24</v>
      </c>
      <c r="F242" s="57" t="s">
        <v>58</v>
      </c>
      <c r="G242" s="57" t="s">
        <v>39</v>
      </c>
      <c r="H242" s="57" t="s">
        <v>613</v>
      </c>
      <c r="I242" s="57" t="s">
        <v>67</v>
      </c>
      <c r="J242" s="57" t="s">
        <v>112</v>
      </c>
      <c r="K242" s="57" t="s">
        <v>71</v>
      </c>
      <c r="L242" s="57" t="s">
        <v>135</v>
      </c>
      <c r="M242" s="60">
        <v>929</v>
      </c>
      <c r="N242" s="57" t="s">
        <v>140</v>
      </c>
      <c r="O242" s="61">
        <v>1764.44</v>
      </c>
      <c r="P242" s="61">
        <v>1639164.76</v>
      </c>
      <c r="Q242" s="61">
        <v>62560.45</v>
      </c>
      <c r="R242" s="62">
        <f t="shared" si="24"/>
        <v>3.8166053545465435E-2</v>
      </c>
      <c r="S242" s="60">
        <v>15</v>
      </c>
      <c r="T242" s="58">
        <v>45468</v>
      </c>
      <c r="U242" s="58">
        <v>45468</v>
      </c>
      <c r="V242" s="63">
        <f t="shared" si="25"/>
        <v>0</v>
      </c>
      <c r="W242" s="57" t="s">
        <v>115</v>
      </c>
      <c r="X242" s="64" t="b">
        <f t="shared" si="26"/>
        <v>1</v>
      </c>
      <c r="Y242" s="60">
        <v>174</v>
      </c>
      <c r="Z242" s="60">
        <v>396</v>
      </c>
      <c r="AA242" s="57" t="s">
        <v>81</v>
      </c>
      <c r="AB242" s="64" t="b">
        <f t="shared" si="27"/>
        <v>1</v>
      </c>
    </row>
    <row r="243" spans="1:28" ht="15" customHeight="1" x14ac:dyDescent="0.3">
      <c r="A243" s="65" t="s">
        <v>614</v>
      </c>
      <c r="B243" s="81">
        <v>45170</v>
      </c>
      <c r="C243" s="59">
        <f t="shared" si="21"/>
        <v>2023</v>
      </c>
      <c r="D243" s="59">
        <f t="shared" si="22"/>
        <v>9</v>
      </c>
      <c r="E243" s="59">
        <f t="shared" si="23"/>
        <v>35</v>
      </c>
      <c r="F243" s="65" t="s">
        <v>60</v>
      </c>
      <c r="G243" s="65" t="s">
        <v>39</v>
      </c>
      <c r="H243" s="65" t="s">
        <v>615</v>
      </c>
      <c r="I243" s="65" t="s">
        <v>69</v>
      </c>
      <c r="J243" s="65" t="s">
        <v>131</v>
      </c>
      <c r="K243" s="65" t="s">
        <v>73</v>
      </c>
      <c r="L243" s="65" t="s">
        <v>119</v>
      </c>
      <c r="M243" s="67">
        <v>364</v>
      </c>
      <c r="N243" s="65" t="s">
        <v>132</v>
      </c>
      <c r="O243" s="68">
        <v>1548.17</v>
      </c>
      <c r="P243" s="68">
        <v>563533.88</v>
      </c>
      <c r="Q243" s="68">
        <v>26802.1</v>
      </c>
      <c r="R243" s="62">
        <f t="shared" si="24"/>
        <v>4.7560760676891328E-2</v>
      </c>
      <c r="S243" s="67">
        <v>27</v>
      </c>
      <c r="T243" s="66">
        <v>45197</v>
      </c>
      <c r="U243" s="66">
        <v>45197</v>
      </c>
      <c r="V243" s="63">
        <f t="shared" si="25"/>
        <v>0</v>
      </c>
      <c r="W243" s="65" t="s">
        <v>115</v>
      </c>
      <c r="X243" s="64" t="b">
        <f t="shared" si="26"/>
        <v>1</v>
      </c>
      <c r="Y243" s="67">
        <v>208</v>
      </c>
      <c r="Z243" s="67">
        <v>161</v>
      </c>
      <c r="AA243" s="65" t="s">
        <v>84</v>
      </c>
      <c r="AB243" s="64" t="b">
        <f t="shared" si="27"/>
        <v>1</v>
      </c>
    </row>
    <row r="244" spans="1:28" ht="15" customHeight="1" x14ac:dyDescent="0.3">
      <c r="A244" s="57" t="s">
        <v>616</v>
      </c>
      <c r="B244" s="82">
        <v>45212</v>
      </c>
      <c r="C244" s="59">
        <f t="shared" si="21"/>
        <v>2023</v>
      </c>
      <c r="D244" s="59">
        <f t="shared" si="22"/>
        <v>10</v>
      </c>
      <c r="E244" s="59">
        <f t="shared" si="23"/>
        <v>41</v>
      </c>
      <c r="F244" s="57" t="s">
        <v>58</v>
      </c>
      <c r="G244" s="57" t="s">
        <v>45</v>
      </c>
      <c r="H244" s="57" t="s">
        <v>617</v>
      </c>
      <c r="I244" s="57" t="s">
        <v>67</v>
      </c>
      <c r="J244" s="57" t="s">
        <v>112</v>
      </c>
      <c r="K244" s="57" t="s">
        <v>72</v>
      </c>
      <c r="L244" s="57" t="s">
        <v>124</v>
      </c>
      <c r="M244" s="60">
        <v>949</v>
      </c>
      <c r="N244" s="57" t="s">
        <v>114</v>
      </c>
      <c r="O244" s="61">
        <v>207.55</v>
      </c>
      <c r="P244" s="61">
        <v>196964.95</v>
      </c>
      <c r="Q244" s="61">
        <v>13605.91</v>
      </c>
      <c r="R244" s="62">
        <f t="shared" si="24"/>
        <v>6.9077823237078465E-2</v>
      </c>
      <c r="S244" s="60">
        <v>22</v>
      </c>
      <c r="T244" s="58">
        <v>45234</v>
      </c>
      <c r="U244" s="58">
        <v>45246</v>
      </c>
      <c r="V244" s="63">
        <f t="shared" si="25"/>
        <v>12</v>
      </c>
      <c r="W244" s="57" t="s">
        <v>125</v>
      </c>
      <c r="X244" s="64" t="b">
        <f t="shared" si="26"/>
        <v>0</v>
      </c>
      <c r="Y244" s="60">
        <v>203</v>
      </c>
      <c r="Z244" s="60">
        <v>379</v>
      </c>
      <c r="AA244" s="57" t="s">
        <v>83</v>
      </c>
      <c r="AB244" s="64" t="b">
        <f t="shared" si="27"/>
        <v>1</v>
      </c>
    </row>
    <row r="245" spans="1:28" ht="15" customHeight="1" x14ac:dyDescent="0.3">
      <c r="A245" s="65" t="s">
        <v>618</v>
      </c>
      <c r="B245" s="81">
        <v>45612</v>
      </c>
      <c r="C245" s="59">
        <f t="shared" si="21"/>
        <v>2024</v>
      </c>
      <c r="D245" s="59">
        <f t="shared" si="22"/>
        <v>11</v>
      </c>
      <c r="E245" s="59">
        <f t="shared" si="23"/>
        <v>46</v>
      </c>
      <c r="F245" s="65" t="s">
        <v>54</v>
      </c>
      <c r="G245" s="65" t="s">
        <v>42</v>
      </c>
      <c r="H245" s="65" t="s">
        <v>619</v>
      </c>
      <c r="I245" s="65" t="s">
        <v>64</v>
      </c>
      <c r="J245" s="65" t="s">
        <v>131</v>
      </c>
      <c r="K245" s="65" t="s">
        <v>74</v>
      </c>
      <c r="L245" s="65" t="s">
        <v>146</v>
      </c>
      <c r="M245" s="67">
        <v>121</v>
      </c>
      <c r="N245" s="65" t="s">
        <v>114</v>
      </c>
      <c r="O245" s="68">
        <v>106.24</v>
      </c>
      <c r="P245" s="68">
        <v>12855.04</v>
      </c>
      <c r="Q245" s="68">
        <v>974.35</v>
      </c>
      <c r="R245" s="62">
        <f t="shared" si="24"/>
        <v>7.5795174499651494E-2</v>
      </c>
      <c r="S245" s="67">
        <v>24</v>
      </c>
      <c r="T245" s="66">
        <v>45636</v>
      </c>
      <c r="U245" s="66">
        <v>45636</v>
      </c>
      <c r="V245" s="63">
        <f t="shared" si="25"/>
        <v>0</v>
      </c>
      <c r="W245" s="65" t="s">
        <v>115</v>
      </c>
      <c r="X245" s="64" t="b">
        <f t="shared" si="26"/>
        <v>1</v>
      </c>
      <c r="Y245" s="67">
        <v>6</v>
      </c>
      <c r="Z245" s="67">
        <v>442</v>
      </c>
      <c r="AA245" s="65" t="s">
        <v>116</v>
      </c>
      <c r="AB245" s="64" t="b">
        <f t="shared" si="27"/>
        <v>0</v>
      </c>
    </row>
    <row r="246" spans="1:28" ht="15" customHeight="1" x14ac:dyDescent="0.3">
      <c r="A246" s="57" t="s">
        <v>620</v>
      </c>
      <c r="B246" s="82">
        <v>45424</v>
      </c>
      <c r="C246" s="59">
        <f t="shared" si="21"/>
        <v>2024</v>
      </c>
      <c r="D246" s="59">
        <f t="shared" si="22"/>
        <v>5</v>
      </c>
      <c r="E246" s="59">
        <f t="shared" si="23"/>
        <v>20</v>
      </c>
      <c r="F246" s="57" t="s">
        <v>57</v>
      </c>
      <c r="G246" s="57" t="s">
        <v>39</v>
      </c>
      <c r="H246" s="57" t="s">
        <v>621</v>
      </c>
      <c r="I246" s="57" t="s">
        <v>65</v>
      </c>
      <c r="J246" s="57" t="s">
        <v>131</v>
      </c>
      <c r="K246" s="57" t="s">
        <v>75</v>
      </c>
      <c r="L246" s="57" t="s">
        <v>146</v>
      </c>
      <c r="M246" s="60">
        <v>837</v>
      </c>
      <c r="N246" s="57" t="s">
        <v>136</v>
      </c>
      <c r="O246" s="61">
        <v>1284.8599999999999</v>
      </c>
      <c r="P246" s="61">
        <v>1075427.82</v>
      </c>
      <c r="Q246" s="61">
        <v>56680.43</v>
      </c>
      <c r="R246" s="62">
        <f t="shared" si="24"/>
        <v>5.2705006273689292E-2</v>
      </c>
      <c r="S246" s="60">
        <v>9</v>
      </c>
      <c r="T246" s="58">
        <v>45433</v>
      </c>
      <c r="U246" s="58">
        <v>45428</v>
      </c>
      <c r="V246" s="63">
        <f t="shared" si="25"/>
        <v>-5</v>
      </c>
      <c r="W246" s="57" t="s">
        <v>115</v>
      </c>
      <c r="X246" s="64" t="b">
        <f t="shared" si="26"/>
        <v>1</v>
      </c>
      <c r="Y246" s="60">
        <v>50</v>
      </c>
      <c r="Z246" s="60">
        <v>348</v>
      </c>
      <c r="AA246" s="57" t="s">
        <v>84</v>
      </c>
      <c r="AB246" s="64" t="b">
        <f t="shared" si="27"/>
        <v>1</v>
      </c>
    </row>
    <row r="247" spans="1:28" ht="15" customHeight="1" x14ac:dyDescent="0.3">
      <c r="A247" s="65" t="s">
        <v>622</v>
      </c>
      <c r="B247" s="81">
        <v>45146</v>
      </c>
      <c r="C247" s="59">
        <f t="shared" si="21"/>
        <v>2023</v>
      </c>
      <c r="D247" s="59">
        <f t="shared" si="22"/>
        <v>8</v>
      </c>
      <c r="E247" s="59">
        <f t="shared" si="23"/>
        <v>32</v>
      </c>
      <c r="F247" s="65" t="s">
        <v>58</v>
      </c>
      <c r="G247" s="65" t="s">
        <v>39</v>
      </c>
      <c r="H247" s="65" t="s">
        <v>623</v>
      </c>
      <c r="I247" s="65" t="s">
        <v>65</v>
      </c>
      <c r="J247" s="65" t="s">
        <v>143</v>
      </c>
      <c r="K247" s="65" t="s">
        <v>74</v>
      </c>
      <c r="L247" s="65" t="s">
        <v>146</v>
      </c>
      <c r="M247" s="67">
        <v>455</v>
      </c>
      <c r="N247" s="65" t="s">
        <v>132</v>
      </c>
      <c r="O247" s="68">
        <v>2034.3</v>
      </c>
      <c r="P247" s="68">
        <v>925606.5</v>
      </c>
      <c r="Q247" s="68">
        <v>55247.58</v>
      </c>
      <c r="R247" s="62">
        <f t="shared" si="24"/>
        <v>5.9687977558498133E-2</v>
      </c>
      <c r="S247" s="67">
        <v>20</v>
      </c>
      <c r="T247" s="66">
        <v>45166</v>
      </c>
      <c r="U247" s="66">
        <v>45171</v>
      </c>
      <c r="V247" s="63">
        <f t="shared" si="25"/>
        <v>5</v>
      </c>
      <c r="W247" s="65" t="s">
        <v>128</v>
      </c>
      <c r="X247" s="64" t="b">
        <f t="shared" si="26"/>
        <v>0</v>
      </c>
      <c r="Y247" s="67">
        <v>258</v>
      </c>
      <c r="Z247" s="67">
        <v>456</v>
      </c>
      <c r="AA247" s="65" t="s">
        <v>116</v>
      </c>
      <c r="AB247" s="64" t="b">
        <f t="shared" si="27"/>
        <v>0</v>
      </c>
    </row>
    <row r="248" spans="1:28" ht="15" customHeight="1" x14ac:dyDescent="0.3">
      <c r="A248" s="57" t="s">
        <v>624</v>
      </c>
      <c r="B248" s="82">
        <v>45479</v>
      </c>
      <c r="C248" s="59">
        <f t="shared" si="21"/>
        <v>2024</v>
      </c>
      <c r="D248" s="59">
        <f t="shared" si="22"/>
        <v>7</v>
      </c>
      <c r="E248" s="59">
        <f t="shared" si="23"/>
        <v>27</v>
      </c>
      <c r="F248" s="57" t="s">
        <v>56</v>
      </c>
      <c r="G248" s="57" t="s">
        <v>43</v>
      </c>
      <c r="H248" s="57" t="s">
        <v>625</v>
      </c>
      <c r="I248" s="57" t="s">
        <v>64</v>
      </c>
      <c r="J248" s="57" t="s">
        <v>112</v>
      </c>
      <c r="K248" s="57" t="s">
        <v>75</v>
      </c>
      <c r="L248" s="57" t="s">
        <v>146</v>
      </c>
      <c r="M248" s="60">
        <v>352</v>
      </c>
      <c r="N248" s="57" t="s">
        <v>163</v>
      </c>
      <c r="O248" s="61">
        <v>243.8</v>
      </c>
      <c r="P248" s="61">
        <v>85817.600000000006</v>
      </c>
      <c r="Q248" s="61">
        <v>6367.36</v>
      </c>
      <c r="R248" s="62">
        <f t="shared" si="24"/>
        <v>7.4196435230069344E-2</v>
      </c>
      <c r="S248" s="60">
        <v>17</v>
      </c>
      <c r="T248" s="58">
        <v>45496</v>
      </c>
      <c r="U248" s="58">
        <v>45498</v>
      </c>
      <c r="V248" s="63">
        <f t="shared" si="25"/>
        <v>2</v>
      </c>
      <c r="W248" s="57" t="s">
        <v>125</v>
      </c>
      <c r="X248" s="64" t="b">
        <f t="shared" si="26"/>
        <v>0</v>
      </c>
      <c r="Y248" s="60">
        <v>177</v>
      </c>
      <c r="Z248" s="60">
        <v>30</v>
      </c>
      <c r="AA248" s="57" t="s">
        <v>81</v>
      </c>
      <c r="AB248" s="64" t="b">
        <f t="shared" si="27"/>
        <v>1</v>
      </c>
    </row>
    <row r="249" spans="1:28" ht="15" customHeight="1" x14ac:dyDescent="0.3">
      <c r="A249" s="65" t="s">
        <v>626</v>
      </c>
      <c r="B249" s="81">
        <v>45062</v>
      </c>
      <c r="C249" s="59">
        <f t="shared" si="21"/>
        <v>2023</v>
      </c>
      <c r="D249" s="59">
        <f t="shared" si="22"/>
        <v>5</v>
      </c>
      <c r="E249" s="59">
        <f t="shared" si="23"/>
        <v>20</v>
      </c>
      <c r="F249" s="65" t="s">
        <v>52</v>
      </c>
      <c r="G249" s="65" t="s">
        <v>43</v>
      </c>
      <c r="H249" s="65" t="s">
        <v>627</v>
      </c>
      <c r="I249" s="65" t="s">
        <v>69</v>
      </c>
      <c r="J249" s="65" t="s">
        <v>112</v>
      </c>
      <c r="K249" s="65" t="s">
        <v>75</v>
      </c>
      <c r="L249" s="65" t="s">
        <v>113</v>
      </c>
      <c r="M249" s="67">
        <v>154</v>
      </c>
      <c r="N249" s="65" t="s">
        <v>163</v>
      </c>
      <c r="O249" s="68">
        <v>207.04</v>
      </c>
      <c r="P249" s="68">
        <v>31884.16</v>
      </c>
      <c r="Q249" s="68">
        <v>826.21</v>
      </c>
      <c r="R249" s="62">
        <f t="shared" si="24"/>
        <v>2.5912867078825348E-2</v>
      </c>
      <c r="S249" s="67">
        <v>17</v>
      </c>
      <c r="T249" s="66">
        <v>45079</v>
      </c>
      <c r="U249" s="66">
        <v>45076</v>
      </c>
      <c r="V249" s="63">
        <f t="shared" si="25"/>
        <v>-3</v>
      </c>
      <c r="W249" s="65" t="s">
        <v>115</v>
      </c>
      <c r="X249" s="64" t="b">
        <f t="shared" si="26"/>
        <v>1</v>
      </c>
      <c r="Y249" s="67">
        <v>409</v>
      </c>
      <c r="Z249" s="67">
        <v>70</v>
      </c>
      <c r="AA249" s="65" t="s">
        <v>81</v>
      </c>
      <c r="AB249" s="64" t="b">
        <f t="shared" si="27"/>
        <v>1</v>
      </c>
    </row>
    <row r="250" spans="1:28" ht="15" customHeight="1" x14ac:dyDescent="0.3">
      <c r="A250" s="57" t="s">
        <v>628</v>
      </c>
      <c r="B250" s="82">
        <v>45511</v>
      </c>
      <c r="C250" s="59">
        <f t="shared" si="21"/>
        <v>2024</v>
      </c>
      <c r="D250" s="59">
        <f t="shared" si="22"/>
        <v>8</v>
      </c>
      <c r="E250" s="59">
        <f t="shared" si="23"/>
        <v>32</v>
      </c>
      <c r="F250" s="57" t="s">
        <v>58</v>
      </c>
      <c r="G250" s="57" t="s">
        <v>44</v>
      </c>
      <c r="H250" s="57" t="s">
        <v>629</v>
      </c>
      <c r="I250" s="57" t="s">
        <v>65</v>
      </c>
      <c r="J250" s="57" t="s">
        <v>131</v>
      </c>
      <c r="K250" s="57" t="s">
        <v>72</v>
      </c>
      <c r="L250" s="57" t="s">
        <v>156</v>
      </c>
      <c r="M250" s="60">
        <v>74</v>
      </c>
      <c r="N250" s="57" t="s">
        <v>140</v>
      </c>
      <c r="O250" s="61">
        <v>127.97</v>
      </c>
      <c r="P250" s="61">
        <v>9469.7800000000007</v>
      </c>
      <c r="Q250" s="61">
        <v>321.26</v>
      </c>
      <c r="R250" s="62">
        <f t="shared" si="24"/>
        <v>3.3924758547717052E-2</v>
      </c>
      <c r="S250" s="60">
        <v>26</v>
      </c>
      <c r="T250" s="58">
        <v>45537</v>
      </c>
      <c r="U250" s="58">
        <v>45549</v>
      </c>
      <c r="V250" s="63">
        <f t="shared" si="25"/>
        <v>12</v>
      </c>
      <c r="W250" s="57" t="s">
        <v>125</v>
      </c>
      <c r="X250" s="64" t="b">
        <f t="shared" si="26"/>
        <v>0</v>
      </c>
      <c r="Y250" s="60">
        <v>30</v>
      </c>
      <c r="Z250" s="60">
        <v>396</v>
      </c>
      <c r="AA250" s="57" t="s">
        <v>116</v>
      </c>
      <c r="AB250" s="64" t="b">
        <f t="shared" si="27"/>
        <v>0</v>
      </c>
    </row>
    <row r="251" spans="1:28" ht="15" customHeight="1" x14ac:dyDescent="0.3">
      <c r="A251" s="65" t="s">
        <v>630</v>
      </c>
      <c r="B251" s="81">
        <v>45517</v>
      </c>
      <c r="C251" s="59">
        <f t="shared" si="21"/>
        <v>2024</v>
      </c>
      <c r="D251" s="59">
        <f t="shared" si="22"/>
        <v>8</v>
      </c>
      <c r="E251" s="59">
        <f t="shared" si="23"/>
        <v>33</v>
      </c>
      <c r="F251" s="65" t="s">
        <v>60</v>
      </c>
      <c r="G251" s="65" t="s">
        <v>45</v>
      </c>
      <c r="H251" s="65" t="s">
        <v>631</v>
      </c>
      <c r="I251" s="65" t="s">
        <v>68</v>
      </c>
      <c r="J251" s="65" t="s">
        <v>139</v>
      </c>
      <c r="K251" s="65" t="s">
        <v>72</v>
      </c>
      <c r="L251" s="65" t="s">
        <v>135</v>
      </c>
      <c r="M251" s="67">
        <v>256</v>
      </c>
      <c r="N251" s="65" t="s">
        <v>163</v>
      </c>
      <c r="O251" s="68">
        <v>181.06</v>
      </c>
      <c r="P251" s="68">
        <v>46351.360000000001</v>
      </c>
      <c r="Q251" s="68">
        <v>2898.54</v>
      </c>
      <c r="R251" s="62">
        <f t="shared" si="24"/>
        <v>6.2534087457196505E-2</v>
      </c>
      <c r="S251" s="67">
        <v>20</v>
      </c>
      <c r="T251" s="66">
        <v>45537</v>
      </c>
      <c r="U251" s="66">
        <v>45532</v>
      </c>
      <c r="V251" s="63">
        <f t="shared" si="25"/>
        <v>-5</v>
      </c>
      <c r="W251" s="65" t="s">
        <v>115</v>
      </c>
      <c r="X251" s="64" t="b">
        <f t="shared" si="26"/>
        <v>1</v>
      </c>
      <c r="Y251" s="67">
        <v>355</v>
      </c>
      <c r="Z251" s="67">
        <v>437</v>
      </c>
      <c r="AA251" s="65" t="s">
        <v>116</v>
      </c>
      <c r="AB251" s="64" t="b">
        <f t="shared" si="27"/>
        <v>0</v>
      </c>
    </row>
    <row r="252" spans="1:28" ht="15" customHeight="1" x14ac:dyDescent="0.3">
      <c r="A252" s="57" t="s">
        <v>632</v>
      </c>
      <c r="B252" s="82">
        <v>45411</v>
      </c>
      <c r="C252" s="59">
        <f t="shared" si="21"/>
        <v>2024</v>
      </c>
      <c r="D252" s="59">
        <f t="shared" si="22"/>
        <v>4</v>
      </c>
      <c r="E252" s="59">
        <f t="shared" si="23"/>
        <v>18</v>
      </c>
      <c r="F252" s="57" t="s">
        <v>55</v>
      </c>
      <c r="G252" s="57" t="s">
        <v>42</v>
      </c>
      <c r="H252" s="57" t="s">
        <v>633</v>
      </c>
      <c r="I252" s="57" t="s">
        <v>68</v>
      </c>
      <c r="J252" s="57" t="s">
        <v>123</v>
      </c>
      <c r="K252" s="57" t="s">
        <v>71</v>
      </c>
      <c r="L252" s="57" t="s">
        <v>113</v>
      </c>
      <c r="M252" s="60">
        <v>744</v>
      </c>
      <c r="N252" s="57" t="s">
        <v>136</v>
      </c>
      <c r="O252" s="61">
        <v>104.14</v>
      </c>
      <c r="P252" s="61">
        <v>77480.160000000003</v>
      </c>
      <c r="Q252" s="61">
        <v>5379.03</v>
      </c>
      <c r="R252" s="62">
        <f t="shared" si="24"/>
        <v>6.9424611410198428E-2</v>
      </c>
      <c r="S252" s="60">
        <v>12</v>
      </c>
      <c r="T252" s="58">
        <v>45423</v>
      </c>
      <c r="U252" s="58">
        <v>45420</v>
      </c>
      <c r="V252" s="63">
        <f t="shared" si="25"/>
        <v>-3</v>
      </c>
      <c r="W252" s="57" t="s">
        <v>115</v>
      </c>
      <c r="X252" s="64" t="b">
        <f t="shared" si="26"/>
        <v>1</v>
      </c>
      <c r="Y252" s="60">
        <v>317</v>
      </c>
      <c r="Z252" s="60">
        <v>1</v>
      </c>
      <c r="AA252" s="57" t="s">
        <v>84</v>
      </c>
      <c r="AB252" s="64" t="b">
        <f t="shared" si="27"/>
        <v>1</v>
      </c>
    </row>
    <row r="253" spans="1:28" ht="15" customHeight="1" x14ac:dyDescent="0.3">
      <c r="A253" s="65" t="s">
        <v>634</v>
      </c>
      <c r="B253" s="81">
        <v>45175</v>
      </c>
      <c r="C253" s="59">
        <f t="shared" si="21"/>
        <v>2023</v>
      </c>
      <c r="D253" s="59">
        <f t="shared" si="22"/>
        <v>9</v>
      </c>
      <c r="E253" s="59">
        <f t="shared" si="23"/>
        <v>36</v>
      </c>
      <c r="F253" s="65" t="s">
        <v>55</v>
      </c>
      <c r="G253" s="65" t="s">
        <v>45</v>
      </c>
      <c r="H253" s="65" t="s">
        <v>635</v>
      </c>
      <c r="I253" s="65" t="s">
        <v>68</v>
      </c>
      <c r="J253" s="65" t="s">
        <v>151</v>
      </c>
      <c r="K253" s="65" t="s">
        <v>71</v>
      </c>
      <c r="L253" s="65" t="s">
        <v>135</v>
      </c>
      <c r="M253" s="67">
        <v>499</v>
      </c>
      <c r="N253" s="65" t="s">
        <v>120</v>
      </c>
      <c r="O253" s="68">
        <v>222.06</v>
      </c>
      <c r="P253" s="68">
        <v>110807.94</v>
      </c>
      <c r="Q253" s="68">
        <v>7914.1</v>
      </c>
      <c r="R253" s="62">
        <f t="shared" si="24"/>
        <v>7.1421777175895526E-2</v>
      </c>
      <c r="S253" s="67">
        <v>7</v>
      </c>
      <c r="T253" s="66">
        <v>45182</v>
      </c>
      <c r="U253" s="66">
        <v>45177</v>
      </c>
      <c r="V253" s="63">
        <f t="shared" si="25"/>
        <v>-5</v>
      </c>
      <c r="W253" s="65" t="s">
        <v>115</v>
      </c>
      <c r="X253" s="64" t="b">
        <f t="shared" si="26"/>
        <v>1</v>
      </c>
      <c r="Y253" s="67">
        <v>153</v>
      </c>
      <c r="Z253" s="67">
        <v>416</v>
      </c>
      <c r="AA253" s="65" t="s">
        <v>116</v>
      </c>
      <c r="AB253" s="64" t="b">
        <f t="shared" si="27"/>
        <v>0</v>
      </c>
    </row>
    <row r="254" spans="1:28" ht="15" customHeight="1" x14ac:dyDescent="0.3">
      <c r="A254" s="57" t="s">
        <v>636</v>
      </c>
      <c r="B254" s="82">
        <v>45411</v>
      </c>
      <c r="C254" s="59">
        <f t="shared" si="21"/>
        <v>2024</v>
      </c>
      <c r="D254" s="59">
        <f t="shared" si="22"/>
        <v>4</v>
      </c>
      <c r="E254" s="59">
        <f t="shared" si="23"/>
        <v>18</v>
      </c>
      <c r="F254" s="57" t="s">
        <v>59</v>
      </c>
      <c r="G254" s="57" t="s">
        <v>41</v>
      </c>
      <c r="H254" s="57" t="s">
        <v>637</v>
      </c>
      <c r="I254" s="57" t="s">
        <v>66</v>
      </c>
      <c r="J254" s="57" t="s">
        <v>112</v>
      </c>
      <c r="K254" s="57" t="s">
        <v>75</v>
      </c>
      <c r="L254" s="57" t="s">
        <v>146</v>
      </c>
      <c r="M254" s="60">
        <v>834</v>
      </c>
      <c r="N254" s="57" t="s">
        <v>163</v>
      </c>
      <c r="O254" s="61">
        <v>478.34</v>
      </c>
      <c r="P254" s="61">
        <v>398935.56</v>
      </c>
      <c r="Q254" s="61">
        <v>17914.77</v>
      </c>
      <c r="R254" s="62">
        <f t="shared" si="24"/>
        <v>4.4906425488868432E-2</v>
      </c>
      <c r="S254" s="60">
        <v>2</v>
      </c>
      <c r="T254" s="58">
        <v>45413</v>
      </c>
      <c r="U254" s="58">
        <v>45413</v>
      </c>
      <c r="V254" s="63">
        <f t="shared" si="25"/>
        <v>0</v>
      </c>
      <c r="W254" s="57" t="s">
        <v>115</v>
      </c>
      <c r="X254" s="64" t="b">
        <f t="shared" si="26"/>
        <v>1</v>
      </c>
      <c r="Y254" s="60">
        <v>450</v>
      </c>
      <c r="Z254" s="60">
        <v>49</v>
      </c>
      <c r="AA254" s="57" t="s">
        <v>81</v>
      </c>
      <c r="AB254" s="64" t="b">
        <f t="shared" si="27"/>
        <v>1</v>
      </c>
    </row>
    <row r="255" spans="1:28" ht="15" customHeight="1" x14ac:dyDescent="0.3">
      <c r="A255" s="65" t="s">
        <v>638</v>
      </c>
      <c r="B255" s="81">
        <v>45343</v>
      </c>
      <c r="C255" s="59">
        <f t="shared" si="21"/>
        <v>2024</v>
      </c>
      <c r="D255" s="59">
        <f t="shared" si="22"/>
        <v>2</v>
      </c>
      <c r="E255" s="59">
        <f t="shared" si="23"/>
        <v>8</v>
      </c>
      <c r="F255" s="65" t="s">
        <v>58</v>
      </c>
      <c r="G255" s="65" t="s">
        <v>40</v>
      </c>
      <c r="H255" s="65" t="s">
        <v>639</v>
      </c>
      <c r="I255" s="65" t="s">
        <v>66</v>
      </c>
      <c r="J255" s="65" t="s">
        <v>123</v>
      </c>
      <c r="K255" s="65" t="s">
        <v>71</v>
      </c>
      <c r="L255" s="65" t="s">
        <v>135</v>
      </c>
      <c r="M255" s="67">
        <v>448</v>
      </c>
      <c r="N255" s="65" t="s">
        <v>132</v>
      </c>
      <c r="O255" s="68">
        <v>941.47</v>
      </c>
      <c r="P255" s="68">
        <v>421778.56</v>
      </c>
      <c r="Q255" s="68">
        <v>10696.47</v>
      </c>
      <c r="R255" s="62">
        <f t="shared" si="24"/>
        <v>2.536039290380241E-2</v>
      </c>
      <c r="S255" s="67">
        <v>3</v>
      </c>
      <c r="T255" s="66">
        <v>45346</v>
      </c>
      <c r="U255" s="66">
        <v>45349</v>
      </c>
      <c r="V255" s="63">
        <f t="shared" si="25"/>
        <v>3</v>
      </c>
      <c r="W255" s="65" t="s">
        <v>128</v>
      </c>
      <c r="X255" s="64" t="b">
        <f t="shared" si="26"/>
        <v>0</v>
      </c>
      <c r="Y255" s="67">
        <v>363</v>
      </c>
      <c r="Z255" s="67">
        <v>134</v>
      </c>
      <c r="AA255" s="65" t="s">
        <v>116</v>
      </c>
      <c r="AB255" s="64" t="b">
        <f t="shared" si="27"/>
        <v>0</v>
      </c>
    </row>
    <row r="256" spans="1:28" ht="15" customHeight="1" x14ac:dyDescent="0.3">
      <c r="A256" s="57" t="s">
        <v>640</v>
      </c>
      <c r="B256" s="82">
        <v>45121</v>
      </c>
      <c r="C256" s="59">
        <f t="shared" si="21"/>
        <v>2023</v>
      </c>
      <c r="D256" s="59">
        <f t="shared" si="22"/>
        <v>7</v>
      </c>
      <c r="E256" s="59">
        <f t="shared" si="23"/>
        <v>28</v>
      </c>
      <c r="F256" s="57" t="s">
        <v>52</v>
      </c>
      <c r="G256" s="57" t="s">
        <v>42</v>
      </c>
      <c r="H256" s="57" t="s">
        <v>641</v>
      </c>
      <c r="I256" s="57" t="s">
        <v>69</v>
      </c>
      <c r="J256" s="57" t="s">
        <v>123</v>
      </c>
      <c r="K256" s="57" t="s">
        <v>72</v>
      </c>
      <c r="L256" s="57" t="s">
        <v>119</v>
      </c>
      <c r="M256" s="60">
        <v>115</v>
      </c>
      <c r="N256" s="57" t="s">
        <v>136</v>
      </c>
      <c r="O256" s="61">
        <v>119.73</v>
      </c>
      <c r="P256" s="61">
        <v>13768.95</v>
      </c>
      <c r="Q256" s="61">
        <v>637.04999999999995</v>
      </c>
      <c r="R256" s="62">
        <f t="shared" si="24"/>
        <v>4.6267144553506251E-2</v>
      </c>
      <c r="S256" s="60">
        <v>17</v>
      </c>
      <c r="T256" s="58">
        <v>45138</v>
      </c>
      <c r="U256" s="58">
        <v>45133</v>
      </c>
      <c r="V256" s="63">
        <f t="shared" si="25"/>
        <v>-5</v>
      </c>
      <c r="W256" s="57" t="s">
        <v>115</v>
      </c>
      <c r="X256" s="64" t="b">
        <f t="shared" si="26"/>
        <v>1</v>
      </c>
      <c r="Y256" s="60">
        <v>54</v>
      </c>
      <c r="Z256" s="60">
        <v>145</v>
      </c>
      <c r="AA256" s="57" t="s">
        <v>83</v>
      </c>
      <c r="AB256" s="64" t="b">
        <f t="shared" si="27"/>
        <v>1</v>
      </c>
    </row>
    <row r="257" spans="1:28" ht="15" customHeight="1" x14ac:dyDescent="0.3">
      <c r="A257" s="65" t="s">
        <v>642</v>
      </c>
      <c r="B257" s="81">
        <v>45023</v>
      </c>
      <c r="C257" s="59">
        <f t="shared" si="21"/>
        <v>2023</v>
      </c>
      <c r="D257" s="59">
        <f t="shared" si="22"/>
        <v>4</v>
      </c>
      <c r="E257" s="59">
        <f t="shared" si="23"/>
        <v>14</v>
      </c>
      <c r="F257" s="65" t="s">
        <v>52</v>
      </c>
      <c r="G257" s="65" t="s">
        <v>42</v>
      </c>
      <c r="H257" s="65" t="s">
        <v>643</v>
      </c>
      <c r="I257" s="65" t="s">
        <v>64</v>
      </c>
      <c r="J257" s="65" t="s">
        <v>139</v>
      </c>
      <c r="K257" s="65" t="s">
        <v>71</v>
      </c>
      <c r="L257" s="65" t="s">
        <v>119</v>
      </c>
      <c r="M257" s="67">
        <v>190</v>
      </c>
      <c r="N257" s="65" t="s">
        <v>163</v>
      </c>
      <c r="O257" s="68">
        <v>83.86</v>
      </c>
      <c r="P257" s="68">
        <v>15933.4</v>
      </c>
      <c r="Q257" s="68">
        <v>539.25</v>
      </c>
      <c r="R257" s="62">
        <f t="shared" si="24"/>
        <v>3.3844000652716935E-2</v>
      </c>
      <c r="S257" s="67">
        <v>5</v>
      </c>
      <c r="T257" s="66">
        <v>45028</v>
      </c>
      <c r="U257" s="66">
        <v>45028</v>
      </c>
      <c r="V257" s="63">
        <f t="shared" si="25"/>
        <v>0</v>
      </c>
      <c r="W257" s="65" t="s">
        <v>128</v>
      </c>
      <c r="X257" s="64" t="b">
        <f t="shared" si="26"/>
        <v>0</v>
      </c>
      <c r="Y257" s="67">
        <v>155</v>
      </c>
      <c r="Z257" s="67">
        <v>178</v>
      </c>
      <c r="AA257" s="65" t="s">
        <v>116</v>
      </c>
      <c r="AB257" s="64" t="b">
        <f t="shared" si="27"/>
        <v>0</v>
      </c>
    </row>
    <row r="258" spans="1:28" ht="15" customHeight="1" x14ac:dyDescent="0.3">
      <c r="A258" s="57" t="s">
        <v>644</v>
      </c>
      <c r="B258" s="82">
        <v>45026</v>
      </c>
      <c r="C258" s="59">
        <f t="shared" ref="C258:C321" si="28">YEAR(B258)</f>
        <v>2023</v>
      </c>
      <c r="D258" s="59">
        <f t="shared" ref="D258:D321" si="29">MONTH(B258)</f>
        <v>4</v>
      </c>
      <c r="E258" s="59">
        <f t="shared" ref="E258:E321" si="30">WEEKNUM(B258,1)</f>
        <v>15</v>
      </c>
      <c r="F258" s="57" t="s">
        <v>57</v>
      </c>
      <c r="G258" s="57" t="s">
        <v>46</v>
      </c>
      <c r="H258" s="57" t="s">
        <v>645</v>
      </c>
      <c r="I258" s="57" t="s">
        <v>67</v>
      </c>
      <c r="J258" s="57" t="s">
        <v>123</v>
      </c>
      <c r="K258" s="57" t="s">
        <v>75</v>
      </c>
      <c r="L258" s="57" t="s">
        <v>156</v>
      </c>
      <c r="M258" s="60">
        <v>193</v>
      </c>
      <c r="N258" s="57" t="s">
        <v>114</v>
      </c>
      <c r="O258" s="61">
        <v>86.19</v>
      </c>
      <c r="P258" s="61">
        <v>16634.669999999998</v>
      </c>
      <c r="Q258" s="61">
        <v>623.33000000000004</v>
      </c>
      <c r="R258" s="62">
        <f t="shared" ref="R258:R321" si="31">Q258/P258</f>
        <v>3.7471738243079068E-2</v>
      </c>
      <c r="S258" s="60">
        <v>17</v>
      </c>
      <c r="T258" s="58">
        <v>45043</v>
      </c>
      <c r="U258" s="58">
        <v>45048</v>
      </c>
      <c r="V258" s="63">
        <f t="shared" ref="V258:V321" si="32">U258-T258</f>
        <v>5</v>
      </c>
      <c r="W258" s="57" t="s">
        <v>125</v>
      </c>
      <c r="X258" s="64" t="b">
        <f t="shared" ref="X258:X321" si="33">IF(W258="Entregado", TRUE(), FALSE())</f>
        <v>0</v>
      </c>
      <c r="Y258" s="60">
        <v>43</v>
      </c>
      <c r="Z258" s="60">
        <v>263</v>
      </c>
      <c r="AA258" s="57" t="s">
        <v>116</v>
      </c>
      <c r="AB258" s="64" t="b">
        <f t="shared" ref="AB258:AB321" si="34">IF(AA258="Ninguna",FALSE(),TRUE())</f>
        <v>0</v>
      </c>
    </row>
    <row r="259" spans="1:28" ht="15" customHeight="1" x14ac:dyDescent="0.3">
      <c r="A259" s="65" t="s">
        <v>646</v>
      </c>
      <c r="B259" s="81">
        <v>45601</v>
      </c>
      <c r="C259" s="59">
        <f t="shared" si="28"/>
        <v>2024</v>
      </c>
      <c r="D259" s="59">
        <f t="shared" si="29"/>
        <v>11</v>
      </c>
      <c r="E259" s="59">
        <f t="shared" si="30"/>
        <v>45</v>
      </c>
      <c r="F259" s="65" t="s">
        <v>55</v>
      </c>
      <c r="G259" s="65" t="s">
        <v>45</v>
      </c>
      <c r="H259" s="65" t="s">
        <v>647</v>
      </c>
      <c r="I259" s="65" t="s">
        <v>69</v>
      </c>
      <c r="J259" s="65" t="s">
        <v>112</v>
      </c>
      <c r="K259" s="65" t="s">
        <v>74</v>
      </c>
      <c r="L259" s="65" t="s">
        <v>156</v>
      </c>
      <c r="M259" s="67">
        <v>235</v>
      </c>
      <c r="N259" s="65" t="s">
        <v>163</v>
      </c>
      <c r="O259" s="68">
        <v>195.2</v>
      </c>
      <c r="P259" s="68">
        <v>45872</v>
      </c>
      <c r="Q259" s="68">
        <v>3042.97</v>
      </c>
      <c r="R259" s="62">
        <f t="shared" si="31"/>
        <v>6.6336109173351934E-2</v>
      </c>
      <c r="S259" s="67">
        <v>24</v>
      </c>
      <c r="T259" s="66">
        <v>45625</v>
      </c>
      <c r="U259" s="66">
        <v>45625</v>
      </c>
      <c r="V259" s="63">
        <f t="shared" si="32"/>
        <v>0</v>
      </c>
      <c r="W259" s="65" t="s">
        <v>115</v>
      </c>
      <c r="X259" s="64" t="b">
        <f t="shared" si="33"/>
        <v>1</v>
      </c>
      <c r="Y259" s="67">
        <v>80</v>
      </c>
      <c r="Z259" s="67">
        <v>310</v>
      </c>
      <c r="AA259" s="65" t="s">
        <v>82</v>
      </c>
      <c r="AB259" s="64" t="b">
        <f t="shared" si="34"/>
        <v>1</v>
      </c>
    </row>
    <row r="260" spans="1:28" ht="15" customHeight="1" x14ac:dyDescent="0.3">
      <c r="A260" s="57" t="s">
        <v>648</v>
      </c>
      <c r="B260" s="82">
        <v>45368</v>
      </c>
      <c r="C260" s="59">
        <f t="shared" si="28"/>
        <v>2024</v>
      </c>
      <c r="D260" s="59">
        <f t="shared" si="29"/>
        <v>3</v>
      </c>
      <c r="E260" s="59">
        <f t="shared" si="30"/>
        <v>12</v>
      </c>
      <c r="F260" s="57" t="s">
        <v>59</v>
      </c>
      <c r="G260" s="57" t="s">
        <v>44</v>
      </c>
      <c r="H260" s="57" t="s">
        <v>649</v>
      </c>
      <c r="I260" s="57" t="s">
        <v>67</v>
      </c>
      <c r="J260" s="57" t="s">
        <v>143</v>
      </c>
      <c r="K260" s="57" t="s">
        <v>73</v>
      </c>
      <c r="L260" s="57" t="s">
        <v>135</v>
      </c>
      <c r="M260" s="60">
        <v>786</v>
      </c>
      <c r="N260" s="57" t="s">
        <v>114</v>
      </c>
      <c r="O260" s="61">
        <v>89.25</v>
      </c>
      <c r="P260" s="61">
        <v>70150.5</v>
      </c>
      <c r="Q260" s="61">
        <v>1720.91</v>
      </c>
      <c r="R260" s="62">
        <f t="shared" si="31"/>
        <v>2.4531685447715983E-2</v>
      </c>
      <c r="S260" s="60">
        <v>17</v>
      </c>
      <c r="T260" s="58">
        <v>45385</v>
      </c>
      <c r="U260" s="58">
        <v>45386</v>
      </c>
      <c r="V260" s="63">
        <f t="shared" si="32"/>
        <v>1</v>
      </c>
      <c r="W260" s="57" t="s">
        <v>128</v>
      </c>
      <c r="X260" s="64" t="b">
        <f t="shared" si="33"/>
        <v>0</v>
      </c>
      <c r="Y260" s="60">
        <v>165</v>
      </c>
      <c r="Z260" s="60">
        <v>203</v>
      </c>
      <c r="AA260" s="57" t="s">
        <v>116</v>
      </c>
      <c r="AB260" s="64" t="b">
        <f t="shared" si="34"/>
        <v>0</v>
      </c>
    </row>
    <row r="261" spans="1:28" ht="15" customHeight="1" x14ac:dyDescent="0.3">
      <c r="A261" s="65" t="s">
        <v>650</v>
      </c>
      <c r="B261" s="81">
        <v>45289</v>
      </c>
      <c r="C261" s="59">
        <f t="shared" si="28"/>
        <v>2023</v>
      </c>
      <c r="D261" s="59">
        <f t="shared" si="29"/>
        <v>12</v>
      </c>
      <c r="E261" s="59">
        <f t="shared" si="30"/>
        <v>52</v>
      </c>
      <c r="F261" s="65" t="s">
        <v>58</v>
      </c>
      <c r="G261" s="65" t="s">
        <v>46</v>
      </c>
      <c r="H261" s="65" t="s">
        <v>651</v>
      </c>
      <c r="I261" s="65" t="s">
        <v>69</v>
      </c>
      <c r="J261" s="65" t="s">
        <v>143</v>
      </c>
      <c r="K261" s="65" t="s">
        <v>71</v>
      </c>
      <c r="L261" s="65" t="s">
        <v>113</v>
      </c>
      <c r="M261" s="67">
        <v>799</v>
      </c>
      <c r="N261" s="65" t="s">
        <v>136</v>
      </c>
      <c r="O261" s="68">
        <v>51.8</v>
      </c>
      <c r="P261" s="68">
        <v>41388.199999999997</v>
      </c>
      <c r="Q261" s="68">
        <v>2882.89</v>
      </c>
      <c r="R261" s="62">
        <f t="shared" si="31"/>
        <v>6.9654877477155333E-2</v>
      </c>
      <c r="S261" s="67">
        <v>27</v>
      </c>
      <c r="T261" s="66">
        <v>45316</v>
      </c>
      <c r="U261" s="66">
        <v>45313</v>
      </c>
      <c r="V261" s="63">
        <f t="shared" si="32"/>
        <v>-3</v>
      </c>
      <c r="W261" s="65" t="s">
        <v>115</v>
      </c>
      <c r="X261" s="64" t="b">
        <f t="shared" si="33"/>
        <v>1</v>
      </c>
      <c r="Y261" s="67">
        <v>494</v>
      </c>
      <c r="Z261" s="67">
        <v>298</v>
      </c>
      <c r="AA261" s="65" t="s">
        <v>84</v>
      </c>
      <c r="AB261" s="64" t="b">
        <f t="shared" si="34"/>
        <v>1</v>
      </c>
    </row>
    <row r="262" spans="1:28" ht="15" customHeight="1" x14ac:dyDescent="0.3">
      <c r="A262" s="57" t="s">
        <v>652</v>
      </c>
      <c r="B262" s="82">
        <v>45360</v>
      </c>
      <c r="C262" s="59">
        <f t="shared" si="28"/>
        <v>2024</v>
      </c>
      <c r="D262" s="59">
        <f t="shared" si="29"/>
        <v>3</v>
      </c>
      <c r="E262" s="59">
        <f t="shared" si="30"/>
        <v>10</v>
      </c>
      <c r="F262" s="57" t="s">
        <v>55</v>
      </c>
      <c r="G262" s="57" t="s">
        <v>42</v>
      </c>
      <c r="H262" s="57" t="s">
        <v>293</v>
      </c>
      <c r="I262" s="57" t="s">
        <v>66</v>
      </c>
      <c r="J262" s="57" t="s">
        <v>123</v>
      </c>
      <c r="K262" s="57" t="s">
        <v>72</v>
      </c>
      <c r="L262" s="57" t="s">
        <v>113</v>
      </c>
      <c r="M262" s="60">
        <v>918</v>
      </c>
      <c r="N262" s="57" t="s">
        <v>163</v>
      </c>
      <c r="O262" s="61">
        <v>82.8</v>
      </c>
      <c r="P262" s="61">
        <v>76010.399999999994</v>
      </c>
      <c r="Q262" s="61">
        <v>3470.65</v>
      </c>
      <c r="R262" s="62">
        <f t="shared" si="31"/>
        <v>4.5660199130645285E-2</v>
      </c>
      <c r="S262" s="60">
        <v>17</v>
      </c>
      <c r="T262" s="58">
        <v>45377</v>
      </c>
      <c r="U262" s="58">
        <v>45377</v>
      </c>
      <c r="V262" s="63">
        <f t="shared" si="32"/>
        <v>0</v>
      </c>
      <c r="W262" s="57" t="s">
        <v>115</v>
      </c>
      <c r="X262" s="64" t="b">
        <f t="shared" si="33"/>
        <v>1</v>
      </c>
      <c r="Y262" s="60">
        <v>29</v>
      </c>
      <c r="Z262" s="60">
        <v>186</v>
      </c>
      <c r="AA262" s="57" t="s">
        <v>116</v>
      </c>
      <c r="AB262" s="64" t="b">
        <f t="shared" si="34"/>
        <v>0</v>
      </c>
    </row>
    <row r="263" spans="1:28" ht="15" customHeight="1" x14ac:dyDescent="0.3">
      <c r="A263" s="65" t="s">
        <v>653</v>
      </c>
      <c r="B263" s="81">
        <v>45347</v>
      </c>
      <c r="C263" s="59">
        <f t="shared" si="28"/>
        <v>2024</v>
      </c>
      <c r="D263" s="59">
        <f t="shared" si="29"/>
        <v>2</v>
      </c>
      <c r="E263" s="59">
        <f t="shared" si="30"/>
        <v>9</v>
      </c>
      <c r="F263" s="65" t="s">
        <v>55</v>
      </c>
      <c r="G263" s="65" t="s">
        <v>42</v>
      </c>
      <c r="H263" s="65" t="s">
        <v>654</v>
      </c>
      <c r="I263" s="65" t="s">
        <v>68</v>
      </c>
      <c r="J263" s="65" t="s">
        <v>112</v>
      </c>
      <c r="K263" s="65" t="s">
        <v>74</v>
      </c>
      <c r="L263" s="65" t="s">
        <v>146</v>
      </c>
      <c r="M263" s="67">
        <v>98</v>
      </c>
      <c r="N263" s="65" t="s">
        <v>114</v>
      </c>
      <c r="O263" s="68">
        <v>70.06</v>
      </c>
      <c r="P263" s="68">
        <v>6865.88</v>
      </c>
      <c r="Q263" s="68">
        <v>382.87</v>
      </c>
      <c r="R263" s="62">
        <f t="shared" si="31"/>
        <v>5.5764155505193799E-2</v>
      </c>
      <c r="S263" s="67">
        <v>2</v>
      </c>
      <c r="T263" s="66">
        <v>45349</v>
      </c>
      <c r="U263" s="66">
        <v>45350</v>
      </c>
      <c r="V263" s="63">
        <f t="shared" si="32"/>
        <v>1</v>
      </c>
      <c r="W263" s="65" t="s">
        <v>125</v>
      </c>
      <c r="X263" s="64" t="b">
        <f t="shared" si="33"/>
        <v>0</v>
      </c>
      <c r="Y263" s="67">
        <v>321</v>
      </c>
      <c r="Z263" s="67">
        <v>29</v>
      </c>
      <c r="AA263" s="65" t="s">
        <v>81</v>
      </c>
      <c r="AB263" s="64" t="b">
        <f t="shared" si="34"/>
        <v>1</v>
      </c>
    </row>
    <row r="264" spans="1:28" ht="15" customHeight="1" x14ac:dyDescent="0.3">
      <c r="A264" s="57" t="s">
        <v>655</v>
      </c>
      <c r="B264" s="82">
        <v>45405</v>
      </c>
      <c r="C264" s="59">
        <f t="shared" si="28"/>
        <v>2024</v>
      </c>
      <c r="D264" s="59">
        <f t="shared" si="29"/>
        <v>4</v>
      </c>
      <c r="E264" s="59">
        <f t="shared" si="30"/>
        <v>17</v>
      </c>
      <c r="F264" s="57" t="s">
        <v>52</v>
      </c>
      <c r="G264" s="57" t="s">
        <v>42</v>
      </c>
      <c r="H264" s="57" t="s">
        <v>656</v>
      </c>
      <c r="I264" s="57" t="s">
        <v>64</v>
      </c>
      <c r="J264" s="57" t="s">
        <v>112</v>
      </c>
      <c r="K264" s="57" t="s">
        <v>72</v>
      </c>
      <c r="L264" s="57" t="s">
        <v>113</v>
      </c>
      <c r="M264" s="60">
        <v>697</v>
      </c>
      <c r="N264" s="57" t="s">
        <v>120</v>
      </c>
      <c r="O264" s="61">
        <v>56.01</v>
      </c>
      <c r="P264" s="61">
        <v>39038.97</v>
      </c>
      <c r="Q264" s="61">
        <v>990.78</v>
      </c>
      <c r="R264" s="62">
        <f t="shared" si="31"/>
        <v>2.5379255651468261E-2</v>
      </c>
      <c r="S264" s="60">
        <v>2</v>
      </c>
      <c r="T264" s="58">
        <v>45407</v>
      </c>
      <c r="U264" s="58">
        <v>45412</v>
      </c>
      <c r="V264" s="63">
        <f t="shared" si="32"/>
        <v>5</v>
      </c>
      <c r="W264" s="57" t="s">
        <v>125</v>
      </c>
      <c r="X264" s="64" t="b">
        <f t="shared" si="33"/>
        <v>0</v>
      </c>
      <c r="Y264" s="60">
        <v>135</v>
      </c>
      <c r="Z264" s="60">
        <v>58</v>
      </c>
      <c r="AA264" s="57" t="s">
        <v>82</v>
      </c>
      <c r="AB264" s="64" t="b">
        <f t="shared" si="34"/>
        <v>1</v>
      </c>
    </row>
    <row r="265" spans="1:28" ht="15" customHeight="1" x14ac:dyDescent="0.3">
      <c r="A265" s="65" t="s">
        <v>657</v>
      </c>
      <c r="B265" s="81">
        <v>44982</v>
      </c>
      <c r="C265" s="59">
        <f t="shared" si="28"/>
        <v>2023</v>
      </c>
      <c r="D265" s="59">
        <f t="shared" si="29"/>
        <v>2</v>
      </c>
      <c r="E265" s="59">
        <f t="shared" si="30"/>
        <v>8</v>
      </c>
      <c r="F265" s="65" t="s">
        <v>58</v>
      </c>
      <c r="G265" s="65" t="s">
        <v>39</v>
      </c>
      <c r="H265" s="65" t="s">
        <v>658</v>
      </c>
      <c r="I265" s="65" t="s">
        <v>66</v>
      </c>
      <c r="J265" s="65" t="s">
        <v>131</v>
      </c>
      <c r="K265" s="65" t="s">
        <v>71</v>
      </c>
      <c r="L265" s="65" t="s">
        <v>156</v>
      </c>
      <c r="M265" s="67">
        <v>539</v>
      </c>
      <c r="N265" s="65" t="s">
        <v>140</v>
      </c>
      <c r="O265" s="68">
        <v>2148</v>
      </c>
      <c r="P265" s="68">
        <v>1157772</v>
      </c>
      <c r="Q265" s="68">
        <v>46590.53</v>
      </c>
      <c r="R265" s="62">
        <f t="shared" si="31"/>
        <v>4.0241541512491229E-2</v>
      </c>
      <c r="S265" s="67">
        <v>28</v>
      </c>
      <c r="T265" s="66">
        <v>45010</v>
      </c>
      <c r="U265" s="66">
        <v>45015</v>
      </c>
      <c r="V265" s="63">
        <f t="shared" si="32"/>
        <v>5</v>
      </c>
      <c r="W265" s="65" t="s">
        <v>125</v>
      </c>
      <c r="X265" s="64" t="b">
        <f t="shared" si="33"/>
        <v>0</v>
      </c>
      <c r="Y265" s="67">
        <v>13</v>
      </c>
      <c r="Z265" s="67">
        <v>8</v>
      </c>
      <c r="AA265" s="65" t="s">
        <v>116</v>
      </c>
      <c r="AB265" s="64" t="b">
        <f t="shared" si="34"/>
        <v>0</v>
      </c>
    </row>
    <row r="266" spans="1:28" ht="15" customHeight="1" x14ac:dyDescent="0.3">
      <c r="A266" s="57" t="s">
        <v>659</v>
      </c>
      <c r="B266" s="82">
        <v>45616</v>
      </c>
      <c r="C266" s="59">
        <f t="shared" si="28"/>
        <v>2024</v>
      </c>
      <c r="D266" s="59">
        <f t="shared" si="29"/>
        <v>11</v>
      </c>
      <c r="E266" s="59">
        <f t="shared" si="30"/>
        <v>47</v>
      </c>
      <c r="F266" s="57" t="s">
        <v>53</v>
      </c>
      <c r="G266" s="57" t="s">
        <v>45</v>
      </c>
      <c r="H266" s="57" t="s">
        <v>660</v>
      </c>
      <c r="I266" s="57" t="s">
        <v>64</v>
      </c>
      <c r="J266" s="57" t="s">
        <v>139</v>
      </c>
      <c r="K266" s="57" t="s">
        <v>75</v>
      </c>
      <c r="L266" s="57" t="s">
        <v>113</v>
      </c>
      <c r="M266" s="60">
        <v>380</v>
      </c>
      <c r="N266" s="57" t="s">
        <v>136</v>
      </c>
      <c r="O266" s="61">
        <v>275.02</v>
      </c>
      <c r="P266" s="61">
        <v>104507.6</v>
      </c>
      <c r="Q266" s="61">
        <v>2652.62</v>
      </c>
      <c r="R266" s="62">
        <f t="shared" si="31"/>
        <v>2.5382077475705114E-2</v>
      </c>
      <c r="S266" s="60">
        <v>22</v>
      </c>
      <c r="T266" s="58">
        <v>45638</v>
      </c>
      <c r="U266" s="58">
        <v>45635</v>
      </c>
      <c r="V266" s="63">
        <f t="shared" si="32"/>
        <v>-3</v>
      </c>
      <c r="W266" s="57" t="s">
        <v>115</v>
      </c>
      <c r="X266" s="64" t="b">
        <f t="shared" si="33"/>
        <v>1</v>
      </c>
      <c r="Y266" s="60">
        <v>356</v>
      </c>
      <c r="Z266" s="60">
        <v>475</v>
      </c>
      <c r="AA266" s="57" t="s">
        <v>116</v>
      </c>
      <c r="AB266" s="64" t="b">
        <f t="shared" si="34"/>
        <v>0</v>
      </c>
    </row>
    <row r="267" spans="1:28" ht="15" customHeight="1" x14ac:dyDescent="0.3">
      <c r="A267" s="65" t="s">
        <v>661</v>
      </c>
      <c r="B267" s="81">
        <v>45596</v>
      </c>
      <c r="C267" s="59">
        <f t="shared" si="28"/>
        <v>2024</v>
      </c>
      <c r="D267" s="59">
        <f t="shared" si="29"/>
        <v>10</v>
      </c>
      <c r="E267" s="59">
        <f t="shared" si="30"/>
        <v>44</v>
      </c>
      <c r="F267" s="65" t="s">
        <v>58</v>
      </c>
      <c r="G267" s="65" t="s">
        <v>40</v>
      </c>
      <c r="H267" s="65" t="s">
        <v>662</v>
      </c>
      <c r="I267" s="65" t="s">
        <v>67</v>
      </c>
      <c r="J267" s="65" t="s">
        <v>151</v>
      </c>
      <c r="K267" s="65" t="s">
        <v>73</v>
      </c>
      <c r="L267" s="65" t="s">
        <v>146</v>
      </c>
      <c r="M267" s="67">
        <v>981</v>
      </c>
      <c r="N267" s="65" t="s">
        <v>114</v>
      </c>
      <c r="O267" s="68">
        <v>1035.07</v>
      </c>
      <c r="P267" s="68">
        <v>1015403.67</v>
      </c>
      <c r="Q267" s="68">
        <v>78889.37</v>
      </c>
      <c r="R267" s="62">
        <f t="shared" si="31"/>
        <v>7.7692618542534897E-2</v>
      </c>
      <c r="S267" s="67">
        <v>23</v>
      </c>
      <c r="T267" s="66">
        <v>45619</v>
      </c>
      <c r="U267" s="66">
        <v>45616</v>
      </c>
      <c r="V267" s="63">
        <f t="shared" si="32"/>
        <v>-3</v>
      </c>
      <c r="W267" s="65" t="s">
        <v>115</v>
      </c>
      <c r="X267" s="64" t="b">
        <f t="shared" si="33"/>
        <v>1</v>
      </c>
      <c r="Y267" s="67">
        <v>482</v>
      </c>
      <c r="Z267" s="67">
        <v>323</v>
      </c>
      <c r="AA267" s="65" t="s">
        <v>81</v>
      </c>
      <c r="AB267" s="64" t="b">
        <f t="shared" si="34"/>
        <v>1</v>
      </c>
    </row>
    <row r="268" spans="1:28" ht="15" customHeight="1" x14ac:dyDescent="0.3">
      <c r="A268" s="57" t="s">
        <v>663</v>
      </c>
      <c r="B268" s="82">
        <v>45588</v>
      </c>
      <c r="C268" s="59">
        <f t="shared" si="28"/>
        <v>2024</v>
      </c>
      <c r="D268" s="59">
        <f t="shared" si="29"/>
        <v>10</v>
      </c>
      <c r="E268" s="59">
        <f t="shared" si="30"/>
        <v>43</v>
      </c>
      <c r="F268" s="57" t="s">
        <v>54</v>
      </c>
      <c r="G268" s="57" t="s">
        <v>40</v>
      </c>
      <c r="H268" s="57" t="s">
        <v>664</v>
      </c>
      <c r="I268" s="57" t="s">
        <v>69</v>
      </c>
      <c r="J268" s="57" t="s">
        <v>131</v>
      </c>
      <c r="K268" s="57" t="s">
        <v>73</v>
      </c>
      <c r="L268" s="57" t="s">
        <v>119</v>
      </c>
      <c r="M268" s="60">
        <v>945</v>
      </c>
      <c r="N268" s="57" t="s">
        <v>132</v>
      </c>
      <c r="O268" s="61">
        <v>667.4</v>
      </c>
      <c r="P268" s="61">
        <v>630693</v>
      </c>
      <c r="Q268" s="61">
        <v>43161.919999999998</v>
      </c>
      <c r="R268" s="62">
        <f t="shared" si="31"/>
        <v>6.8435704851647308E-2</v>
      </c>
      <c r="S268" s="60">
        <v>5</v>
      </c>
      <c r="T268" s="58">
        <v>45593</v>
      </c>
      <c r="U268" s="58">
        <v>45598</v>
      </c>
      <c r="V268" s="63">
        <f t="shared" si="32"/>
        <v>5</v>
      </c>
      <c r="W268" s="57" t="s">
        <v>125</v>
      </c>
      <c r="X268" s="64" t="b">
        <f t="shared" si="33"/>
        <v>0</v>
      </c>
      <c r="Y268" s="60">
        <v>105</v>
      </c>
      <c r="Z268" s="60">
        <v>166</v>
      </c>
      <c r="AA268" s="57" t="s">
        <v>116</v>
      </c>
      <c r="AB268" s="64" t="b">
        <f t="shared" si="34"/>
        <v>0</v>
      </c>
    </row>
    <row r="269" spans="1:28" ht="15" customHeight="1" x14ac:dyDescent="0.3">
      <c r="A269" s="65" t="s">
        <v>665</v>
      </c>
      <c r="B269" s="81">
        <v>45027</v>
      </c>
      <c r="C269" s="59">
        <f t="shared" si="28"/>
        <v>2023</v>
      </c>
      <c r="D269" s="59">
        <f t="shared" si="29"/>
        <v>4</v>
      </c>
      <c r="E269" s="59">
        <f t="shared" si="30"/>
        <v>15</v>
      </c>
      <c r="F269" s="65" t="s">
        <v>55</v>
      </c>
      <c r="G269" s="65" t="s">
        <v>46</v>
      </c>
      <c r="H269" s="65" t="s">
        <v>666</v>
      </c>
      <c r="I269" s="65" t="s">
        <v>65</v>
      </c>
      <c r="J269" s="65" t="s">
        <v>151</v>
      </c>
      <c r="K269" s="65" t="s">
        <v>74</v>
      </c>
      <c r="L269" s="65" t="s">
        <v>113</v>
      </c>
      <c r="M269" s="67">
        <v>922</v>
      </c>
      <c r="N269" s="65" t="s">
        <v>163</v>
      </c>
      <c r="O269" s="68">
        <v>47.78</v>
      </c>
      <c r="P269" s="68">
        <v>44053.16</v>
      </c>
      <c r="Q269" s="68">
        <v>2095.96</v>
      </c>
      <c r="R269" s="62">
        <f t="shared" si="31"/>
        <v>4.7577971705094479E-2</v>
      </c>
      <c r="S269" s="67">
        <v>1</v>
      </c>
      <c r="T269" s="66">
        <v>45028</v>
      </c>
      <c r="U269" s="66">
        <v>45029</v>
      </c>
      <c r="V269" s="63">
        <f t="shared" si="32"/>
        <v>1</v>
      </c>
      <c r="W269" s="65" t="s">
        <v>128</v>
      </c>
      <c r="X269" s="64" t="b">
        <f t="shared" si="33"/>
        <v>0</v>
      </c>
      <c r="Y269" s="67">
        <v>358</v>
      </c>
      <c r="Z269" s="67">
        <v>336</v>
      </c>
      <c r="AA269" s="65" t="s">
        <v>116</v>
      </c>
      <c r="AB269" s="64" t="b">
        <f t="shared" si="34"/>
        <v>0</v>
      </c>
    </row>
    <row r="270" spans="1:28" ht="15" customHeight="1" x14ac:dyDescent="0.3">
      <c r="A270" s="57" t="s">
        <v>667</v>
      </c>
      <c r="B270" s="82">
        <v>44989</v>
      </c>
      <c r="C270" s="59">
        <f t="shared" si="28"/>
        <v>2023</v>
      </c>
      <c r="D270" s="59">
        <f t="shared" si="29"/>
        <v>3</v>
      </c>
      <c r="E270" s="59">
        <f t="shared" si="30"/>
        <v>9</v>
      </c>
      <c r="F270" s="57" t="s">
        <v>57</v>
      </c>
      <c r="G270" s="57" t="s">
        <v>42</v>
      </c>
      <c r="H270" s="57" t="s">
        <v>668</v>
      </c>
      <c r="I270" s="57" t="s">
        <v>65</v>
      </c>
      <c r="J270" s="57" t="s">
        <v>112</v>
      </c>
      <c r="K270" s="57" t="s">
        <v>73</v>
      </c>
      <c r="L270" s="57" t="s">
        <v>113</v>
      </c>
      <c r="M270" s="60">
        <v>408</v>
      </c>
      <c r="N270" s="57" t="s">
        <v>114</v>
      </c>
      <c r="O270" s="61">
        <v>60.33</v>
      </c>
      <c r="P270" s="61">
        <v>24614.639999999999</v>
      </c>
      <c r="Q270" s="61">
        <v>822.53</v>
      </c>
      <c r="R270" s="62">
        <f t="shared" si="31"/>
        <v>3.3416292092835809E-2</v>
      </c>
      <c r="S270" s="60">
        <v>1</v>
      </c>
      <c r="T270" s="58">
        <v>44990</v>
      </c>
      <c r="U270" s="58">
        <v>45002</v>
      </c>
      <c r="V270" s="63">
        <f t="shared" si="32"/>
        <v>12</v>
      </c>
      <c r="W270" s="57" t="s">
        <v>125</v>
      </c>
      <c r="X270" s="64" t="b">
        <f t="shared" si="33"/>
        <v>0</v>
      </c>
      <c r="Y270" s="60">
        <v>317</v>
      </c>
      <c r="Z270" s="60">
        <v>394</v>
      </c>
      <c r="AA270" s="57" t="s">
        <v>116</v>
      </c>
      <c r="AB270" s="64" t="b">
        <f t="shared" si="34"/>
        <v>0</v>
      </c>
    </row>
    <row r="271" spans="1:28" ht="15" customHeight="1" x14ac:dyDescent="0.3">
      <c r="A271" s="65" t="s">
        <v>669</v>
      </c>
      <c r="B271" s="81">
        <v>45339</v>
      </c>
      <c r="C271" s="59">
        <f t="shared" si="28"/>
        <v>2024</v>
      </c>
      <c r="D271" s="59">
        <f t="shared" si="29"/>
        <v>2</v>
      </c>
      <c r="E271" s="59">
        <f t="shared" si="30"/>
        <v>7</v>
      </c>
      <c r="F271" s="65" t="s">
        <v>53</v>
      </c>
      <c r="G271" s="65" t="s">
        <v>40</v>
      </c>
      <c r="H271" s="65" t="s">
        <v>670</v>
      </c>
      <c r="I271" s="65" t="s">
        <v>64</v>
      </c>
      <c r="J271" s="65" t="s">
        <v>143</v>
      </c>
      <c r="K271" s="65" t="s">
        <v>75</v>
      </c>
      <c r="L271" s="65" t="s">
        <v>156</v>
      </c>
      <c r="M271" s="67">
        <v>115</v>
      </c>
      <c r="N271" s="65" t="s">
        <v>114</v>
      </c>
      <c r="O271" s="68">
        <v>1023.38</v>
      </c>
      <c r="P271" s="68">
        <v>117688.7</v>
      </c>
      <c r="Q271" s="68">
        <v>8945.2000000000007</v>
      </c>
      <c r="R271" s="62">
        <f t="shared" si="31"/>
        <v>7.6007297217149994E-2</v>
      </c>
      <c r="S271" s="67">
        <v>19</v>
      </c>
      <c r="T271" s="66">
        <v>45358</v>
      </c>
      <c r="U271" s="66">
        <v>45353</v>
      </c>
      <c r="V271" s="63">
        <f t="shared" si="32"/>
        <v>-5</v>
      </c>
      <c r="W271" s="65" t="s">
        <v>115</v>
      </c>
      <c r="X271" s="64" t="b">
        <f t="shared" si="33"/>
        <v>1</v>
      </c>
      <c r="Y271" s="67">
        <v>74</v>
      </c>
      <c r="Z271" s="67">
        <v>378</v>
      </c>
      <c r="AA271" s="65" t="s">
        <v>116</v>
      </c>
      <c r="AB271" s="64" t="b">
        <f t="shared" si="34"/>
        <v>0</v>
      </c>
    </row>
    <row r="272" spans="1:28" ht="15" customHeight="1" x14ac:dyDescent="0.3">
      <c r="A272" s="57" t="s">
        <v>671</v>
      </c>
      <c r="B272" s="82">
        <v>45274</v>
      </c>
      <c r="C272" s="59">
        <f t="shared" si="28"/>
        <v>2023</v>
      </c>
      <c r="D272" s="59">
        <f t="shared" si="29"/>
        <v>12</v>
      </c>
      <c r="E272" s="59">
        <f t="shared" si="30"/>
        <v>50</v>
      </c>
      <c r="F272" s="57" t="s">
        <v>60</v>
      </c>
      <c r="G272" s="57" t="s">
        <v>43</v>
      </c>
      <c r="H272" s="57" t="s">
        <v>672</v>
      </c>
      <c r="I272" s="57" t="s">
        <v>68</v>
      </c>
      <c r="J272" s="57" t="s">
        <v>131</v>
      </c>
      <c r="K272" s="57" t="s">
        <v>72</v>
      </c>
      <c r="L272" s="57" t="s">
        <v>135</v>
      </c>
      <c r="M272" s="60">
        <v>280</v>
      </c>
      <c r="N272" s="57" t="s">
        <v>114</v>
      </c>
      <c r="O272" s="61">
        <v>288.61</v>
      </c>
      <c r="P272" s="61">
        <v>80810.8</v>
      </c>
      <c r="Q272" s="61">
        <v>3287.04</v>
      </c>
      <c r="R272" s="62">
        <f t="shared" si="31"/>
        <v>4.0675751260970068E-2</v>
      </c>
      <c r="S272" s="60">
        <v>2</v>
      </c>
      <c r="T272" s="58">
        <v>45276</v>
      </c>
      <c r="U272" s="58">
        <v>45278</v>
      </c>
      <c r="V272" s="63">
        <f t="shared" si="32"/>
        <v>2</v>
      </c>
      <c r="W272" s="57" t="s">
        <v>125</v>
      </c>
      <c r="X272" s="64" t="b">
        <f t="shared" si="33"/>
        <v>0</v>
      </c>
      <c r="Y272" s="60">
        <v>446</v>
      </c>
      <c r="Z272" s="60">
        <v>385</v>
      </c>
      <c r="AA272" s="57" t="s">
        <v>116</v>
      </c>
      <c r="AB272" s="64" t="b">
        <f t="shared" si="34"/>
        <v>0</v>
      </c>
    </row>
    <row r="273" spans="1:28" ht="15" customHeight="1" x14ac:dyDescent="0.3">
      <c r="A273" s="65" t="s">
        <v>673</v>
      </c>
      <c r="B273" s="81">
        <v>45038</v>
      </c>
      <c r="C273" s="59">
        <f t="shared" si="28"/>
        <v>2023</v>
      </c>
      <c r="D273" s="59">
        <f t="shared" si="29"/>
        <v>4</v>
      </c>
      <c r="E273" s="59">
        <f t="shared" si="30"/>
        <v>16</v>
      </c>
      <c r="F273" s="65" t="s">
        <v>59</v>
      </c>
      <c r="G273" s="65" t="s">
        <v>45</v>
      </c>
      <c r="H273" s="65" t="s">
        <v>674</v>
      </c>
      <c r="I273" s="65" t="s">
        <v>68</v>
      </c>
      <c r="J273" s="65" t="s">
        <v>123</v>
      </c>
      <c r="K273" s="65" t="s">
        <v>75</v>
      </c>
      <c r="L273" s="65" t="s">
        <v>119</v>
      </c>
      <c r="M273" s="67">
        <v>984</v>
      </c>
      <c r="N273" s="65" t="s">
        <v>140</v>
      </c>
      <c r="O273" s="68">
        <v>208.89</v>
      </c>
      <c r="P273" s="68">
        <v>205547.76</v>
      </c>
      <c r="Q273" s="68">
        <v>6096.35</v>
      </c>
      <c r="R273" s="62">
        <f t="shared" si="31"/>
        <v>2.9659043718112035E-2</v>
      </c>
      <c r="S273" s="67">
        <v>21</v>
      </c>
      <c r="T273" s="66">
        <v>45059</v>
      </c>
      <c r="U273" s="66">
        <v>45067</v>
      </c>
      <c r="V273" s="63">
        <f t="shared" si="32"/>
        <v>8</v>
      </c>
      <c r="W273" s="65" t="s">
        <v>125</v>
      </c>
      <c r="X273" s="64" t="b">
        <f t="shared" si="33"/>
        <v>0</v>
      </c>
      <c r="Y273" s="67">
        <v>78</v>
      </c>
      <c r="Z273" s="67">
        <v>278</v>
      </c>
      <c r="AA273" s="65" t="s">
        <v>84</v>
      </c>
      <c r="AB273" s="64" t="b">
        <f t="shared" si="34"/>
        <v>1</v>
      </c>
    </row>
    <row r="274" spans="1:28" ht="15" customHeight="1" x14ac:dyDescent="0.3">
      <c r="A274" s="57" t="s">
        <v>675</v>
      </c>
      <c r="B274" s="82">
        <v>45181</v>
      </c>
      <c r="C274" s="59">
        <f t="shared" si="28"/>
        <v>2023</v>
      </c>
      <c r="D274" s="59">
        <f t="shared" si="29"/>
        <v>9</v>
      </c>
      <c r="E274" s="59">
        <f t="shared" si="30"/>
        <v>37</v>
      </c>
      <c r="F274" s="57" t="s">
        <v>58</v>
      </c>
      <c r="G274" s="57" t="s">
        <v>40</v>
      </c>
      <c r="H274" s="57" t="s">
        <v>676</v>
      </c>
      <c r="I274" s="57" t="s">
        <v>64</v>
      </c>
      <c r="J274" s="57" t="s">
        <v>123</v>
      </c>
      <c r="K274" s="57" t="s">
        <v>74</v>
      </c>
      <c r="L274" s="57" t="s">
        <v>135</v>
      </c>
      <c r="M274" s="60">
        <v>840</v>
      </c>
      <c r="N274" s="57" t="s">
        <v>132</v>
      </c>
      <c r="O274" s="61">
        <v>636.25</v>
      </c>
      <c r="P274" s="61">
        <v>534450</v>
      </c>
      <c r="Q274" s="61">
        <v>28747.99</v>
      </c>
      <c r="R274" s="62">
        <f t="shared" si="31"/>
        <v>5.3789858733277206E-2</v>
      </c>
      <c r="S274" s="60">
        <v>12</v>
      </c>
      <c r="T274" s="58">
        <v>45193</v>
      </c>
      <c r="U274" s="58">
        <v>45192</v>
      </c>
      <c r="V274" s="63">
        <f t="shared" si="32"/>
        <v>-1</v>
      </c>
      <c r="W274" s="57" t="s">
        <v>115</v>
      </c>
      <c r="X274" s="64" t="b">
        <f t="shared" si="33"/>
        <v>1</v>
      </c>
      <c r="Y274" s="60">
        <v>193</v>
      </c>
      <c r="Z274" s="60">
        <v>190</v>
      </c>
      <c r="AA274" s="57" t="s">
        <v>116</v>
      </c>
      <c r="AB274" s="64" t="b">
        <f t="shared" si="34"/>
        <v>0</v>
      </c>
    </row>
    <row r="275" spans="1:28" ht="15" customHeight="1" x14ac:dyDescent="0.3">
      <c r="A275" s="65" t="s">
        <v>677</v>
      </c>
      <c r="B275" s="81">
        <v>45123</v>
      </c>
      <c r="C275" s="59">
        <f t="shared" si="28"/>
        <v>2023</v>
      </c>
      <c r="D275" s="59">
        <f t="shared" si="29"/>
        <v>7</v>
      </c>
      <c r="E275" s="59">
        <f t="shared" si="30"/>
        <v>29</v>
      </c>
      <c r="F275" s="65" t="s">
        <v>57</v>
      </c>
      <c r="G275" s="65" t="s">
        <v>44</v>
      </c>
      <c r="H275" s="65" t="s">
        <v>678</v>
      </c>
      <c r="I275" s="65" t="s">
        <v>66</v>
      </c>
      <c r="J275" s="65" t="s">
        <v>151</v>
      </c>
      <c r="K275" s="65" t="s">
        <v>74</v>
      </c>
      <c r="L275" s="65" t="s">
        <v>146</v>
      </c>
      <c r="M275" s="67">
        <v>512</v>
      </c>
      <c r="N275" s="65" t="s">
        <v>132</v>
      </c>
      <c r="O275" s="68">
        <v>133.19</v>
      </c>
      <c r="P275" s="68">
        <v>68193.279999999999</v>
      </c>
      <c r="Q275" s="68">
        <v>5225.41</v>
      </c>
      <c r="R275" s="62">
        <f t="shared" si="31"/>
        <v>7.6626465247015538E-2</v>
      </c>
      <c r="S275" s="67">
        <v>26</v>
      </c>
      <c r="T275" s="66">
        <v>45149</v>
      </c>
      <c r="U275" s="66">
        <v>45157</v>
      </c>
      <c r="V275" s="63">
        <f t="shared" si="32"/>
        <v>8</v>
      </c>
      <c r="W275" s="65" t="s">
        <v>128</v>
      </c>
      <c r="X275" s="64" t="b">
        <f t="shared" si="33"/>
        <v>0</v>
      </c>
      <c r="Y275" s="67">
        <v>484</v>
      </c>
      <c r="Z275" s="67">
        <v>241</v>
      </c>
      <c r="AA275" s="65" t="s">
        <v>116</v>
      </c>
      <c r="AB275" s="64" t="b">
        <f t="shared" si="34"/>
        <v>0</v>
      </c>
    </row>
    <row r="276" spans="1:28" ht="15" customHeight="1" x14ac:dyDescent="0.3">
      <c r="A276" s="57" t="s">
        <v>679</v>
      </c>
      <c r="B276" s="82">
        <v>45121</v>
      </c>
      <c r="C276" s="59">
        <f t="shared" si="28"/>
        <v>2023</v>
      </c>
      <c r="D276" s="59">
        <f t="shared" si="29"/>
        <v>7</v>
      </c>
      <c r="E276" s="59">
        <f t="shared" si="30"/>
        <v>28</v>
      </c>
      <c r="F276" s="57" t="s">
        <v>60</v>
      </c>
      <c r="G276" s="57" t="s">
        <v>45</v>
      </c>
      <c r="H276" s="57" t="s">
        <v>680</v>
      </c>
      <c r="I276" s="57" t="s">
        <v>65</v>
      </c>
      <c r="J276" s="57" t="s">
        <v>112</v>
      </c>
      <c r="K276" s="57" t="s">
        <v>73</v>
      </c>
      <c r="L276" s="57" t="s">
        <v>146</v>
      </c>
      <c r="M276" s="60">
        <v>688</v>
      </c>
      <c r="N276" s="57" t="s">
        <v>120</v>
      </c>
      <c r="O276" s="61">
        <v>195.81</v>
      </c>
      <c r="P276" s="61">
        <v>134717.28</v>
      </c>
      <c r="Q276" s="61">
        <v>2725.31</v>
      </c>
      <c r="R276" s="62">
        <f t="shared" si="31"/>
        <v>2.0229847277201559E-2</v>
      </c>
      <c r="S276" s="60">
        <v>6</v>
      </c>
      <c r="T276" s="58">
        <v>45127</v>
      </c>
      <c r="U276" s="58">
        <v>45127</v>
      </c>
      <c r="V276" s="63">
        <f t="shared" si="32"/>
        <v>0</v>
      </c>
      <c r="W276" s="57" t="s">
        <v>115</v>
      </c>
      <c r="X276" s="64" t="b">
        <f t="shared" si="33"/>
        <v>1</v>
      </c>
      <c r="Y276" s="60">
        <v>362</v>
      </c>
      <c r="Z276" s="60">
        <v>277</v>
      </c>
      <c r="AA276" s="57" t="s">
        <v>84</v>
      </c>
      <c r="AB276" s="64" t="b">
        <f t="shared" si="34"/>
        <v>1</v>
      </c>
    </row>
    <row r="277" spans="1:28" ht="15" customHeight="1" x14ac:dyDescent="0.3">
      <c r="A277" s="65" t="s">
        <v>681</v>
      </c>
      <c r="B277" s="81">
        <v>45476</v>
      </c>
      <c r="C277" s="59">
        <f t="shared" si="28"/>
        <v>2024</v>
      </c>
      <c r="D277" s="59">
        <f t="shared" si="29"/>
        <v>7</v>
      </c>
      <c r="E277" s="59">
        <f t="shared" si="30"/>
        <v>27</v>
      </c>
      <c r="F277" s="65" t="s">
        <v>60</v>
      </c>
      <c r="G277" s="65" t="s">
        <v>44</v>
      </c>
      <c r="H277" s="65" t="s">
        <v>682</v>
      </c>
      <c r="I277" s="65" t="s">
        <v>66</v>
      </c>
      <c r="J277" s="65" t="s">
        <v>143</v>
      </c>
      <c r="K277" s="65" t="s">
        <v>75</v>
      </c>
      <c r="L277" s="65" t="s">
        <v>135</v>
      </c>
      <c r="M277" s="67">
        <v>534</v>
      </c>
      <c r="N277" s="65" t="s">
        <v>140</v>
      </c>
      <c r="O277" s="68">
        <v>119.98</v>
      </c>
      <c r="P277" s="68">
        <v>64069.32</v>
      </c>
      <c r="Q277" s="68">
        <v>2196.7800000000002</v>
      </c>
      <c r="R277" s="62">
        <f t="shared" si="31"/>
        <v>3.4287549797625452E-2</v>
      </c>
      <c r="S277" s="67">
        <v>23</v>
      </c>
      <c r="T277" s="66">
        <v>45499</v>
      </c>
      <c r="U277" s="66">
        <v>45502</v>
      </c>
      <c r="V277" s="63">
        <f t="shared" si="32"/>
        <v>3</v>
      </c>
      <c r="W277" s="65" t="s">
        <v>125</v>
      </c>
      <c r="X277" s="64" t="b">
        <f t="shared" si="33"/>
        <v>0</v>
      </c>
      <c r="Y277" s="67">
        <v>95</v>
      </c>
      <c r="Z277" s="67">
        <v>444</v>
      </c>
      <c r="AA277" s="65" t="s">
        <v>81</v>
      </c>
      <c r="AB277" s="64" t="b">
        <f t="shared" si="34"/>
        <v>1</v>
      </c>
    </row>
    <row r="278" spans="1:28" ht="15" customHeight="1" x14ac:dyDescent="0.3">
      <c r="A278" s="57" t="s">
        <v>683</v>
      </c>
      <c r="B278" s="82">
        <v>45386</v>
      </c>
      <c r="C278" s="59">
        <f t="shared" si="28"/>
        <v>2024</v>
      </c>
      <c r="D278" s="59">
        <f t="shared" si="29"/>
        <v>4</v>
      </c>
      <c r="E278" s="59">
        <f t="shared" si="30"/>
        <v>14</v>
      </c>
      <c r="F278" s="57" t="s">
        <v>55</v>
      </c>
      <c r="G278" s="57" t="s">
        <v>40</v>
      </c>
      <c r="H278" s="57" t="s">
        <v>684</v>
      </c>
      <c r="I278" s="57" t="s">
        <v>67</v>
      </c>
      <c r="J278" s="57" t="s">
        <v>151</v>
      </c>
      <c r="K278" s="57" t="s">
        <v>72</v>
      </c>
      <c r="L278" s="57" t="s">
        <v>156</v>
      </c>
      <c r="M278" s="60">
        <v>858</v>
      </c>
      <c r="N278" s="57" t="s">
        <v>114</v>
      </c>
      <c r="O278" s="61">
        <v>957.65</v>
      </c>
      <c r="P278" s="61">
        <v>821663.7</v>
      </c>
      <c r="Q278" s="61">
        <v>62698.58</v>
      </c>
      <c r="R278" s="62">
        <f t="shared" si="31"/>
        <v>7.6306863744863021E-2</v>
      </c>
      <c r="S278" s="60">
        <v>4</v>
      </c>
      <c r="T278" s="58">
        <v>45390</v>
      </c>
      <c r="U278" s="58">
        <v>45390</v>
      </c>
      <c r="V278" s="63">
        <f t="shared" si="32"/>
        <v>0</v>
      </c>
      <c r="W278" s="57" t="s">
        <v>115</v>
      </c>
      <c r="X278" s="64" t="b">
        <f t="shared" si="33"/>
        <v>1</v>
      </c>
      <c r="Y278" s="60">
        <v>39</v>
      </c>
      <c r="Z278" s="60">
        <v>153</v>
      </c>
      <c r="AA278" s="57" t="s">
        <v>83</v>
      </c>
      <c r="AB278" s="64" t="b">
        <f t="shared" si="34"/>
        <v>1</v>
      </c>
    </row>
    <row r="279" spans="1:28" ht="15" customHeight="1" x14ac:dyDescent="0.3">
      <c r="A279" s="65" t="s">
        <v>685</v>
      </c>
      <c r="B279" s="81">
        <v>45070</v>
      </c>
      <c r="C279" s="59">
        <f t="shared" si="28"/>
        <v>2023</v>
      </c>
      <c r="D279" s="59">
        <f t="shared" si="29"/>
        <v>5</v>
      </c>
      <c r="E279" s="59">
        <f t="shared" si="30"/>
        <v>21</v>
      </c>
      <c r="F279" s="65" t="s">
        <v>54</v>
      </c>
      <c r="G279" s="65" t="s">
        <v>43</v>
      </c>
      <c r="H279" s="65" t="s">
        <v>686</v>
      </c>
      <c r="I279" s="65" t="s">
        <v>65</v>
      </c>
      <c r="J279" s="65" t="s">
        <v>143</v>
      </c>
      <c r="K279" s="65" t="s">
        <v>75</v>
      </c>
      <c r="L279" s="65" t="s">
        <v>124</v>
      </c>
      <c r="M279" s="67">
        <v>41</v>
      </c>
      <c r="N279" s="65" t="s">
        <v>136</v>
      </c>
      <c r="O279" s="68">
        <v>254.99</v>
      </c>
      <c r="P279" s="68">
        <v>10454.59</v>
      </c>
      <c r="Q279" s="68">
        <v>316.41000000000003</v>
      </c>
      <c r="R279" s="62">
        <f t="shared" si="31"/>
        <v>3.0265175391861375E-2</v>
      </c>
      <c r="S279" s="67">
        <v>23</v>
      </c>
      <c r="T279" s="66">
        <v>45093</v>
      </c>
      <c r="U279" s="66">
        <v>45096</v>
      </c>
      <c r="V279" s="63">
        <f t="shared" si="32"/>
        <v>3</v>
      </c>
      <c r="W279" s="65" t="s">
        <v>125</v>
      </c>
      <c r="X279" s="64" t="b">
        <f t="shared" si="33"/>
        <v>0</v>
      </c>
      <c r="Y279" s="67">
        <v>255</v>
      </c>
      <c r="Z279" s="67">
        <v>395</v>
      </c>
      <c r="AA279" s="65" t="s">
        <v>116</v>
      </c>
      <c r="AB279" s="64" t="b">
        <f t="shared" si="34"/>
        <v>0</v>
      </c>
    </row>
    <row r="280" spans="1:28" ht="15" customHeight="1" x14ac:dyDescent="0.3">
      <c r="A280" s="57" t="s">
        <v>687</v>
      </c>
      <c r="B280" s="82">
        <v>45359</v>
      </c>
      <c r="C280" s="59">
        <f t="shared" si="28"/>
        <v>2024</v>
      </c>
      <c r="D280" s="59">
        <f t="shared" si="29"/>
        <v>3</v>
      </c>
      <c r="E280" s="59">
        <f t="shared" si="30"/>
        <v>10</v>
      </c>
      <c r="F280" s="57" t="s">
        <v>55</v>
      </c>
      <c r="G280" s="57" t="s">
        <v>44</v>
      </c>
      <c r="H280" s="57" t="s">
        <v>688</v>
      </c>
      <c r="I280" s="57" t="s">
        <v>67</v>
      </c>
      <c r="J280" s="57" t="s">
        <v>139</v>
      </c>
      <c r="K280" s="57" t="s">
        <v>72</v>
      </c>
      <c r="L280" s="57" t="s">
        <v>156</v>
      </c>
      <c r="M280" s="60">
        <v>402</v>
      </c>
      <c r="N280" s="57" t="s">
        <v>140</v>
      </c>
      <c r="O280" s="61">
        <v>94.62</v>
      </c>
      <c r="P280" s="61">
        <v>38037.24</v>
      </c>
      <c r="Q280" s="61">
        <v>1019.19</v>
      </c>
      <c r="R280" s="62">
        <f t="shared" si="31"/>
        <v>2.6794530833467417E-2</v>
      </c>
      <c r="S280" s="60">
        <v>11</v>
      </c>
      <c r="T280" s="58">
        <v>45370</v>
      </c>
      <c r="U280" s="58">
        <v>45371</v>
      </c>
      <c r="V280" s="63">
        <f t="shared" si="32"/>
        <v>1</v>
      </c>
      <c r="W280" s="57" t="s">
        <v>128</v>
      </c>
      <c r="X280" s="64" t="b">
        <f t="shared" si="33"/>
        <v>0</v>
      </c>
      <c r="Y280" s="60">
        <v>396</v>
      </c>
      <c r="Z280" s="60">
        <v>159</v>
      </c>
      <c r="AA280" s="57" t="s">
        <v>84</v>
      </c>
      <c r="AB280" s="64" t="b">
        <f t="shared" si="34"/>
        <v>1</v>
      </c>
    </row>
    <row r="281" spans="1:28" ht="15" customHeight="1" x14ac:dyDescent="0.3">
      <c r="A281" s="65" t="s">
        <v>689</v>
      </c>
      <c r="B281" s="81">
        <v>45114</v>
      </c>
      <c r="C281" s="59">
        <f t="shared" si="28"/>
        <v>2023</v>
      </c>
      <c r="D281" s="59">
        <f t="shared" si="29"/>
        <v>7</v>
      </c>
      <c r="E281" s="59">
        <f t="shared" si="30"/>
        <v>27</v>
      </c>
      <c r="F281" s="65" t="s">
        <v>59</v>
      </c>
      <c r="G281" s="65" t="s">
        <v>39</v>
      </c>
      <c r="H281" s="65" t="s">
        <v>690</v>
      </c>
      <c r="I281" s="65" t="s">
        <v>69</v>
      </c>
      <c r="J281" s="65" t="s">
        <v>143</v>
      </c>
      <c r="K281" s="65" t="s">
        <v>72</v>
      </c>
      <c r="L281" s="65" t="s">
        <v>124</v>
      </c>
      <c r="M281" s="67">
        <v>49</v>
      </c>
      <c r="N281" s="65" t="s">
        <v>140</v>
      </c>
      <c r="O281" s="68">
        <v>1092.71</v>
      </c>
      <c r="P281" s="68">
        <v>53542.79</v>
      </c>
      <c r="Q281" s="68">
        <v>2902.62</v>
      </c>
      <c r="R281" s="62">
        <f t="shared" si="31"/>
        <v>5.4211220595714191E-2</v>
      </c>
      <c r="S281" s="67">
        <v>24</v>
      </c>
      <c r="T281" s="66">
        <v>45138</v>
      </c>
      <c r="U281" s="66">
        <v>45141</v>
      </c>
      <c r="V281" s="63">
        <f t="shared" si="32"/>
        <v>3</v>
      </c>
      <c r="W281" s="65" t="s">
        <v>125</v>
      </c>
      <c r="X281" s="64" t="b">
        <f t="shared" si="33"/>
        <v>0</v>
      </c>
      <c r="Y281" s="67">
        <v>106</v>
      </c>
      <c r="Z281" s="67">
        <v>264</v>
      </c>
      <c r="AA281" s="65" t="s">
        <v>81</v>
      </c>
      <c r="AB281" s="64" t="b">
        <f t="shared" si="34"/>
        <v>1</v>
      </c>
    </row>
    <row r="282" spans="1:28" ht="15" customHeight="1" x14ac:dyDescent="0.3">
      <c r="A282" s="57" t="s">
        <v>691</v>
      </c>
      <c r="B282" s="82">
        <v>45212</v>
      </c>
      <c r="C282" s="59">
        <f t="shared" si="28"/>
        <v>2023</v>
      </c>
      <c r="D282" s="59">
        <f t="shared" si="29"/>
        <v>10</v>
      </c>
      <c r="E282" s="59">
        <f t="shared" si="30"/>
        <v>41</v>
      </c>
      <c r="F282" s="57" t="s">
        <v>53</v>
      </c>
      <c r="G282" s="57" t="s">
        <v>40</v>
      </c>
      <c r="H282" s="57" t="s">
        <v>692</v>
      </c>
      <c r="I282" s="57" t="s">
        <v>66</v>
      </c>
      <c r="J282" s="57" t="s">
        <v>123</v>
      </c>
      <c r="K282" s="57" t="s">
        <v>75</v>
      </c>
      <c r="L282" s="57" t="s">
        <v>124</v>
      </c>
      <c r="M282" s="60">
        <v>669</v>
      </c>
      <c r="N282" s="57" t="s">
        <v>132</v>
      </c>
      <c r="O282" s="61">
        <v>1196.3699999999999</v>
      </c>
      <c r="P282" s="61">
        <v>800371.53</v>
      </c>
      <c r="Q282" s="61">
        <v>57395.15</v>
      </c>
      <c r="R282" s="62">
        <f t="shared" si="31"/>
        <v>7.1710634185101513E-2</v>
      </c>
      <c r="S282" s="60">
        <v>27</v>
      </c>
      <c r="T282" s="58">
        <v>45239</v>
      </c>
      <c r="U282" s="58">
        <v>45236</v>
      </c>
      <c r="V282" s="63">
        <f t="shared" si="32"/>
        <v>-3</v>
      </c>
      <c r="W282" s="57" t="s">
        <v>115</v>
      </c>
      <c r="X282" s="64" t="b">
        <f t="shared" si="33"/>
        <v>1</v>
      </c>
      <c r="Y282" s="60">
        <v>16</v>
      </c>
      <c r="Z282" s="60">
        <v>234</v>
      </c>
      <c r="AA282" s="57" t="s">
        <v>116</v>
      </c>
      <c r="AB282" s="64" t="b">
        <f t="shared" si="34"/>
        <v>0</v>
      </c>
    </row>
    <row r="283" spans="1:28" ht="15" customHeight="1" x14ac:dyDescent="0.3">
      <c r="A283" s="65" t="s">
        <v>693</v>
      </c>
      <c r="B283" s="81">
        <v>45400</v>
      </c>
      <c r="C283" s="59">
        <f t="shared" si="28"/>
        <v>2024</v>
      </c>
      <c r="D283" s="59">
        <f t="shared" si="29"/>
        <v>4</v>
      </c>
      <c r="E283" s="59">
        <f t="shared" si="30"/>
        <v>16</v>
      </c>
      <c r="F283" s="65" t="s">
        <v>52</v>
      </c>
      <c r="G283" s="65" t="s">
        <v>39</v>
      </c>
      <c r="H283" s="65" t="s">
        <v>694</v>
      </c>
      <c r="I283" s="65" t="s">
        <v>64</v>
      </c>
      <c r="J283" s="65" t="s">
        <v>131</v>
      </c>
      <c r="K283" s="65" t="s">
        <v>71</v>
      </c>
      <c r="L283" s="65" t="s">
        <v>156</v>
      </c>
      <c r="M283" s="67">
        <v>227</v>
      </c>
      <c r="N283" s="65" t="s">
        <v>120</v>
      </c>
      <c r="O283" s="68">
        <v>1329.27</v>
      </c>
      <c r="P283" s="68">
        <v>301744.28999999998</v>
      </c>
      <c r="Q283" s="68">
        <v>14672.8</v>
      </c>
      <c r="R283" s="62">
        <f t="shared" si="31"/>
        <v>4.8626603671605519E-2</v>
      </c>
      <c r="S283" s="67">
        <v>17</v>
      </c>
      <c r="T283" s="66">
        <v>45417</v>
      </c>
      <c r="U283" s="66">
        <v>45429</v>
      </c>
      <c r="V283" s="63">
        <f t="shared" si="32"/>
        <v>12</v>
      </c>
      <c r="W283" s="65" t="s">
        <v>128</v>
      </c>
      <c r="X283" s="64" t="b">
        <f t="shared" si="33"/>
        <v>0</v>
      </c>
      <c r="Y283" s="67">
        <v>14</v>
      </c>
      <c r="Z283" s="67">
        <v>452</v>
      </c>
      <c r="AA283" s="65" t="s">
        <v>81</v>
      </c>
      <c r="AB283" s="64" t="b">
        <f t="shared" si="34"/>
        <v>1</v>
      </c>
    </row>
    <row r="284" spans="1:28" ht="15" customHeight="1" x14ac:dyDescent="0.3">
      <c r="A284" s="57" t="s">
        <v>695</v>
      </c>
      <c r="B284" s="82">
        <v>45182</v>
      </c>
      <c r="C284" s="59">
        <f t="shared" si="28"/>
        <v>2023</v>
      </c>
      <c r="D284" s="59">
        <f t="shared" si="29"/>
        <v>9</v>
      </c>
      <c r="E284" s="59">
        <f t="shared" si="30"/>
        <v>37</v>
      </c>
      <c r="F284" s="57" t="s">
        <v>56</v>
      </c>
      <c r="G284" s="57" t="s">
        <v>40</v>
      </c>
      <c r="H284" s="57" t="s">
        <v>696</v>
      </c>
      <c r="I284" s="57" t="s">
        <v>65</v>
      </c>
      <c r="J284" s="57" t="s">
        <v>131</v>
      </c>
      <c r="K284" s="57" t="s">
        <v>75</v>
      </c>
      <c r="L284" s="57" t="s">
        <v>124</v>
      </c>
      <c r="M284" s="60">
        <v>740</v>
      </c>
      <c r="N284" s="57" t="s">
        <v>120</v>
      </c>
      <c r="O284" s="61">
        <v>594.45000000000005</v>
      </c>
      <c r="P284" s="61">
        <v>439893</v>
      </c>
      <c r="Q284" s="61">
        <v>35047.97</v>
      </c>
      <c r="R284" s="62">
        <f t="shared" si="31"/>
        <v>7.9673852505040998E-2</v>
      </c>
      <c r="S284" s="60">
        <v>6</v>
      </c>
      <c r="T284" s="58">
        <v>45188</v>
      </c>
      <c r="U284" s="58">
        <v>45190</v>
      </c>
      <c r="V284" s="63">
        <f t="shared" si="32"/>
        <v>2</v>
      </c>
      <c r="W284" s="57" t="s">
        <v>125</v>
      </c>
      <c r="X284" s="64" t="b">
        <f t="shared" si="33"/>
        <v>0</v>
      </c>
      <c r="Y284" s="60">
        <v>416</v>
      </c>
      <c r="Z284" s="60">
        <v>345</v>
      </c>
      <c r="AA284" s="57" t="s">
        <v>116</v>
      </c>
      <c r="AB284" s="64" t="b">
        <f t="shared" si="34"/>
        <v>0</v>
      </c>
    </row>
    <row r="285" spans="1:28" ht="15" customHeight="1" x14ac:dyDescent="0.3">
      <c r="A285" s="65" t="s">
        <v>697</v>
      </c>
      <c r="B285" s="81">
        <v>45004</v>
      </c>
      <c r="C285" s="59">
        <f t="shared" si="28"/>
        <v>2023</v>
      </c>
      <c r="D285" s="59">
        <f t="shared" si="29"/>
        <v>3</v>
      </c>
      <c r="E285" s="59">
        <f t="shared" si="30"/>
        <v>12</v>
      </c>
      <c r="F285" s="65" t="s">
        <v>53</v>
      </c>
      <c r="G285" s="65" t="s">
        <v>41</v>
      </c>
      <c r="H285" s="65" t="s">
        <v>698</v>
      </c>
      <c r="I285" s="65" t="s">
        <v>66</v>
      </c>
      <c r="J285" s="65" t="s">
        <v>131</v>
      </c>
      <c r="K285" s="65" t="s">
        <v>72</v>
      </c>
      <c r="L285" s="65" t="s">
        <v>124</v>
      </c>
      <c r="M285" s="67">
        <v>990</v>
      </c>
      <c r="N285" s="65" t="s">
        <v>140</v>
      </c>
      <c r="O285" s="68">
        <v>425.95</v>
      </c>
      <c r="P285" s="68">
        <v>421690.5</v>
      </c>
      <c r="Q285" s="68">
        <v>25617.83</v>
      </c>
      <c r="R285" s="62">
        <f t="shared" si="31"/>
        <v>6.0750313322211438E-2</v>
      </c>
      <c r="S285" s="67">
        <v>24</v>
      </c>
      <c r="T285" s="66">
        <v>45028</v>
      </c>
      <c r="U285" s="66">
        <v>45030</v>
      </c>
      <c r="V285" s="63">
        <f t="shared" si="32"/>
        <v>2</v>
      </c>
      <c r="W285" s="65" t="s">
        <v>128</v>
      </c>
      <c r="X285" s="64" t="b">
        <f t="shared" si="33"/>
        <v>0</v>
      </c>
      <c r="Y285" s="67">
        <v>498</v>
      </c>
      <c r="Z285" s="67">
        <v>198</v>
      </c>
      <c r="AA285" s="65" t="s">
        <v>116</v>
      </c>
      <c r="AB285" s="64" t="b">
        <f t="shared" si="34"/>
        <v>0</v>
      </c>
    </row>
    <row r="286" spans="1:28" ht="15" customHeight="1" x14ac:dyDescent="0.3">
      <c r="A286" s="57" t="s">
        <v>699</v>
      </c>
      <c r="B286" s="82">
        <v>45380</v>
      </c>
      <c r="C286" s="59">
        <f t="shared" si="28"/>
        <v>2024</v>
      </c>
      <c r="D286" s="59">
        <f t="shared" si="29"/>
        <v>3</v>
      </c>
      <c r="E286" s="59">
        <f t="shared" si="30"/>
        <v>13</v>
      </c>
      <c r="F286" s="57" t="s">
        <v>59</v>
      </c>
      <c r="G286" s="57" t="s">
        <v>41</v>
      </c>
      <c r="H286" s="57" t="s">
        <v>700</v>
      </c>
      <c r="I286" s="57" t="s">
        <v>64</v>
      </c>
      <c r="J286" s="57" t="s">
        <v>143</v>
      </c>
      <c r="K286" s="57" t="s">
        <v>74</v>
      </c>
      <c r="L286" s="57" t="s">
        <v>124</v>
      </c>
      <c r="M286" s="60">
        <v>91</v>
      </c>
      <c r="N286" s="57" t="s">
        <v>140</v>
      </c>
      <c r="O286" s="61">
        <v>365.58</v>
      </c>
      <c r="P286" s="61">
        <v>33267.78</v>
      </c>
      <c r="Q286" s="61">
        <v>813.21</v>
      </c>
      <c r="R286" s="62">
        <f t="shared" si="31"/>
        <v>2.4444372302570235E-2</v>
      </c>
      <c r="S286" s="60">
        <v>5</v>
      </c>
      <c r="T286" s="58">
        <v>45385</v>
      </c>
      <c r="U286" s="58">
        <v>45382</v>
      </c>
      <c r="V286" s="63">
        <f t="shared" si="32"/>
        <v>-3</v>
      </c>
      <c r="W286" s="57" t="s">
        <v>115</v>
      </c>
      <c r="X286" s="64" t="b">
        <f t="shared" si="33"/>
        <v>1</v>
      </c>
      <c r="Y286" s="60">
        <v>271</v>
      </c>
      <c r="Z286" s="60">
        <v>476</v>
      </c>
      <c r="AA286" s="57" t="s">
        <v>83</v>
      </c>
      <c r="AB286" s="64" t="b">
        <f t="shared" si="34"/>
        <v>1</v>
      </c>
    </row>
    <row r="287" spans="1:28" ht="15" customHeight="1" x14ac:dyDescent="0.3">
      <c r="A287" s="65" t="s">
        <v>701</v>
      </c>
      <c r="B287" s="81">
        <v>45490</v>
      </c>
      <c r="C287" s="59">
        <f t="shared" si="28"/>
        <v>2024</v>
      </c>
      <c r="D287" s="59">
        <f t="shared" si="29"/>
        <v>7</v>
      </c>
      <c r="E287" s="59">
        <f t="shared" si="30"/>
        <v>29</v>
      </c>
      <c r="F287" s="65" t="s">
        <v>52</v>
      </c>
      <c r="G287" s="65" t="s">
        <v>41</v>
      </c>
      <c r="H287" s="65" t="s">
        <v>702</v>
      </c>
      <c r="I287" s="65" t="s">
        <v>69</v>
      </c>
      <c r="J287" s="65" t="s">
        <v>123</v>
      </c>
      <c r="K287" s="65" t="s">
        <v>74</v>
      </c>
      <c r="L287" s="65" t="s">
        <v>119</v>
      </c>
      <c r="M287" s="67">
        <v>854</v>
      </c>
      <c r="N287" s="65" t="s">
        <v>163</v>
      </c>
      <c r="O287" s="68">
        <v>506.72</v>
      </c>
      <c r="P287" s="68">
        <v>432738.88</v>
      </c>
      <c r="Q287" s="68">
        <v>34433</v>
      </c>
      <c r="R287" s="62">
        <f t="shared" si="31"/>
        <v>7.9569924477319906E-2</v>
      </c>
      <c r="S287" s="67">
        <v>20</v>
      </c>
      <c r="T287" s="66">
        <v>45510</v>
      </c>
      <c r="U287" s="66">
        <v>45522</v>
      </c>
      <c r="V287" s="63">
        <f t="shared" si="32"/>
        <v>12</v>
      </c>
      <c r="W287" s="65" t="s">
        <v>125</v>
      </c>
      <c r="X287" s="64" t="b">
        <f t="shared" si="33"/>
        <v>0</v>
      </c>
      <c r="Y287" s="67">
        <v>498</v>
      </c>
      <c r="Z287" s="67">
        <v>32</v>
      </c>
      <c r="AA287" s="65" t="s">
        <v>84</v>
      </c>
      <c r="AB287" s="64" t="b">
        <f t="shared" si="34"/>
        <v>1</v>
      </c>
    </row>
    <row r="288" spans="1:28" ht="15" customHeight="1" x14ac:dyDescent="0.3">
      <c r="A288" s="57" t="s">
        <v>703</v>
      </c>
      <c r="B288" s="82">
        <v>45027</v>
      </c>
      <c r="C288" s="59">
        <f t="shared" si="28"/>
        <v>2023</v>
      </c>
      <c r="D288" s="59">
        <f t="shared" si="29"/>
        <v>4</v>
      </c>
      <c r="E288" s="59">
        <f t="shared" si="30"/>
        <v>15</v>
      </c>
      <c r="F288" s="57" t="s">
        <v>60</v>
      </c>
      <c r="G288" s="57" t="s">
        <v>44</v>
      </c>
      <c r="H288" s="57" t="s">
        <v>704</v>
      </c>
      <c r="I288" s="57" t="s">
        <v>65</v>
      </c>
      <c r="J288" s="57" t="s">
        <v>143</v>
      </c>
      <c r="K288" s="57" t="s">
        <v>73</v>
      </c>
      <c r="L288" s="57" t="s">
        <v>146</v>
      </c>
      <c r="M288" s="60">
        <v>729</v>
      </c>
      <c r="N288" s="57" t="s">
        <v>114</v>
      </c>
      <c r="O288" s="61">
        <v>161.03</v>
      </c>
      <c r="P288" s="61">
        <v>117390.87</v>
      </c>
      <c r="Q288" s="61">
        <v>5220.8</v>
      </c>
      <c r="R288" s="62">
        <f t="shared" si="31"/>
        <v>4.447364603397181E-2</v>
      </c>
      <c r="S288" s="60">
        <v>2</v>
      </c>
      <c r="T288" s="58">
        <v>45029</v>
      </c>
      <c r="U288" s="58">
        <v>45029</v>
      </c>
      <c r="V288" s="63">
        <f t="shared" si="32"/>
        <v>0</v>
      </c>
      <c r="W288" s="57" t="s">
        <v>115</v>
      </c>
      <c r="X288" s="64" t="b">
        <f t="shared" si="33"/>
        <v>1</v>
      </c>
      <c r="Y288" s="60">
        <v>12</v>
      </c>
      <c r="Z288" s="60">
        <v>407</v>
      </c>
      <c r="AA288" s="57" t="s">
        <v>116</v>
      </c>
      <c r="AB288" s="64" t="b">
        <f t="shared" si="34"/>
        <v>0</v>
      </c>
    </row>
    <row r="289" spans="1:28" ht="15" customHeight="1" x14ac:dyDescent="0.3">
      <c r="A289" s="65" t="s">
        <v>705</v>
      </c>
      <c r="B289" s="81">
        <v>44978</v>
      </c>
      <c r="C289" s="59">
        <f t="shared" si="28"/>
        <v>2023</v>
      </c>
      <c r="D289" s="59">
        <f t="shared" si="29"/>
        <v>2</v>
      </c>
      <c r="E289" s="59">
        <f t="shared" si="30"/>
        <v>8</v>
      </c>
      <c r="F289" s="65" t="s">
        <v>53</v>
      </c>
      <c r="G289" s="65" t="s">
        <v>39</v>
      </c>
      <c r="H289" s="65" t="s">
        <v>706</v>
      </c>
      <c r="I289" s="65" t="s">
        <v>67</v>
      </c>
      <c r="J289" s="65" t="s">
        <v>112</v>
      </c>
      <c r="K289" s="65" t="s">
        <v>74</v>
      </c>
      <c r="L289" s="65" t="s">
        <v>124</v>
      </c>
      <c r="M289" s="67">
        <v>210</v>
      </c>
      <c r="N289" s="65" t="s">
        <v>132</v>
      </c>
      <c r="O289" s="68">
        <v>1459.49</v>
      </c>
      <c r="P289" s="68">
        <v>306492.90000000002</v>
      </c>
      <c r="Q289" s="68">
        <v>11415.07</v>
      </c>
      <c r="R289" s="62">
        <f t="shared" si="31"/>
        <v>3.7244158021278791E-2</v>
      </c>
      <c r="S289" s="67">
        <v>6</v>
      </c>
      <c r="T289" s="66">
        <v>44984</v>
      </c>
      <c r="U289" s="66">
        <v>44992</v>
      </c>
      <c r="V289" s="63">
        <f t="shared" si="32"/>
        <v>8</v>
      </c>
      <c r="W289" s="65" t="s">
        <v>125</v>
      </c>
      <c r="X289" s="64" t="b">
        <f t="shared" si="33"/>
        <v>0</v>
      </c>
      <c r="Y289" s="67">
        <v>246</v>
      </c>
      <c r="Z289" s="67">
        <v>88</v>
      </c>
      <c r="AA289" s="65" t="s">
        <v>82</v>
      </c>
      <c r="AB289" s="64" t="b">
        <f t="shared" si="34"/>
        <v>1</v>
      </c>
    </row>
    <row r="290" spans="1:28" ht="15" customHeight="1" x14ac:dyDescent="0.3">
      <c r="A290" s="57" t="s">
        <v>707</v>
      </c>
      <c r="B290" s="82">
        <v>45594</v>
      </c>
      <c r="C290" s="59">
        <f t="shared" si="28"/>
        <v>2024</v>
      </c>
      <c r="D290" s="59">
        <f t="shared" si="29"/>
        <v>10</v>
      </c>
      <c r="E290" s="59">
        <f t="shared" si="30"/>
        <v>44</v>
      </c>
      <c r="F290" s="57" t="s">
        <v>52</v>
      </c>
      <c r="G290" s="57" t="s">
        <v>39</v>
      </c>
      <c r="H290" s="57" t="s">
        <v>708</v>
      </c>
      <c r="I290" s="57" t="s">
        <v>69</v>
      </c>
      <c r="J290" s="57" t="s">
        <v>123</v>
      </c>
      <c r="K290" s="57" t="s">
        <v>71</v>
      </c>
      <c r="L290" s="57" t="s">
        <v>146</v>
      </c>
      <c r="M290" s="60">
        <v>456</v>
      </c>
      <c r="N290" s="57" t="s">
        <v>114</v>
      </c>
      <c r="O290" s="61">
        <v>1583.02</v>
      </c>
      <c r="P290" s="61">
        <v>721857.12</v>
      </c>
      <c r="Q290" s="61">
        <v>38599.69</v>
      </c>
      <c r="R290" s="62">
        <f t="shared" si="31"/>
        <v>5.3472756492309731E-2</v>
      </c>
      <c r="S290" s="60">
        <v>22</v>
      </c>
      <c r="T290" s="58">
        <v>45616</v>
      </c>
      <c r="U290" s="58">
        <v>45617</v>
      </c>
      <c r="V290" s="63">
        <f t="shared" si="32"/>
        <v>1</v>
      </c>
      <c r="W290" s="57" t="s">
        <v>128</v>
      </c>
      <c r="X290" s="64" t="b">
        <f t="shared" si="33"/>
        <v>0</v>
      </c>
      <c r="Y290" s="60">
        <v>213</v>
      </c>
      <c r="Z290" s="60">
        <v>94</v>
      </c>
      <c r="AA290" s="57" t="s">
        <v>81</v>
      </c>
      <c r="AB290" s="64" t="b">
        <f t="shared" si="34"/>
        <v>1</v>
      </c>
    </row>
    <row r="291" spans="1:28" ht="15" customHeight="1" x14ac:dyDescent="0.3">
      <c r="A291" s="65" t="s">
        <v>709</v>
      </c>
      <c r="B291" s="81">
        <v>45480</v>
      </c>
      <c r="C291" s="59">
        <f t="shared" si="28"/>
        <v>2024</v>
      </c>
      <c r="D291" s="59">
        <f t="shared" si="29"/>
        <v>7</v>
      </c>
      <c r="E291" s="59">
        <f t="shared" si="30"/>
        <v>28</v>
      </c>
      <c r="F291" s="65" t="s">
        <v>58</v>
      </c>
      <c r="G291" s="65" t="s">
        <v>39</v>
      </c>
      <c r="H291" s="65" t="s">
        <v>710</v>
      </c>
      <c r="I291" s="65" t="s">
        <v>68</v>
      </c>
      <c r="J291" s="65" t="s">
        <v>123</v>
      </c>
      <c r="K291" s="65" t="s">
        <v>72</v>
      </c>
      <c r="L291" s="65" t="s">
        <v>146</v>
      </c>
      <c r="M291" s="67">
        <v>853</v>
      </c>
      <c r="N291" s="65" t="s">
        <v>136</v>
      </c>
      <c r="O291" s="68">
        <v>1860.7</v>
      </c>
      <c r="P291" s="68">
        <v>1587177.1</v>
      </c>
      <c r="Q291" s="68">
        <v>60722.94</v>
      </c>
      <c r="R291" s="62">
        <f t="shared" si="31"/>
        <v>3.8258452695669562E-2</v>
      </c>
      <c r="S291" s="67">
        <v>11</v>
      </c>
      <c r="T291" s="66">
        <v>45491</v>
      </c>
      <c r="U291" s="66">
        <v>45499</v>
      </c>
      <c r="V291" s="63">
        <f t="shared" si="32"/>
        <v>8</v>
      </c>
      <c r="W291" s="65" t="s">
        <v>125</v>
      </c>
      <c r="X291" s="64" t="b">
        <f t="shared" si="33"/>
        <v>0</v>
      </c>
      <c r="Y291" s="67">
        <v>150</v>
      </c>
      <c r="Z291" s="67">
        <v>220</v>
      </c>
      <c r="AA291" s="65" t="s">
        <v>83</v>
      </c>
      <c r="AB291" s="64" t="b">
        <f t="shared" si="34"/>
        <v>1</v>
      </c>
    </row>
    <row r="292" spans="1:28" ht="15" customHeight="1" x14ac:dyDescent="0.3">
      <c r="A292" s="57" t="s">
        <v>711</v>
      </c>
      <c r="B292" s="82">
        <v>44942</v>
      </c>
      <c r="C292" s="59">
        <f t="shared" si="28"/>
        <v>2023</v>
      </c>
      <c r="D292" s="59">
        <f t="shared" si="29"/>
        <v>1</v>
      </c>
      <c r="E292" s="59">
        <f t="shared" si="30"/>
        <v>3</v>
      </c>
      <c r="F292" s="57" t="s">
        <v>55</v>
      </c>
      <c r="G292" s="57" t="s">
        <v>43</v>
      </c>
      <c r="H292" s="57" t="s">
        <v>712</v>
      </c>
      <c r="I292" s="57" t="s">
        <v>64</v>
      </c>
      <c r="J292" s="57" t="s">
        <v>143</v>
      </c>
      <c r="K292" s="57" t="s">
        <v>75</v>
      </c>
      <c r="L292" s="57" t="s">
        <v>119</v>
      </c>
      <c r="M292" s="60">
        <v>437</v>
      </c>
      <c r="N292" s="57" t="s">
        <v>136</v>
      </c>
      <c r="O292" s="61">
        <v>221.42</v>
      </c>
      <c r="P292" s="61">
        <v>96760.54</v>
      </c>
      <c r="Q292" s="61">
        <v>2437.15</v>
      </c>
      <c r="R292" s="62">
        <f t="shared" si="31"/>
        <v>2.5187436944853762E-2</v>
      </c>
      <c r="S292" s="60">
        <v>16</v>
      </c>
      <c r="T292" s="58">
        <v>44958</v>
      </c>
      <c r="U292" s="58">
        <v>44958</v>
      </c>
      <c r="V292" s="63">
        <f t="shared" si="32"/>
        <v>0</v>
      </c>
      <c r="W292" s="57" t="s">
        <v>115</v>
      </c>
      <c r="X292" s="64" t="b">
        <f t="shared" si="33"/>
        <v>1</v>
      </c>
      <c r="Y292" s="60">
        <v>291</v>
      </c>
      <c r="Z292" s="60">
        <v>68</v>
      </c>
      <c r="AA292" s="57" t="s">
        <v>81</v>
      </c>
      <c r="AB292" s="64" t="b">
        <f t="shared" si="34"/>
        <v>1</v>
      </c>
    </row>
    <row r="293" spans="1:28" ht="15" customHeight="1" x14ac:dyDescent="0.3">
      <c r="A293" s="65" t="s">
        <v>713</v>
      </c>
      <c r="B293" s="81">
        <v>45022</v>
      </c>
      <c r="C293" s="59">
        <f t="shared" si="28"/>
        <v>2023</v>
      </c>
      <c r="D293" s="59">
        <f t="shared" si="29"/>
        <v>4</v>
      </c>
      <c r="E293" s="59">
        <f t="shared" si="30"/>
        <v>14</v>
      </c>
      <c r="F293" s="65" t="s">
        <v>56</v>
      </c>
      <c r="G293" s="65" t="s">
        <v>39</v>
      </c>
      <c r="H293" s="65" t="s">
        <v>714</v>
      </c>
      <c r="I293" s="65" t="s">
        <v>65</v>
      </c>
      <c r="J293" s="65" t="s">
        <v>143</v>
      </c>
      <c r="K293" s="65" t="s">
        <v>75</v>
      </c>
      <c r="L293" s="65" t="s">
        <v>146</v>
      </c>
      <c r="M293" s="67">
        <v>47</v>
      </c>
      <c r="N293" s="65" t="s">
        <v>120</v>
      </c>
      <c r="O293" s="68">
        <v>2083.73</v>
      </c>
      <c r="P293" s="68">
        <v>97935.31</v>
      </c>
      <c r="Q293" s="68">
        <v>1967.1</v>
      </c>
      <c r="R293" s="62">
        <f t="shared" si="31"/>
        <v>2.0085707596167308E-2</v>
      </c>
      <c r="S293" s="67">
        <v>16</v>
      </c>
      <c r="T293" s="66">
        <v>45038</v>
      </c>
      <c r="U293" s="66">
        <v>45038</v>
      </c>
      <c r="V293" s="63">
        <f t="shared" si="32"/>
        <v>0</v>
      </c>
      <c r="W293" s="65" t="s">
        <v>115</v>
      </c>
      <c r="X293" s="64" t="b">
        <f t="shared" si="33"/>
        <v>1</v>
      </c>
      <c r="Y293" s="67">
        <v>42</v>
      </c>
      <c r="Z293" s="67">
        <v>293</v>
      </c>
      <c r="AA293" s="65" t="s">
        <v>84</v>
      </c>
      <c r="AB293" s="64" t="b">
        <f t="shared" si="34"/>
        <v>1</v>
      </c>
    </row>
    <row r="294" spans="1:28" ht="15" customHeight="1" x14ac:dyDescent="0.3">
      <c r="A294" s="57" t="s">
        <v>715</v>
      </c>
      <c r="B294" s="82">
        <v>45169</v>
      </c>
      <c r="C294" s="59">
        <f t="shared" si="28"/>
        <v>2023</v>
      </c>
      <c r="D294" s="59">
        <f t="shared" si="29"/>
        <v>8</v>
      </c>
      <c r="E294" s="59">
        <f t="shared" si="30"/>
        <v>35</v>
      </c>
      <c r="F294" s="57" t="s">
        <v>57</v>
      </c>
      <c r="G294" s="57" t="s">
        <v>43</v>
      </c>
      <c r="H294" s="57" t="s">
        <v>716</v>
      </c>
      <c r="I294" s="57" t="s">
        <v>65</v>
      </c>
      <c r="J294" s="57" t="s">
        <v>131</v>
      </c>
      <c r="K294" s="57" t="s">
        <v>71</v>
      </c>
      <c r="L294" s="57" t="s">
        <v>135</v>
      </c>
      <c r="M294" s="60">
        <v>220</v>
      </c>
      <c r="N294" s="57" t="s">
        <v>132</v>
      </c>
      <c r="O294" s="61">
        <v>278.57</v>
      </c>
      <c r="P294" s="61">
        <v>61285.4</v>
      </c>
      <c r="Q294" s="61">
        <v>2878.88</v>
      </c>
      <c r="R294" s="62">
        <f t="shared" si="31"/>
        <v>4.6974972832028512E-2</v>
      </c>
      <c r="S294" s="60">
        <v>1</v>
      </c>
      <c r="T294" s="58">
        <v>45170</v>
      </c>
      <c r="U294" s="58">
        <v>45170</v>
      </c>
      <c r="V294" s="63">
        <f t="shared" si="32"/>
        <v>0</v>
      </c>
      <c r="W294" s="57" t="s">
        <v>115</v>
      </c>
      <c r="X294" s="64" t="b">
        <f t="shared" si="33"/>
        <v>1</v>
      </c>
      <c r="Y294" s="60">
        <v>433</v>
      </c>
      <c r="Z294" s="60">
        <v>236</v>
      </c>
      <c r="AA294" s="57" t="s">
        <v>83</v>
      </c>
      <c r="AB294" s="64" t="b">
        <f t="shared" si="34"/>
        <v>1</v>
      </c>
    </row>
    <row r="295" spans="1:28" ht="15" customHeight="1" x14ac:dyDescent="0.3">
      <c r="A295" s="65" t="s">
        <v>717</v>
      </c>
      <c r="B295" s="81">
        <v>45097</v>
      </c>
      <c r="C295" s="59">
        <f t="shared" si="28"/>
        <v>2023</v>
      </c>
      <c r="D295" s="59">
        <f t="shared" si="29"/>
        <v>6</v>
      </c>
      <c r="E295" s="59">
        <f t="shared" si="30"/>
        <v>25</v>
      </c>
      <c r="F295" s="65" t="s">
        <v>58</v>
      </c>
      <c r="G295" s="65" t="s">
        <v>41</v>
      </c>
      <c r="H295" s="65" t="s">
        <v>718</v>
      </c>
      <c r="I295" s="65" t="s">
        <v>69</v>
      </c>
      <c r="J295" s="65" t="s">
        <v>123</v>
      </c>
      <c r="K295" s="65" t="s">
        <v>74</v>
      </c>
      <c r="L295" s="65" t="s">
        <v>113</v>
      </c>
      <c r="M295" s="67">
        <v>453</v>
      </c>
      <c r="N295" s="65" t="s">
        <v>114</v>
      </c>
      <c r="O295" s="68">
        <v>353.96</v>
      </c>
      <c r="P295" s="68">
        <v>160343.88</v>
      </c>
      <c r="Q295" s="68">
        <v>11258.03</v>
      </c>
      <c r="R295" s="62">
        <f t="shared" si="31"/>
        <v>7.0211784821472459E-2</v>
      </c>
      <c r="S295" s="67">
        <v>9</v>
      </c>
      <c r="T295" s="66">
        <v>45106</v>
      </c>
      <c r="U295" s="66">
        <v>45111</v>
      </c>
      <c r="V295" s="63">
        <f t="shared" si="32"/>
        <v>5</v>
      </c>
      <c r="W295" s="65" t="s">
        <v>125</v>
      </c>
      <c r="X295" s="64" t="b">
        <f t="shared" si="33"/>
        <v>0</v>
      </c>
      <c r="Y295" s="67">
        <v>113</v>
      </c>
      <c r="Z295" s="67">
        <v>394</v>
      </c>
      <c r="AA295" s="65" t="s">
        <v>116</v>
      </c>
      <c r="AB295" s="64" t="b">
        <f t="shared" si="34"/>
        <v>0</v>
      </c>
    </row>
    <row r="296" spans="1:28" ht="15" customHeight="1" x14ac:dyDescent="0.3">
      <c r="A296" s="57" t="s">
        <v>719</v>
      </c>
      <c r="B296" s="82">
        <v>45343</v>
      </c>
      <c r="C296" s="59">
        <f t="shared" si="28"/>
        <v>2024</v>
      </c>
      <c r="D296" s="59">
        <f t="shared" si="29"/>
        <v>2</v>
      </c>
      <c r="E296" s="59">
        <f t="shared" si="30"/>
        <v>8</v>
      </c>
      <c r="F296" s="57" t="s">
        <v>53</v>
      </c>
      <c r="G296" s="57" t="s">
        <v>41</v>
      </c>
      <c r="H296" s="57" t="s">
        <v>720</v>
      </c>
      <c r="I296" s="57" t="s">
        <v>65</v>
      </c>
      <c r="J296" s="57" t="s">
        <v>131</v>
      </c>
      <c r="K296" s="57" t="s">
        <v>72</v>
      </c>
      <c r="L296" s="57" t="s">
        <v>119</v>
      </c>
      <c r="M296" s="60">
        <v>336</v>
      </c>
      <c r="N296" s="57" t="s">
        <v>120</v>
      </c>
      <c r="O296" s="61">
        <v>661.22</v>
      </c>
      <c r="P296" s="61">
        <v>222169.92</v>
      </c>
      <c r="Q296" s="61">
        <v>12072.47</v>
      </c>
      <c r="R296" s="62">
        <f t="shared" si="31"/>
        <v>5.4338904204493561E-2</v>
      </c>
      <c r="S296" s="60">
        <v>28</v>
      </c>
      <c r="T296" s="58">
        <v>45371</v>
      </c>
      <c r="U296" s="58">
        <v>45371</v>
      </c>
      <c r="V296" s="63">
        <f t="shared" si="32"/>
        <v>0</v>
      </c>
      <c r="W296" s="57" t="s">
        <v>115</v>
      </c>
      <c r="X296" s="64" t="b">
        <f t="shared" si="33"/>
        <v>1</v>
      </c>
      <c r="Y296" s="60">
        <v>329</v>
      </c>
      <c r="Z296" s="60">
        <v>159</v>
      </c>
      <c r="AA296" s="57" t="s">
        <v>116</v>
      </c>
      <c r="AB296" s="64" t="b">
        <f t="shared" si="34"/>
        <v>0</v>
      </c>
    </row>
    <row r="297" spans="1:28" ht="15" customHeight="1" x14ac:dyDescent="0.3">
      <c r="A297" s="65" t="s">
        <v>721</v>
      </c>
      <c r="B297" s="81">
        <v>45424</v>
      </c>
      <c r="C297" s="59">
        <f t="shared" si="28"/>
        <v>2024</v>
      </c>
      <c r="D297" s="59">
        <f t="shared" si="29"/>
        <v>5</v>
      </c>
      <c r="E297" s="59">
        <f t="shared" si="30"/>
        <v>20</v>
      </c>
      <c r="F297" s="65" t="s">
        <v>61</v>
      </c>
      <c r="G297" s="65" t="s">
        <v>44</v>
      </c>
      <c r="H297" s="65" t="s">
        <v>722</v>
      </c>
      <c r="I297" s="65" t="s">
        <v>64</v>
      </c>
      <c r="J297" s="65" t="s">
        <v>112</v>
      </c>
      <c r="K297" s="65" t="s">
        <v>74</v>
      </c>
      <c r="L297" s="65" t="s">
        <v>113</v>
      </c>
      <c r="M297" s="67">
        <v>770</v>
      </c>
      <c r="N297" s="65" t="s">
        <v>136</v>
      </c>
      <c r="O297" s="68">
        <v>128.22999999999999</v>
      </c>
      <c r="P297" s="68">
        <v>98737.1</v>
      </c>
      <c r="Q297" s="68">
        <v>7894.27</v>
      </c>
      <c r="R297" s="62">
        <f t="shared" si="31"/>
        <v>7.9952419100824304E-2</v>
      </c>
      <c r="S297" s="67">
        <v>27</v>
      </c>
      <c r="T297" s="66">
        <v>45451</v>
      </c>
      <c r="U297" s="66">
        <v>45456</v>
      </c>
      <c r="V297" s="63">
        <f t="shared" si="32"/>
        <v>5</v>
      </c>
      <c r="W297" s="65" t="s">
        <v>125</v>
      </c>
      <c r="X297" s="64" t="b">
        <f t="shared" si="33"/>
        <v>0</v>
      </c>
      <c r="Y297" s="67">
        <v>80</v>
      </c>
      <c r="Z297" s="67">
        <v>319</v>
      </c>
      <c r="AA297" s="65" t="s">
        <v>81</v>
      </c>
      <c r="AB297" s="64" t="b">
        <f t="shared" si="34"/>
        <v>1</v>
      </c>
    </row>
    <row r="298" spans="1:28" ht="15" customHeight="1" x14ac:dyDescent="0.3">
      <c r="A298" s="57" t="s">
        <v>723</v>
      </c>
      <c r="B298" s="82">
        <v>45419</v>
      </c>
      <c r="C298" s="59">
        <f t="shared" si="28"/>
        <v>2024</v>
      </c>
      <c r="D298" s="59">
        <f t="shared" si="29"/>
        <v>5</v>
      </c>
      <c r="E298" s="59">
        <f t="shared" si="30"/>
        <v>19</v>
      </c>
      <c r="F298" s="57" t="s">
        <v>52</v>
      </c>
      <c r="G298" s="57" t="s">
        <v>40</v>
      </c>
      <c r="H298" s="57" t="s">
        <v>724</v>
      </c>
      <c r="I298" s="57" t="s">
        <v>69</v>
      </c>
      <c r="J298" s="57" t="s">
        <v>139</v>
      </c>
      <c r="K298" s="57" t="s">
        <v>73</v>
      </c>
      <c r="L298" s="57" t="s">
        <v>135</v>
      </c>
      <c r="M298" s="60">
        <v>236</v>
      </c>
      <c r="N298" s="57" t="s">
        <v>140</v>
      </c>
      <c r="O298" s="61">
        <v>1192.8599999999999</v>
      </c>
      <c r="P298" s="61">
        <v>281514.96000000002</v>
      </c>
      <c r="Q298" s="61">
        <v>10475.4</v>
      </c>
      <c r="R298" s="62">
        <f t="shared" si="31"/>
        <v>3.721081110574017E-2</v>
      </c>
      <c r="S298" s="60">
        <v>6</v>
      </c>
      <c r="T298" s="58">
        <v>45425</v>
      </c>
      <c r="U298" s="58">
        <v>45424</v>
      </c>
      <c r="V298" s="63">
        <f t="shared" si="32"/>
        <v>-1</v>
      </c>
      <c r="W298" s="57" t="s">
        <v>115</v>
      </c>
      <c r="X298" s="64" t="b">
        <f t="shared" si="33"/>
        <v>1</v>
      </c>
      <c r="Y298" s="60">
        <v>349</v>
      </c>
      <c r="Z298" s="60">
        <v>327</v>
      </c>
      <c r="AA298" s="57" t="s">
        <v>116</v>
      </c>
      <c r="AB298" s="64" t="b">
        <f t="shared" si="34"/>
        <v>0</v>
      </c>
    </row>
    <row r="299" spans="1:28" ht="15" customHeight="1" x14ac:dyDescent="0.3">
      <c r="A299" s="65" t="s">
        <v>725</v>
      </c>
      <c r="B299" s="81">
        <v>45145</v>
      </c>
      <c r="C299" s="59">
        <f t="shared" si="28"/>
        <v>2023</v>
      </c>
      <c r="D299" s="59">
        <f t="shared" si="29"/>
        <v>8</v>
      </c>
      <c r="E299" s="59">
        <f t="shared" si="30"/>
        <v>32</v>
      </c>
      <c r="F299" s="65" t="s">
        <v>60</v>
      </c>
      <c r="G299" s="65" t="s">
        <v>41</v>
      </c>
      <c r="H299" s="65" t="s">
        <v>726</v>
      </c>
      <c r="I299" s="65" t="s">
        <v>67</v>
      </c>
      <c r="J299" s="65" t="s">
        <v>131</v>
      </c>
      <c r="K299" s="65" t="s">
        <v>74</v>
      </c>
      <c r="L299" s="65" t="s">
        <v>156</v>
      </c>
      <c r="M299" s="67">
        <v>57</v>
      </c>
      <c r="N299" s="65" t="s">
        <v>132</v>
      </c>
      <c r="O299" s="68">
        <v>543.29</v>
      </c>
      <c r="P299" s="68">
        <v>30967.53</v>
      </c>
      <c r="Q299" s="68">
        <v>1140.45</v>
      </c>
      <c r="R299" s="62">
        <f t="shared" si="31"/>
        <v>3.6827283286719997E-2</v>
      </c>
      <c r="S299" s="67">
        <v>16</v>
      </c>
      <c r="T299" s="66">
        <v>45161</v>
      </c>
      <c r="U299" s="66">
        <v>45164</v>
      </c>
      <c r="V299" s="63">
        <f t="shared" si="32"/>
        <v>3</v>
      </c>
      <c r="W299" s="65" t="s">
        <v>128</v>
      </c>
      <c r="X299" s="64" t="b">
        <f t="shared" si="33"/>
        <v>0</v>
      </c>
      <c r="Y299" s="67">
        <v>140</v>
      </c>
      <c r="Z299" s="67">
        <v>275</v>
      </c>
      <c r="AA299" s="65" t="s">
        <v>116</v>
      </c>
      <c r="AB299" s="64" t="b">
        <f t="shared" si="34"/>
        <v>0</v>
      </c>
    </row>
    <row r="300" spans="1:28" ht="15" customHeight="1" x14ac:dyDescent="0.3">
      <c r="A300" s="57" t="s">
        <v>727</v>
      </c>
      <c r="B300" s="82">
        <v>45337</v>
      </c>
      <c r="C300" s="59">
        <f t="shared" si="28"/>
        <v>2024</v>
      </c>
      <c r="D300" s="59">
        <f t="shared" si="29"/>
        <v>2</v>
      </c>
      <c r="E300" s="59">
        <f t="shared" si="30"/>
        <v>7</v>
      </c>
      <c r="F300" s="57" t="s">
        <v>60</v>
      </c>
      <c r="G300" s="57" t="s">
        <v>40</v>
      </c>
      <c r="H300" s="57" t="s">
        <v>728</v>
      </c>
      <c r="I300" s="57" t="s">
        <v>69</v>
      </c>
      <c r="J300" s="57" t="s">
        <v>143</v>
      </c>
      <c r="K300" s="57" t="s">
        <v>73</v>
      </c>
      <c r="L300" s="57" t="s">
        <v>156</v>
      </c>
      <c r="M300" s="60">
        <v>27</v>
      </c>
      <c r="N300" s="57" t="s">
        <v>132</v>
      </c>
      <c r="O300" s="61">
        <v>1191.6099999999999</v>
      </c>
      <c r="P300" s="61">
        <v>32173.47</v>
      </c>
      <c r="Q300" s="61">
        <v>951.85</v>
      </c>
      <c r="R300" s="62">
        <f t="shared" si="31"/>
        <v>2.9584934419569914E-2</v>
      </c>
      <c r="S300" s="60">
        <v>29</v>
      </c>
      <c r="T300" s="58">
        <v>45366</v>
      </c>
      <c r="U300" s="58">
        <v>45378</v>
      </c>
      <c r="V300" s="63">
        <f t="shared" si="32"/>
        <v>12</v>
      </c>
      <c r="W300" s="57" t="s">
        <v>128</v>
      </c>
      <c r="X300" s="64" t="b">
        <f t="shared" si="33"/>
        <v>0</v>
      </c>
      <c r="Y300" s="60">
        <v>29</v>
      </c>
      <c r="Z300" s="60">
        <v>289</v>
      </c>
      <c r="AA300" s="57" t="s">
        <v>116</v>
      </c>
      <c r="AB300" s="64" t="b">
        <f t="shared" si="34"/>
        <v>0</v>
      </c>
    </row>
    <row r="301" spans="1:28" ht="15" customHeight="1" x14ac:dyDescent="0.3">
      <c r="A301" s="65" t="s">
        <v>729</v>
      </c>
      <c r="B301" s="81">
        <v>44987</v>
      </c>
      <c r="C301" s="59">
        <f t="shared" si="28"/>
        <v>2023</v>
      </c>
      <c r="D301" s="59">
        <f t="shared" si="29"/>
        <v>3</v>
      </c>
      <c r="E301" s="59">
        <f t="shared" si="30"/>
        <v>9</v>
      </c>
      <c r="F301" s="65" t="s">
        <v>61</v>
      </c>
      <c r="G301" s="65" t="s">
        <v>40</v>
      </c>
      <c r="H301" s="65" t="s">
        <v>730</v>
      </c>
      <c r="I301" s="65" t="s">
        <v>69</v>
      </c>
      <c r="J301" s="65" t="s">
        <v>151</v>
      </c>
      <c r="K301" s="65" t="s">
        <v>75</v>
      </c>
      <c r="L301" s="65" t="s">
        <v>124</v>
      </c>
      <c r="M301" s="67">
        <v>921</v>
      </c>
      <c r="N301" s="65" t="s">
        <v>114</v>
      </c>
      <c r="O301" s="68">
        <v>1042.92</v>
      </c>
      <c r="P301" s="68">
        <v>960529.32</v>
      </c>
      <c r="Q301" s="68">
        <v>28665.86</v>
      </c>
      <c r="R301" s="62">
        <f t="shared" si="31"/>
        <v>2.9843815699452051E-2</v>
      </c>
      <c r="S301" s="67">
        <v>3</v>
      </c>
      <c r="T301" s="66">
        <v>44990</v>
      </c>
      <c r="U301" s="66">
        <v>44995</v>
      </c>
      <c r="V301" s="63">
        <f t="shared" si="32"/>
        <v>5</v>
      </c>
      <c r="W301" s="65" t="s">
        <v>128</v>
      </c>
      <c r="X301" s="64" t="b">
        <f t="shared" si="33"/>
        <v>0</v>
      </c>
      <c r="Y301" s="67">
        <v>440</v>
      </c>
      <c r="Z301" s="67">
        <v>366</v>
      </c>
      <c r="AA301" s="65" t="s">
        <v>82</v>
      </c>
      <c r="AB301" s="64" t="b">
        <f t="shared" si="34"/>
        <v>1</v>
      </c>
    </row>
    <row r="302" spans="1:28" ht="15" customHeight="1" x14ac:dyDescent="0.3">
      <c r="A302" s="57" t="s">
        <v>731</v>
      </c>
      <c r="B302" s="82">
        <v>45095</v>
      </c>
      <c r="C302" s="59">
        <f t="shared" si="28"/>
        <v>2023</v>
      </c>
      <c r="D302" s="59">
        <f t="shared" si="29"/>
        <v>6</v>
      </c>
      <c r="E302" s="59">
        <f t="shared" si="30"/>
        <v>25</v>
      </c>
      <c r="F302" s="57" t="s">
        <v>53</v>
      </c>
      <c r="G302" s="57" t="s">
        <v>45</v>
      </c>
      <c r="H302" s="57" t="s">
        <v>732</v>
      </c>
      <c r="I302" s="57" t="s">
        <v>67</v>
      </c>
      <c r="J302" s="57" t="s">
        <v>139</v>
      </c>
      <c r="K302" s="57" t="s">
        <v>72</v>
      </c>
      <c r="L302" s="57" t="s">
        <v>156</v>
      </c>
      <c r="M302" s="60">
        <v>448</v>
      </c>
      <c r="N302" s="57" t="s">
        <v>163</v>
      </c>
      <c r="O302" s="61">
        <v>179.78</v>
      </c>
      <c r="P302" s="61">
        <v>80541.440000000002</v>
      </c>
      <c r="Q302" s="61">
        <v>2988.99</v>
      </c>
      <c r="R302" s="62">
        <f t="shared" si="31"/>
        <v>3.7111206355386742E-2</v>
      </c>
      <c r="S302" s="60">
        <v>20</v>
      </c>
      <c r="T302" s="58">
        <v>45115</v>
      </c>
      <c r="U302" s="58">
        <v>45123</v>
      </c>
      <c r="V302" s="63">
        <f t="shared" si="32"/>
        <v>8</v>
      </c>
      <c r="W302" s="57" t="s">
        <v>125</v>
      </c>
      <c r="X302" s="64" t="b">
        <f t="shared" si="33"/>
        <v>0</v>
      </c>
      <c r="Y302" s="60">
        <v>493</v>
      </c>
      <c r="Z302" s="60">
        <v>41</v>
      </c>
      <c r="AA302" s="57" t="s">
        <v>81</v>
      </c>
      <c r="AB302" s="64" t="b">
        <f t="shared" si="34"/>
        <v>1</v>
      </c>
    </row>
    <row r="303" spans="1:28" ht="15" customHeight="1" x14ac:dyDescent="0.3">
      <c r="A303" s="65" t="s">
        <v>733</v>
      </c>
      <c r="B303" s="81">
        <v>45315</v>
      </c>
      <c r="C303" s="59">
        <f t="shared" si="28"/>
        <v>2024</v>
      </c>
      <c r="D303" s="59">
        <f t="shared" si="29"/>
        <v>1</v>
      </c>
      <c r="E303" s="59">
        <f t="shared" si="30"/>
        <v>4</v>
      </c>
      <c r="F303" s="65" t="s">
        <v>60</v>
      </c>
      <c r="G303" s="65" t="s">
        <v>44</v>
      </c>
      <c r="H303" s="65" t="s">
        <v>734</v>
      </c>
      <c r="I303" s="65" t="s">
        <v>68</v>
      </c>
      <c r="J303" s="65" t="s">
        <v>112</v>
      </c>
      <c r="K303" s="65" t="s">
        <v>73</v>
      </c>
      <c r="L303" s="65" t="s">
        <v>119</v>
      </c>
      <c r="M303" s="67">
        <v>816</v>
      </c>
      <c r="N303" s="65" t="s">
        <v>114</v>
      </c>
      <c r="O303" s="68">
        <v>135.69</v>
      </c>
      <c r="P303" s="68">
        <v>110723.04</v>
      </c>
      <c r="Q303" s="68">
        <v>7481.6</v>
      </c>
      <c r="R303" s="62">
        <f t="shared" si="31"/>
        <v>6.7570399078638016E-2</v>
      </c>
      <c r="S303" s="67">
        <v>28</v>
      </c>
      <c r="T303" s="66">
        <v>45343</v>
      </c>
      <c r="U303" s="66">
        <v>45340</v>
      </c>
      <c r="V303" s="63">
        <f t="shared" si="32"/>
        <v>-3</v>
      </c>
      <c r="W303" s="65" t="s">
        <v>115</v>
      </c>
      <c r="X303" s="64" t="b">
        <f t="shared" si="33"/>
        <v>1</v>
      </c>
      <c r="Y303" s="67">
        <v>29</v>
      </c>
      <c r="Z303" s="67">
        <v>391</v>
      </c>
      <c r="AA303" s="65" t="s">
        <v>116</v>
      </c>
      <c r="AB303" s="64" t="b">
        <f t="shared" si="34"/>
        <v>0</v>
      </c>
    </row>
    <row r="304" spans="1:28" ht="15" customHeight="1" x14ac:dyDescent="0.3">
      <c r="A304" s="57" t="s">
        <v>735</v>
      </c>
      <c r="B304" s="82">
        <v>44929</v>
      </c>
      <c r="C304" s="59">
        <f t="shared" si="28"/>
        <v>2023</v>
      </c>
      <c r="D304" s="59">
        <f t="shared" si="29"/>
        <v>1</v>
      </c>
      <c r="E304" s="59">
        <f t="shared" si="30"/>
        <v>1</v>
      </c>
      <c r="F304" s="57" t="s">
        <v>54</v>
      </c>
      <c r="G304" s="57" t="s">
        <v>42</v>
      </c>
      <c r="H304" s="57" t="s">
        <v>736</v>
      </c>
      <c r="I304" s="57" t="s">
        <v>64</v>
      </c>
      <c r="J304" s="57" t="s">
        <v>143</v>
      </c>
      <c r="K304" s="57" t="s">
        <v>74</v>
      </c>
      <c r="L304" s="57" t="s">
        <v>156</v>
      </c>
      <c r="M304" s="60">
        <v>717</v>
      </c>
      <c r="N304" s="57" t="s">
        <v>140</v>
      </c>
      <c r="O304" s="61">
        <v>119.5</v>
      </c>
      <c r="P304" s="61">
        <v>85681.5</v>
      </c>
      <c r="Q304" s="61">
        <v>6370.03</v>
      </c>
      <c r="R304" s="62">
        <f t="shared" si="31"/>
        <v>7.4345453802746209E-2</v>
      </c>
      <c r="S304" s="60">
        <v>27</v>
      </c>
      <c r="T304" s="58">
        <v>44956</v>
      </c>
      <c r="U304" s="58">
        <v>44956</v>
      </c>
      <c r="V304" s="63">
        <f t="shared" si="32"/>
        <v>0</v>
      </c>
      <c r="W304" s="57" t="s">
        <v>115</v>
      </c>
      <c r="X304" s="64" t="b">
        <f t="shared" si="33"/>
        <v>1</v>
      </c>
      <c r="Y304" s="60">
        <v>454</v>
      </c>
      <c r="Z304" s="60">
        <v>65</v>
      </c>
      <c r="AA304" s="57" t="s">
        <v>81</v>
      </c>
      <c r="AB304" s="64" t="b">
        <f t="shared" si="34"/>
        <v>1</v>
      </c>
    </row>
    <row r="305" spans="1:28" ht="15" customHeight="1" x14ac:dyDescent="0.3">
      <c r="A305" s="65" t="s">
        <v>737</v>
      </c>
      <c r="B305" s="81">
        <v>45326</v>
      </c>
      <c r="C305" s="59">
        <f t="shared" si="28"/>
        <v>2024</v>
      </c>
      <c r="D305" s="59">
        <f t="shared" si="29"/>
        <v>2</v>
      </c>
      <c r="E305" s="59">
        <f t="shared" si="30"/>
        <v>6</v>
      </c>
      <c r="F305" s="65" t="s">
        <v>60</v>
      </c>
      <c r="G305" s="65" t="s">
        <v>42</v>
      </c>
      <c r="H305" s="65" t="s">
        <v>738</v>
      </c>
      <c r="I305" s="65" t="s">
        <v>68</v>
      </c>
      <c r="J305" s="65" t="s">
        <v>139</v>
      </c>
      <c r="K305" s="65" t="s">
        <v>74</v>
      </c>
      <c r="L305" s="65" t="s">
        <v>119</v>
      </c>
      <c r="M305" s="67">
        <v>196</v>
      </c>
      <c r="N305" s="65" t="s">
        <v>140</v>
      </c>
      <c r="O305" s="68">
        <v>110.88</v>
      </c>
      <c r="P305" s="68">
        <v>21732.48</v>
      </c>
      <c r="Q305" s="68">
        <v>1706.11</v>
      </c>
      <c r="R305" s="62">
        <f t="shared" si="31"/>
        <v>7.8505076272933419E-2</v>
      </c>
      <c r="S305" s="67">
        <v>4</v>
      </c>
      <c r="T305" s="66">
        <v>45330</v>
      </c>
      <c r="U305" s="66">
        <v>45342</v>
      </c>
      <c r="V305" s="63">
        <f t="shared" si="32"/>
        <v>12</v>
      </c>
      <c r="W305" s="65" t="s">
        <v>128</v>
      </c>
      <c r="X305" s="64" t="b">
        <f t="shared" si="33"/>
        <v>0</v>
      </c>
      <c r="Y305" s="67">
        <v>265</v>
      </c>
      <c r="Z305" s="67">
        <v>20</v>
      </c>
      <c r="AA305" s="65" t="s">
        <v>82</v>
      </c>
      <c r="AB305" s="64" t="b">
        <f t="shared" si="34"/>
        <v>1</v>
      </c>
    </row>
    <row r="306" spans="1:28" ht="15" customHeight="1" x14ac:dyDescent="0.3">
      <c r="A306" s="57" t="s">
        <v>739</v>
      </c>
      <c r="B306" s="82">
        <v>45198</v>
      </c>
      <c r="C306" s="59">
        <f t="shared" si="28"/>
        <v>2023</v>
      </c>
      <c r="D306" s="59">
        <f t="shared" si="29"/>
        <v>9</v>
      </c>
      <c r="E306" s="59">
        <f t="shared" si="30"/>
        <v>39</v>
      </c>
      <c r="F306" s="57" t="s">
        <v>56</v>
      </c>
      <c r="G306" s="57" t="s">
        <v>46</v>
      </c>
      <c r="H306" s="57" t="s">
        <v>740</v>
      </c>
      <c r="I306" s="57" t="s">
        <v>68</v>
      </c>
      <c r="J306" s="57" t="s">
        <v>143</v>
      </c>
      <c r="K306" s="57" t="s">
        <v>75</v>
      </c>
      <c r="L306" s="57" t="s">
        <v>119</v>
      </c>
      <c r="M306" s="60">
        <v>354</v>
      </c>
      <c r="N306" s="57" t="s">
        <v>120</v>
      </c>
      <c r="O306" s="61">
        <v>46.67</v>
      </c>
      <c r="P306" s="61">
        <v>16521.18</v>
      </c>
      <c r="Q306" s="61">
        <v>560.69000000000005</v>
      </c>
      <c r="R306" s="62">
        <f t="shared" si="31"/>
        <v>3.393764852147365E-2</v>
      </c>
      <c r="S306" s="60">
        <v>19</v>
      </c>
      <c r="T306" s="58">
        <v>45217</v>
      </c>
      <c r="U306" s="58">
        <v>45218</v>
      </c>
      <c r="V306" s="63">
        <f t="shared" si="32"/>
        <v>1</v>
      </c>
      <c r="W306" s="57" t="s">
        <v>125</v>
      </c>
      <c r="X306" s="64" t="b">
        <f t="shared" si="33"/>
        <v>0</v>
      </c>
      <c r="Y306" s="60">
        <v>98</v>
      </c>
      <c r="Z306" s="60">
        <v>334</v>
      </c>
      <c r="AA306" s="57" t="s">
        <v>116</v>
      </c>
      <c r="AB306" s="64" t="b">
        <f t="shared" si="34"/>
        <v>0</v>
      </c>
    </row>
    <row r="307" spans="1:28" ht="15" customHeight="1" x14ac:dyDescent="0.3">
      <c r="A307" s="65" t="s">
        <v>741</v>
      </c>
      <c r="B307" s="81">
        <v>45392</v>
      </c>
      <c r="C307" s="59">
        <f t="shared" si="28"/>
        <v>2024</v>
      </c>
      <c r="D307" s="59">
        <f t="shared" si="29"/>
        <v>4</v>
      </c>
      <c r="E307" s="59">
        <f t="shared" si="30"/>
        <v>15</v>
      </c>
      <c r="F307" s="65" t="s">
        <v>54</v>
      </c>
      <c r="G307" s="65" t="s">
        <v>45</v>
      </c>
      <c r="H307" s="65" t="s">
        <v>742</v>
      </c>
      <c r="I307" s="65" t="s">
        <v>68</v>
      </c>
      <c r="J307" s="65" t="s">
        <v>131</v>
      </c>
      <c r="K307" s="65" t="s">
        <v>71</v>
      </c>
      <c r="L307" s="65" t="s">
        <v>113</v>
      </c>
      <c r="M307" s="67">
        <v>233</v>
      </c>
      <c r="N307" s="65" t="s">
        <v>132</v>
      </c>
      <c r="O307" s="68">
        <v>253.02</v>
      </c>
      <c r="P307" s="68">
        <v>58953.66</v>
      </c>
      <c r="Q307" s="68">
        <v>4296.42</v>
      </c>
      <c r="R307" s="62">
        <f t="shared" si="31"/>
        <v>7.2877918012215021E-2</v>
      </c>
      <c r="S307" s="67">
        <v>26</v>
      </c>
      <c r="T307" s="66">
        <v>45418</v>
      </c>
      <c r="U307" s="66">
        <v>45430</v>
      </c>
      <c r="V307" s="63">
        <f t="shared" si="32"/>
        <v>12</v>
      </c>
      <c r="W307" s="65" t="s">
        <v>125</v>
      </c>
      <c r="X307" s="64" t="b">
        <f t="shared" si="33"/>
        <v>0</v>
      </c>
      <c r="Y307" s="67">
        <v>449</v>
      </c>
      <c r="Z307" s="67">
        <v>69</v>
      </c>
      <c r="AA307" s="65" t="s">
        <v>83</v>
      </c>
      <c r="AB307" s="64" t="b">
        <f t="shared" si="34"/>
        <v>1</v>
      </c>
    </row>
    <row r="308" spans="1:28" ht="15" customHeight="1" x14ac:dyDescent="0.3">
      <c r="A308" s="57" t="s">
        <v>743</v>
      </c>
      <c r="B308" s="82">
        <v>45219</v>
      </c>
      <c r="C308" s="59">
        <f t="shared" si="28"/>
        <v>2023</v>
      </c>
      <c r="D308" s="59">
        <f t="shared" si="29"/>
        <v>10</v>
      </c>
      <c r="E308" s="59">
        <f t="shared" si="30"/>
        <v>42</v>
      </c>
      <c r="F308" s="57" t="s">
        <v>59</v>
      </c>
      <c r="G308" s="57" t="s">
        <v>44</v>
      </c>
      <c r="H308" s="57" t="s">
        <v>744</v>
      </c>
      <c r="I308" s="57" t="s">
        <v>66</v>
      </c>
      <c r="J308" s="57" t="s">
        <v>143</v>
      </c>
      <c r="K308" s="57" t="s">
        <v>71</v>
      </c>
      <c r="L308" s="57" t="s">
        <v>156</v>
      </c>
      <c r="M308" s="60">
        <v>839</v>
      </c>
      <c r="N308" s="57" t="s">
        <v>120</v>
      </c>
      <c r="O308" s="61">
        <v>117.18</v>
      </c>
      <c r="P308" s="61">
        <v>98314.02</v>
      </c>
      <c r="Q308" s="61">
        <v>3902.61</v>
      </c>
      <c r="R308" s="62">
        <f t="shared" si="31"/>
        <v>3.9695355759026024E-2</v>
      </c>
      <c r="S308" s="60">
        <v>3</v>
      </c>
      <c r="T308" s="58">
        <v>45222</v>
      </c>
      <c r="U308" s="58">
        <v>45225</v>
      </c>
      <c r="V308" s="63">
        <f t="shared" si="32"/>
        <v>3</v>
      </c>
      <c r="W308" s="57" t="s">
        <v>125</v>
      </c>
      <c r="X308" s="64" t="b">
        <f t="shared" si="33"/>
        <v>0</v>
      </c>
      <c r="Y308" s="60">
        <v>93</v>
      </c>
      <c r="Z308" s="60">
        <v>260</v>
      </c>
      <c r="AA308" s="57" t="s">
        <v>82</v>
      </c>
      <c r="AB308" s="64" t="b">
        <f t="shared" si="34"/>
        <v>1</v>
      </c>
    </row>
    <row r="309" spans="1:28" ht="15" customHeight="1" x14ac:dyDescent="0.3">
      <c r="A309" s="65" t="s">
        <v>745</v>
      </c>
      <c r="B309" s="81">
        <v>45360</v>
      </c>
      <c r="C309" s="59">
        <f t="shared" si="28"/>
        <v>2024</v>
      </c>
      <c r="D309" s="59">
        <f t="shared" si="29"/>
        <v>3</v>
      </c>
      <c r="E309" s="59">
        <f t="shared" si="30"/>
        <v>10</v>
      </c>
      <c r="F309" s="65" t="s">
        <v>59</v>
      </c>
      <c r="G309" s="65" t="s">
        <v>46</v>
      </c>
      <c r="H309" s="65" t="s">
        <v>746</v>
      </c>
      <c r="I309" s="65" t="s">
        <v>68</v>
      </c>
      <c r="J309" s="65" t="s">
        <v>112</v>
      </c>
      <c r="K309" s="65" t="s">
        <v>74</v>
      </c>
      <c r="L309" s="65" t="s">
        <v>146</v>
      </c>
      <c r="M309" s="67">
        <v>497</v>
      </c>
      <c r="N309" s="65" t="s">
        <v>140</v>
      </c>
      <c r="O309" s="68">
        <v>42.34</v>
      </c>
      <c r="P309" s="68">
        <v>21042.98</v>
      </c>
      <c r="Q309" s="68">
        <v>563.33000000000004</v>
      </c>
      <c r="R309" s="62">
        <f t="shared" si="31"/>
        <v>2.6770447911845189E-2</v>
      </c>
      <c r="S309" s="67">
        <v>19</v>
      </c>
      <c r="T309" s="66">
        <v>45379</v>
      </c>
      <c r="U309" s="66">
        <v>45378</v>
      </c>
      <c r="V309" s="63">
        <f t="shared" si="32"/>
        <v>-1</v>
      </c>
      <c r="W309" s="65" t="s">
        <v>115</v>
      </c>
      <c r="X309" s="64" t="b">
        <f t="shared" si="33"/>
        <v>1</v>
      </c>
      <c r="Y309" s="67">
        <v>210</v>
      </c>
      <c r="Z309" s="67">
        <v>245</v>
      </c>
      <c r="AA309" s="65" t="s">
        <v>81</v>
      </c>
      <c r="AB309" s="64" t="b">
        <f t="shared" si="34"/>
        <v>1</v>
      </c>
    </row>
    <row r="310" spans="1:28" ht="15" customHeight="1" x14ac:dyDescent="0.3">
      <c r="A310" s="57" t="s">
        <v>747</v>
      </c>
      <c r="B310" s="82">
        <v>45640</v>
      </c>
      <c r="C310" s="59">
        <f t="shared" si="28"/>
        <v>2024</v>
      </c>
      <c r="D310" s="59">
        <f t="shared" si="29"/>
        <v>12</v>
      </c>
      <c r="E310" s="59">
        <f t="shared" si="30"/>
        <v>50</v>
      </c>
      <c r="F310" s="57" t="s">
        <v>52</v>
      </c>
      <c r="G310" s="57" t="s">
        <v>46</v>
      </c>
      <c r="H310" s="57" t="s">
        <v>748</v>
      </c>
      <c r="I310" s="57" t="s">
        <v>66</v>
      </c>
      <c r="J310" s="57" t="s">
        <v>151</v>
      </c>
      <c r="K310" s="57" t="s">
        <v>71</v>
      </c>
      <c r="L310" s="57" t="s">
        <v>156</v>
      </c>
      <c r="M310" s="60">
        <v>918</v>
      </c>
      <c r="N310" s="57" t="s">
        <v>163</v>
      </c>
      <c r="O310" s="61">
        <v>61.37</v>
      </c>
      <c r="P310" s="61">
        <v>56337.66</v>
      </c>
      <c r="Q310" s="61">
        <v>4067.66</v>
      </c>
      <c r="R310" s="62">
        <f t="shared" si="31"/>
        <v>7.2201436836389715E-2</v>
      </c>
      <c r="S310" s="60">
        <v>20</v>
      </c>
      <c r="T310" s="58">
        <v>45660</v>
      </c>
      <c r="U310" s="58">
        <v>45665</v>
      </c>
      <c r="V310" s="63">
        <f t="shared" si="32"/>
        <v>5</v>
      </c>
      <c r="W310" s="57" t="s">
        <v>125</v>
      </c>
      <c r="X310" s="64" t="b">
        <f t="shared" si="33"/>
        <v>0</v>
      </c>
      <c r="Y310" s="60">
        <v>294</v>
      </c>
      <c r="Z310" s="60">
        <v>322</v>
      </c>
      <c r="AA310" s="57" t="s">
        <v>81</v>
      </c>
      <c r="AB310" s="64" t="b">
        <f t="shared" si="34"/>
        <v>1</v>
      </c>
    </row>
    <row r="311" spans="1:28" ht="15" customHeight="1" x14ac:dyDescent="0.3">
      <c r="A311" s="65" t="s">
        <v>749</v>
      </c>
      <c r="B311" s="81">
        <v>45496</v>
      </c>
      <c r="C311" s="59">
        <f t="shared" si="28"/>
        <v>2024</v>
      </c>
      <c r="D311" s="59">
        <f t="shared" si="29"/>
        <v>7</v>
      </c>
      <c r="E311" s="59">
        <f t="shared" si="30"/>
        <v>30</v>
      </c>
      <c r="F311" s="65" t="s">
        <v>54</v>
      </c>
      <c r="G311" s="65" t="s">
        <v>45</v>
      </c>
      <c r="H311" s="65" t="s">
        <v>750</v>
      </c>
      <c r="I311" s="65" t="s">
        <v>67</v>
      </c>
      <c r="J311" s="65" t="s">
        <v>131</v>
      </c>
      <c r="K311" s="65" t="s">
        <v>72</v>
      </c>
      <c r="L311" s="65" t="s">
        <v>156</v>
      </c>
      <c r="M311" s="67">
        <v>886</v>
      </c>
      <c r="N311" s="65" t="s">
        <v>132</v>
      </c>
      <c r="O311" s="68">
        <v>177.56</v>
      </c>
      <c r="P311" s="68">
        <v>157318.16</v>
      </c>
      <c r="Q311" s="68">
        <v>9150.6200000000008</v>
      </c>
      <c r="R311" s="62">
        <f t="shared" si="31"/>
        <v>5.81663299392772E-2</v>
      </c>
      <c r="S311" s="67">
        <v>7</v>
      </c>
      <c r="T311" s="66">
        <v>45503</v>
      </c>
      <c r="U311" s="66">
        <v>45502</v>
      </c>
      <c r="V311" s="63">
        <f t="shared" si="32"/>
        <v>-1</v>
      </c>
      <c r="W311" s="65" t="s">
        <v>115</v>
      </c>
      <c r="X311" s="64" t="b">
        <f t="shared" si="33"/>
        <v>1</v>
      </c>
      <c r="Y311" s="67">
        <v>36</v>
      </c>
      <c r="Z311" s="67">
        <v>234</v>
      </c>
      <c r="AA311" s="65" t="s">
        <v>83</v>
      </c>
      <c r="AB311" s="64" t="b">
        <f t="shared" si="34"/>
        <v>1</v>
      </c>
    </row>
    <row r="312" spans="1:28" ht="15" customHeight="1" x14ac:dyDescent="0.3">
      <c r="A312" s="57" t="s">
        <v>751</v>
      </c>
      <c r="B312" s="82">
        <v>45604</v>
      </c>
      <c r="C312" s="59">
        <f t="shared" si="28"/>
        <v>2024</v>
      </c>
      <c r="D312" s="59">
        <f t="shared" si="29"/>
        <v>11</v>
      </c>
      <c r="E312" s="59">
        <f t="shared" si="30"/>
        <v>45</v>
      </c>
      <c r="F312" s="57" t="s">
        <v>58</v>
      </c>
      <c r="G312" s="57" t="s">
        <v>42</v>
      </c>
      <c r="H312" s="57" t="s">
        <v>752</v>
      </c>
      <c r="I312" s="57" t="s">
        <v>64</v>
      </c>
      <c r="J312" s="57" t="s">
        <v>131</v>
      </c>
      <c r="K312" s="57" t="s">
        <v>71</v>
      </c>
      <c r="L312" s="57" t="s">
        <v>156</v>
      </c>
      <c r="M312" s="60">
        <v>858</v>
      </c>
      <c r="N312" s="57" t="s">
        <v>140</v>
      </c>
      <c r="O312" s="61">
        <v>108.41</v>
      </c>
      <c r="P312" s="61">
        <v>93015.78</v>
      </c>
      <c r="Q312" s="61">
        <v>2779.67</v>
      </c>
      <c r="R312" s="62">
        <f t="shared" si="31"/>
        <v>2.9883854115936029E-2</v>
      </c>
      <c r="S312" s="60">
        <v>20</v>
      </c>
      <c r="T312" s="58">
        <v>45624</v>
      </c>
      <c r="U312" s="58">
        <v>45625</v>
      </c>
      <c r="V312" s="63">
        <f t="shared" si="32"/>
        <v>1</v>
      </c>
      <c r="W312" s="57" t="s">
        <v>125</v>
      </c>
      <c r="X312" s="64" t="b">
        <f t="shared" si="33"/>
        <v>0</v>
      </c>
      <c r="Y312" s="60">
        <v>386</v>
      </c>
      <c r="Z312" s="60">
        <v>426</v>
      </c>
      <c r="AA312" s="57" t="s">
        <v>83</v>
      </c>
      <c r="AB312" s="64" t="b">
        <f t="shared" si="34"/>
        <v>1</v>
      </c>
    </row>
    <row r="313" spans="1:28" ht="15" customHeight="1" x14ac:dyDescent="0.3">
      <c r="A313" s="65" t="s">
        <v>753</v>
      </c>
      <c r="B313" s="81">
        <v>45425</v>
      </c>
      <c r="C313" s="59">
        <f t="shared" si="28"/>
        <v>2024</v>
      </c>
      <c r="D313" s="59">
        <f t="shared" si="29"/>
        <v>5</v>
      </c>
      <c r="E313" s="59">
        <f t="shared" si="30"/>
        <v>20</v>
      </c>
      <c r="F313" s="65" t="s">
        <v>52</v>
      </c>
      <c r="G313" s="65" t="s">
        <v>44</v>
      </c>
      <c r="H313" s="65" t="s">
        <v>754</v>
      </c>
      <c r="I313" s="65" t="s">
        <v>68</v>
      </c>
      <c r="J313" s="65" t="s">
        <v>112</v>
      </c>
      <c r="K313" s="65" t="s">
        <v>72</v>
      </c>
      <c r="L313" s="65" t="s">
        <v>124</v>
      </c>
      <c r="M313" s="67">
        <v>238</v>
      </c>
      <c r="N313" s="65" t="s">
        <v>163</v>
      </c>
      <c r="O313" s="68">
        <v>116.38</v>
      </c>
      <c r="P313" s="68">
        <v>27698.44</v>
      </c>
      <c r="Q313" s="68">
        <v>1268.31</v>
      </c>
      <c r="R313" s="62">
        <f t="shared" si="31"/>
        <v>4.5789943404754924E-2</v>
      </c>
      <c r="S313" s="67">
        <v>9</v>
      </c>
      <c r="T313" s="66">
        <v>45434</v>
      </c>
      <c r="U313" s="66">
        <v>45434</v>
      </c>
      <c r="V313" s="63">
        <f t="shared" si="32"/>
        <v>0</v>
      </c>
      <c r="W313" s="65" t="s">
        <v>115</v>
      </c>
      <c r="X313" s="64" t="b">
        <f t="shared" si="33"/>
        <v>1</v>
      </c>
      <c r="Y313" s="67">
        <v>88</v>
      </c>
      <c r="Z313" s="67">
        <v>271</v>
      </c>
      <c r="AA313" s="65" t="s">
        <v>116</v>
      </c>
      <c r="AB313" s="64" t="b">
        <f t="shared" si="34"/>
        <v>0</v>
      </c>
    </row>
    <row r="314" spans="1:28" ht="15" customHeight="1" x14ac:dyDescent="0.3">
      <c r="A314" s="57" t="s">
        <v>755</v>
      </c>
      <c r="B314" s="82">
        <v>45085</v>
      </c>
      <c r="C314" s="59">
        <f t="shared" si="28"/>
        <v>2023</v>
      </c>
      <c r="D314" s="59">
        <f t="shared" si="29"/>
        <v>6</v>
      </c>
      <c r="E314" s="59">
        <f t="shared" si="30"/>
        <v>23</v>
      </c>
      <c r="F314" s="57" t="s">
        <v>58</v>
      </c>
      <c r="G314" s="57" t="s">
        <v>42</v>
      </c>
      <c r="H314" s="57" t="s">
        <v>756</v>
      </c>
      <c r="I314" s="57" t="s">
        <v>65</v>
      </c>
      <c r="J314" s="57" t="s">
        <v>112</v>
      </c>
      <c r="K314" s="57" t="s">
        <v>74</v>
      </c>
      <c r="L314" s="57" t="s">
        <v>146</v>
      </c>
      <c r="M314" s="60">
        <v>399</v>
      </c>
      <c r="N314" s="57" t="s">
        <v>114</v>
      </c>
      <c r="O314" s="61">
        <v>108.96</v>
      </c>
      <c r="P314" s="61">
        <v>43475.040000000001</v>
      </c>
      <c r="Q314" s="61">
        <v>1618.81</v>
      </c>
      <c r="R314" s="62">
        <f t="shared" si="31"/>
        <v>3.723538839757249E-2</v>
      </c>
      <c r="S314" s="60">
        <v>1</v>
      </c>
      <c r="T314" s="58">
        <v>45086</v>
      </c>
      <c r="U314" s="58">
        <v>45088</v>
      </c>
      <c r="V314" s="63">
        <f t="shared" si="32"/>
        <v>2</v>
      </c>
      <c r="W314" s="57" t="s">
        <v>128</v>
      </c>
      <c r="X314" s="64" t="b">
        <f t="shared" si="33"/>
        <v>0</v>
      </c>
      <c r="Y314" s="60">
        <v>417</v>
      </c>
      <c r="Z314" s="60">
        <v>98</v>
      </c>
      <c r="AA314" s="57" t="s">
        <v>116</v>
      </c>
      <c r="AB314" s="64" t="b">
        <f t="shared" si="34"/>
        <v>0</v>
      </c>
    </row>
    <row r="315" spans="1:28" ht="15" customHeight="1" x14ac:dyDescent="0.3">
      <c r="A315" s="65" t="s">
        <v>757</v>
      </c>
      <c r="B315" s="81">
        <v>45121</v>
      </c>
      <c r="C315" s="59">
        <f t="shared" si="28"/>
        <v>2023</v>
      </c>
      <c r="D315" s="59">
        <f t="shared" si="29"/>
        <v>7</v>
      </c>
      <c r="E315" s="59">
        <f t="shared" si="30"/>
        <v>28</v>
      </c>
      <c r="F315" s="65" t="s">
        <v>56</v>
      </c>
      <c r="G315" s="65" t="s">
        <v>46</v>
      </c>
      <c r="H315" s="65" t="s">
        <v>758</v>
      </c>
      <c r="I315" s="65" t="s">
        <v>67</v>
      </c>
      <c r="J315" s="65" t="s">
        <v>139</v>
      </c>
      <c r="K315" s="65" t="s">
        <v>74</v>
      </c>
      <c r="L315" s="65" t="s">
        <v>146</v>
      </c>
      <c r="M315" s="67">
        <v>988</v>
      </c>
      <c r="N315" s="65" t="s">
        <v>136</v>
      </c>
      <c r="O315" s="68">
        <v>42.03</v>
      </c>
      <c r="P315" s="68">
        <v>41525.64</v>
      </c>
      <c r="Q315" s="68">
        <v>2666.26</v>
      </c>
      <c r="R315" s="62">
        <f t="shared" si="31"/>
        <v>6.4207559474098425E-2</v>
      </c>
      <c r="S315" s="67">
        <v>8</v>
      </c>
      <c r="T315" s="66">
        <v>45129</v>
      </c>
      <c r="U315" s="66">
        <v>45130</v>
      </c>
      <c r="V315" s="63">
        <f t="shared" si="32"/>
        <v>1</v>
      </c>
      <c r="W315" s="65" t="s">
        <v>128</v>
      </c>
      <c r="X315" s="64" t="b">
        <f t="shared" si="33"/>
        <v>0</v>
      </c>
      <c r="Y315" s="67">
        <v>254</v>
      </c>
      <c r="Z315" s="67">
        <v>328</v>
      </c>
      <c r="AA315" s="65" t="s">
        <v>116</v>
      </c>
      <c r="AB315" s="64" t="b">
        <f t="shared" si="34"/>
        <v>0</v>
      </c>
    </row>
    <row r="316" spans="1:28" ht="15" customHeight="1" x14ac:dyDescent="0.3">
      <c r="A316" s="57" t="s">
        <v>759</v>
      </c>
      <c r="B316" s="82">
        <v>45230</v>
      </c>
      <c r="C316" s="59">
        <f t="shared" si="28"/>
        <v>2023</v>
      </c>
      <c r="D316" s="59">
        <f t="shared" si="29"/>
        <v>10</v>
      </c>
      <c r="E316" s="59">
        <f t="shared" si="30"/>
        <v>44</v>
      </c>
      <c r="F316" s="57" t="s">
        <v>55</v>
      </c>
      <c r="G316" s="57" t="s">
        <v>44</v>
      </c>
      <c r="H316" s="57" t="s">
        <v>760</v>
      </c>
      <c r="I316" s="57" t="s">
        <v>66</v>
      </c>
      <c r="J316" s="57" t="s">
        <v>151</v>
      </c>
      <c r="K316" s="57" t="s">
        <v>74</v>
      </c>
      <c r="L316" s="57" t="s">
        <v>119</v>
      </c>
      <c r="M316" s="60">
        <v>598</v>
      </c>
      <c r="N316" s="57" t="s">
        <v>140</v>
      </c>
      <c r="O316" s="61">
        <v>113.55</v>
      </c>
      <c r="P316" s="61">
        <v>67902.899999999994</v>
      </c>
      <c r="Q316" s="61">
        <v>3205.35</v>
      </c>
      <c r="R316" s="62">
        <f t="shared" si="31"/>
        <v>4.7204905828764313E-2</v>
      </c>
      <c r="S316" s="60">
        <v>7</v>
      </c>
      <c r="T316" s="58">
        <v>45237</v>
      </c>
      <c r="U316" s="58">
        <v>45237</v>
      </c>
      <c r="V316" s="63">
        <f t="shared" si="32"/>
        <v>0</v>
      </c>
      <c r="W316" s="57" t="s">
        <v>115</v>
      </c>
      <c r="X316" s="64" t="b">
        <f t="shared" si="33"/>
        <v>1</v>
      </c>
      <c r="Y316" s="60">
        <v>213</v>
      </c>
      <c r="Z316" s="60">
        <v>34</v>
      </c>
      <c r="AA316" s="57" t="s">
        <v>83</v>
      </c>
      <c r="AB316" s="64" t="b">
        <f t="shared" si="34"/>
        <v>1</v>
      </c>
    </row>
    <row r="317" spans="1:28" ht="15" customHeight="1" x14ac:dyDescent="0.3">
      <c r="A317" s="65" t="s">
        <v>761</v>
      </c>
      <c r="B317" s="81">
        <v>45149</v>
      </c>
      <c r="C317" s="59">
        <f t="shared" si="28"/>
        <v>2023</v>
      </c>
      <c r="D317" s="59">
        <f t="shared" si="29"/>
        <v>8</v>
      </c>
      <c r="E317" s="59">
        <f t="shared" si="30"/>
        <v>32</v>
      </c>
      <c r="F317" s="65" t="s">
        <v>53</v>
      </c>
      <c r="G317" s="65" t="s">
        <v>46</v>
      </c>
      <c r="H317" s="65" t="s">
        <v>762</v>
      </c>
      <c r="I317" s="65" t="s">
        <v>64</v>
      </c>
      <c r="J317" s="65" t="s">
        <v>143</v>
      </c>
      <c r="K317" s="65" t="s">
        <v>75</v>
      </c>
      <c r="L317" s="65" t="s">
        <v>146</v>
      </c>
      <c r="M317" s="67">
        <v>197</v>
      </c>
      <c r="N317" s="65" t="s">
        <v>136</v>
      </c>
      <c r="O317" s="68">
        <v>53.58</v>
      </c>
      <c r="P317" s="68">
        <v>10555.26</v>
      </c>
      <c r="Q317" s="68">
        <v>837.63</v>
      </c>
      <c r="R317" s="62">
        <f t="shared" si="31"/>
        <v>7.9356643038636654E-2</v>
      </c>
      <c r="S317" s="67">
        <v>18</v>
      </c>
      <c r="T317" s="66">
        <v>45167</v>
      </c>
      <c r="U317" s="66">
        <v>45168</v>
      </c>
      <c r="V317" s="63">
        <f t="shared" si="32"/>
        <v>1</v>
      </c>
      <c r="W317" s="65" t="s">
        <v>125</v>
      </c>
      <c r="X317" s="64" t="b">
        <f t="shared" si="33"/>
        <v>0</v>
      </c>
      <c r="Y317" s="67">
        <v>421</v>
      </c>
      <c r="Z317" s="67">
        <v>338</v>
      </c>
      <c r="AA317" s="65" t="s">
        <v>116</v>
      </c>
      <c r="AB317" s="64" t="b">
        <f t="shared" si="34"/>
        <v>0</v>
      </c>
    </row>
    <row r="318" spans="1:28" ht="15" customHeight="1" x14ac:dyDescent="0.3">
      <c r="A318" s="57" t="s">
        <v>763</v>
      </c>
      <c r="B318" s="82">
        <v>44986</v>
      </c>
      <c r="C318" s="59">
        <f t="shared" si="28"/>
        <v>2023</v>
      </c>
      <c r="D318" s="59">
        <f t="shared" si="29"/>
        <v>3</v>
      </c>
      <c r="E318" s="59">
        <f t="shared" si="30"/>
        <v>9</v>
      </c>
      <c r="F318" s="57" t="s">
        <v>54</v>
      </c>
      <c r="G318" s="57" t="s">
        <v>39</v>
      </c>
      <c r="H318" s="57" t="s">
        <v>764</v>
      </c>
      <c r="I318" s="57" t="s">
        <v>69</v>
      </c>
      <c r="J318" s="57" t="s">
        <v>139</v>
      </c>
      <c r="K318" s="57" t="s">
        <v>71</v>
      </c>
      <c r="L318" s="57" t="s">
        <v>119</v>
      </c>
      <c r="M318" s="60">
        <v>867</v>
      </c>
      <c r="N318" s="57" t="s">
        <v>120</v>
      </c>
      <c r="O318" s="61">
        <v>1330.28</v>
      </c>
      <c r="P318" s="61">
        <v>1153352.76</v>
      </c>
      <c r="Q318" s="61">
        <v>26855.47</v>
      </c>
      <c r="R318" s="62">
        <f t="shared" si="31"/>
        <v>2.3284697389548019E-2</v>
      </c>
      <c r="S318" s="60">
        <v>8</v>
      </c>
      <c r="T318" s="58">
        <v>44994</v>
      </c>
      <c r="U318" s="58">
        <v>44993</v>
      </c>
      <c r="V318" s="63">
        <f t="shared" si="32"/>
        <v>-1</v>
      </c>
      <c r="W318" s="57" t="s">
        <v>115</v>
      </c>
      <c r="X318" s="64" t="b">
        <f t="shared" si="33"/>
        <v>1</v>
      </c>
      <c r="Y318" s="60">
        <v>13</v>
      </c>
      <c r="Z318" s="60">
        <v>170</v>
      </c>
      <c r="AA318" s="57" t="s">
        <v>116</v>
      </c>
      <c r="AB318" s="64" t="b">
        <f t="shared" si="34"/>
        <v>0</v>
      </c>
    </row>
    <row r="319" spans="1:28" ht="15" customHeight="1" x14ac:dyDescent="0.3">
      <c r="A319" s="65" t="s">
        <v>765</v>
      </c>
      <c r="B319" s="81">
        <v>45520</v>
      </c>
      <c r="C319" s="59">
        <f t="shared" si="28"/>
        <v>2024</v>
      </c>
      <c r="D319" s="59">
        <f t="shared" si="29"/>
        <v>8</v>
      </c>
      <c r="E319" s="59">
        <f t="shared" si="30"/>
        <v>33</v>
      </c>
      <c r="F319" s="65" t="s">
        <v>61</v>
      </c>
      <c r="G319" s="65" t="s">
        <v>45</v>
      </c>
      <c r="H319" s="65" t="s">
        <v>766</v>
      </c>
      <c r="I319" s="65" t="s">
        <v>64</v>
      </c>
      <c r="J319" s="65" t="s">
        <v>143</v>
      </c>
      <c r="K319" s="65" t="s">
        <v>73</v>
      </c>
      <c r="L319" s="65" t="s">
        <v>113</v>
      </c>
      <c r="M319" s="67">
        <v>279</v>
      </c>
      <c r="N319" s="65" t="s">
        <v>136</v>
      </c>
      <c r="O319" s="68">
        <v>150.91</v>
      </c>
      <c r="P319" s="68">
        <v>42103.89</v>
      </c>
      <c r="Q319" s="68">
        <v>1738.93</v>
      </c>
      <c r="R319" s="62">
        <f t="shared" si="31"/>
        <v>4.1300934426723994E-2</v>
      </c>
      <c r="S319" s="67">
        <v>1</v>
      </c>
      <c r="T319" s="66">
        <v>45521</v>
      </c>
      <c r="U319" s="66">
        <v>45533</v>
      </c>
      <c r="V319" s="63">
        <f t="shared" si="32"/>
        <v>12</v>
      </c>
      <c r="W319" s="65" t="s">
        <v>125</v>
      </c>
      <c r="X319" s="64" t="b">
        <f t="shared" si="33"/>
        <v>0</v>
      </c>
      <c r="Y319" s="67">
        <v>191</v>
      </c>
      <c r="Z319" s="67">
        <v>109</v>
      </c>
      <c r="AA319" s="65" t="s">
        <v>83</v>
      </c>
      <c r="AB319" s="64" t="b">
        <f t="shared" si="34"/>
        <v>1</v>
      </c>
    </row>
    <row r="320" spans="1:28" ht="15" customHeight="1" x14ac:dyDescent="0.3">
      <c r="A320" s="57" t="s">
        <v>767</v>
      </c>
      <c r="B320" s="82">
        <v>45482</v>
      </c>
      <c r="C320" s="59">
        <f t="shared" si="28"/>
        <v>2024</v>
      </c>
      <c r="D320" s="59">
        <f t="shared" si="29"/>
        <v>7</v>
      </c>
      <c r="E320" s="59">
        <f t="shared" si="30"/>
        <v>28</v>
      </c>
      <c r="F320" s="57" t="s">
        <v>57</v>
      </c>
      <c r="G320" s="57" t="s">
        <v>40</v>
      </c>
      <c r="H320" s="57" t="s">
        <v>768</v>
      </c>
      <c r="I320" s="57" t="s">
        <v>64</v>
      </c>
      <c r="J320" s="57" t="s">
        <v>143</v>
      </c>
      <c r="K320" s="57" t="s">
        <v>73</v>
      </c>
      <c r="L320" s="57" t="s">
        <v>119</v>
      </c>
      <c r="M320" s="60">
        <v>616</v>
      </c>
      <c r="N320" s="57" t="s">
        <v>140</v>
      </c>
      <c r="O320" s="61">
        <v>679.76</v>
      </c>
      <c r="P320" s="61">
        <v>418732.16</v>
      </c>
      <c r="Q320" s="61">
        <v>20481.87</v>
      </c>
      <c r="R320" s="62">
        <f t="shared" si="31"/>
        <v>4.8914012241142404E-2</v>
      </c>
      <c r="S320" s="60">
        <v>11</v>
      </c>
      <c r="T320" s="58">
        <v>45493</v>
      </c>
      <c r="U320" s="58">
        <v>45490</v>
      </c>
      <c r="V320" s="63">
        <f t="shared" si="32"/>
        <v>-3</v>
      </c>
      <c r="W320" s="57" t="s">
        <v>115</v>
      </c>
      <c r="X320" s="64" t="b">
        <f t="shared" si="33"/>
        <v>1</v>
      </c>
      <c r="Y320" s="60">
        <v>294</v>
      </c>
      <c r="Z320" s="60">
        <v>481</v>
      </c>
      <c r="AA320" s="57" t="s">
        <v>116</v>
      </c>
      <c r="AB320" s="64" t="b">
        <f t="shared" si="34"/>
        <v>0</v>
      </c>
    </row>
    <row r="321" spans="1:28" ht="15" customHeight="1" x14ac:dyDescent="0.3">
      <c r="A321" s="65" t="s">
        <v>769</v>
      </c>
      <c r="B321" s="81">
        <v>44989</v>
      </c>
      <c r="C321" s="59">
        <f t="shared" si="28"/>
        <v>2023</v>
      </c>
      <c r="D321" s="59">
        <f t="shared" si="29"/>
        <v>3</v>
      </c>
      <c r="E321" s="59">
        <f t="shared" si="30"/>
        <v>9</v>
      </c>
      <c r="F321" s="65" t="s">
        <v>53</v>
      </c>
      <c r="G321" s="65" t="s">
        <v>44</v>
      </c>
      <c r="H321" s="65" t="s">
        <v>770</v>
      </c>
      <c r="I321" s="65" t="s">
        <v>68</v>
      </c>
      <c r="J321" s="65" t="s">
        <v>143</v>
      </c>
      <c r="K321" s="65" t="s">
        <v>74</v>
      </c>
      <c r="L321" s="65" t="s">
        <v>156</v>
      </c>
      <c r="M321" s="67">
        <v>319</v>
      </c>
      <c r="N321" s="65" t="s">
        <v>136</v>
      </c>
      <c r="O321" s="68">
        <v>137.33000000000001</v>
      </c>
      <c r="P321" s="68">
        <v>43808.27</v>
      </c>
      <c r="Q321" s="68">
        <v>2198.65</v>
      </c>
      <c r="R321" s="62">
        <f t="shared" si="31"/>
        <v>5.0188012446051859E-2</v>
      </c>
      <c r="S321" s="67">
        <v>28</v>
      </c>
      <c r="T321" s="66">
        <v>45017</v>
      </c>
      <c r="U321" s="66">
        <v>45017</v>
      </c>
      <c r="V321" s="63">
        <f t="shared" si="32"/>
        <v>0</v>
      </c>
      <c r="W321" s="65" t="s">
        <v>115</v>
      </c>
      <c r="X321" s="64" t="b">
        <f t="shared" si="33"/>
        <v>1</v>
      </c>
      <c r="Y321" s="67">
        <v>181</v>
      </c>
      <c r="Z321" s="67">
        <v>294</v>
      </c>
      <c r="AA321" s="65" t="s">
        <v>82</v>
      </c>
      <c r="AB321" s="64" t="b">
        <f t="shared" si="34"/>
        <v>1</v>
      </c>
    </row>
    <row r="322" spans="1:28" ht="15" customHeight="1" x14ac:dyDescent="0.3">
      <c r="A322" s="57" t="s">
        <v>771</v>
      </c>
      <c r="B322" s="82">
        <v>45248</v>
      </c>
      <c r="C322" s="59">
        <f t="shared" ref="C322:C385" si="35">YEAR(B322)</f>
        <v>2023</v>
      </c>
      <c r="D322" s="59">
        <f t="shared" ref="D322:D385" si="36">MONTH(B322)</f>
        <v>11</v>
      </c>
      <c r="E322" s="59">
        <f t="shared" ref="E322:E385" si="37">WEEKNUM(B322,1)</f>
        <v>46</v>
      </c>
      <c r="F322" s="57" t="s">
        <v>56</v>
      </c>
      <c r="G322" s="57" t="s">
        <v>44</v>
      </c>
      <c r="H322" s="57" t="s">
        <v>772</v>
      </c>
      <c r="I322" s="57" t="s">
        <v>68</v>
      </c>
      <c r="J322" s="57" t="s">
        <v>139</v>
      </c>
      <c r="K322" s="57" t="s">
        <v>71</v>
      </c>
      <c r="L322" s="57" t="s">
        <v>135</v>
      </c>
      <c r="M322" s="60">
        <v>141</v>
      </c>
      <c r="N322" s="57" t="s">
        <v>132</v>
      </c>
      <c r="O322" s="61">
        <v>111.97</v>
      </c>
      <c r="P322" s="61">
        <v>15787.77</v>
      </c>
      <c r="Q322" s="61">
        <v>615.03</v>
      </c>
      <c r="R322" s="62">
        <f t="shared" ref="R322:R385" si="38">Q322/P322</f>
        <v>3.8956103363552923E-2</v>
      </c>
      <c r="S322" s="60">
        <v>25</v>
      </c>
      <c r="T322" s="58">
        <v>45273</v>
      </c>
      <c r="U322" s="58">
        <v>45270</v>
      </c>
      <c r="V322" s="63">
        <f t="shared" ref="V322:V385" si="39">U322-T322</f>
        <v>-3</v>
      </c>
      <c r="W322" s="57" t="s">
        <v>115</v>
      </c>
      <c r="X322" s="64" t="b">
        <f t="shared" ref="X322:X385" si="40">IF(W322="Entregado", TRUE(), FALSE())</f>
        <v>1</v>
      </c>
      <c r="Y322" s="60">
        <v>129</v>
      </c>
      <c r="Z322" s="60">
        <v>9</v>
      </c>
      <c r="AA322" s="57" t="s">
        <v>82</v>
      </c>
      <c r="AB322" s="64" t="b">
        <f t="shared" ref="AB322:AB385" si="41">IF(AA322="Ninguna",FALSE(),TRUE())</f>
        <v>1</v>
      </c>
    </row>
    <row r="323" spans="1:28" ht="15" customHeight="1" x14ac:dyDescent="0.3">
      <c r="A323" s="65" t="s">
        <v>773</v>
      </c>
      <c r="B323" s="81">
        <v>44985</v>
      </c>
      <c r="C323" s="59">
        <f t="shared" si="35"/>
        <v>2023</v>
      </c>
      <c r="D323" s="59">
        <f t="shared" si="36"/>
        <v>2</v>
      </c>
      <c r="E323" s="59">
        <f t="shared" si="37"/>
        <v>9</v>
      </c>
      <c r="F323" s="65" t="s">
        <v>54</v>
      </c>
      <c r="G323" s="65" t="s">
        <v>40</v>
      </c>
      <c r="H323" s="65" t="s">
        <v>774</v>
      </c>
      <c r="I323" s="65" t="s">
        <v>66</v>
      </c>
      <c r="J323" s="65" t="s">
        <v>131</v>
      </c>
      <c r="K323" s="65" t="s">
        <v>72</v>
      </c>
      <c r="L323" s="65" t="s">
        <v>135</v>
      </c>
      <c r="M323" s="67">
        <v>560</v>
      </c>
      <c r="N323" s="65" t="s">
        <v>140</v>
      </c>
      <c r="O323" s="68">
        <v>827.13</v>
      </c>
      <c r="P323" s="68">
        <v>463192.8</v>
      </c>
      <c r="Q323" s="68">
        <v>29530.59</v>
      </c>
      <c r="R323" s="62">
        <f t="shared" si="38"/>
        <v>6.3754423643890834E-2</v>
      </c>
      <c r="S323" s="67">
        <v>25</v>
      </c>
      <c r="T323" s="66">
        <v>45010</v>
      </c>
      <c r="U323" s="66">
        <v>45009</v>
      </c>
      <c r="V323" s="63">
        <f t="shared" si="39"/>
        <v>-1</v>
      </c>
      <c r="W323" s="65" t="s">
        <v>115</v>
      </c>
      <c r="X323" s="64" t="b">
        <f t="shared" si="40"/>
        <v>1</v>
      </c>
      <c r="Y323" s="67">
        <v>223</v>
      </c>
      <c r="Z323" s="67">
        <v>201</v>
      </c>
      <c r="AA323" s="65" t="s">
        <v>116</v>
      </c>
      <c r="AB323" s="64" t="b">
        <f t="shared" si="41"/>
        <v>0</v>
      </c>
    </row>
    <row r="324" spans="1:28" ht="15" customHeight="1" x14ac:dyDescent="0.3">
      <c r="A324" s="57" t="s">
        <v>775</v>
      </c>
      <c r="B324" s="82">
        <v>44978</v>
      </c>
      <c r="C324" s="59">
        <f t="shared" si="35"/>
        <v>2023</v>
      </c>
      <c r="D324" s="59">
        <f t="shared" si="36"/>
        <v>2</v>
      </c>
      <c r="E324" s="59">
        <f t="shared" si="37"/>
        <v>8</v>
      </c>
      <c r="F324" s="57" t="s">
        <v>59</v>
      </c>
      <c r="G324" s="57" t="s">
        <v>46</v>
      </c>
      <c r="H324" s="57" t="s">
        <v>776</v>
      </c>
      <c r="I324" s="57" t="s">
        <v>66</v>
      </c>
      <c r="J324" s="57" t="s">
        <v>112</v>
      </c>
      <c r="K324" s="57" t="s">
        <v>73</v>
      </c>
      <c r="L324" s="57" t="s">
        <v>124</v>
      </c>
      <c r="M324" s="60">
        <v>81</v>
      </c>
      <c r="N324" s="57" t="s">
        <v>163</v>
      </c>
      <c r="O324" s="61">
        <v>60.09</v>
      </c>
      <c r="P324" s="61">
        <v>4867.29</v>
      </c>
      <c r="Q324" s="61">
        <v>352.8</v>
      </c>
      <c r="R324" s="62">
        <f t="shared" si="38"/>
        <v>7.2483866792403984E-2</v>
      </c>
      <c r="S324" s="60">
        <v>18</v>
      </c>
      <c r="T324" s="58">
        <v>44996</v>
      </c>
      <c r="U324" s="58">
        <v>44996</v>
      </c>
      <c r="V324" s="63">
        <f t="shared" si="39"/>
        <v>0</v>
      </c>
      <c r="W324" s="57" t="s">
        <v>115</v>
      </c>
      <c r="X324" s="64" t="b">
        <f t="shared" si="40"/>
        <v>1</v>
      </c>
      <c r="Y324" s="60">
        <v>42</v>
      </c>
      <c r="Z324" s="60">
        <v>403</v>
      </c>
      <c r="AA324" s="57" t="s">
        <v>116</v>
      </c>
      <c r="AB324" s="64" t="b">
        <f t="shared" si="41"/>
        <v>0</v>
      </c>
    </row>
    <row r="325" spans="1:28" ht="15" customHeight="1" x14ac:dyDescent="0.3">
      <c r="A325" s="65" t="s">
        <v>777</v>
      </c>
      <c r="B325" s="81">
        <v>45525</v>
      </c>
      <c r="C325" s="59">
        <f t="shared" si="35"/>
        <v>2024</v>
      </c>
      <c r="D325" s="59">
        <f t="shared" si="36"/>
        <v>8</v>
      </c>
      <c r="E325" s="59">
        <f t="shared" si="37"/>
        <v>34</v>
      </c>
      <c r="F325" s="65" t="s">
        <v>53</v>
      </c>
      <c r="G325" s="65" t="s">
        <v>39</v>
      </c>
      <c r="H325" s="65" t="s">
        <v>778</v>
      </c>
      <c r="I325" s="65" t="s">
        <v>68</v>
      </c>
      <c r="J325" s="65" t="s">
        <v>131</v>
      </c>
      <c r="K325" s="65" t="s">
        <v>74</v>
      </c>
      <c r="L325" s="65" t="s">
        <v>156</v>
      </c>
      <c r="M325" s="67">
        <v>802</v>
      </c>
      <c r="N325" s="65" t="s">
        <v>136</v>
      </c>
      <c r="O325" s="68">
        <v>2101.09</v>
      </c>
      <c r="P325" s="68">
        <v>1639255.3774000001</v>
      </c>
      <c r="Q325" s="68">
        <v>96548.6302</v>
      </c>
      <c r="R325" s="62">
        <f t="shared" si="38"/>
        <v>5.8897857851248549E-2</v>
      </c>
      <c r="S325" s="67">
        <v>23</v>
      </c>
      <c r="T325" s="66">
        <v>45548</v>
      </c>
      <c r="U325" s="66">
        <v>45548</v>
      </c>
      <c r="V325" s="63">
        <f t="shared" si="39"/>
        <v>0</v>
      </c>
      <c r="W325" s="65" t="s">
        <v>115</v>
      </c>
      <c r="X325" s="64" t="b">
        <f t="shared" si="40"/>
        <v>1</v>
      </c>
      <c r="Y325" s="67">
        <v>180</v>
      </c>
      <c r="Z325" s="67">
        <v>256</v>
      </c>
      <c r="AA325" s="65" t="s">
        <v>116</v>
      </c>
      <c r="AB325" s="64" t="b">
        <f t="shared" si="41"/>
        <v>0</v>
      </c>
    </row>
    <row r="326" spans="1:28" ht="15" customHeight="1" x14ac:dyDescent="0.3">
      <c r="A326" s="57" t="s">
        <v>779</v>
      </c>
      <c r="B326" s="82">
        <v>45415</v>
      </c>
      <c r="C326" s="59">
        <f t="shared" si="35"/>
        <v>2024</v>
      </c>
      <c r="D326" s="59">
        <f t="shared" si="36"/>
        <v>5</v>
      </c>
      <c r="E326" s="59">
        <f t="shared" si="37"/>
        <v>18</v>
      </c>
      <c r="F326" s="57" t="s">
        <v>58</v>
      </c>
      <c r="G326" s="57" t="s">
        <v>43</v>
      </c>
      <c r="H326" s="57" t="s">
        <v>780</v>
      </c>
      <c r="I326" s="57" t="s">
        <v>68</v>
      </c>
      <c r="J326" s="57" t="s">
        <v>151</v>
      </c>
      <c r="K326" s="57" t="s">
        <v>73</v>
      </c>
      <c r="L326" s="57" t="s">
        <v>119</v>
      </c>
      <c r="M326" s="60">
        <v>854</v>
      </c>
      <c r="N326" s="57" t="s">
        <v>132</v>
      </c>
      <c r="O326" s="61">
        <v>284.85000000000002</v>
      </c>
      <c r="P326" s="61">
        <v>243261.9</v>
      </c>
      <c r="Q326" s="61">
        <v>16616.150000000001</v>
      </c>
      <c r="R326" s="62">
        <f t="shared" si="38"/>
        <v>6.8305599849380449E-2</v>
      </c>
      <c r="S326" s="60">
        <v>10</v>
      </c>
      <c r="T326" s="58">
        <v>45425</v>
      </c>
      <c r="U326" s="58">
        <v>45427</v>
      </c>
      <c r="V326" s="63">
        <f t="shared" si="39"/>
        <v>2</v>
      </c>
      <c r="W326" s="57" t="s">
        <v>128</v>
      </c>
      <c r="X326" s="64" t="b">
        <f t="shared" si="40"/>
        <v>0</v>
      </c>
      <c r="Y326" s="60">
        <v>386</v>
      </c>
      <c r="Z326" s="60">
        <v>261</v>
      </c>
      <c r="AA326" s="57" t="s">
        <v>83</v>
      </c>
      <c r="AB326" s="64" t="b">
        <f t="shared" si="41"/>
        <v>1</v>
      </c>
    </row>
    <row r="327" spans="1:28" ht="15" customHeight="1" x14ac:dyDescent="0.3">
      <c r="A327" s="65" t="s">
        <v>781</v>
      </c>
      <c r="B327" s="81">
        <v>45441</v>
      </c>
      <c r="C327" s="59">
        <f t="shared" si="35"/>
        <v>2024</v>
      </c>
      <c r="D327" s="59">
        <f t="shared" si="36"/>
        <v>5</v>
      </c>
      <c r="E327" s="59">
        <f t="shared" si="37"/>
        <v>22</v>
      </c>
      <c r="F327" s="65" t="s">
        <v>61</v>
      </c>
      <c r="G327" s="65" t="s">
        <v>40</v>
      </c>
      <c r="H327" s="65" t="s">
        <v>782</v>
      </c>
      <c r="I327" s="65" t="s">
        <v>65</v>
      </c>
      <c r="J327" s="65" t="s">
        <v>139</v>
      </c>
      <c r="K327" s="65" t="s">
        <v>73</v>
      </c>
      <c r="L327" s="65" t="s">
        <v>156</v>
      </c>
      <c r="M327" s="67">
        <v>681</v>
      </c>
      <c r="N327" s="65" t="s">
        <v>120</v>
      </c>
      <c r="O327" s="68">
        <v>875.49</v>
      </c>
      <c r="P327" s="68">
        <v>596208.68999999994</v>
      </c>
      <c r="Q327" s="68">
        <v>42351.57</v>
      </c>
      <c r="R327" s="62">
        <f t="shared" si="38"/>
        <v>7.1034808298416449E-2</v>
      </c>
      <c r="S327" s="67">
        <v>3</v>
      </c>
      <c r="T327" s="66">
        <v>45444</v>
      </c>
      <c r="U327" s="66">
        <v>45447</v>
      </c>
      <c r="V327" s="63">
        <f t="shared" si="39"/>
        <v>3</v>
      </c>
      <c r="W327" s="65" t="s">
        <v>128</v>
      </c>
      <c r="X327" s="64" t="b">
        <f t="shared" si="40"/>
        <v>0</v>
      </c>
      <c r="Y327" s="67">
        <v>168</v>
      </c>
      <c r="Z327" s="67">
        <v>180</v>
      </c>
      <c r="AA327" s="65" t="s">
        <v>116</v>
      </c>
      <c r="AB327" s="64" t="b">
        <f t="shared" si="41"/>
        <v>0</v>
      </c>
    </row>
    <row r="328" spans="1:28" ht="15" customHeight="1" x14ac:dyDescent="0.3">
      <c r="A328" s="57" t="s">
        <v>783</v>
      </c>
      <c r="B328" s="82">
        <v>45470</v>
      </c>
      <c r="C328" s="59">
        <f t="shared" si="35"/>
        <v>2024</v>
      </c>
      <c r="D328" s="59">
        <f t="shared" si="36"/>
        <v>6</v>
      </c>
      <c r="E328" s="59">
        <f t="shared" si="37"/>
        <v>26</v>
      </c>
      <c r="F328" s="57" t="s">
        <v>53</v>
      </c>
      <c r="G328" s="57" t="s">
        <v>45</v>
      </c>
      <c r="H328" s="57" t="s">
        <v>784</v>
      </c>
      <c r="I328" s="57" t="s">
        <v>65</v>
      </c>
      <c r="J328" s="57" t="s">
        <v>151</v>
      </c>
      <c r="K328" s="57" t="s">
        <v>73</v>
      </c>
      <c r="L328" s="57" t="s">
        <v>124</v>
      </c>
      <c r="M328" s="60">
        <v>196</v>
      </c>
      <c r="N328" s="57" t="s">
        <v>120</v>
      </c>
      <c r="O328" s="61">
        <v>192.82</v>
      </c>
      <c r="P328" s="61">
        <v>37792.720000000001</v>
      </c>
      <c r="Q328" s="61">
        <v>2004.25</v>
      </c>
      <c r="R328" s="62">
        <f t="shared" si="38"/>
        <v>5.3032700477763969E-2</v>
      </c>
      <c r="S328" s="60">
        <v>7</v>
      </c>
      <c r="T328" s="58">
        <v>45477</v>
      </c>
      <c r="U328" s="58">
        <v>45485</v>
      </c>
      <c r="V328" s="63">
        <f t="shared" si="39"/>
        <v>8</v>
      </c>
      <c r="W328" s="57" t="s">
        <v>125</v>
      </c>
      <c r="X328" s="64" t="b">
        <f t="shared" si="40"/>
        <v>0</v>
      </c>
      <c r="Y328" s="60">
        <v>263</v>
      </c>
      <c r="Z328" s="60">
        <v>429</v>
      </c>
      <c r="AA328" s="57" t="s">
        <v>116</v>
      </c>
      <c r="AB328" s="64" t="b">
        <f t="shared" si="41"/>
        <v>0</v>
      </c>
    </row>
    <row r="329" spans="1:28" ht="15" customHeight="1" x14ac:dyDescent="0.3">
      <c r="A329" s="65" t="s">
        <v>785</v>
      </c>
      <c r="B329" s="81">
        <v>45088</v>
      </c>
      <c r="C329" s="59">
        <f t="shared" si="35"/>
        <v>2023</v>
      </c>
      <c r="D329" s="59">
        <f t="shared" si="36"/>
        <v>6</v>
      </c>
      <c r="E329" s="59">
        <f t="shared" si="37"/>
        <v>24</v>
      </c>
      <c r="F329" s="65" t="s">
        <v>57</v>
      </c>
      <c r="G329" s="65" t="s">
        <v>42</v>
      </c>
      <c r="H329" s="65" t="s">
        <v>786</v>
      </c>
      <c r="I329" s="65" t="s">
        <v>67</v>
      </c>
      <c r="J329" s="65" t="s">
        <v>112</v>
      </c>
      <c r="K329" s="65" t="s">
        <v>74</v>
      </c>
      <c r="L329" s="65" t="s">
        <v>146</v>
      </c>
      <c r="M329" s="67">
        <v>495</v>
      </c>
      <c r="N329" s="65" t="s">
        <v>136</v>
      </c>
      <c r="O329" s="68">
        <v>62.84</v>
      </c>
      <c r="P329" s="68">
        <v>31105.8</v>
      </c>
      <c r="Q329" s="68">
        <v>2163.5100000000002</v>
      </c>
      <c r="R329" s="62">
        <f t="shared" si="38"/>
        <v>6.9553266593368454E-2</v>
      </c>
      <c r="S329" s="67">
        <v>28</v>
      </c>
      <c r="T329" s="66">
        <v>45116</v>
      </c>
      <c r="U329" s="66">
        <v>45115</v>
      </c>
      <c r="V329" s="63">
        <f t="shared" si="39"/>
        <v>-1</v>
      </c>
      <c r="W329" s="65" t="s">
        <v>115</v>
      </c>
      <c r="X329" s="64" t="b">
        <f t="shared" si="40"/>
        <v>1</v>
      </c>
      <c r="Y329" s="67">
        <v>473</v>
      </c>
      <c r="Z329" s="67">
        <v>65</v>
      </c>
      <c r="AA329" s="65" t="s">
        <v>82</v>
      </c>
      <c r="AB329" s="64" t="b">
        <f t="shared" si="41"/>
        <v>1</v>
      </c>
    </row>
    <row r="330" spans="1:28" ht="15" customHeight="1" x14ac:dyDescent="0.3">
      <c r="A330" s="57" t="s">
        <v>787</v>
      </c>
      <c r="B330" s="82">
        <v>44985</v>
      </c>
      <c r="C330" s="59">
        <f t="shared" si="35"/>
        <v>2023</v>
      </c>
      <c r="D330" s="59">
        <f t="shared" si="36"/>
        <v>2</v>
      </c>
      <c r="E330" s="59">
        <f t="shared" si="37"/>
        <v>9</v>
      </c>
      <c r="F330" s="57" t="s">
        <v>56</v>
      </c>
      <c r="G330" s="57" t="s">
        <v>46</v>
      </c>
      <c r="H330" s="57" t="s">
        <v>788</v>
      </c>
      <c r="I330" s="57" t="s">
        <v>68</v>
      </c>
      <c r="J330" s="57" t="s">
        <v>112</v>
      </c>
      <c r="K330" s="57" t="s">
        <v>74</v>
      </c>
      <c r="L330" s="57" t="s">
        <v>119</v>
      </c>
      <c r="M330" s="60">
        <v>200</v>
      </c>
      <c r="N330" s="57" t="s">
        <v>120</v>
      </c>
      <c r="O330" s="61">
        <v>87.76</v>
      </c>
      <c r="P330" s="61">
        <v>17552</v>
      </c>
      <c r="Q330" s="61">
        <v>670.67</v>
      </c>
      <c r="R330" s="62">
        <f t="shared" si="38"/>
        <v>3.8210460346399265E-2</v>
      </c>
      <c r="S330" s="60">
        <v>16</v>
      </c>
      <c r="T330" s="58">
        <v>45001</v>
      </c>
      <c r="U330" s="58">
        <v>45013</v>
      </c>
      <c r="V330" s="63">
        <f t="shared" si="39"/>
        <v>12</v>
      </c>
      <c r="W330" s="57" t="s">
        <v>125</v>
      </c>
      <c r="X330" s="64" t="b">
        <f t="shared" si="40"/>
        <v>0</v>
      </c>
      <c r="Y330" s="60">
        <v>95</v>
      </c>
      <c r="Z330" s="60">
        <v>293</v>
      </c>
      <c r="AA330" s="57" t="s">
        <v>116</v>
      </c>
      <c r="AB330" s="64" t="b">
        <f t="shared" si="41"/>
        <v>0</v>
      </c>
    </row>
    <row r="331" spans="1:28" ht="15" customHeight="1" x14ac:dyDescent="0.3">
      <c r="A331" s="65" t="s">
        <v>789</v>
      </c>
      <c r="B331" s="81">
        <v>45447</v>
      </c>
      <c r="C331" s="59">
        <f t="shared" si="35"/>
        <v>2024</v>
      </c>
      <c r="D331" s="59">
        <f t="shared" si="36"/>
        <v>6</v>
      </c>
      <c r="E331" s="59">
        <f t="shared" si="37"/>
        <v>23</v>
      </c>
      <c r="F331" s="65" t="s">
        <v>56</v>
      </c>
      <c r="G331" s="65" t="s">
        <v>40</v>
      </c>
      <c r="H331" s="65" t="s">
        <v>790</v>
      </c>
      <c r="I331" s="65" t="s">
        <v>69</v>
      </c>
      <c r="J331" s="65" t="s">
        <v>123</v>
      </c>
      <c r="K331" s="65" t="s">
        <v>75</v>
      </c>
      <c r="L331" s="65" t="s">
        <v>156</v>
      </c>
      <c r="M331" s="67">
        <v>431</v>
      </c>
      <c r="N331" s="65" t="s">
        <v>163</v>
      </c>
      <c r="O331" s="68">
        <v>598.54999999999995</v>
      </c>
      <c r="P331" s="68">
        <v>257975.05</v>
      </c>
      <c r="Q331" s="68">
        <v>11327.36</v>
      </c>
      <c r="R331" s="62">
        <f t="shared" si="38"/>
        <v>4.3908742337679559E-2</v>
      </c>
      <c r="S331" s="67">
        <v>26</v>
      </c>
      <c r="T331" s="66">
        <v>45473</v>
      </c>
      <c r="U331" s="66">
        <v>45478</v>
      </c>
      <c r="V331" s="63">
        <f t="shared" si="39"/>
        <v>5</v>
      </c>
      <c r="W331" s="65" t="s">
        <v>125</v>
      </c>
      <c r="X331" s="64" t="b">
        <f t="shared" si="40"/>
        <v>0</v>
      </c>
      <c r="Y331" s="67">
        <v>202</v>
      </c>
      <c r="Z331" s="67">
        <v>160</v>
      </c>
      <c r="AA331" s="65" t="s">
        <v>82</v>
      </c>
      <c r="AB331" s="64" t="b">
        <f t="shared" si="41"/>
        <v>1</v>
      </c>
    </row>
    <row r="332" spans="1:28" ht="15" customHeight="1" x14ac:dyDescent="0.3">
      <c r="A332" s="57" t="s">
        <v>791</v>
      </c>
      <c r="B332" s="82">
        <v>45009</v>
      </c>
      <c r="C332" s="59">
        <f t="shared" si="35"/>
        <v>2023</v>
      </c>
      <c r="D332" s="59">
        <f t="shared" si="36"/>
        <v>3</v>
      </c>
      <c r="E332" s="59">
        <f t="shared" si="37"/>
        <v>12</v>
      </c>
      <c r="F332" s="57" t="s">
        <v>52</v>
      </c>
      <c r="G332" s="57" t="s">
        <v>40</v>
      </c>
      <c r="H332" s="57" t="s">
        <v>792</v>
      </c>
      <c r="I332" s="57" t="s">
        <v>65</v>
      </c>
      <c r="J332" s="57" t="s">
        <v>151</v>
      </c>
      <c r="K332" s="57" t="s">
        <v>75</v>
      </c>
      <c r="L332" s="57" t="s">
        <v>146</v>
      </c>
      <c r="M332" s="60">
        <v>129</v>
      </c>
      <c r="N332" s="57" t="s">
        <v>140</v>
      </c>
      <c r="O332" s="61">
        <v>750.5</v>
      </c>
      <c r="P332" s="61">
        <v>96814.5</v>
      </c>
      <c r="Q332" s="61">
        <v>3777.2</v>
      </c>
      <c r="R332" s="62">
        <f t="shared" si="38"/>
        <v>3.9014816995388085E-2</v>
      </c>
      <c r="S332" s="60">
        <v>16</v>
      </c>
      <c r="T332" s="58">
        <v>45025</v>
      </c>
      <c r="U332" s="58">
        <v>45024</v>
      </c>
      <c r="V332" s="63">
        <f t="shared" si="39"/>
        <v>-1</v>
      </c>
      <c r="W332" s="57" t="s">
        <v>115</v>
      </c>
      <c r="X332" s="64" t="b">
        <f t="shared" si="40"/>
        <v>1</v>
      </c>
      <c r="Y332" s="60">
        <v>497</v>
      </c>
      <c r="Z332" s="60">
        <v>66</v>
      </c>
      <c r="AA332" s="57" t="s">
        <v>116</v>
      </c>
      <c r="AB332" s="64" t="b">
        <f t="shared" si="41"/>
        <v>0</v>
      </c>
    </row>
    <row r="333" spans="1:28" ht="15" customHeight="1" x14ac:dyDescent="0.3">
      <c r="A333" s="65" t="s">
        <v>793</v>
      </c>
      <c r="B333" s="81">
        <v>45117</v>
      </c>
      <c r="C333" s="59">
        <f t="shared" si="35"/>
        <v>2023</v>
      </c>
      <c r="D333" s="59">
        <f t="shared" si="36"/>
        <v>7</v>
      </c>
      <c r="E333" s="59">
        <f t="shared" si="37"/>
        <v>28</v>
      </c>
      <c r="F333" s="65" t="s">
        <v>56</v>
      </c>
      <c r="G333" s="65" t="s">
        <v>44</v>
      </c>
      <c r="H333" s="65" t="s">
        <v>794</v>
      </c>
      <c r="I333" s="65" t="s">
        <v>66</v>
      </c>
      <c r="J333" s="65" t="s">
        <v>131</v>
      </c>
      <c r="K333" s="65" t="s">
        <v>75</v>
      </c>
      <c r="L333" s="65" t="s">
        <v>124</v>
      </c>
      <c r="M333" s="67">
        <v>229</v>
      </c>
      <c r="N333" s="65" t="s">
        <v>132</v>
      </c>
      <c r="O333" s="68">
        <v>112.61</v>
      </c>
      <c r="P333" s="68">
        <v>25787.69</v>
      </c>
      <c r="Q333" s="68">
        <v>1238.92</v>
      </c>
      <c r="R333" s="62">
        <f t="shared" si="38"/>
        <v>4.8043077918184997E-2</v>
      </c>
      <c r="S333" s="67">
        <v>25</v>
      </c>
      <c r="T333" s="66">
        <v>45142</v>
      </c>
      <c r="U333" s="66">
        <v>45141</v>
      </c>
      <c r="V333" s="63">
        <f t="shared" si="39"/>
        <v>-1</v>
      </c>
      <c r="W333" s="65" t="s">
        <v>115</v>
      </c>
      <c r="X333" s="64" t="b">
        <f t="shared" si="40"/>
        <v>1</v>
      </c>
      <c r="Y333" s="67">
        <v>446</v>
      </c>
      <c r="Z333" s="67">
        <v>99</v>
      </c>
      <c r="AA333" s="65" t="s">
        <v>84</v>
      </c>
      <c r="AB333" s="64" t="b">
        <f t="shared" si="41"/>
        <v>1</v>
      </c>
    </row>
    <row r="334" spans="1:28" ht="15" customHeight="1" x14ac:dyDescent="0.3">
      <c r="A334" s="57" t="s">
        <v>795</v>
      </c>
      <c r="B334" s="82">
        <v>44997</v>
      </c>
      <c r="C334" s="59">
        <f t="shared" si="35"/>
        <v>2023</v>
      </c>
      <c r="D334" s="59">
        <f t="shared" si="36"/>
        <v>3</v>
      </c>
      <c r="E334" s="59">
        <f t="shared" si="37"/>
        <v>11</v>
      </c>
      <c r="F334" s="57" t="s">
        <v>52</v>
      </c>
      <c r="G334" s="57" t="s">
        <v>42</v>
      </c>
      <c r="H334" s="57" t="s">
        <v>796</v>
      </c>
      <c r="I334" s="57" t="s">
        <v>64</v>
      </c>
      <c r="J334" s="57" t="s">
        <v>151</v>
      </c>
      <c r="K334" s="57" t="s">
        <v>73</v>
      </c>
      <c r="L334" s="57" t="s">
        <v>146</v>
      </c>
      <c r="M334" s="60">
        <v>62</v>
      </c>
      <c r="N334" s="57" t="s">
        <v>114</v>
      </c>
      <c r="O334" s="61">
        <v>76.510000000000005</v>
      </c>
      <c r="P334" s="61">
        <v>4743.62</v>
      </c>
      <c r="Q334" s="61">
        <v>176.15</v>
      </c>
      <c r="R334" s="62">
        <f t="shared" si="38"/>
        <v>3.7134087469063715E-2</v>
      </c>
      <c r="S334" s="60">
        <v>20</v>
      </c>
      <c r="T334" s="58">
        <v>45017</v>
      </c>
      <c r="U334" s="58">
        <v>45017</v>
      </c>
      <c r="V334" s="63">
        <f t="shared" si="39"/>
        <v>0</v>
      </c>
      <c r="W334" s="57" t="s">
        <v>115</v>
      </c>
      <c r="X334" s="64" t="b">
        <f t="shared" si="40"/>
        <v>1</v>
      </c>
      <c r="Y334" s="60">
        <v>320</v>
      </c>
      <c r="Z334" s="60">
        <v>76</v>
      </c>
      <c r="AA334" s="57" t="s">
        <v>82</v>
      </c>
      <c r="AB334" s="64" t="b">
        <f t="shared" si="41"/>
        <v>1</v>
      </c>
    </row>
    <row r="335" spans="1:28" ht="15" customHeight="1" x14ac:dyDescent="0.3">
      <c r="A335" s="65" t="s">
        <v>797</v>
      </c>
      <c r="B335" s="81">
        <v>45536</v>
      </c>
      <c r="C335" s="59">
        <f t="shared" si="35"/>
        <v>2024</v>
      </c>
      <c r="D335" s="59">
        <f t="shared" si="36"/>
        <v>9</v>
      </c>
      <c r="E335" s="59">
        <f t="shared" si="37"/>
        <v>36</v>
      </c>
      <c r="F335" s="65" t="s">
        <v>56</v>
      </c>
      <c r="G335" s="65" t="s">
        <v>42</v>
      </c>
      <c r="H335" s="65" t="s">
        <v>798</v>
      </c>
      <c r="I335" s="65" t="s">
        <v>67</v>
      </c>
      <c r="J335" s="65" t="s">
        <v>139</v>
      </c>
      <c r="K335" s="65" t="s">
        <v>71</v>
      </c>
      <c r="L335" s="65" t="s">
        <v>119</v>
      </c>
      <c r="M335" s="67">
        <v>743</v>
      </c>
      <c r="N335" s="65" t="s">
        <v>136</v>
      </c>
      <c r="O335" s="68">
        <v>66.510000000000005</v>
      </c>
      <c r="P335" s="68">
        <v>49416.93</v>
      </c>
      <c r="Q335" s="68">
        <v>3839.53</v>
      </c>
      <c r="R335" s="62">
        <f t="shared" si="38"/>
        <v>7.7696651734537131E-2</v>
      </c>
      <c r="S335" s="67">
        <v>28</v>
      </c>
      <c r="T335" s="66">
        <v>45564</v>
      </c>
      <c r="U335" s="66">
        <v>45559</v>
      </c>
      <c r="V335" s="63">
        <f t="shared" si="39"/>
        <v>-5</v>
      </c>
      <c r="W335" s="65" t="s">
        <v>115</v>
      </c>
      <c r="X335" s="64" t="b">
        <f t="shared" si="40"/>
        <v>1</v>
      </c>
      <c r="Y335" s="67">
        <v>334</v>
      </c>
      <c r="Z335" s="67">
        <v>34</v>
      </c>
      <c r="AA335" s="65" t="s">
        <v>116</v>
      </c>
      <c r="AB335" s="64" t="b">
        <f t="shared" si="41"/>
        <v>0</v>
      </c>
    </row>
    <row r="336" spans="1:28" ht="15" customHeight="1" x14ac:dyDescent="0.3">
      <c r="A336" s="57" t="s">
        <v>799</v>
      </c>
      <c r="B336" s="82">
        <v>44996</v>
      </c>
      <c r="C336" s="59">
        <f t="shared" si="35"/>
        <v>2023</v>
      </c>
      <c r="D336" s="59">
        <f t="shared" si="36"/>
        <v>3</v>
      </c>
      <c r="E336" s="59">
        <f t="shared" si="37"/>
        <v>10</v>
      </c>
      <c r="F336" s="57" t="s">
        <v>57</v>
      </c>
      <c r="G336" s="57" t="s">
        <v>45</v>
      </c>
      <c r="H336" s="57" t="s">
        <v>800</v>
      </c>
      <c r="I336" s="57" t="s">
        <v>65</v>
      </c>
      <c r="J336" s="57" t="s">
        <v>112</v>
      </c>
      <c r="K336" s="57" t="s">
        <v>74</v>
      </c>
      <c r="L336" s="57" t="s">
        <v>124</v>
      </c>
      <c r="M336" s="60">
        <v>460</v>
      </c>
      <c r="N336" s="57" t="s">
        <v>120</v>
      </c>
      <c r="O336" s="61">
        <v>265.31</v>
      </c>
      <c r="P336" s="61">
        <v>122042.6</v>
      </c>
      <c r="Q336" s="61">
        <v>4731.67</v>
      </c>
      <c r="R336" s="62">
        <f t="shared" si="38"/>
        <v>3.8770642382250128E-2</v>
      </c>
      <c r="S336" s="60">
        <v>17</v>
      </c>
      <c r="T336" s="58">
        <v>45013</v>
      </c>
      <c r="U336" s="58">
        <v>45014</v>
      </c>
      <c r="V336" s="63">
        <f t="shared" si="39"/>
        <v>1</v>
      </c>
      <c r="W336" s="57" t="s">
        <v>125</v>
      </c>
      <c r="X336" s="64" t="b">
        <f t="shared" si="40"/>
        <v>0</v>
      </c>
      <c r="Y336" s="60">
        <v>387</v>
      </c>
      <c r="Z336" s="60">
        <v>462</v>
      </c>
      <c r="AA336" s="57" t="s">
        <v>81</v>
      </c>
      <c r="AB336" s="64" t="b">
        <f t="shared" si="41"/>
        <v>1</v>
      </c>
    </row>
    <row r="337" spans="1:28" ht="15" customHeight="1" x14ac:dyDescent="0.3">
      <c r="A337" s="65" t="s">
        <v>801</v>
      </c>
      <c r="B337" s="81">
        <v>45618</v>
      </c>
      <c r="C337" s="59">
        <f t="shared" si="35"/>
        <v>2024</v>
      </c>
      <c r="D337" s="59">
        <f t="shared" si="36"/>
        <v>11</v>
      </c>
      <c r="E337" s="59">
        <f t="shared" si="37"/>
        <v>47</v>
      </c>
      <c r="F337" s="65" t="s">
        <v>56</v>
      </c>
      <c r="G337" s="65" t="s">
        <v>42</v>
      </c>
      <c r="H337" s="65" t="s">
        <v>802</v>
      </c>
      <c r="I337" s="65" t="s">
        <v>64</v>
      </c>
      <c r="J337" s="65" t="s">
        <v>112</v>
      </c>
      <c r="K337" s="65" t="s">
        <v>75</v>
      </c>
      <c r="L337" s="65" t="s">
        <v>124</v>
      </c>
      <c r="M337" s="67">
        <v>421</v>
      </c>
      <c r="N337" s="65" t="s">
        <v>140</v>
      </c>
      <c r="O337" s="68">
        <v>63.84</v>
      </c>
      <c r="P337" s="68">
        <v>26876.639999999999</v>
      </c>
      <c r="Q337" s="68">
        <v>695.64</v>
      </c>
      <c r="R337" s="62">
        <f t="shared" si="38"/>
        <v>2.5882699623167183E-2</v>
      </c>
      <c r="S337" s="67">
        <v>2</v>
      </c>
      <c r="T337" s="66">
        <v>45620</v>
      </c>
      <c r="U337" s="66">
        <v>45632</v>
      </c>
      <c r="V337" s="63">
        <f t="shared" si="39"/>
        <v>12</v>
      </c>
      <c r="W337" s="65" t="s">
        <v>125</v>
      </c>
      <c r="X337" s="64" t="b">
        <f t="shared" si="40"/>
        <v>0</v>
      </c>
      <c r="Y337" s="67">
        <v>67</v>
      </c>
      <c r="Z337" s="67">
        <v>44</v>
      </c>
      <c r="AA337" s="65" t="s">
        <v>82</v>
      </c>
      <c r="AB337" s="64" t="b">
        <f t="shared" si="41"/>
        <v>1</v>
      </c>
    </row>
    <row r="338" spans="1:28" ht="15" customHeight="1" x14ac:dyDescent="0.3">
      <c r="A338" s="57" t="s">
        <v>803</v>
      </c>
      <c r="B338" s="82">
        <v>45167</v>
      </c>
      <c r="C338" s="59">
        <f t="shared" si="35"/>
        <v>2023</v>
      </c>
      <c r="D338" s="59">
        <f t="shared" si="36"/>
        <v>8</v>
      </c>
      <c r="E338" s="59">
        <f t="shared" si="37"/>
        <v>35</v>
      </c>
      <c r="F338" s="57" t="s">
        <v>61</v>
      </c>
      <c r="G338" s="57" t="s">
        <v>40</v>
      </c>
      <c r="H338" s="57" t="s">
        <v>804</v>
      </c>
      <c r="I338" s="57" t="s">
        <v>64</v>
      </c>
      <c r="J338" s="57" t="s">
        <v>151</v>
      </c>
      <c r="K338" s="57" t="s">
        <v>71</v>
      </c>
      <c r="L338" s="57" t="s">
        <v>124</v>
      </c>
      <c r="M338" s="60">
        <v>652</v>
      </c>
      <c r="N338" s="57" t="s">
        <v>114</v>
      </c>
      <c r="O338" s="61">
        <v>966.34</v>
      </c>
      <c r="P338" s="61">
        <v>630053.68000000005</v>
      </c>
      <c r="Q338" s="61">
        <v>32516.46</v>
      </c>
      <c r="R338" s="62">
        <f t="shared" si="38"/>
        <v>5.1609031154297831E-2</v>
      </c>
      <c r="S338" s="60">
        <v>1</v>
      </c>
      <c r="T338" s="58">
        <v>45168</v>
      </c>
      <c r="U338" s="58">
        <v>45168</v>
      </c>
      <c r="V338" s="63">
        <f t="shared" si="39"/>
        <v>0</v>
      </c>
      <c r="W338" s="57" t="s">
        <v>115</v>
      </c>
      <c r="X338" s="64" t="b">
        <f t="shared" si="40"/>
        <v>1</v>
      </c>
      <c r="Y338" s="60">
        <v>91</v>
      </c>
      <c r="Z338" s="60">
        <v>149</v>
      </c>
      <c r="AA338" s="57" t="s">
        <v>116</v>
      </c>
      <c r="AB338" s="64" t="b">
        <f t="shared" si="41"/>
        <v>0</v>
      </c>
    </row>
    <row r="339" spans="1:28" ht="15" customHeight="1" x14ac:dyDescent="0.3">
      <c r="A339" s="65" t="s">
        <v>805</v>
      </c>
      <c r="B339" s="81">
        <v>45340</v>
      </c>
      <c r="C339" s="59">
        <f t="shared" si="35"/>
        <v>2024</v>
      </c>
      <c r="D339" s="59">
        <f t="shared" si="36"/>
        <v>2</v>
      </c>
      <c r="E339" s="59">
        <f t="shared" si="37"/>
        <v>8</v>
      </c>
      <c r="F339" s="65" t="s">
        <v>55</v>
      </c>
      <c r="G339" s="65" t="s">
        <v>43</v>
      </c>
      <c r="H339" s="65" t="s">
        <v>806</v>
      </c>
      <c r="I339" s="65" t="s">
        <v>65</v>
      </c>
      <c r="J339" s="65" t="s">
        <v>151</v>
      </c>
      <c r="K339" s="65" t="s">
        <v>75</v>
      </c>
      <c r="L339" s="65" t="s">
        <v>113</v>
      </c>
      <c r="M339" s="67">
        <v>246</v>
      </c>
      <c r="N339" s="65" t="s">
        <v>163</v>
      </c>
      <c r="O339" s="68">
        <v>159.82</v>
      </c>
      <c r="P339" s="68">
        <v>39315.72</v>
      </c>
      <c r="Q339" s="68">
        <v>921.01</v>
      </c>
      <c r="R339" s="62">
        <f t="shared" si="38"/>
        <v>2.3425998557320072E-2</v>
      </c>
      <c r="S339" s="67">
        <v>16</v>
      </c>
      <c r="T339" s="66">
        <v>45356</v>
      </c>
      <c r="U339" s="66">
        <v>45356</v>
      </c>
      <c r="V339" s="63">
        <f t="shared" si="39"/>
        <v>0</v>
      </c>
      <c r="W339" s="65" t="s">
        <v>115</v>
      </c>
      <c r="X339" s="64" t="b">
        <f t="shared" si="40"/>
        <v>1</v>
      </c>
      <c r="Y339" s="67">
        <v>265</v>
      </c>
      <c r="Z339" s="67">
        <v>490</v>
      </c>
      <c r="AA339" s="65" t="s">
        <v>116</v>
      </c>
      <c r="AB339" s="64" t="b">
        <f t="shared" si="41"/>
        <v>0</v>
      </c>
    </row>
    <row r="340" spans="1:28" ht="15" customHeight="1" x14ac:dyDescent="0.3">
      <c r="A340" s="57" t="s">
        <v>807</v>
      </c>
      <c r="B340" s="82">
        <v>45049</v>
      </c>
      <c r="C340" s="59">
        <f t="shared" si="35"/>
        <v>2023</v>
      </c>
      <c r="D340" s="59">
        <f t="shared" si="36"/>
        <v>5</v>
      </c>
      <c r="E340" s="59">
        <f t="shared" si="37"/>
        <v>18</v>
      </c>
      <c r="F340" s="57" t="s">
        <v>59</v>
      </c>
      <c r="G340" s="57" t="s">
        <v>41</v>
      </c>
      <c r="H340" s="57" t="s">
        <v>808</v>
      </c>
      <c r="I340" s="57" t="s">
        <v>69</v>
      </c>
      <c r="J340" s="57" t="s">
        <v>143</v>
      </c>
      <c r="K340" s="57" t="s">
        <v>75</v>
      </c>
      <c r="L340" s="57" t="s">
        <v>124</v>
      </c>
      <c r="M340" s="60">
        <v>767</v>
      </c>
      <c r="N340" s="57" t="s">
        <v>120</v>
      </c>
      <c r="O340" s="61">
        <v>378.21</v>
      </c>
      <c r="P340" s="61">
        <v>290087.07</v>
      </c>
      <c r="Q340" s="61">
        <v>7725.77</v>
      </c>
      <c r="R340" s="62">
        <f t="shared" si="38"/>
        <v>2.6632590001339943E-2</v>
      </c>
      <c r="S340" s="60">
        <v>12</v>
      </c>
      <c r="T340" s="58">
        <v>45061</v>
      </c>
      <c r="U340" s="58">
        <v>45066</v>
      </c>
      <c r="V340" s="63">
        <f t="shared" si="39"/>
        <v>5</v>
      </c>
      <c r="W340" s="57" t="s">
        <v>128</v>
      </c>
      <c r="X340" s="64" t="b">
        <f t="shared" si="40"/>
        <v>0</v>
      </c>
      <c r="Y340" s="60">
        <v>330</v>
      </c>
      <c r="Z340" s="60">
        <v>67</v>
      </c>
      <c r="AA340" s="57" t="s">
        <v>84</v>
      </c>
      <c r="AB340" s="64" t="b">
        <f t="shared" si="41"/>
        <v>1</v>
      </c>
    </row>
    <row r="341" spans="1:28" ht="15" customHeight="1" x14ac:dyDescent="0.3">
      <c r="A341" s="65" t="s">
        <v>809</v>
      </c>
      <c r="B341" s="81">
        <v>45510</v>
      </c>
      <c r="C341" s="59">
        <f t="shared" si="35"/>
        <v>2024</v>
      </c>
      <c r="D341" s="59">
        <f t="shared" si="36"/>
        <v>8</v>
      </c>
      <c r="E341" s="59">
        <f t="shared" si="37"/>
        <v>32</v>
      </c>
      <c r="F341" s="65" t="s">
        <v>61</v>
      </c>
      <c r="G341" s="65" t="s">
        <v>46</v>
      </c>
      <c r="H341" s="65" t="s">
        <v>810</v>
      </c>
      <c r="I341" s="65" t="s">
        <v>69</v>
      </c>
      <c r="J341" s="65" t="s">
        <v>151</v>
      </c>
      <c r="K341" s="65" t="s">
        <v>71</v>
      </c>
      <c r="L341" s="65" t="s">
        <v>113</v>
      </c>
      <c r="M341" s="67">
        <v>747</v>
      </c>
      <c r="N341" s="65" t="s">
        <v>120</v>
      </c>
      <c r="O341" s="68">
        <v>85.65</v>
      </c>
      <c r="P341" s="68">
        <v>63980.55</v>
      </c>
      <c r="Q341" s="68">
        <v>2121.81</v>
      </c>
      <c r="R341" s="62">
        <f t="shared" si="38"/>
        <v>3.3163359802314919E-2</v>
      </c>
      <c r="S341" s="67">
        <v>5</v>
      </c>
      <c r="T341" s="66">
        <v>45515</v>
      </c>
      <c r="U341" s="66">
        <v>45517</v>
      </c>
      <c r="V341" s="63">
        <f t="shared" si="39"/>
        <v>2</v>
      </c>
      <c r="W341" s="65" t="s">
        <v>128</v>
      </c>
      <c r="X341" s="64" t="b">
        <f t="shared" si="40"/>
        <v>0</v>
      </c>
      <c r="Y341" s="67">
        <v>177</v>
      </c>
      <c r="Z341" s="67">
        <v>253</v>
      </c>
      <c r="AA341" s="65" t="s">
        <v>83</v>
      </c>
      <c r="AB341" s="64" t="b">
        <f t="shared" si="41"/>
        <v>1</v>
      </c>
    </row>
    <row r="342" spans="1:28" ht="15" customHeight="1" x14ac:dyDescent="0.3">
      <c r="A342" s="57" t="s">
        <v>811</v>
      </c>
      <c r="B342" s="82">
        <v>45179</v>
      </c>
      <c r="C342" s="59">
        <f t="shared" si="35"/>
        <v>2023</v>
      </c>
      <c r="D342" s="59">
        <f t="shared" si="36"/>
        <v>9</v>
      </c>
      <c r="E342" s="59">
        <f t="shared" si="37"/>
        <v>37</v>
      </c>
      <c r="F342" s="57" t="s">
        <v>56</v>
      </c>
      <c r="G342" s="57" t="s">
        <v>41</v>
      </c>
      <c r="H342" s="57" t="s">
        <v>812</v>
      </c>
      <c r="I342" s="57" t="s">
        <v>67</v>
      </c>
      <c r="J342" s="57" t="s">
        <v>143</v>
      </c>
      <c r="K342" s="57" t="s">
        <v>75</v>
      </c>
      <c r="L342" s="57" t="s">
        <v>146</v>
      </c>
      <c r="M342" s="60">
        <v>729</v>
      </c>
      <c r="N342" s="57" t="s">
        <v>132</v>
      </c>
      <c r="O342" s="61">
        <v>426.05</v>
      </c>
      <c r="P342" s="61">
        <v>310590.45</v>
      </c>
      <c r="Q342" s="61">
        <v>14865.17</v>
      </c>
      <c r="R342" s="62">
        <f t="shared" si="38"/>
        <v>4.7861001521456954E-2</v>
      </c>
      <c r="S342" s="60">
        <v>5</v>
      </c>
      <c r="T342" s="58">
        <v>45184</v>
      </c>
      <c r="U342" s="58">
        <v>45184</v>
      </c>
      <c r="V342" s="63">
        <f t="shared" si="39"/>
        <v>0</v>
      </c>
      <c r="W342" s="57" t="s">
        <v>115</v>
      </c>
      <c r="X342" s="64" t="b">
        <f t="shared" si="40"/>
        <v>1</v>
      </c>
      <c r="Y342" s="60">
        <v>150</v>
      </c>
      <c r="Z342" s="60">
        <v>16</v>
      </c>
      <c r="AA342" s="57" t="s">
        <v>82</v>
      </c>
      <c r="AB342" s="64" t="b">
        <f t="shared" si="41"/>
        <v>1</v>
      </c>
    </row>
    <row r="343" spans="1:28" ht="15" customHeight="1" x14ac:dyDescent="0.3">
      <c r="A343" s="65" t="s">
        <v>813</v>
      </c>
      <c r="B343" s="81">
        <v>45519</v>
      </c>
      <c r="C343" s="59">
        <f t="shared" si="35"/>
        <v>2024</v>
      </c>
      <c r="D343" s="59">
        <f t="shared" si="36"/>
        <v>8</v>
      </c>
      <c r="E343" s="59">
        <f t="shared" si="37"/>
        <v>33</v>
      </c>
      <c r="F343" s="65" t="s">
        <v>54</v>
      </c>
      <c r="G343" s="65" t="s">
        <v>40</v>
      </c>
      <c r="H343" s="65" t="s">
        <v>814</v>
      </c>
      <c r="I343" s="65" t="s">
        <v>69</v>
      </c>
      <c r="J343" s="65" t="s">
        <v>139</v>
      </c>
      <c r="K343" s="65" t="s">
        <v>73</v>
      </c>
      <c r="L343" s="65" t="s">
        <v>113</v>
      </c>
      <c r="M343" s="67">
        <v>415</v>
      </c>
      <c r="N343" s="65" t="s">
        <v>163</v>
      </c>
      <c r="O343" s="68">
        <v>1085.5999999999999</v>
      </c>
      <c r="P343" s="68">
        <v>450524</v>
      </c>
      <c r="Q343" s="68">
        <v>20721.88</v>
      </c>
      <c r="R343" s="62">
        <f t="shared" si="38"/>
        <v>4.5995063526027474E-2</v>
      </c>
      <c r="S343" s="67">
        <v>27</v>
      </c>
      <c r="T343" s="66">
        <v>45546</v>
      </c>
      <c r="U343" s="66">
        <v>45546</v>
      </c>
      <c r="V343" s="63">
        <f t="shared" si="39"/>
        <v>0</v>
      </c>
      <c r="W343" s="65" t="s">
        <v>115</v>
      </c>
      <c r="X343" s="64" t="b">
        <f t="shared" si="40"/>
        <v>1</v>
      </c>
      <c r="Y343" s="67">
        <v>316</v>
      </c>
      <c r="Z343" s="67">
        <v>260</v>
      </c>
      <c r="AA343" s="65" t="s">
        <v>116</v>
      </c>
      <c r="AB343" s="64" t="b">
        <f t="shared" si="41"/>
        <v>0</v>
      </c>
    </row>
    <row r="344" spans="1:28" ht="15" customHeight="1" x14ac:dyDescent="0.3">
      <c r="A344" s="57" t="s">
        <v>815</v>
      </c>
      <c r="B344" s="82">
        <v>45535</v>
      </c>
      <c r="C344" s="59">
        <f t="shared" si="35"/>
        <v>2024</v>
      </c>
      <c r="D344" s="59">
        <f t="shared" si="36"/>
        <v>8</v>
      </c>
      <c r="E344" s="59">
        <f t="shared" si="37"/>
        <v>35</v>
      </c>
      <c r="F344" s="57" t="s">
        <v>58</v>
      </c>
      <c r="G344" s="57" t="s">
        <v>41</v>
      </c>
      <c r="H344" s="57" t="s">
        <v>816</v>
      </c>
      <c r="I344" s="57" t="s">
        <v>67</v>
      </c>
      <c r="J344" s="57" t="s">
        <v>139</v>
      </c>
      <c r="K344" s="57" t="s">
        <v>73</v>
      </c>
      <c r="L344" s="57" t="s">
        <v>146</v>
      </c>
      <c r="M344" s="60">
        <v>617</v>
      </c>
      <c r="N344" s="57" t="s">
        <v>163</v>
      </c>
      <c r="O344" s="61">
        <v>567.85</v>
      </c>
      <c r="P344" s="61">
        <v>350363.45</v>
      </c>
      <c r="Q344" s="61">
        <v>23818.240000000002</v>
      </c>
      <c r="R344" s="62">
        <f t="shared" si="38"/>
        <v>6.7981520332671685E-2</v>
      </c>
      <c r="S344" s="60">
        <v>23</v>
      </c>
      <c r="T344" s="58">
        <v>45558</v>
      </c>
      <c r="U344" s="58">
        <v>45558</v>
      </c>
      <c r="V344" s="63">
        <f t="shared" si="39"/>
        <v>0</v>
      </c>
      <c r="W344" s="57" t="s">
        <v>115</v>
      </c>
      <c r="X344" s="64" t="b">
        <f t="shared" si="40"/>
        <v>1</v>
      </c>
      <c r="Y344" s="60">
        <v>46</v>
      </c>
      <c r="Z344" s="60">
        <v>212</v>
      </c>
      <c r="AA344" s="57" t="s">
        <v>84</v>
      </c>
      <c r="AB344" s="64" t="b">
        <f t="shared" si="41"/>
        <v>1</v>
      </c>
    </row>
    <row r="345" spans="1:28" ht="15" customHeight="1" x14ac:dyDescent="0.3">
      <c r="A345" s="65" t="s">
        <v>817</v>
      </c>
      <c r="B345" s="81">
        <v>44967</v>
      </c>
      <c r="C345" s="59">
        <f t="shared" si="35"/>
        <v>2023</v>
      </c>
      <c r="D345" s="59">
        <f t="shared" si="36"/>
        <v>2</v>
      </c>
      <c r="E345" s="59">
        <f t="shared" si="37"/>
        <v>6</v>
      </c>
      <c r="F345" s="65" t="s">
        <v>55</v>
      </c>
      <c r="G345" s="65" t="s">
        <v>40</v>
      </c>
      <c r="H345" s="65" t="s">
        <v>818</v>
      </c>
      <c r="I345" s="65" t="s">
        <v>66</v>
      </c>
      <c r="J345" s="65" t="s">
        <v>131</v>
      </c>
      <c r="K345" s="65" t="s">
        <v>73</v>
      </c>
      <c r="L345" s="65" t="s">
        <v>113</v>
      </c>
      <c r="M345" s="67">
        <v>431</v>
      </c>
      <c r="N345" s="65" t="s">
        <v>136</v>
      </c>
      <c r="O345" s="68">
        <v>609.83000000000004</v>
      </c>
      <c r="P345" s="68">
        <v>262836.73</v>
      </c>
      <c r="Q345" s="68">
        <v>16918.400000000001</v>
      </c>
      <c r="R345" s="62">
        <f t="shared" si="38"/>
        <v>6.4368476962865892E-2</v>
      </c>
      <c r="S345" s="67">
        <v>9</v>
      </c>
      <c r="T345" s="66">
        <v>44976</v>
      </c>
      <c r="U345" s="66">
        <v>44988</v>
      </c>
      <c r="V345" s="63">
        <f t="shared" si="39"/>
        <v>12</v>
      </c>
      <c r="W345" s="65" t="s">
        <v>128</v>
      </c>
      <c r="X345" s="64" t="b">
        <f t="shared" si="40"/>
        <v>0</v>
      </c>
      <c r="Y345" s="67">
        <v>2</v>
      </c>
      <c r="Z345" s="67">
        <v>312</v>
      </c>
      <c r="AA345" s="65" t="s">
        <v>81</v>
      </c>
      <c r="AB345" s="64" t="b">
        <f t="shared" si="41"/>
        <v>1</v>
      </c>
    </row>
    <row r="346" spans="1:28" ht="15" customHeight="1" x14ac:dyDescent="0.3">
      <c r="A346" s="57" t="s">
        <v>819</v>
      </c>
      <c r="B346" s="82">
        <v>45561</v>
      </c>
      <c r="C346" s="59">
        <f t="shared" si="35"/>
        <v>2024</v>
      </c>
      <c r="D346" s="59">
        <f t="shared" si="36"/>
        <v>9</v>
      </c>
      <c r="E346" s="59">
        <f t="shared" si="37"/>
        <v>39</v>
      </c>
      <c r="F346" s="57" t="s">
        <v>59</v>
      </c>
      <c r="G346" s="57" t="s">
        <v>41</v>
      </c>
      <c r="H346" s="57" t="s">
        <v>820</v>
      </c>
      <c r="I346" s="57" t="s">
        <v>65</v>
      </c>
      <c r="J346" s="57" t="s">
        <v>151</v>
      </c>
      <c r="K346" s="57" t="s">
        <v>72</v>
      </c>
      <c r="L346" s="57" t="s">
        <v>146</v>
      </c>
      <c r="M346" s="60">
        <v>721</v>
      </c>
      <c r="N346" s="57" t="s">
        <v>114</v>
      </c>
      <c r="O346" s="61">
        <v>732.18</v>
      </c>
      <c r="P346" s="61">
        <v>527901.78</v>
      </c>
      <c r="Q346" s="61">
        <v>24061.29</v>
      </c>
      <c r="R346" s="62">
        <f t="shared" si="38"/>
        <v>4.557910374918607E-2</v>
      </c>
      <c r="S346" s="60">
        <v>9</v>
      </c>
      <c r="T346" s="58">
        <v>45570</v>
      </c>
      <c r="U346" s="58">
        <v>45582</v>
      </c>
      <c r="V346" s="63">
        <f t="shared" si="39"/>
        <v>12</v>
      </c>
      <c r="W346" s="57" t="s">
        <v>128</v>
      </c>
      <c r="X346" s="64" t="b">
        <f t="shared" si="40"/>
        <v>0</v>
      </c>
      <c r="Y346" s="60">
        <v>486</v>
      </c>
      <c r="Z346" s="60">
        <v>255</v>
      </c>
      <c r="AA346" s="57" t="s">
        <v>116</v>
      </c>
      <c r="AB346" s="64" t="b">
        <f t="shared" si="41"/>
        <v>0</v>
      </c>
    </row>
    <row r="347" spans="1:28" ht="15" customHeight="1" x14ac:dyDescent="0.3">
      <c r="A347" s="65" t="s">
        <v>821</v>
      </c>
      <c r="B347" s="81">
        <v>45010</v>
      </c>
      <c r="C347" s="59">
        <f t="shared" si="35"/>
        <v>2023</v>
      </c>
      <c r="D347" s="59">
        <f t="shared" si="36"/>
        <v>3</v>
      </c>
      <c r="E347" s="59">
        <f t="shared" si="37"/>
        <v>12</v>
      </c>
      <c r="F347" s="65" t="s">
        <v>58</v>
      </c>
      <c r="G347" s="65" t="s">
        <v>42</v>
      </c>
      <c r="H347" s="65" t="s">
        <v>822</v>
      </c>
      <c r="I347" s="65" t="s">
        <v>64</v>
      </c>
      <c r="J347" s="65" t="s">
        <v>131</v>
      </c>
      <c r="K347" s="65" t="s">
        <v>75</v>
      </c>
      <c r="L347" s="65" t="s">
        <v>146</v>
      </c>
      <c r="M347" s="67">
        <v>256</v>
      </c>
      <c r="N347" s="65" t="s">
        <v>132</v>
      </c>
      <c r="O347" s="68">
        <v>71.81</v>
      </c>
      <c r="P347" s="68">
        <v>18383.36</v>
      </c>
      <c r="Q347" s="68">
        <v>735.74</v>
      </c>
      <c r="R347" s="62">
        <f t="shared" si="38"/>
        <v>4.0022063431276983E-2</v>
      </c>
      <c r="S347" s="67">
        <v>3</v>
      </c>
      <c r="T347" s="66">
        <v>45013</v>
      </c>
      <c r="U347" s="66">
        <v>45013</v>
      </c>
      <c r="V347" s="63">
        <f t="shared" si="39"/>
        <v>0</v>
      </c>
      <c r="W347" s="65" t="s">
        <v>115</v>
      </c>
      <c r="X347" s="64" t="b">
        <f t="shared" si="40"/>
        <v>1</v>
      </c>
      <c r="Y347" s="67">
        <v>102</v>
      </c>
      <c r="Z347" s="67">
        <v>215</v>
      </c>
      <c r="AA347" s="65" t="s">
        <v>82</v>
      </c>
      <c r="AB347" s="64" t="b">
        <f t="shared" si="41"/>
        <v>1</v>
      </c>
    </row>
    <row r="348" spans="1:28" ht="15" customHeight="1" x14ac:dyDescent="0.3">
      <c r="A348" s="57" t="s">
        <v>823</v>
      </c>
      <c r="B348" s="82">
        <v>45356</v>
      </c>
      <c r="C348" s="59">
        <f t="shared" si="35"/>
        <v>2024</v>
      </c>
      <c r="D348" s="59">
        <f t="shared" si="36"/>
        <v>3</v>
      </c>
      <c r="E348" s="59">
        <f t="shared" si="37"/>
        <v>10</v>
      </c>
      <c r="F348" s="57" t="s">
        <v>61</v>
      </c>
      <c r="G348" s="57" t="s">
        <v>39</v>
      </c>
      <c r="H348" s="57" t="s">
        <v>824</v>
      </c>
      <c r="I348" s="57" t="s">
        <v>67</v>
      </c>
      <c r="J348" s="57" t="s">
        <v>123</v>
      </c>
      <c r="K348" s="57" t="s">
        <v>72</v>
      </c>
      <c r="L348" s="57" t="s">
        <v>124</v>
      </c>
      <c r="M348" s="60">
        <v>81</v>
      </c>
      <c r="N348" s="57" t="s">
        <v>136</v>
      </c>
      <c r="O348" s="61">
        <v>2081.5700000000002</v>
      </c>
      <c r="P348" s="61">
        <v>168607.17</v>
      </c>
      <c r="Q348" s="61">
        <v>6573.68</v>
      </c>
      <c r="R348" s="62">
        <f t="shared" si="38"/>
        <v>3.8988140302692938E-2</v>
      </c>
      <c r="S348" s="60">
        <v>19</v>
      </c>
      <c r="T348" s="58">
        <v>45375</v>
      </c>
      <c r="U348" s="58">
        <v>45387</v>
      </c>
      <c r="V348" s="63">
        <f t="shared" si="39"/>
        <v>12</v>
      </c>
      <c r="W348" s="57" t="s">
        <v>125</v>
      </c>
      <c r="X348" s="64" t="b">
        <f t="shared" si="40"/>
        <v>0</v>
      </c>
      <c r="Y348" s="60">
        <v>272</v>
      </c>
      <c r="Z348" s="60">
        <v>350</v>
      </c>
      <c r="AA348" s="57" t="s">
        <v>81</v>
      </c>
      <c r="AB348" s="64" t="b">
        <f t="shared" si="41"/>
        <v>1</v>
      </c>
    </row>
    <row r="349" spans="1:28" ht="15" customHeight="1" x14ac:dyDescent="0.3">
      <c r="A349" s="65" t="s">
        <v>825</v>
      </c>
      <c r="B349" s="81">
        <v>45600</v>
      </c>
      <c r="C349" s="59">
        <f t="shared" si="35"/>
        <v>2024</v>
      </c>
      <c r="D349" s="59">
        <f t="shared" si="36"/>
        <v>11</v>
      </c>
      <c r="E349" s="59">
        <f t="shared" si="37"/>
        <v>45</v>
      </c>
      <c r="F349" s="65" t="s">
        <v>57</v>
      </c>
      <c r="G349" s="65" t="s">
        <v>42</v>
      </c>
      <c r="H349" s="65" t="s">
        <v>826</v>
      </c>
      <c r="I349" s="65" t="s">
        <v>69</v>
      </c>
      <c r="J349" s="65" t="s">
        <v>139</v>
      </c>
      <c r="K349" s="65" t="s">
        <v>74</v>
      </c>
      <c r="L349" s="65" t="s">
        <v>124</v>
      </c>
      <c r="M349" s="67">
        <v>839</v>
      </c>
      <c r="N349" s="65" t="s">
        <v>132</v>
      </c>
      <c r="O349" s="68">
        <v>66.8</v>
      </c>
      <c r="P349" s="68">
        <v>56045.2</v>
      </c>
      <c r="Q349" s="68">
        <v>3723.63</v>
      </c>
      <c r="R349" s="62">
        <f t="shared" si="38"/>
        <v>6.6439766474202966E-2</v>
      </c>
      <c r="S349" s="67">
        <v>16</v>
      </c>
      <c r="T349" s="66">
        <v>45616</v>
      </c>
      <c r="U349" s="66">
        <v>45618</v>
      </c>
      <c r="V349" s="63">
        <f t="shared" si="39"/>
        <v>2</v>
      </c>
      <c r="W349" s="65" t="s">
        <v>125</v>
      </c>
      <c r="X349" s="64" t="b">
        <f t="shared" si="40"/>
        <v>0</v>
      </c>
      <c r="Y349" s="67">
        <v>21</v>
      </c>
      <c r="Z349" s="67">
        <v>423</v>
      </c>
      <c r="AA349" s="65" t="s">
        <v>116</v>
      </c>
      <c r="AB349" s="64" t="b">
        <f t="shared" si="41"/>
        <v>0</v>
      </c>
    </row>
    <row r="350" spans="1:28" ht="15" customHeight="1" x14ac:dyDescent="0.3">
      <c r="A350" s="57" t="s">
        <v>827</v>
      </c>
      <c r="B350" s="82">
        <v>45524</v>
      </c>
      <c r="C350" s="59">
        <f t="shared" si="35"/>
        <v>2024</v>
      </c>
      <c r="D350" s="59">
        <f t="shared" si="36"/>
        <v>8</v>
      </c>
      <c r="E350" s="59">
        <f t="shared" si="37"/>
        <v>34</v>
      </c>
      <c r="F350" s="57" t="s">
        <v>57</v>
      </c>
      <c r="G350" s="57" t="s">
        <v>42</v>
      </c>
      <c r="H350" s="57" t="s">
        <v>828</v>
      </c>
      <c r="I350" s="57" t="s">
        <v>67</v>
      </c>
      <c r="J350" s="57" t="s">
        <v>112</v>
      </c>
      <c r="K350" s="57" t="s">
        <v>71</v>
      </c>
      <c r="L350" s="57" t="s">
        <v>146</v>
      </c>
      <c r="M350" s="60">
        <v>194</v>
      </c>
      <c r="N350" s="57" t="s">
        <v>163</v>
      </c>
      <c r="O350" s="61">
        <v>110.65</v>
      </c>
      <c r="P350" s="61">
        <v>21466.1</v>
      </c>
      <c r="Q350" s="61">
        <v>496.39</v>
      </c>
      <c r="R350" s="62">
        <f t="shared" si="38"/>
        <v>2.3124368189843522E-2</v>
      </c>
      <c r="S350" s="60">
        <v>16</v>
      </c>
      <c r="T350" s="58">
        <v>45540</v>
      </c>
      <c r="U350" s="58">
        <v>45537</v>
      </c>
      <c r="V350" s="63">
        <f t="shared" si="39"/>
        <v>-3</v>
      </c>
      <c r="W350" s="57" t="s">
        <v>115</v>
      </c>
      <c r="X350" s="64" t="b">
        <f t="shared" si="40"/>
        <v>1</v>
      </c>
      <c r="Y350" s="60">
        <v>115</v>
      </c>
      <c r="Z350" s="60">
        <v>285</v>
      </c>
      <c r="AA350" s="57" t="s">
        <v>116</v>
      </c>
      <c r="AB350" s="64" t="b">
        <f t="shared" si="41"/>
        <v>0</v>
      </c>
    </row>
    <row r="351" spans="1:28" ht="15" customHeight="1" x14ac:dyDescent="0.3">
      <c r="A351" s="65" t="s">
        <v>829</v>
      </c>
      <c r="B351" s="81">
        <v>45505</v>
      </c>
      <c r="C351" s="59">
        <f t="shared" si="35"/>
        <v>2024</v>
      </c>
      <c r="D351" s="59">
        <f t="shared" si="36"/>
        <v>8</v>
      </c>
      <c r="E351" s="59">
        <f t="shared" si="37"/>
        <v>31</v>
      </c>
      <c r="F351" s="65" t="s">
        <v>58</v>
      </c>
      <c r="G351" s="65" t="s">
        <v>45</v>
      </c>
      <c r="H351" s="65" t="s">
        <v>830</v>
      </c>
      <c r="I351" s="65" t="s">
        <v>68</v>
      </c>
      <c r="J351" s="65" t="s">
        <v>143</v>
      </c>
      <c r="K351" s="65" t="s">
        <v>74</v>
      </c>
      <c r="L351" s="65" t="s">
        <v>124</v>
      </c>
      <c r="M351" s="67">
        <v>15</v>
      </c>
      <c r="N351" s="65" t="s">
        <v>132</v>
      </c>
      <c r="O351" s="68">
        <v>142.12</v>
      </c>
      <c r="P351" s="68">
        <v>3302.8089</v>
      </c>
      <c r="Q351" s="68">
        <v>142.36009999999999</v>
      </c>
      <c r="R351" s="62">
        <f t="shared" si="38"/>
        <v>4.3102735977246516E-2</v>
      </c>
      <c r="S351" s="67">
        <v>3</v>
      </c>
      <c r="T351" s="66">
        <v>45508</v>
      </c>
      <c r="U351" s="66">
        <v>45508</v>
      </c>
      <c r="V351" s="63">
        <f t="shared" si="39"/>
        <v>0</v>
      </c>
      <c r="W351" s="65" t="s">
        <v>115</v>
      </c>
      <c r="X351" s="64" t="b">
        <f t="shared" si="40"/>
        <v>1</v>
      </c>
      <c r="Y351" s="67">
        <v>346</v>
      </c>
      <c r="Z351" s="67">
        <v>425</v>
      </c>
      <c r="AA351" s="65" t="s">
        <v>116</v>
      </c>
      <c r="AB351" s="64" t="b">
        <f t="shared" si="41"/>
        <v>0</v>
      </c>
    </row>
    <row r="352" spans="1:28" ht="15" customHeight="1" x14ac:dyDescent="0.3">
      <c r="A352" s="57" t="s">
        <v>831</v>
      </c>
      <c r="B352" s="82">
        <v>45462</v>
      </c>
      <c r="C352" s="59">
        <f t="shared" si="35"/>
        <v>2024</v>
      </c>
      <c r="D352" s="59">
        <f t="shared" si="36"/>
        <v>6</v>
      </c>
      <c r="E352" s="59">
        <f t="shared" si="37"/>
        <v>25</v>
      </c>
      <c r="F352" s="57" t="s">
        <v>54</v>
      </c>
      <c r="G352" s="57" t="s">
        <v>44</v>
      </c>
      <c r="H352" s="57" t="s">
        <v>832</v>
      </c>
      <c r="I352" s="57" t="s">
        <v>67</v>
      </c>
      <c r="J352" s="57" t="s">
        <v>123</v>
      </c>
      <c r="K352" s="57" t="s">
        <v>72</v>
      </c>
      <c r="L352" s="57" t="s">
        <v>146</v>
      </c>
      <c r="M352" s="60">
        <v>215</v>
      </c>
      <c r="N352" s="57" t="s">
        <v>132</v>
      </c>
      <c r="O352" s="61">
        <v>133.13</v>
      </c>
      <c r="P352" s="61">
        <v>28622.95</v>
      </c>
      <c r="Q352" s="61">
        <v>1938.71</v>
      </c>
      <c r="R352" s="62">
        <f t="shared" si="38"/>
        <v>6.7732710988909248E-2</v>
      </c>
      <c r="S352" s="60">
        <v>20</v>
      </c>
      <c r="T352" s="58">
        <v>45482</v>
      </c>
      <c r="U352" s="58">
        <v>45481</v>
      </c>
      <c r="V352" s="63">
        <f t="shared" si="39"/>
        <v>-1</v>
      </c>
      <c r="W352" s="57" t="s">
        <v>115</v>
      </c>
      <c r="X352" s="64" t="b">
        <f t="shared" si="40"/>
        <v>1</v>
      </c>
      <c r="Y352" s="60">
        <v>399</v>
      </c>
      <c r="Z352" s="60">
        <v>6</v>
      </c>
      <c r="AA352" s="57" t="s">
        <v>116</v>
      </c>
      <c r="AB352" s="64" t="b">
        <f t="shared" si="41"/>
        <v>0</v>
      </c>
    </row>
    <row r="353" spans="1:28" ht="15" customHeight="1" x14ac:dyDescent="0.3">
      <c r="A353" s="65" t="s">
        <v>833</v>
      </c>
      <c r="B353" s="81">
        <v>45250</v>
      </c>
      <c r="C353" s="59">
        <f t="shared" si="35"/>
        <v>2023</v>
      </c>
      <c r="D353" s="59">
        <f t="shared" si="36"/>
        <v>11</v>
      </c>
      <c r="E353" s="59">
        <f t="shared" si="37"/>
        <v>47</v>
      </c>
      <c r="F353" s="65" t="s">
        <v>58</v>
      </c>
      <c r="G353" s="65" t="s">
        <v>44</v>
      </c>
      <c r="H353" s="65" t="s">
        <v>834</v>
      </c>
      <c r="I353" s="65" t="s">
        <v>69</v>
      </c>
      <c r="J353" s="65" t="s">
        <v>112</v>
      </c>
      <c r="K353" s="65" t="s">
        <v>73</v>
      </c>
      <c r="L353" s="65" t="s">
        <v>124</v>
      </c>
      <c r="M353" s="67">
        <v>553</v>
      </c>
      <c r="N353" s="65" t="s">
        <v>132</v>
      </c>
      <c r="O353" s="68">
        <v>157.87</v>
      </c>
      <c r="P353" s="68">
        <v>87302.11</v>
      </c>
      <c r="Q353" s="68">
        <v>4245.3999999999996</v>
      </c>
      <c r="R353" s="62">
        <f t="shared" si="38"/>
        <v>4.8628836118623016E-2</v>
      </c>
      <c r="S353" s="67">
        <v>24</v>
      </c>
      <c r="T353" s="66">
        <v>45274</v>
      </c>
      <c r="U353" s="66">
        <v>45277</v>
      </c>
      <c r="V353" s="63">
        <f t="shared" si="39"/>
        <v>3</v>
      </c>
      <c r="W353" s="65" t="s">
        <v>128</v>
      </c>
      <c r="X353" s="64" t="b">
        <f t="shared" si="40"/>
        <v>0</v>
      </c>
      <c r="Y353" s="67">
        <v>463</v>
      </c>
      <c r="Z353" s="67">
        <v>496</v>
      </c>
      <c r="AA353" s="65" t="s">
        <v>116</v>
      </c>
      <c r="AB353" s="64" t="b">
        <f t="shared" si="41"/>
        <v>0</v>
      </c>
    </row>
    <row r="354" spans="1:28" ht="15" customHeight="1" x14ac:dyDescent="0.3">
      <c r="A354" s="57" t="s">
        <v>835</v>
      </c>
      <c r="B354" s="82">
        <v>45194</v>
      </c>
      <c r="C354" s="59">
        <f t="shared" si="35"/>
        <v>2023</v>
      </c>
      <c r="D354" s="59">
        <f t="shared" si="36"/>
        <v>9</v>
      </c>
      <c r="E354" s="59">
        <f t="shared" si="37"/>
        <v>39</v>
      </c>
      <c r="F354" s="57" t="s">
        <v>61</v>
      </c>
      <c r="G354" s="57" t="s">
        <v>41</v>
      </c>
      <c r="H354" s="57" t="s">
        <v>836</v>
      </c>
      <c r="I354" s="57" t="s">
        <v>68</v>
      </c>
      <c r="J354" s="57" t="s">
        <v>123</v>
      </c>
      <c r="K354" s="57" t="s">
        <v>75</v>
      </c>
      <c r="L354" s="57" t="s">
        <v>135</v>
      </c>
      <c r="M354" s="60">
        <v>620</v>
      </c>
      <c r="N354" s="57" t="s">
        <v>140</v>
      </c>
      <c r="O354" s="61">
        <v>723.92</v>
      </c>
      <c r="P354" s="61">
        <v>448830.4</v>
      </c>
      <c r="Q354" s="61">
        <v>12501.21</v>
      </c>
      <c r="R354" s="62">
        <f t="shared" si="38"/>
        <v>2.7852859342860907E-2</v>
      </c>
      <c r="S354" s="60">
        <v>22</v>
      </c>
      <c r="T354" s="58">
        <v>45216</v>
      </c>
      <c r="U354" s="58">
        <v>45216</v>
      </c>
      <c r="V354" s="63">
        <f t="shared" si="39"/>
        <v>0</v>
      </c>
      <c r="W354" s="57" t="s">
        <v>115</v>
      </c>
      <c r="X354" s="64" t="b">
        <f t="shared" si="40"/>
        <v>1</v>
      </c>
      <c r="Y354" s="60">
        <v>103</v>
      </c>
      <c r="Z354" s="60">
        <v>379</v>
      </c>
      <c r="AA354" s="57" t="s">
        <v>84</v>
      </c>
      <c r="AB354" s="64" t="b">
        <f t="shared" si="41"/>
        <v>1</v>
      </c>
    </row>
    <row r="355" spans="1:28" ht="15" customHeight="1" x14ac:dyDescent="0.3">
      <c r="A355" s="65" t="s">
        <v>837</v>
      </c>
      <c r="B355" s="81">
        <v>45136</v>
      </c>
      <c r="C355" s="59">
        <f t="shared" si="35"/>
        <v>2023</v>
      </c>
      <c r="D355" s="59">
        <f t="shared" si="36"/>
        <v>7</v>
      </c>
      <c r="E355" s="59">
        <f t="shared" si="37"/>
        <v>30</v>
      </c>
      <c r="F355" s="65" t="s">
        <v>58</v>
      </c>
      <c r="G355" s="65" t="s">
        <v>40</v>
      </c>
      <c r="H355" s="65" t="s">
        <v>838</v>
      </c>
      <c r="I355" s="65" t="s">
        <v>68</v>
      </c>
      <c r="J355" s="65" t="s">
        <v>131</v>
      </c>
      <c r="K355" s="65" t="s">
        <v>75</v>
      </c>
      <c r="L355" s="65" t="s">
        <v>113</v>
      </c>
      <c r="M355" s="67">
        <v>915</v>
      </c>
      <c r="N355" s="65" t="s">
        <v>140</v>
      </c>
      <c r="O355" s="68">
        <v>1141.8900000000001</v>
      </c>
      <c r="P355" s="68">
        <v>1044829.35</v>
      </c>
      <c r="Q355" s="68">
        <v>35664.160000000003</v>
      </c>
      <c r="R355" s="62">
        <f t="shared" si="38"/>
        <v>3.4133956899277382E-2</v>
      </c>
      <c r="S355" s="67">
        <v>24</v>
      </c>
      <c r="T355" s="66">
        <v>45160</v>
      </c>
      <c r="U355" s="66">
        <v>45165</v>
      </c>
      <c r="V355" s="63">
        <f t="shared" si="39"/>
        <v>5</v>
      </c>
      <c r="W355" s="65" t="s">
        <v>125</v>
      </c>
      <c r="X355" s="64" t="b">
        <f t="shared" si="40"/>
        <v>0</v>
      </c>
      <c r="Y355" s="67">
        <v>258</v>
      </c>
      <c r="Z355" s="67">
        <v>198</v>
      </c>
      <c r="AA355" s="65" t="s">
        <v>81</v>
      </c>
      <c r="AB355" s="64" t="b">
        <f t="shared" si="41"/>
        <v>1</v>
      </c>
    </row>
    <row r="356" spans="1:28" ht="15" customHeight="1" x14ac:dyDescent="0.3">
      <c r="A356" s="57" t="s">
        <v>839</v>
      </c>
      <c r="B356" s="82">
        <v>45612</v>
      </c>
      <c r="C356" s="59">
        <f t="shared" si="35"/>
        <v>2024</v>
      </c>
      <c r="D356" s="59">
        <f t="shared" si="36"/>
        <v>11</v>
      </c>
      <c r="E356" s="59">
        <f t="shared" si="37"/>
        <v>46</v>
      </c>
      <c r="F356" s="57" t="s">
        <v>59</v>
      </c>
      <c r="G356" s="57" t="s">
        <v>45</v>
      </c>
      <c r="H356" s="57" t="s">
        <v>840</v>
      </c>
      <c r="I356" s="57" t="s">
        <v>69</v>
      </c>
      <c r="J356" s="57" t="s">
        <v>131</v>
      </c>
      <c r="K356" s="57" t="s">
        <v>73</v>
      </c>
      <c r="L356" s="57" t="s">
        <v>146</v>
      </c>
      <c r="M356" s="60">
        <v>396</v>
      </c>
      <c r="N356" s="57" t="s">
        <v>114</v>
      </c>
      <c r="O356" s="61">
        <v>271.14</v>
      </c>
      <c r="P356" s="61">
        <v>107371.44</v>
      </c>
      <c r="Q356" s="61">
        <v>8154.89</v>
      </c>
      <c r="R356" s="62">
        <f t="shared" si="38"/>
        <v>7.5950271319822113E-2</v>
      </c>
      <c r="S356" s="60">
        <v>1</v>
      </c>
      <c r="T356" s="58">
        <v>45613</v>
      </c>
      <c r="U356" s="58">
        <v>45613</v>
      </c>
      <c r="V356" s="63">
        <f t="shared" si="39"/>
        <v>0</v>
      </c>
      <c r="W356" s="57" t="s">
        <v>115</v>
      </c>
      <c r="X356" s="64" t="b">
        <f t="shared" si="40"/>
        <v>1</v>
      </c>
      <c r="Y356" s="60">
        <v>307</v>
      </c>
      <c r="Z356" s="60">
        <v>90</v>
      </c>
      <c r="AA356" s="57" t="s">
        <v>116</v>
      </c>
      <c r="AB356" s="64" t="b">
        <f t="shared" si="41"/>
        <v>0</v>
      </c>
    </row>
    <row r="357" spans="1:28" ht="15" customHeight="1" x14ac:dyDescent="0.3">
      <c r="A357" s="65" t="s">
        <v>841</v>
      </c>
      <c r="B357" s="81">
        <v>45248</v>
      </c>
      <c r="C357" s="59">
        <f t="shared" si="35"/>
        <v>2023</v>
      </c>
      <c r="D357" s="59">
        <f t="shared" si="36"/>
        <v>11</v>
      </c>
      <c r="E357" s="59">
        <f t="shared" si="37"/>
        <v>46</v>
      </c>
      <c r="F357" s="65" t="s">
        <v>54</v>
      </c>
      <c r="G357" s="65" t="s">
        <v>42</v>
      </c>
      <c r="H357" s="65" t="s">
        <v>842</v>
      </c>
      <c r="I357" s="65" t="s">
        <v>68</v>
      </c>
      <c r="J357" s="65" t="s">
        <v>143</v>
      </c>
      <c r="K357" s="65" t="s">
        <v>75</v>
      </c>
      <c r="L357" s="65" t="s">
        <v>156</v>
      </c>
      <c r="M357" s="67">
        <v>777</v>
      </c>
      <c r="N357" s="65" t="s">
        <v>114</v>
      </c>
      <c r="O357" s="68">
        <v>112.84</v>
      </c>
      <c r="P357" s="68">
        <v>87676.68</v>
      </c>
      <c r="Q357" s="68">
        <v>6275.04</v>
      </c>
      <c r="R357" s="62">
        <f t="shared" si="38"/>
        <v>7.157022825225591E-2</v>
      </c>
      <c r="S357" s="67">
        <v>24</v>
      </c>
      <c r="T357" s="66">
        <v>45272</v>
      </c>
      <c r="U357" s="66">
        <v>45269</v>
      </c>
      <c r="V357" s="63">
        <f t="shared" si="39"/>
        <v>-3</v>
      </c>
      <c r="W357" s="65" t="s">
        <v>115</v>
      </c>
      <c r="X357" s="64" t="b">
        <f t="shared" si="40"/>
        <v>1</v>
      </c>
      <c r="Y357" s="67">
        <v>366</v>
      </c>
      <c r="Z357" s="67">
        <v>471</v>
      </c>
      <c r="AA357" s="65" t="s">
        <v>83</v>
      </c>
      <c r="AB357" s="64" t="b">
        <f t="shared" si="41"/>
        <v>1</v>
      </c>
    </row>
    <row r="358" spans="1:28" ht="15" customHeight="1" x14ac:dyDescent="0.3">
      <c r="A358" s="57" t="s">
        <v>843</v>
      </c>
      <c r="B358" s="82">
        <v>45171</v>
      </c>
      <c r="C358" s="59">
        <f t="shared" si="35"/>
        <v>2023</v>
      </c>
      <c r="D358" s="59">
        <f t="shared" si="36"/>
        <v>9</v>
      </c>
      <c r="E358" s="59">
        <f t="shared" si="37"/>
        <v>35</v>
      </c>
      <c r="F358" s="57" t="s">
        <v>60</v>
      </c>
      <c r="G358" s="57" t="s">
        <v>45</v>
      </c>
      <c r="H358" s="57" t="s">
        <v>844</v>
      </c>
      <c r="I358" s="57" t="s">
        <v>65</v>
      </c>
      <c r="J358" s="57" t="s">
        <v>139</v>
      </c>
      <c r="K358" s="57" t="s">
        <v>71</v>
      </c>
      <c r="L358" s="57" t="s">
        <v>124</v>
      </c>
      <c r="M358" s="60">
        <v>708</v>
      </c>
      <c r="N358" s="57" t="s">
        <v>163</v>
      </c>
      <c r="O358" s="61">
        <v>171.88</v>
      </c>
      <c r="P358" s="61">
        <v>121691.04</v>
      </c>
      <c r="Q358" s="61">
        <v>7616.29</v>
      </c>
      <c r="R358" s="62">
        <f t="shared" si="38"/>
        <v>6.2587105837866128E-2</v>
      </c>
      <c r="S358" s="60">
        <v>20</v>
      </c>
      <c r="T358" s="58">
        <v>45191</v>
      </c>
      <c r="U358" s="58">
        <v>45191</v>
      </c>
      <c r="V358" s="63">
        <f t="shared" si="39"/>
        <v>0</v>
      </c>
      <c r="W358" s="57" t="s">
        <v>115</v>
      </c>
      <c r="X358" s="64" t="b">
        <f t="shared" si="40"/>
        <v>1</v>
      </c>
      <c r="Y358" s="60">
        <v>416</v>
      </c>
      <c r="Z358" s="60">
        <v>146</v>
      </c>
      <c r="AA358" s="57" t="s">
        <v>82</v>
      </c>
      <c r="AB358" s="64" t="b">
        <f t="shared" si="41"/>
        <v>1</v>
      </c>
    </row>
    <row r="359" spans="1:28" ht="15" customHeight="1" x14ac:dyDescent="0.3">
      <c r="A359" s="65" t="s">
        <v>845</v>
      </c>
      <c r="B359" s="81">
        <v>45198</v>
      </c>
      <c r="C359" s="59">
        <f t="shared" si="35"/>
        <v>2023</v>
      </c>
      <c r="D359" s="59">
        <f t="shared" si="36"/>
        <v>9</v>
      </c>
      <c r="E359" s="59">
        <f t="shared" si="37"/>
        <v>39</v>
      </c>
      <c r="F359" s="65" t="s">
        <v>53</v>
      </c>
      <c r="G359" s="65" t="s">
        <v>41</v>
      </c>
      <c r="H359" s="65" t="s">
        <v>846</v>
      </c>
      <c r="I359" s="65" t="s">
        <v>64</v>
      </c>
      <c r="J359" s="65" t="s">
        <v>143</v>
      </c>
      <c r="K359" s="65" t="s">
        <v>71</v>
      </c>
      <c r="L359" s="65" t="s">
        <v>124</v>
      </c>
      <c r="M359" s="67">
        <v>85</v>
      </c>
      <c r="N359" s="65" t="s">
        <v>132</v>
      </c>
      <c r="O359" s="68">
        <v>463.67</v>
      </c>
      <c r="P359" s="68">
        <v>39411.949999999997</v>
      </c>
      <c r="Q359" s="68">
        <v>1928.57</v>
      </c>
      <c r="R359" s="62">
        <f t="shared" si="38"/>
        <v>4.8933635610519145E-2</v>
      </c>
      <c r="S359" s="67">
        <v>11</v>
      </c>
      <c r="T359" s="66">
        <v>45209</v>
      </c>
      <c r="U359" s="66">
        <v>45206</v>
      </c>
      <c r="V359" s="63">
        <f t="shared" si="39"/>
        <v>-3</v>
      </c>
      <c r="W359" s="65" t="s">
        <v>115</v>
      </c>
      <c r="X359" s="64" t="b">
        <f t="shared" si="40"/>
        <v>1</v>
      </c>
      <c r="Y359" s="67">
        <v>297</v>
      </c>
      <c r="Z359" s="67">
        <v>424</v>
      </c>
      <c r="AA359" s="65" t="s">
        <v>116</v>
      </c>
      <c r="AB359" s="64" t="b">
        <f t="shared" si="41"/>
        <v>0</v>
      </c>
    </row>
    <row r="360" spans="1:28" ht="15" customHeight="1" x14ac:dyDescent="0.3">
      <c r="A360" s="57" t="s">
        <v>847</v>
      </c>
      <c r="B360" s="82">
        <v>45332</v>
      </c>
      <c r="C360" s="59">
        <f t="shared" si="35"/>
        <v>2024</v>
      </c>
      <c r="D360" s="59">
        <f t="shared" si="36"/>
        <v>2</v>
      </c>
      <c r="E360" s="59">
        <f t="shared" si="37"/>
        <v>6</v>
      </c>
      <c r="F360" s="57" t="s">
        <v>60</v>
      </c>
      <c r="G360" s="57" t="s">
        <v>44</v>
      </c>
      <c r="H360" s="57" t="s">
        <v>848</v>
      </c>
      <c r="I360" s="57" t="s">
        <v>65</v>
      </c>
      <c r="J360" s="57" t="s">
        <v>112</v>
      </c>
      <c r="K360" s="57" t="s">
        <v>71</v>
      </c>
      <c r="L360" s="57" t="s">
        <v>119</v>
      </c>
      <c r="M360" s="60">
        <v>186</v>
      </c>
      <c r="N360" s="57" t="s">
        <v>163</v>
      </c>
      <c r="O360" s="61">
        <v>111.74</v>
      </c>
      <c r="P360" s="61">
        <v>20783.64</v>
      </c>
      <c r="Q360" s="61">
        <v>1064.53</v>
      </c>
      <c r="R360" s="62">
        <f t="shared" si="38"/>
        <v>5.1219613118779962E-2</v>
      </c>
      <c r="S360" s="60">
        <v>17</v>
      </c>
      <c r="T360" s="58">
        <v>45349</v>
      </c>
      <c r="U360" s="58">
        <v>45346</v>
      </c>
      <c r="V360" s="63">
        <f t="shared" si="39"/>
        <v>-3</v>
      </c>
      <c r="W360" s="57" t="s">
        <v>115</v>
      </c>
      <c r="X360" s="64" t="b">
        <f t="shared" si="40"/>
        <v>1</v>
      </c>
      <c r="Y360" s="60">
        <v>129</v>
      </c>
      <c r="Z360" s="60">
        <v>417</v>
      </c>
      <c r="AA360" s="57" t="s">
        <v>82</v>
      </c>
      <c r="AB360" s="64" t="b">
        <f t="shared" si="41"/>
        <v>1</v>
      </c>
    </row>
    <row r="361" spans="1:28" ht="15" customHeight="1" x14ac:dyDescent="0.3">
      <c r="A361" s="65" t="s">
        <v>849</v>
      </c>
      <c r="B361" s="81">
        <v>45061</v>
      </c>
      <c r="C361" s="59">
        <f t="shared" si="35"/>
        <v>2023</v>
      </c>
      <c r="D361" s="59">
        <f t="shared" si="36"/>
        <v>5</v>
      </c>
      <c r="E361" s="59">
        <f t="shared" si="37"/>
        <v>20</v>
      </c>
      <c r="F361" s="65" t="s">
        <v>52</v>
      </c>
      <c r="G361" s="65" t="s">
        <v>39</v>
      </c>
      <c r="H361" s="65" t="s">
        <v>850</v>
      </c>
      <c r="I361" s="65" t="s">
        <v>65</v>
      </c>
      <c r="J361" s="65" t="s">
        <v>123</v>
      </c>
      <c r="K361" s="65" t="s">
        <v>74</v>
      </c>
      <c r="L361" s="65" t="s">
        <v>156</v>
      </c>
      <c r="M361" s="67">
        <v>836</v>
      </c>
      <c r="N361" s="65" t="s">
        <v>140</v>
      </c>
      <c r="O361" s="68">
        <v>1502.46</v>
      </c>
      <c r="P361" s="68">
        <v>1256056.56</v>
      </c>
      <c r="Q361" s="68">
        <v>96548.6302</v>
      </c>
      <c r="R361" s="62">
        <f t="shared" si="38"/>
        <v>7.6866467064190161E-2</v>
      </c>
      <c r="S361" s="67">
        <v>8</v>
      </c>
      <c r="T361" s="66">
        <v>45069</v>
      </c>
      <c r="U361" s="66">
        <v>45069</v>
      </c>
      <c r="V361" s="63">
        <f t="shared" si="39"/>
        <v>0</v>
      </c>
      <c r="W361" s="65" t="s">
        <v>115</v>
      </c>
      <c r="X361" s="64" t="b">
        <f t="shared" si="40"/>
        <v>1</v>
      </c>
      <c r="Y361" s="67">
        <v>294</v>
      </c>
      <c r="Z361" s="67">
        <v>149</v>
      </c>
      <c r="AA361" s="65" t="s">
        <v>116</v>
      </c>
      <c r="AB361" s="64" t="b">
        <f t="shared" si="41"/>
        <v>0</v>
      </c>
    </row>
    <row r="362" spans="1:28" ht="15" customHeight="1" x14ac:dyDescent="0.3">
      <c r="A362" s="57" t="s">
        <v>851</v>
      </c>
      <c r="B362" s="82">
        <v>45614</v>
      </c>
      <c r="C362" s="59">
        <f t="shared" si="35"/>
        <v>2024</v>
      </c>
      <c r="D362" s="59">
        <f t="shared" si="36"/>
        <v>11</v>
      </c>
      <c r="E362" s="59">
        <f t="shared" si="37"/>
        <v>47</v>
      </c>
      <c r="F362" s="57" t="s">
        <v>58</v>
      </c>
      <c r="G362" s="57" t="s">
        <v>46</v>
      </c>
      <c r="H362" s="57" t="s">
        <v>852</v>
      </c>
      <c r="I362" s="57" t="s">
        <v>69</v>
      </c>
      <c r="J362" s="57" t="s">
        <v>143</v>
      </c>
      <c r="K362" s="57" t="s">
        <v>73</v>
      </c>
      <c r="L362" s="57" t="s">
        <v>156</v>
      </c>
      <c r="M362" s="60">
        <v>808</v>
      </c>
      <c r="N362" s="57" t="s">
        <v>132</v>
      </c>
      <c r="O362" s="61">
        <v>60.88</v>
      </c>
      <c r="P362" s="61">
        <v>49191.040000000001</v>
      </c>
      <c r="Q362" s="61">
        <v>3834.26</v>
      </c>
      <c r="R362" s="62">
        <f t="shared" si="38"/>
        <v>7.7946308921299487E-2</v>
      </c>
      <c r="S362" s="60">
        <v>4</v>
      </c>
      <c r="T362" s="58">
        <v>45618</v>
      </c>
      <c r="U362" s="58">
        <v>45618</v>
      </c>
      <c r="V362" s="63">
        <f t="shared" si="39"/>
        <v>0</v>
      </c>
      <c r="W362" s="57" t="s">
        <v>115</v>
      </c>
      <c r="X362" s="64" t="b">
        <f t="shared" si="40"/>
        <v>1</v>
      </c>
      <c r="Y362" s="60">
        <v>301</v>
      </c>
      <c r="Z362" s="60">
        <v>51</v>
      </c>
      <c r="AA362" s="57" t="s">
        <v>81</v>
      </c>
      <c r="AB362" s="64" t="b">
        <f t="shared" si="41"/>
        <v>1</v>
      </c>
    </row>
    <row r="363" spans="1:28" ht="15" customHeight="1" x14ac:dyDescent="0.3">
      <c r="A363" s="65" t="s">
        <v>853</v>
      </c>
      <c r="B363" s="81">
        <v>45587</v>
      </c>
      <c r="C363" s="59">
        <f t="shared" si="35"/>
        <v>2024</v>
      </c>
      <c r="D363" s="59">
        <f t="shared" si="36"/>
        <v>10</v>
      </c>
      <c r="E363" s="59">
        <f t="shared" si="37"/>
        <v>43</v>
      </c>
      <c r="F363" s="65" t="s">
        <v>57</v>
      </c>
      <c r="G363" s="65" t="s">
        <v>41</v>
      </c>
      <c r="H363" s="65" t="s">
        <v>854</v>
      </c>
      <c r="I363" s="65" t="s">
        <v>69</v>
      </c>
      <c r="J363" s="65" t="s">
        <v>151</v>
      </c>
      <c r="K363" s="65" t="s">
        <v>71</v>
      </c>
      <c r="L363" s="65" t="s">
        <v>135</v>
      </c>
      <c r="M363" s="67">
        <v>358</v>
      </c>
      <c r="N363" s="65" t="s">
        <v>136</v>
      </c>
      <c r="O363" s="68">
        <v>567.82000000000005</v>
      </c>
      <c r="P363" s="68">
        <v>203279.56</v>
      </c>
      <c r="Q363" s="68">
        <v>6691.18</v>
      </c>
      <c r="R363" s="62">
        <f t="shared" si="38"/>
        <v>3.2916147594967249E-2</v>
      </c>
      <c r="S363" s="67">
        <v>6</v>
      </c>
      <c r="T363" s="66">
        <v>45593</v>
      </c>
      <c r="U363" s="66">
        <v>45594</v>
      </c>
      <c r="V363" s="63">
        <f t="shared" si="39"/>
        <v>1</v>
      </c>
      <c r="W363" s="65" t="s">
        <v>125</v>
      </c>
      <c r="X363" s="64" t="b">
        <f t="shared" si="40"/>
        <v>0</v>
      </c>
      <c r="Y363" s="67">
        <v>47</v>
      </c>
      <c r="Z363" s="67">
        <v>242</v>
      </c>
      <c r="AA363" s="65" t="s">
        <v>81</v>
      </c>
      <c r="AB363" s="64" t="b">
        <f t="shared" si="41"/>
        <v>1</v>
      </c>
    </row>
    <row r="364" spans="1:28" ht="15" customHeight="1" x14ac:dyDescent="0.3">
      <c r="A364" s="57" t="s">
        <v>855</v>
      </c>
      <c r="B364" s="82">
        <v>45234</v>
      </c>
      <c r="C364" s="59">
        <f t="shared" si="35"/>
        <v>2023</v>
      </c>
      <c r="D364" s="59">
        <f t="shared" si="36"/>
        <v>11</v>
      </c>
      <c r="E364" s="59">
        <f t="shared" si="37"/>
        <v>44</v>
      </c>
      <c r="F364" s="57" t="s">
        <v>60</v>
      </c>
      <c r="G364" s="57" t="s">
        <v>45</v>
      </c>
      <c r="H364" s="57" t="s">
        <v>856</v>
      </c>
      <c r="I364" s="57" t="s">
        <v>64</v>
      </c>
      <c r="J364" s="57" t="s">
        <v>151</v>
      </c>
      <c r="K364" s="57" t="s">
        <v>72</v>
      </c>
      <c r="L364" s="57" t="s">
        <v>113</v>
      </c>
      <c r="M364" s="60">
        <v>264</v>
      </c>
      <c r="N364" s="57" t="s">
        <v>140</v>
      </c>
      <c r="O364" s="61">
        <v>165.58</v>
      </c>
      <c r="P364" s="61">
        <v>43713.120000000003</v>
      </c>
      <c r="Q364" s="61">
        <v>3001.62</v>
      </c>
      <c r="R364" s="62">
        <f t="shared" si="38"/>
        <v>6.8666340906345727E-2</v>
      </c>
      <c r="S364" s="60">
        <v>8</v>
      </c>
      <c r="T364" s="58">
        <v>45242</v>
      </c>
      <c r="U364" s="58">
        <v>45247</v>
      </c>
      <c r="V364" s="63">
        <f t="shared" si="39"/>
        <v>5</v>
      </c>
      <c r="W364" s="57" t="s">
        <v>128</v>
      </c>
      <c r="X364" s="64" t="b">
        <f t="shared" si="40"/>
        <v>0</v>
      </c>
      <c r="Y364" s="60">
        <v>26</v>
      </c>
      <c r="Z364" s="60">
        <v>218</v>
      </c>
      <c r="AA364" s="57" t="s">
        <v>116</v>
      </c>
      <c r="AB364" s="64" t="b">
        <f t="shared" si="41"/>
        <v>0</v>
      </c>
    </row>
    <row r="365" spans="1:28" ht="15" customHeight="1" x14ac:dyDescent="0.3">
      <c r="A365" s="65" t="s">
        <v>857</v>
      </c>
      <c r="B365" s="81">
        <v>45395</v>
      </c>
      <c r="C365" s="59">
        <f t="shared" si="35"/>
        <v>2024</v>
      </c>
      <c r="D365" s="59">
        <f t="shared" si="36"/>
        <v>4</v>
      </c>
      <c r="E365" s="59">
        <f t="shared" si="37"/>
        <v>15</v>
      </c>
      <c r="F365" s="65" t="s">
        <v>56</v>
      </c>
      <c r="G365" s="65" t="s">
        <v>39</v>
      </c>
      <c r="H365" s="65" t="s">
        <v>858</v>
      </c>
      <c r="I365" s="65" t="s">
        <v>67</v>
      </c>
      <c r="J365" s="65" t="s">
        <v>139</v>
      </c>
      <c r="K365" s="65" t="s">
        <v>71</v>
      </c>
      <c r="L365" s="65" t="s">
        <v>135</v>
      </c>
      <c r="M365" s="67">
        <v>846</v>
      </c>
      <c r="N365" s="65" t="s">
        <v>140</v>
      </c>
      <c r="O365" s="68">
        <v>1879.5</v>
      </c>
      <c r="P365" s="68">
        <v>1590057</v>
      </c>
      <c r="Q365" s="68">
        <v>50618.76</v>
      </c>
      <c r="R365" s="62">
        <f t="shared" si="38"/>
        <v>3.1834556874376203E-2</v>
      </c>
      <c r="S365" s="67">
        <v>20</v>
      </c>
      <c r="T365" s="66">
        <v>45415</v>
      </c>
      <c r="U365" s="66">
        <v>45414</v>
      </c>
      <c r="V365" s="63">
        <f t="shared" si="39"/>
        <v>-1</v>
      </c>
      <c r="W365" s="65" t="s">
        <v>115</v>
      </c>
      <c r="X365" s="64" t="b">
        <f t="shared" si="40"/>
        <v>1</v>
      </c>
      <c r="Y365" s="67">
        <v>14</v>
      </c>
      <c r="Z365" s="67">
        <v>5</v>
      </c>
      <c r="AA365" s="65" t="s">
        <v>116</v>
      </c>
      <c r="AB365" s="64" t="b">
        <f t="shared" si="41"/>
        <v>0</v>
      </c>
    </row>
    <row r="366" spans="1:28" ht="15" customHeight="1" x14ac:dyDescent="0.3">
      <c r="A366" s="57" t="s">
        <v>859</v>
      </c>
      <c r="B366" s="82">
        <v>45250</v>
      </c>
      <c r="C366" s="59">
        <f t="shared" si="35"/>
        <v>2023</v>
      </c>
      <c r="D366" s="59">
        <f t="shared" si="36"/>
        <v>11</v>
      </c>
      <c r="E366" s="59">
        <f t="shared" si="37"/>
        <v>47</v>
      </c>
      <c r="F366" s="57" t="s">
        <v>61</v>
      </c>
      <c r="G366" s="57" t="s">
        <v>46</v>
      </c>
      <c r="H366" s="57" t="s">
        <v>860</v>
      </c>
      <c r="I366" s="57" t="s">
        <v>65</v>
      </c>
      <c r="J366" s="57" t="s">
        <v>143</v>
      </c>
      <c r="K366" s="57" t="s">
        <v>74</v>
      </c>
      <c r="L366" s="57" t="s">
        <v>113</v>
      </c>
      <c r="M366" s="60">
        <v>711</v>
      </c>
      <c r="N366" s="57" t="s">
        <v>140</v>
      </c>
      <c r="O366" s="61">
        <v>50.04</v>
      </c>
      <c r="P366" s="61">
        <v>35578.44</v>
      </c>
      <c r="Q366" s="61">
        <v>1167.4100000000001</v>
      </c>
      <c r="R366" s="62">
        <f t="shared" si="38"/>
        <v>3.2812287441495468E-2</v>
      </c>
      <c r="S366" s="60">
        <v>3</v>
      </c>
      <c r="T366" s="58">
        <v>45253</v>
      </c>
      <c r="U366" s="58">
        <v>45252</v>
      </c>
      <c r="V366" s="63">
        <f t="shared" si="39"/>
        <v>-1</v>
      </c>
      <c r="W366" s="57" t="s">
        <v>115</v>
      </c>
      <c r="X366" s="64" t="b">
        <f t="shared" si="40"/>
        <v>1</v>
      </c>
      <c r="Y366" s="60">
        <v>262</v>
      </c>
      <c r="Z366" s="60">
        <v>457</v>
      </c>
      <c r="AA366" s="57" t="s">
        <v>81</v>
      </c>
      <c r="AB366" s="64" t="b">
        <f t="shared" si="41"/>
        <v>1</v>
      </c>
    </row>
    <row r="367" spans="1:28" ht="15" customHeight="1" x14ac:dyDescent="0.3">
      <c r="A367" s="65" t="s">
        <v>861</v>
      </c>
      <c r="B367" s="81">
        <v>45001</v>
      </c>
      <c r="C367" s="59">
        <f t="shared" si="35"/>
        <v>2023</v>
      </c>
      <c r="D367" s="59">
        <f t="shared" si="36"/>
        <v>3</v>
      </c>
      <c r="E367" s="59">
        <f t="shared" si="37"/>
        <v>11</v>
      </c>
      <c r="F367" s="65" t="s">
        <v>60</v>
      </c>
      <c r="G367" s="65" t="s">
        <v>43</v>
      </c>
      <c r="H367" s="65" t="s">
        <v>862</v>
      </c>
      <c r="I367" s="65" t="s">
        <v>68</v>
      </c>
      <c r="J367" s="65" t="s">
        <v>112</v>
      </c>
      <c r="K367" s="65" t="s">
        <v>72</v>
      </c>
      <c r="L367" s="65" t="s">
        <v>146</v>
      </c>
      <c r="M367" s="67">
        <v>317</v>
      </c>
      <c r="N367" s="65" t="s">
        <v>132</v>
      </c>
      <c r="O367" s="68">
        <v>189.65</v>
      </c>
      <c r="P367" s="68">
        <v>60119.05</v>
      </c>
      <c r="Q367" s="68">
        <v>3641.15</v>
      </c>
      <c r="R367" s="62">
        <f t="shared" si="38"/>
        <v>6.0565660967696597E-2</v>
      </c>
      <c r="S367" s="67">
        <v>16</v>
      </c>
      <c r="T367" s="66">
        <v>45017</v>
      </c>
      <c r="U367" s="66">
        <v>45022</v>
      </c>
      <c r="V367" s="63">
        <f t="shared" si="39"/>
        <v>5</v>
      </c>
      <c r="W367" s="65" t="s">
        <v>125</v>
      </c>
      <c r="X367" s="64" t="b">
        <f t="shared" si="40"/>
        <v>0</v>
      </c>
      <c r="Y367" s="67">
        <v>364</v>
      </c>
      <c r="Z367" s="67">
        <v>108</v>
      </c>
      <c r="AA367" s="65" t="s">
        <v>82</v>
      </c>
      <c r="AB367" s="64" t="b">
        <f t="shared" si="41"/>
        <v>1</v>
      </c>
    </row>
    <row r="368" spans="1:28" ht="15" customHeight="1" x14ac:dyDescent="0.3">
      <c r="A368" s="57" t="s">
        <v>863</v>
      </c>
      <c r="B368" s="82">
        <v>44936</v>
      </c>
      <c r="C368" s="59">
        <f t="shared" si="35"/>
        <v>2023</v>
      </c>
      <c r="D368" s="59">
        <f t="shared" si="36"/>
        <v>1</v>
      </c>
      <c r="E368" s="59">
        <f t="shared" si="37"/>
        <v>2</v>
      </c>
      <c r="F368" s="57" t="s">
        <v>55</v>
      </c>
      <c r="G368" s="57" t="s">
        <v>41</v>
      </c>
      <c r="H368" s="57" t="s">
        <v>864</v>
      </c>
      <c r="I368" s="57" t="s">
        <v>64</v>
      </c>
      <c r="J368" s="57" t="s">
        <v>151</v>
      </c>
      <c r="K368" s="57" t="s">
        <v>73</v>
      </c>
      <c r="L368" s="57" t="s">
        <v>135</v>
      </c>
      <c r="M368" s="60">
        <v>354</v>
      </c>
      <c r="N368" s="57" t="s">
        <v>114</v>
      </c>
      <c r="O368" s="61">
        <v>551.34</v>
      </c>
      <c r="P368" s="61">
        <v>195174.36</v>
      </c>
      <c r="Q368" s="61">
        <v>8646.24</v>
      </c>
      <c r="R368" s="62">
        <f t="shared" si="38"/>
        <v>4.4300081219684803E-2</v>
      </c>
      <c r="S368" s="60">
        <v>25</v>
      </c>
      <c r="T368" s="58">
        <v>44961</v>
      </c>
      <c r="U368" s="58">
        <v>44961</v>
      </c>
      <c r="V368" s="63">
        <f t="shared" si="39"/>
        <v>0</v>
      </c>
      <c r="W368" s="57" t="s">
        <v>115</v>
      </c>
      <c r="X368" s="64" t="b">
        <f t="shared" si="40"/>
        <v>1</v>
      </c>
      <c r="Y368" s="60">
        <v>440</v>
      </c>
      <c r="Z368" s="60">
        <v>350</v>
      </c>
      <c r="AA368" s="57" t="s">
        <v>116</v>
      </c>
      <c r="AB368" s="64" t="b">
        <f t="shared" si="41"/>
        <v>0</v>
      </c>
    </row>
    <row r="369" spans="1:28" ht="15" customHeight="1" x14ac:dyDescent="0.3">
      <c r="A369" s="65" t="s">
        <v>865</v>
      </c>
      <c r="B369" s="81">
        <v>45396</v>
      </c>
      <c r="C369" s="59">
        <f t="shared" si="35"/>
        <v>2024</v>
      </c>
      <c r="D369" s="59">
        <f t="shared" si="36"/>
        <v>4</v>
      </c>
      <c r="E369" s="59">
        <f t="shared" si="37"/>
        <v>16</v>
      </c>
      <c r="F369" s="65" t="s">
        <v>54</v>
      </c>
      <c r="G369" s="65" t="s">
        <v>41</v>
      </c>
      <c r="H369" s="65" t="s">
        <v>866</v>
      </c>
      <c r="I369" s="65" t="s">
        <v>65</v>
      </c>
      <c r="J369" s="65" t="s">
        <v>139</v>
      </c>
      <c r="K369" s="65" t="s">
        <v>73</v>
      </c>
      <c r="L369" s="65" t="s">
        <v>119</v>
      </c>
      <c r="M369" s="67">
        <v>136</v>
      </c>
      <c r="N369" s="65" t="s">
        <v>120</v>
      </c>
      <c r="O369" s="68">
        <v>668.58</v>
      </c>
      <c r="P369" s="68">
        <v>90926.88</v>
      </c>
      <c r="Q369" s="68">
        <v>6900.68</v>
      </c>
      <c r="R369" s="62">
        <f t="shared" si="38"/>
        <v>7.5892629330292644E-2</v>
      </c>
      <c r="S369" s="67">
        <v>3</v>
      </c>
      <c r="T369" s="66">
        <v>45399</v>
      </c>
      <c r="U369" s="66">
        <v>45411</v>
      </c>
      <c r="V369" s="63">
        <f t="shared" si="39"/>
        <v>12</v>
      </c>
      <c r="W369" s="65" t="s">
        <v>128</v>
      </c>
      <c r="X369" s="64" t="b">
        <f t="shared" si="40"/>
        <v>0</v>
      </c>
      <c r="Y369" s="67">
        <v>297</v>
      </c>
      <c r="Z369" s="67">
        <v>408</v>
      </c>
      <c r="AA369" s="65" t="s">
        <v>116</v>
      </c>
      <c r="AB369" s="64" t="b">
        <f t="shared" si="41"/>
        <v>0</v>
      </c>
    </row>
    <row r="370" spans="1:28" ht="15" customHeight="1" x14ac:dyDescent="0.3">
      <c r="A370" s="57" t="s">
        <v>867</v>
      </c>
      <c r="B370" s="82">
        <v>45563</v>
      </c>
      <c r="C370" s="59">
        <f t="shared" si="35"/>
        <v>2024</v>
      </c>
      <c r="D370" s="59">
        <f t="shared" si="36"/>
        <v>9</v>
      </c>
      <c r="E370" s="59">
        <f t="shared" si="37"/>
        <v>39</v>
      </c>
      <c r="F370" s="57" t="s">
        <v>61</v>
      </c>
      <c r="G370" s="57" t="s">
        <v>43</v>
      </c>
      <c r="H370" s="57" t="s">
        <v>868</v>
      </c>
      <c r="I370" s="57" t="s">
        <v>67</v>
      </c>
      <c r="J370" s="57" t="s">
        <v>143</v>
      </c>
      <c r="K370" s="57" t="s">
        <v>71</v>
      </c>
      <c r="L370" s="57" t="s">
        <v>113</v>
      </c>
      <c r="M370" s="60">
        <v>946</v>
      </c>
      <c r="N370" s="57" t="s">
        <v>136</v>
      </c>
      <c r="O370" s="61">
        <v>258.32</v>
      </c>
      <c r="P370" s="61">
        <v>244370.72</v>
      </c>
      <c r="Q370" s="61">
        <v>6192.5</v>
      </c>
      <c r="R370" s="62">
        <f t="shared" si="38"/>
        <v>2.5340597269591054E-2</v>
      </c>
      <c r="S370" s="60">
        <v>25</v>
      </c>
      <c r="T370" s="58">
        <v>45588</v>
      </c>
      <c r="U370" s="58">
        <v>45587</v>
      </c>
      <c r="V370" s="63">
        <f t="shared" si="39"/>
        <v>-1</v>
      </c>
      <c r="W370" s="57" t="s">
        <v>115</v>
      </c>
      <c r="X370" s="64" t="b">
        <f t="shared" si="40"/>
        <v>1</v>
      </c>
      <c r="Y370" s="60">
        <v>264</v>
      </c>
      <c r="Z370" s="60">
        <v>65</v>
      </c>
      <c r="AA370" s="57" t="s">
        <v>81</v>
      </c>
      <c r="AB370" s="64" t="b">
        <f t="shared" si="41"/>
        <v>1</v>
      </c>
    </row>
    <row r="371" spans="1:28" ht="15" customHeight="1" x14ac:dyDescent="0.3">
      <c r="A371" s="65" t="s">
        <v>869</v>
      </c>
      <c r="B371" s="81">
        <v>45503</v>
      </c>
      <c r="C371" s="59">
        <f t="shared" si="35"/>
        <v>2024</v>
      </c>
      <c r="D371" s="59">
        <f t="shared" si="36"/>
        <v>7</v>
      </c>
      <c r="E371" s="59">
        <f t="shared" si="37"/>
        <v>31</v>
      </c>
      <c r="F371" s="65" t="s">
        <v>57</v>
      </c>
      <c r="G371" s="65" t="s">
        <v>43</v>
      </c>
      <c r="H371" s="65" t="s">
        <v>870</v>
      </c>
      <c r="I371" s="65" t="s">
        <v>68</v>
      </c>
      <c r="J371" s="65" t="s">
        <v>139</v>
      </c>
      <c r="K371" s="65" t="s">
        <v>72</v>
      </c>
      <c r="L371" s="65" t="s">
        <v>135</v>
      </c>
      <c r="M371" s="67">
        <v>296</v>
      </c>
      <c r="N371" s="65" t="s">
        <v>136</v>
      </c>
      <c r="O371" s="68">
        <v>243.29</v>
      </c>
      <c r="P371" s="68">
        <v>72013.84</v>
      </c>
      <c r="Q371" s="68">
        <v>3650.49</v>
      </c>
      <c r="R371" s="62">
        <f t="shared" si="38"/>
        <v>5.0691505966075412E-2</v>
      </c>
      <c r="S371" s="67">
        <v>29</v>
      </c>
      <c r="T371" s="66">
        <v>45532</v>
      </c>
      <c r="U371" s="66">
        <v>45529</v>
      </c>
      <c r="V371" s="63">
        <f t="shared" si="39"/>
        <v>-3</v>
      </c>
      <c r="W371" s="65" t="s">
        <v>115</v>
      </c>
      <c r="X371" s="64" t="b">
        <f t="shared" si="40"/>
        <v>1</v>
      </c>
      <c r="Y371" s="67">
        <v>360</v>
      </c>
      <c r="Z371" s="67">
        <v>9</v>
      </c>
      <c r="AA371" s="65" t="s">
        <v>116</v>
      </c>
      <c r="AB371" s="64" t="b">
        <f t="shared" si="41"/>
        <v>0</v>
      </c>
    </row>
    <row r="372" spans="1:28" ht="15" customHeight="1" x14ac:dyDescent="0.3">
      <c r="A372" s="57" t="s">
        <v>871</v>
      </c>
      <c r="B372" s="82">
        <v>45029</v>
      </c>
      <c r="C372" s="59">
        <f t="shared" si="35"/>
        <v>2023</v>
      </c>
      <c r="D372" s="59">
        <f t="shared" si="36"/>
        <v>4</v>
      </c>
      <c r="E372" s="59">
        <f t="shared" si="37"/>
        <v>15</v>
      </c>
      <c r="F372" s="57" t="s">
        <v>52</v>
      </c>
      <c r="G372" s="57" t="s">
        <v>41</v>
      </c>
      <c r="H372" s="57" t="s">
        <v>872</v>
      </c>
      <c r="I372" s="57" t="s">
        <v>65</v>
      </c>
      <c r="J372" s="57" t="s">
        <v>112</v>
      </c>
      <c r="K372" s="57" t="s">
        <v>72</v>
      </c>
      <c r="L372" s="57" t="s">
        <v>119</v>
      </c>
      <c r="M372" s="60">
        <v>775</v>
      </c>
      <c r="N372" s="57" t="s">
        <v>163</v>
      </c>
      <c r="O372" s="61">
        <v>412.31</v>
      </c>
      <c r="P372" s="61">
        <v>319540.25</v>
      </c>
      <c r="Q372" s="61">
        <v>24001.08</v>
      </c>
      <c r="R372" s="62">
        <f t="shared" si="38"/>
        <v>7.5111288796951253E-2</v>
      </c>
      <c r="S372" s="60">
        <v>18</v>
      </c>
      <c r="T372" s="58">
        <v>45047</v>
      </c>
      <c r="U372" s="58">
        <v>45049</v>
      </c>
      <c r="V372" s="63">
        <f t="shared" si="39"/>
        <v>2</v>
      </c>
      <c r="W372" s="57" t="s">
        <v>125</v>
      </c>
      <c r="X372" s="64" t="b">
        <f t="shared" si="40"/>
        <v>0</v>
      </c>
      <c r="Y372" s="60">
        <v>133</v>
      </c>
      <c r="Z372" s="60">
        <v>201</v>
      </c>
      <c r="AA372" s="57" t="s">
        <v>82</v>
      </c>
      <c r="AB372" s="64" t="b">
        <f t="shared" si="41"/>
        <v>1</v>
      </c>
    </row>
    <row r="373" spans="1:28" ht="15" customHeight="1" x14ac:dyDescent="0.3">
      <c r="A373" s="65" t="s">
        <v>873</v>
      </c>
      <c r="B373" s="81">
        <v>45002</v>
      </c>
      <c r="C373" s="59">
        <f t="shared" si="35"/>
        <v>2023</v>
      </c>
      <c r="D373" s="59">
        <f t="shared" si="36"/>
        <v>3</v>
      </c>
      <c r="E373" s="59">
        <f t="shared" si="37"/>
        <v>11</v>
      </c>
      <c r="F373" s="65" t="s">
        <v>60</v>
      </c>
      <c r="G373" s="65" t="s">
        <v>43</v>
      </c>
      <c r="H373" s="65" t="s">
        <v>874</v>
      </c>
      <c r="I373" s="65" t="s">
        <v>66</v>
      </c>
      <c r="J373" s="65" t="s">
        <v>151</v>
      </c>
      <c r="K373" s="65" t="s">
        <v>71</v>
      </c>
      <c r="L373" s="65" t="s">
        <v>156</v>
      </c>
      <c r="M373" s="67">
        <v>734</v>
      </c>
      <c r="N373" s="65" t="s">
        <v>132</v>
      </c>
      <c r="O373" s="68">
        <v>227.53</v>
      </c>
      <c r="P373" s="68">
        <v>167007.01999999999</v>
      </c>
      <c r="Q373" s="68">
        <v>12399.74</v>
      </c>
      <c r="R373" s="62">
        <f t="shared" si="38"/>
        <v>7.4246819085808491E-2</v>
      </c>
      <c r="S373" s="67">
        <v>14</v>
      </c>
      <c r="T373" s="66">
        <v>45016</v>
      </c>
      <c r="U373" s="66">
        <v>45016</v>
      </c>
      <c r="V373" s="63">
        <f t="shared" si="39"/>
        <v>0</v>
      </c>
      <c r="W373" s="65" t="s">
        <v>115</v>
      </c>
      <c r="X373" s="64" t="b">
        <f t="shared" si="40"/>
        <v>1</v>
      </c>
      <c r="Y373" s="67">
        <v>440</v>
      </c>
      <c r="Z373" s="67">
        <v>281</v>
      </c>
      <c r="AA373" s="65" t="s">
        <v>84</v>
      </c>
      <c r="AB373" s="64" t="b">
        <f t="shared" si="41"/>
        <v>1</v>
      </c>
    </row>
    <row r="374" spans="1:28" ht="15" customHeight="1" x14ac:dyDescent="0.3">
      <c r="A374" s="57" t="s">
        <v>875</v>
      </c>
      <c r="B374" s="82">
        <v>45477</v>
      </c>
      <c r="C374" s="59">
        <f t="shared" si="35"/>
        <v>2024</v>
      </c>
      <c r="D374" s="59">
        <f t="shared" si="36"/>
        <v>7</v>
      </c>
      <c r="E374" s="59">
        <f t="shared" si="37"/>
        <v>27</v>
      </c>
      <c r="F374" s="57" t="s">
        <v>54</v>
      </c>
      <c r="G374" s="57" t="s">
        <v>42</v>
      </c>
      <c r="H374" s="57" t="s">
        <v>876</v>
      </c>
      <c r="I374" s="57" t="s">
        <v>64</v>
      </c>
      <c r="J374" s="57" t="s">
        <v>151</v>
      </c>
      <c r="K374" s="57" t="s">
        <v>71</v>
      </c>
      <c r="L374" s="57" t="s">
        <v>124</v>
      </c>
      <c r="M374" s="60">
        <v>771</v>
      </c>
      <c r="N374" s="57" t="s">
        <v>114</v>
      </c>
      <c r="O374" s="61">
        <v>61.6</v>
      </c>
      <c r="P374" s="61">
        <v>47493.599999999999</v>
      </c>
      <c r="Q374" s="61">
        <v>1395.92</v>
      </c>
      <c r="R374" s="62">
        <f t="shared" si="38"/>
        <v>2.9391749625212661E-2</v>
      </c>
      <c r="S374" s="60">
        <v>18</v>
      </c>
      <c r="T374" s="58">
        <v>45495</v>
      </c>
      <c r="U374" s="58">
        <v>45490</v>
      </c>
      <c r="V374" s="63">
        <f t="shared" si="39"/>
        <v>-5</v>
      </c>
      <c r="W374" s="57" t="s">
        <v>115</v>
      </c>
      <c r="X374" s="64" t="b">
        <f t="shared" si="40"/>
        <v>1</v>
      </c>
      <c r="Y374" s="60">
        <v>75</v>
      </c>
      <c r="Z374" s="60">
        <v>388</v>
      </c>
      <c r="AA374" s="57" t="s">
        <v>116</v>
      </c>
      <c r="AB374" s="64" t="b">
        <f t="shared" si="41"/>
        <v>0</v>
      </c>
    </row>
    <row r="375" spans="1:28" ht="15" customHeight="1" x14ac:dyDescent="0.3">
      <c r="A375" s="65" t="s">
        <v>877</v>
      </c>
      <c r="B375" s="81">
        <v>45145</v>
      </c>
      <c r="C375" s="59">
        <f t="shared" si="35"/>
        <v>2023</v>
      </c>
      <c r="D375" s="59">
        <f t="shared" si="36"/>
        <v>8</v>
      </c>
      <c r="E375" s="59">
        <f t="shared" si="37"/>
        <v>32</v>
      </c>
      <c r="F375" s="65" t="s">
        <v>53</v>
      </c>
      <c r="G375" s="65" t="s">
        <v>46</v>
      </c>
      <c r="H375" s="65" t="s">
        <v>878</v>
      </c>
      <c r="I375" s="65" t="s">
        <v>69</v>
      </c>
      <c r="J375" s="65" t="s">
        <v>151</v>
      </c>
      <c r="K375" s="65" t="s">
        <v>75</v>
      </c>
      <c r="L375" s="65" t="s">
        <v>146</v>
      </c>
      <c r="M375" s="67">
        <v>605</v>
      </c>
      <c r="N375" s="65" t="s">
        <v>140</v>
      </c>
      <c r="O375" s="68">
        <v>60.11</v>
      </c>
      <c r="P375" s="68">
        <v>36366.550000000003</v>
      </c>
      <c r="Q375" s="68">
        <v>1527.33</v>
      </c>
      <c r="R375" s="62">
        <f t="shared" si="38"/>
        <v>4.1998209893432281E-2</v>
      </c>
      <c r="S375" s="67">
        <v>2</v>
      </c>
      <c r="T375" s="66">
        <v>45147</v>
      </c>
      <c r="U375" s="66">
        <v>45146</v>
      </c>
      <c r="V375" s="63">
        <f t="shared" si="39"/>
        <v>-1</v>
      </c>
      <c r="W375" s="65" t="s">
        <v>115</v>
      </c>
      <c r="X375" s="64" t="b">
        <f t="shared" si="40"/>
        <v>1</v>
      </c>
      <c r="Y375" s="67">
        <v>29</v>
      </c>
      <c r="Z375" s="67">
        <v>213</v>
      </c>
      <c r="AA375" s="65" t="s">
        <v>84</v>
      </c>
      <c r="AB375" s="64" t="b">
        <f t="shared" si="41"/>
        <v>1</v>
      </c>
    </row>
    <row r="376" spans="1:28" ht="15" customHeight="1" x14ac:dyDescent="0.3">
      <c r="A376" s="57" t="s">
        <v>879</v>
      </c>
      <c r="B376" s="82">
        <v>45445</v>
      </c>
      <c r="C376" s="59">
        <f t="shared" si="35"/>
        <v>2024</v>
      </c>
      <c r="D376" s="59">
        <f t="shared" si="36"/>
        <v>6</v>
      </c>
      <c r="E376" s="59">
        <f t="shared" si="37"/>
        <v>23</v>
      </c>
      <c r="F376" s="57" t="s">
        <v>54</v>
      </c>
      <c r="G376" s="57" t="s">
        <v>46</v>
      </c>
      <c r="H376" s="57" t="s">
        <v>880</v>
      </c>
      <c r="I376" s="57" t="s">
        <v>65</v>
      </c>
      <c r="J376" s="57" t="s">
        <v>131</v>
      </c>
      <c r="K376" s="57" t="s">
        <v>75</v>
      </c>
      <c r="L376" s="57" t="s">
        <v>146</v>
      </c>
      <c r="M376" s="60">
        <v>496</v>
      </c>
      <c r="N376" s="57" t="s">
        <v>120</v>
      </c>
      <c r="O376" s="61">
        <v>61.85</v>
      </c>
      <c r="P376" s="61">
        <v>30677.599999999999</v>
      </c>
      <c r="Q376" s="61">
        <v>1753.14</v>
      </c>
      <c r="R376" s="62">
        <f t="shared" si="38"/>
        <v>5.7147234464234496E-2</v>
      </c>
      <c r="S376" s="60">
        <v>22</v>
      </c>
      <c r="T376" s="58">
        <v>45467</v>
      </c>
      <c r="U376" s="58">
        <v>45472</v>
      </c>
      <c r="V376" s="63">
        <f t="shared" si="39"/>
        <v>5</v>
      </c>
      <c r="W376" s="57" t="s">
        <v>125</v>
      </c>
      <c r="X376" s="64" t="b">
        <f t="shared" si="40"/>
        <v>0</v>
      </c>
      <c r="Y376" s="60">
        <v>438</v>
      </c>
      <c r="Z376" s="60">
        <v>67</v>
      </c>
      <c r="AA376" s="57" t="s">
        <v>81</v>
      </c>
      <c r="AB376" s="64" t="b">
        <f t="shared" si="41"/>
        <v>1</v>
      </c>
    </row>
    <row r="377" spans="1:28" ht="15" customHeight="1" x14ac:dyDescent="0.3">
      <c r="A377" s="65" t="s">
        <v>881</v>
      </c>
      <c r="B377" s="81">
        <v>45198</v>
      </c>
      <c r="C377" s="59">
        <f t="shared" si="35"/>
        <v>2023</v>
      </c>
      <c r="D377" s="59">
        <f t="shared" si="36"/>
        <v>9</v>
      </c>
      <c r="E377" s="59">
        <f t="shared" si="37"/>
        <v>39</v>
      </c>
      <c r="F377" s="65" t="s">
        <v>54</v>
      </c>
      <c r="G377" s="65" t="s">
        <v>46</v>
      </c>
      <c r="H377" s="65" t="s">
        <v>882</v>
      </c>
      <c r="I377" s="65" t="s">
        <v>68</v>
      </c>
      <c r="J377" s="65" t="s">
        <v>151</v>
      </c>
      <c r="K377" s="65" t="s">
        <v>71</v>
      </c>
      <c r="L377" s="65" t="s">
        <v>156</v>
      </c>
      <c r="M377" s="67">
        <v>392</v>
      </c>
      <c r="N377" s="65" t="s">
        <v>132</v>
      </c>
      <c r="O377" s="68">
        <v>43.91</v>
      </c>
      <c r="P377" s="68">
        <v>17212.72</v>
      </c>
      <c r="Q377" s="68">
        <v>508.87</v>
      </c>
      <c r="R377" s="62">
        <f t="shared" si="38"/>
        <v>2.9563601801458454E-2</v>
      </c>
      <c r="S377" s="67">
        <v>3</v>
      </c>
      <c r="T377" s="66">
        <v>45201</v>
      </c>
      <c r="U377" s="66">
        <v>45203</v>
      </c>
      <c r="V377" s="63">
        <f t="shared" si="39"/>
        <v>2</v>
      </c>
      <c r="W377" s="65" t="s">
        <v>128</v>
      </c>
      <c r="X377" s="64" t="b">
        <f t="shared" si="40"/>
        <v>0</v>
      </c>
      <c r="Y377" s="67">
        <v>339</v>
      </c>
      <c r="Z377" s="67">
        <v>246</v>
      </c>
      <c r="AA377" s="65" t="s">
        <v>83</v>
      </c>
      <c r="AB377" s="64" t="b">
        <f t="shared" si="41"/>
        <v>1</v>
      </c>
    </row>
    <row r="378" spans="1:28" ht="15" customHeight="1" x14ac:dyDescent="0.3">
      <c r="A378" s="57" t="s">
        <v>883</v>
      </c>
      <c r="B378" s="82">
        <v>45062</v>
      </c>
      <c r="C378" s="59">
        <f t="shared" si="35"/>
        <v>2023</v>
      </c>
      <c r="D378" s="59">
        <f t="shared" si="36"/>
        <v>5</v>
      </c>
      <c r="E378" s="59">
        <f t="shared" si="37"/>
        <v>20</v>
      </c>
      <c r="F378" s="57" t="s">
        <v>61</v>
      </c>
      <c r="G378" s="57" t="s">
        <v>42</v>
      </c>
      <c r="H378" s="57" t="s">
        <v>884</v>
      </c>
      <c r="I378" s="57" t="s">
        <v>68</v>
      </c>
      <c r="J378" s="57" t="s">
        <v>123</v>
      </c>
      <c r="K378" s="57" t="s">
        <v>74</v>
      </c>
      <c r="L378" s="57" t="s">
        <v>135</v>
      </c>
      <c r="M378" s="60">
        <v>415</v>
      </c>
      <c r="N378" s="57" t="s">
        <v>132</v>
      </c>
      <c r="O378" s="61">
        <v>73.540000000000006</v>
      </c>
      <c r="P378" s="61">
        <v>30519.1</v>
      </c>
      <c r="Q378" s="61">
        <v>2382.9699999999998</v>
      </c>
      <c r="R378" s="62">
        <f t="shared" si="38"/>
        <v>7.80812671409052E-2</v>
      </c>
      <c r="S378" s="60">
        <v>16</v>
      </c>
      <c r="T378" s="58">
        <v>45078</v>
      </c>
      <c r="U378" s="58">
        <v>45078</v>
      </c>
      <c r="V378" s="63">
        <f t="shared" si="39"/>
        <v>0</v>
      </c>
      <c r="W378" s="57" t="s">
        <v>115</v>
      </c>
      <c r="X378" s="64" t="b">
        <f t="shared" si="40"/>
        <v>1</v>
      </c>
      <c r="Y378" s="60">
        <v>125</v>
      </c>
      <c r="Z378" s="60">
        <v>353</v>
      </c>
      <c r="AA378" s="57" t="s">
        <v>82</v>
      </c>
      <c r="AB378" s="64" t="b">
        <f t="shared" si="41"/>
        <v>1</v>
      </c>
    </row>
    <row r="379" spans="1:28" ht="15" customHeight="1" x14ac:dyDescent="0.3">
      <c r="A379" s="65" t="s">
        <v>885</v>
      </c>
      <c r="B379" s="81">
        <v>45284</v>
      </c>
      <c r="C379" s="59">
        <f t="shared" si="35"/>
        <v>2023</v>
      </c>
      <c r="D379" s="59">
        <f t="shared" si="36"/>
        <v>12</v>
      </c>
      <c r="E379" s="59">
        <f t="shared" si="37"/>
        <v>52</v>
      </c>
      <c r="F379" s="65" t="s">
        <v>53</v>
      </c>
      <c r="G379" s="65" t="s">
        <v>40</v>
      </c>
      <c r="H379" s="65" t="s">
        <v>886</v>
      </c>
      <c r="I379" s="65" t="s">
        <v>64</v>
      </c>
      <c r="J379" s="65" t="s">
        <v>131</v>
      </c>
      <c r="K379" s="65" t="s">
        <v>75</v>
      </c>
      <c r="L379" s="65" t="s">
        <v>124</v>
      </c>
      <c r="M379" s="67">
        <v>397</v>
      </c>
      <c r="N379" s="65" t="s">
        <v>114</v>
      </c>
      <c r="O379" s="68">
        <v>1171.6199999999999</v>
      </c>
      <c r="P379" s="68">
        <v>465133.14</v>
      </c>
      <c r="Q379" s="68">
        <v>34831.480000000003</v>
      </c>
      <c r="R379" s="62">
        <f t="shared" si="38"/>
        <v>7.4884967345048778E-2</v>
      </c>
      <c r="S379" s="67">
        <v>29</v>
      </c>
      <c r="T379" s="66">
        <v>45313</v>
      </c>
      <c r="U379" s="66">
        <v>45314</v>
      </c>
      <c r="V379" s="63">
        <f t="shared" si="39"/>
        <v>1</v>
      </c>
      <c r="W379" s="65" t="s">
        <v>128</v>
      </c>
      <c r="X379" s="64" t="b">
        <f t="shared" si="40"/>
        <v>0</v>
      </c>
      <c r="Y379" s="67">
        <v>83</v>
      </c>
      <c r="Z379" s="67">
        <v>326</v>
      </c>
      <c r="AA379" s="65" t="s">
        <v>82</v>
      </c>
      <c r="AB379" s="64" t="b">
        <f t="shared" si="41"/>
        <v>1</v>
      </c>
    </row>
    <row r="380" spans="1:28" ht="15" customHeight="1" x14ac:dyDescent="0.3">
      <c r="A380" s="57" t="s">
        <v>887</v>
      </c>
      <c r="B380" s="82">
        <v>44997</v>
      </c>
      <c r="C380" s="59">
        <f t="shared" si="35"/>
        <v>2023</v>
      </c>
      <c r="D380" s="59">
        <f t="shared" si="36"/>
        <v>3</v>
      </c>
      <c r="E380" s="59">
        <f t="shared" si="37"/>
        <v>11</v>
      </c>
      <c r="F380" s="57" t="s">
        <v>54</v>
      </c>
      <c r="G380" s="57" t="s">
        <v>43</v>
      </c>
      <c r="H380" s="57" t="s">
        <v>888</v>
      </c>
      <c r="I380" s="57" t="s">
        <v>64</v>
      </c>
      <c r="J380" s="57" t="s">
        <v>143</v>
      </c>
      <c r="K380" s="57" t="s">
        <v>71</v>
      </c>
      <c r="L380" s="57" t="s">
        <v>156</v>
      </c>
      <c r="M380" s="60">
        <v>534</v>
      </c>
      <c r="N380" s="57" t="s">
        <v>120</v>
      </c>
      <c r="O380" s="61">
        <v>292.58</v>
      </c>
      <c r="P380" s="61">
        <v>156237.72</v>
      </c>
      <c r="Q380" s="61">
        <v>4689.79</v>
      </c>
      <c r="R380" s="62">
        <f t="shared" si="38"/>
        <v>3.0017015097250521E-2</v>
      </c>
      <c r="S380" s="60">
        <v>9</v>
      </c>
      <c r="T380" s="58">
        <v>45006</v>
      </c>
      <c r="U380" s="58">
        <v>45011</v>
      </c>
      <c r="V380" s="63">
        <f t="shared" si="39"/>
        <v>5</v>
      </c>
      <c r="W380" s="57" t="s">
        <v>125</v>
      </c>
      <c r="X380" s="64" t="b">
        <f t="shared" si="40"/>
        <v>0</v>
      </c>
      <c r="Y380" s="60">
        <v>53</v>
      </c>
      <c r="Z380" s="60">
        <v>49</v>
      </c>
      <c r="AA380" s="57" t="s">
        <v>82</v>
      </c>
      <c r="AB380" s="64" t="b">
        <f t="shared" si="41"/>
        <v>1</v>
      </c>
    </row>
    <row r="381" spans="1:28" ht="15" customHeight="1" x14ac:dyDescent="0.3">
      <c r="A381" s="65" t="s">
        <v>889</v>
      </c>
      <c r="B381" s="81">
        <v>45177</v>
      </c>
      <c r="C381" s="59">
        <f t="shared" si="35"/>
        <v>2023</v>
      </c>
      <c r="D381" s="59">
        <f t="shared" si="36"/>
        <v>9</v>
      </c>
      <c r="E381" s="59">
        <f t="shared" si="37"/>
        <v>36</v>
      </c>
      <c r="F381" s="65" t="s">
        <v>55</v>
      </c>
      <c r="G381" s="65" t="s">
        <v>39</v>
      </c>
      <c r="H381" s="65" t="s">
        <v>890</v>
      </c>
      <c r="I381" s="65" t="s">
        <v>68</v>
      </c>
      <c r="J381" s="65" t="s">
        <v>131</v>
      </c>
      <c r="K381" s="65" t="s">
        <v>72</v>
      </c>
      <c r="L381" s="65" t="s">
        <v>119</v>
      </c>
      <c r="M381" s="67">
        <v>566</v>
      </c>
      <c r="N381" s="65" t="s">
        <v>140</v>
      </c>
      <c r="O381" s="68">
        <v>1472.79</v>
      </c>
      <c r="P381" s="68">
        <v>833599.14</v>
      </c>
      <c r="Q381" s="68">
        <v>22731.69</v>
      </c>
      <c r="R381" s="62">
        <f t="shared" si="38"/>
        <v>2.7269329956362477E-2</v>
      </c>
      <c r="S381" s="67">
        <v>4</v>
      </c>
      <c r="T381" s="66">
        <v>45181</v>
      </c>
      <c r="U381" s="66">
        <v>45193</v>
      </c>
      <c r="V381" s="63">
        <f t="shared" si="39"/>
        <v>12</v>
      </c>
      <c r="W381" s="65" t="s">
        <v>125</v>
      </c>
      <c r="X381" s="64" t="b">
        <f t="shared" si="40"/>
        <v>0</v>
      </c>
      <c r="Y381" s="67">
        <v>365</v>
      </c>
      <c r="Z381" s="67">
        <v>16</v>
      </c>
      <c r="AA381" s="65" t="s">
        <v>82</v>
      </c>
      <c r="AB381" s="64" t="b">
        <f t="shared" si="41"/>
        <v>1</v>
      </c>
    </row>
    <row r="382" spans="1:28" ht="15" customHeight="1" x14ac:dyDescent="0.3">
      <c r="A382" s="57" t="s">
        <v>891</v>
      </c>
      <c r="B382" s="82">
        <v>45305</v>
      </c>
      <c r="C382" s="59">
        <f t="shared" si="35"/>
        <v>2024</v>
      </c>
      <c r="D382" s="59">
        <f t="shared" si="36"/>
        <v>1</v>
      </c>
      <c r="E382" s="59">
        <f t="shared" si="37"/>
        <v>3</v>
      </c>
      <c r="F382" s="57" t="s">
        <v>60</v>
      </c>
      <c r="G382" s="57" t="s">
        <v>43</v>
      </c>
      <c r="H382" s="57" t="s">
        <v>892</v>
      </c>
      <c r="I382" s="57" t="s">
        <v>68</v>
      </c>
      <c r="J382" s="57" t="s">
        <v>131</v>
      </c>
      <c r="K382" s="57" t="s">
        <v>75</v>
      </c>
      <c r="L382" s="57" t="s">
        <v>124</v>
      </c>
      <c r="M382" s="60">
        <v>648</v>
      </c>
      <c r="N382" s="57" t="s">
        <v>132</v>
      </c>
      <c r="O382" s="61">
        <v>146.9</v>
      </c>
      <c r="P382" s="61">
        <v>95191.2</v>
      </c>
      <c r="Q382" s="61">
        <v>2391.63</v>
      </c>
      <c r="R382" s="62">
        <f t="shared" si="38"/>
        <v>2.5124486297052672E-2</v>
      </c>
      <c r="S382" s="60">
        <v>1</v>
      </c>
      <c r="T382" s="58">
        <v>45306</v>
      </c>
      <c r="U382" s="58">
        <v>45306</v>
      </c>
      <c r="V382" s="63">
        <f t="shared" si="39"/>
        <v>0</v>
      </c>
      <c r="W382" s="57" t="s">
        <v>115</v>
      </c>
      <c r="X382" s="64" t="b">
        <f t="shared" si="40"/>
        <v>1</v>
      </c>
      <c r="Y382" s="60">
        <v>282</v>
      </c>
      <c r="Z382" s="60">
        <v>10</v>
      </c>
      <c r="AA382" s="57" t="s">
        <v>83</v>
      </c>
      <c r="AB382" s="64" t="b">
        <f t="shared" si="41"/>
        <v>1</v>
      </c>
    </row>
    <row r="383" spans="1:28" ht="15" customHeight="1" x14ac:dyDescent="0.3">
      <c r="A383" s="65" t="s">
        <v>893</v>
      </c>
      <c r="B383" s="81">
        <v>45218</v>
      </c>
      <c r="C383" s="59">
        <f t="shared" si="35"/>
        <v>2023</v>
      </c>
      <c r="D383" s="59">
        <f t="shared" si="36"/>
        <v>10</v>
      </c>
      <c r="E383" s="59">
        <f t="shared" si="37"/>
        <v>42</v>
      </c>
      <c r="F383" s="65" t="s">
        <v>60</v>
      </c>
      <c r="G383" s="65" t="s">
        <v>41</v>
      </c>
      <c r="H383" s="65" t="s">
        <v>894</v>
      </c>
      <c r="I383" s="65" t="s">
        <v>68</v>
      </c>
      <c r="J383" s="65" t="s">
        <v>131</v>
      </c>
      <c r="K383" s="65" t="s">
        <v>74</v>
      </c>
      <c r="L383" s="65" t="s">
        <v>113</v>
      </c>
      <c r="M383" s="67">
        <v>947</v>
      </c>
      <c r="N383" s="65" t="s">
        <v>136</v>
      </c>
      <c r="O383" s="68">
        <v>421.64</v>
      </c>
      <c r="P383" s="68">
        <v>399293.08</v>
      </c>
      <c r="Q383" s="68">
        <v>29773.94</v>
      </c>
      <c r="R383" s="62">
        <f t="shared" si="38"/>
        <v>7.456663160804089E-2</v>
      </c>
      <c r="S383" s="67">
        <v>4</v>
      </c>
      <c r="T383" s="66">
        <v>45222</v>
      </c>
      <c r="U383" s="66">
        <v>45223</v>
      </c>
      <c r="V383" s="63">
        <f t="shared" si="39"/>
        <v>1</v>
      </c>
      <c r="W383" s="65" t="s">
        <v>128</v>
      </c>
      <c r="X383" s="64" t="b">
        <f t="shared" si="40"/>
        <v>0</v>
      </c>
      <c r="Y383" s="67">
        <v>339</v>
      </c>
      <c r="Z383" s="67">
        <v>308</v>
      </c>
      <c r="AA383" s="65" t="s">
        <v>81</v>
      </c>
      <c r="AB383" s="64" t="b">
        <f t="shared" si="41"/>
        <v>1</v>
      </c>
    </row>
    <row r="384" spans="1:28" ht="15" customHeight="1" x14ac:dyDescent="0.3">
      <c r="A384" s="57" t="s">
        <v>895</v>
      </c>
      <c r="B384" s="82">
        <v>45088</v>
      </c>
      <c r="C384" s="59">
        <f t="shared" si="35"/>
        <v>2023</v>
      </c>
      <c r="D384" s="59">
        <f t="shared" si="36"/>
        <v>6</v>
      </c>
      <c r="E384" s="59">
        <f t="shared" si="37"/>
        <v>24</v>
      </c>
      <c r="F384" s="57" t="s">
        <v>55</v>
      </c>
      <c r="G384" s="57" t="s">
        <v>44</v>
      </c>
      <c r="H384" s="57" t="s">
        <v>896</v>
      </c>
      <c r="I384" s="57" t="s">
        <v>65</v>
      </c>
      <c r="J384" s="57" t="s">
        <v>139</v>
      </c>
      <c r="K384" s="57" t="s">
        <v>73</v>
      </c>
      <c r="L384" s="57" t="s">
        <v>135</v>
      </c>
      <c r="M384" s="60">
        <v>635</v>
      </c>
      <c r="N384" s="57" t="s">
        <v>136</v>
      </c>
      <c r="O384" s="61">
        <v>121.65</v>
      </c>
      <c r="P384" s="61">
        <v>77247.75</v>
      </c>
      <c r="Q384" s="61">
        <v>2442.38</v>
      </c>
      <c r="R384" s="62">
        <f t="shared" si="38"/>
        <v>3.161749047706891E-2</v>
      </c>
      <c r="S384" s="60">
        <v>1</v>
      </c>
      <c r="T384" s="58">
        <v>45089</v>
      </c>
      <c r="U384" s="58">
        <v>45089</v>
      </c>
      <c r="V384" s="63">
        <f t="shared" si="39"/>
        <v>0</v>
      </c>
      <c r="W384" s="57" t="s">
        <v>115</v>
      </c>
      <c r="X384" s="64" t="b">
        <f t="shared" si="40"/>
        <v>1</v>
      </c>
      <c r="Y384" s="60">
        <v>442</v>
      </c>
      <c r="Z384" s="60">
        <v>305</v>
      </c>
      <c r="AA384" s="57" t="s">
        <v>83</v>
      </c>
      <c r="AB384" s="64" t="b">
        <f t="shared" si="41"/>
        <v>1</v>
      </c>
    </row>
    <row r="385" spans="1:28" ht="15" customHeight="1" x14ac:dyDescent="0.3">
      <c r="A385" s="65" t="s">
        <v>897</v>
      </c>
      <c r="B385" s="81">
        <v>45375</v>
      </c>
      <c r="C385" s="59">
        <f t="shared" si="35"/>
        <v>2024</v>
      </c>
      <c r="D385" s="59">
        <f t="shared" si="36"/>
        <v>3</v>
      </c>
      <c r="E385" s="59">
        <f t="shared" si="37"/>
        <v>13</v>
      </c>
      <c r="F385" s="65" t="s">
        <v>60</v>
      </c>
      <c r="G385" s="65" t="s">
        <v>45</v>
      </c>
      <c r="H385" s="65" t="s">
        <v>898</v>
      </c>
      <c r="I385" s="65" t="s">
        <v>68</v>
      </c>
      <c r="J385" s="65" t="s">
        <v>123</v>
      </c>
      <c r="K385" s="65" t="s">
        <v>72</v>
      </c>
      <c r="L385" s="65" t="s">
        <v>124</v>
      </c>
      <c r="M385" s="67">
        <v>954</v>
      </c>
      <c r="N385" s="65" t="s">
        <v>120</v>
      </c>
      <c r="O385" s="68">
        <v>291.64</v>
      </c>
      <c r="P385" s="68">
        <v>278224.56</v>
      </c>
      <c r="Q385" s="68">
        <v>12513.73</v>
      </c>
      <c r="R385" s="62">
        <f t="shared" si="38"/>
        <v>4.4977086135027045E-2</v>
      </c>
      <c r="S385" s="67">
        <v>14</v>
      </c>
      <c r="T385" s="66">
        <v>45389</v>
      </c>
      <c r="U385" s="66">
        <v>45389</v>
      </c>
      <c r="V385" s="63">
        <f t="shared" si="39"/>
        <v>0</v>
      </c>
      <c r="W385" s="65" t="s">
        <v>115</v>
      </c>
      <c r="X385" s="64" t="b">
        <f t="shared" si="40"/>
        <v>1</v>
      </c>
      <c r="Y385" s="67">
        <v>262</v>
      </c>
      <c r="Z385" s="67">
        <v>391</v>
      </c>
      <c r="AA385" s="65" t="s">
        <v>83</v>
      </c>
      <c r="AB385" s="64" t="b">
        <f t="shared" si="41"/>
        <v>1</v>
      </c>
    </row>
    <row r="386" spans="1:28" ht="15" customHeight="1" x14ac:dyDescent="0.3">
      <c r="A386" s="57" t="s">
        <v>899</v>
      </c>
      <c r="B386" s="82">
        <v>45483</v>
      </c>
      <c r="C386" s="59">
        <f t="shared" ref="C386:C449" si="42">YEAR(B386)</f>
        <v>2024</v>
      </c>
      <c r="D386" s="59">
        <f t="shared" ref="D386:D449" si="43">MONTH(B386)</f>
        <v>7</v>
      </c>
      <c r="E386" s="59">
        <f t="shared" ref="E386:E449" si="44">WEEKNUM(B386,1)</f>
        <v>28</v>
      </c>
      <c r="F386" s="57" t="s">
        <v>54</v>
      </c>
      <c r="G386" s="57" t="s">
        <v>45</v>
      </c>
      <c r="H386" s="57" t="s">
        <v>900</v>
      </c>
      <c r="I386" s="57" t="s">
        <v>69</v>
      </c>
      <c r="J386" s="57" t="s">
        <v>112</v>
      </c>
      <c r="K386" s="57" t="s">
        <v>74</v>
      </c>
      <c r="L386" s="57" t="s">
        <v>113</v>
      </c>
      <c r="M386" s="60">
        <v>285</v>
      </c>
      <c r="N386" s="57" t="s">
        <v>140</v>
      </c>
      <c r="O386" s="61">
        <v>162.59</v>
      </c>
      <c r="P386" s="61">
        <v>46338.15</v>
      </c>
      <c r="Q386" s="61">
        <v>2174.6999999999998</v>
      </c>
      <c r="R386" s="62">
        <f t="shared" ref="R386:R449" si="45">Q386/P386</f>
        <v>4.6931092415212948E-2</v>
      </c>
      <c r="S386" s="60">
        <v>21</v>
      </c>
      <c r="T386" s="58">
        <v>45504</v>
      </c>
      <c r="U386" s="58">
        <v>45504</v>
      </c>
      <c r="V386" s="63">
        <f t="shared" ref="V386:V449" si="46">U386-T386</f>
        <v>0</v>
      </c>
      <c r="W386" s="57" t="s">
        <v>115</v>
      </c>
      <c r="X386" s="64" t="b">
        <f t="shared" ref="X386:X449" si="47">IF(W386="Entregado", TRUE(), FALSE())</f>
        <v>1</v>
      </c>
      <c r="Y386" s="60">
        <v>423</v>
      </c>
      <c r="Z386" s="60">
        <v>475</v>
      </c>
      <c r="AA386" s="57" t="s">
        <v>83</v>
      </c>
      <c r="AB386" s="64" t="b">
        <f t="shared" ref="AB386:AB449" si="48">IF(AA386="Ninguna",FALSE(),TRUE())</f>
        <v>1</v>
      </c>
    </row>
    <row r="387" spans="1:28" ht="15" customHeight="1" x14ac:dyDescent="0.3">
      <c r="A387" s="65" t="s">
        <v>901</v>
      </c>
      <c r="B387" s="81">
        <v>45647</v>
      </c>
      <c r="C387" s="59">
        <f t="shared" si="42"/>
        <v>2024</v>
      </c>
      <c r="D387" s="59">
        <f t="shared" si="43"/>
        <v>12</v>
      </c>
      <c r="E387" s="59">
        <f t="shared" si="44"/>
        <v>51</v>
      </c>
      <c r="F387" s="65" t="s">
        <v>52</v>
      </c>
      <c r="G387" s="65" t="s">
        <v>46</v>
      </c>
      <c r="H387" s="65" t="s">
        <v>902</v>
      </c>
      <c r="I387" s="65" t="s">
        <v>68</v>
      </c>
      <c r="J387" s="65" t="s">
        <v>151</v>
      </c>
      <c r="K387" s="65" t="s">
        <v>74</v>
      </c>
      <c r="L387" s="65" t="s">
        <v>156</v>
      </c>
      <c r="M387" s="67">
        <v>509</v>
      </c>
      <c r="N387" s="65" t="s">
        <v>120</v>
      </c>
      <c r="O387" s="68">
        <v>78.650000000000006</v>
      </c>
      <c r="P387" s="68">
        <v>40032.85</v>
      </c>
      <c r="Q387" s="68">
        <v>2239.46</v>
      </c>
      <c r="R387" s="62">
        <f t="shared" si="45"/>
        <v>5.5940558816072301E-2</v>
      </c>
      <c r="S387" s="67">
        <v>16</v>
      </c>
      <c r="T387" s="66">
        <v>45663</v>
      </c>
      <c r="U387" s="66">
        <v>45666</v>
      </c>
      <c r="V387" s="63">
        <f t="shared" si="46"/>
        <v>3</v>
      </c>
      <c r="W387" s="65" t="s">
        <v>128</v>
      </c>
      <c r="X387" s="64" t="b">
        <f t="shared" si="47"/>
        <v>0</v>
      </c>
      <c r="Y387" s="67">
        <v>359</v>
      </c>
      <c r="Z387" s="67">
        <v>123</v>
      </c>
      <c r="AA387" s="65" t="s">
        <v>116</v>
      </c>
      <c r="AB387" s="64" t="b">
        <f t="shared" si="48"/>
        <v>0</v>
      </c>
    </row>
    <row r="388" spans="1:28" ht="15" customHeight="1" x14ac:dyDescent="0.3">
      <c r="A388" s="57" t="s">
        <v>903</v>
      </c>
      <c r="B388" s="82">
        <v>45236</v>
      </c>
      <c r="C388" s="59">
        <f t="shared" si="42"/>
        <v>2023</v>
      </c>
      <c r="D388" s="59">
        <f t="shared" si="43"/>
        <v>11</v>
      </c>
      <c r="E388" s="59">
        <f t="shared" si="44"/>
        <v>45</v>
      </c>
      <c r="F388" s="57" t="s">
        <v>54</v>
      </c>
      <c r="G388" s="57" t="s">
        <v>43</v>
      </c>
      <c r="H388" s="57" t="s">
        <v>904</v>
      </c>
      <c r="I388" s="57" t="s">
        <v>69</v>
      </c>
      <c r="J388" s="57" t="s">
        <v>131</v>
      </c>
      <c r="K388" s="57" t="s">
        <v>74</v>
      </c>
      <c r="L388" s="57" t="s">
        <v>146</v>
      </c>
      <c r="M388" s="60">
        <v>726</v>
      </c>
      <c r="N388" s="57" t="s">
        <v>132</v>
      </c>
      <c r="O388" s="61">
        <v>157.38999999999999</v>
      </c>
      <c r="P388" s="61">
        <v>114265.14</v>
      </c>
      <c r="Q388" s="61">
        <v>2777.11</v>
      </c>
      <c r="R388" s="62">
        <f t="shared" si="45"/>
        <v>2.4304087843414011E-2</v>
      </c>
      <c r="S388" s="60">
        <v>20</v>
      </c>
      <c r="T388" s="58">
        <v>45256</v>
      </c>
      <c r="U388" s="58">
        <v>45256</v>
      </c>
      <c r="V388" s="63">
        <f t="shared" si="46"/>
        <v>0</v>
      </c>
      <c r="W388" s="57" t="s">
        <v>115</v>
      </c>
      <c r="X388" s="64" t="b">
        <f t="shared" si="47"/>
        <v>1</v>
      </c>
      <c r="Y388" s="60">
        <v>221</v>
      </c>
      <c r="Z388" s="60">
        <v>491</v>
      </c>
      <c r="AA388" s="57" t="s">
        <v>84</v>
      </c>
      <c r="AB388" s="64" t="b">
        <f t="shared" si="48"/>
        <v>1</v>
      </c>
    </row>
    <row r="389" spans="1:28" ht="15" customHeight="1" x14ac:dyDescent="0.3">
      <c r="A389" s="65" t="s">
        <v>905</v>
      </c>
      <c r="B389" s="81">
        <v>45553</v>
      </c>
      <c r="C389" s="59">
        <f t="shared" si="42"/>
        <v>2024</v>
      </c>
      <c r="D389" s="59">
        <f t="shared" si="43"/>
        <v>9</v>
      </c>
      <c r="E389" s="59">
        <f t="shared" si="44"/>
        <v>38</v>
      </c>
      <c r="F389" s="65" t="s">
        <v>61</v>
      </c>
      <c r="G389" s="65" t="s">
        <v>39</v>
      </c>
      <c r="H389" s="65" t="s">
        <v>906</v>
      </c>
      <c r="I389" s="65" t="s">
        <v>65</v>
      </c>
      <c r="J389" s="65" t="s">
        <v>112</v>
      </c>
      <c r="K389" s="65" t="s">
        <v>72</v>
      </c>
      <c r="L389" s="65" t="s">
        <v>124</v>
      </c>
      <c r="M389" s="67">
        <v>346</v>
      </c>
      <c r="N389" s="65" t="s">
        <v>136</v>
      </c>
      <c r="O389" s="68">
        <v>2227.5100000000002</v>
      </c>
      <c r="P389" s="68">
        <v>770718.46</v>
      </c>
      <c r="Q389" s="68">
        <v>25900.39</v>
      </c>
      <c r="R389" s="62">
        <f t="shared" si="45"/>
        <v>3.3605514003128979E-2</v>
      </c>
      <c r="S389" s="67">
        <v>24</v>
      </c>
      <c r="T389" s="66">
        <v>45577</v>
      </c>
      <c r="U389" s="66">
        <v>45589</v>
      </c>
      <c r="V389" s="63">
        <f t="shared" si="46"/>
        <v>12</v>
      </c>
      <c r="W389" s="65" t="s">
        <v>125</v>
      </c>
      <c r="X389" s="64" t="b">
        <f t="shared" si="47"/>
        <v>0</v>
      </c>
      <c r="Y389" s="67">
        <v>327</v>
      </c>
      <c r="Z389" s="67">
        <v>224</v>
      </c>
      <c r="AA389" s="65" t="s">
        <v>116</v>
      </c>
      <c r="AB389" s="64" t="b">
        <f t="shared" si="48"/>
        <v>0</v>
      </c>
    </row>
    <row r="390" spans="1:28" ht="15" customHeight="1" x14ac:dyDescent="0.3">
      <c r="A390" s="57" t="s">
        <v>907</v>
      </c>
      <c r="B390" s="82">
        <v>45596</v>
      </c>
      <c r="C390" s="59">
        <f t="shared" si="42"/>
        <v>2024</v>
      </c>
      <c r="D390" s="59">
        <f t="shared" si="43"/>
        <v>10</v>
      </c>
      <c r="E390" s="59">
        <f t="shared" si="44"/>
        <v>44</v>
      </c>
      <c r="F390" s="57" t="s">
        <v>56</v>
      </c>
      <c r="G390" s="57" t="s">
        <v>41</v>
      </c>
      <c r="H390" s="57" t="s">
        <v>908</v>
      </c>
      <c r="I390" s="57" t="s">
        <v>64</v>
      </c>
      <c r="J390" s="57" t="s">
        <v>139</v>
      </c>
      <c r="K390" s="57" t="s">
        <v>74</v>
      </c>
      <c r="L390" s="57" t="s">
        <v>124</v>
      </c>
      <c r="M390" s="60">
        <v>959</v>
      </c>
      <c r="N390" s="57" t="s">
        <v>163</v>
      </c>
      <c r="O390" s="61">
        <v>502.65</v>
      </c>
      <c r="P390" s="61">
        <v>482041.35</v>
      </c>
      <c r="Q390" s="61">
        <v>36581.839999999997</v>
      </c>
      <c r="R390" s="62">
        <f t="shared" si="45"/>
        <v>7.5889423179152579E-2</v>
      </c>
      <c r="S390" s="60">
        <v>8</v>
      </c>
      <c r="T390" s="58">
        <v>45604</v>
      </c>
      <c r="U390" s="58">
        <v>45606</v>
      </c>
      <c r="V390" s="63">
        <f t="shared" si="46"/>
        <v>2</v>
      </c>
      <c r="W390" s="57" t="s">
        <v>125</v>
      </c>
      <c r="X390" s="64" t="b">
        <f t="shared" si="47"/>
        <v>0</v>
      </c>
      <c r="Y390" s="60">
        <v>1</v>
      </c>
      <c r="Z390" s="60">
        <v>243</v>
      </c>
      <c r="AA390" s="57" t="s">
        <v>116</v>
      </c>
      <c r="AB390" s="64" t="b">
        <f t="shared" si="48"/>
        <v>0</v>
      </c>
    </row>
    <row r="391" spans="1:28" ht="15" customHeight="1" x14ac:dyDescent="0.3">
      <c r="A391" s="65" t="s">
        <v>909</v>
      </c>
      <c r="B391" s="81">
        <v>45468</v>
      </c>
      <c r="C391" s="59">
        <f t="shared" si="42"/>
        <v>2024</v>
      </c>
      <c r="D391" s="59">
        <f t="shared" si="43"/>
        <v>6</v>
      </c>
      <c r="E391" s="59">
        <f t="shared" si="44"/>
        <v>26</v>
      </c>
      <c r="F391" s="65" t="s">
        <v>52</v>
      </c>
      <c r="G391" s="65" t="s">
        <v>42</v>
      </c>
      <c r="H391" s="65" t="s">
        <v>910</v>
      </c>
      <c r="I391" s="65" t="s">
        <v>69</v>
      </c>
      <c r="J391" s="65" t="s">
        <v>112</v>
      </c>
      <c r="K391" s="65" t="s">
        <v>73</v>
      </c>
      <c r="L391" s="65" t="s">
        <v>113</v>
      </c>
      <c r="M391" s="67">
        <v>941</v>
      </c>
      <c r="N391" s="65" t="s">
        <v>120</v>
      </c>
      <c r="O391" s="68">
        <v>105.62</v>
      </c>
      <c r="P391" s="68">
        <v>99388.42</v>
      </c>
      <c r="Q391" s="68">
        <v>7404.9</v>
      </c>
      <c r="R391" s="62">
        <f t="shared" si="45"/>
        <v>7.4504655572550607E-2</v>
      </c>
      <c r="S391" s="67">
        <v>7</v>
      </c>
      <c r="T391" s="66">
        <v>45475</v>
      </c>
      <c r="U391" s="66">
        <v>45476</v>
      </c>
      <c r="V391" s="63">
        <f t="shared" si="46"/>
        <v>1</v>
      </c>
      <c r="W391" s="65" t="s">
        <v>128</v>
      </c>
      <c r="X391" s="64" t="b">
        <f t="shared" si="47"/>
        <v>0</v>
      </c>
      <c r="Y391" s="67">
        <v>397</v>
      </c>
      <c r="Z391" s="67">
        <v>317</v>
      </c>
      <c r="AA391" s="65" t="s">
        <v>82</v>
      </c>
      <c r="AB391" s="64" t="b">
        <f t="shared" si="48"/>
        <v>1</v>
      </c>
    </row>
    <row r="392" spans="1:28" ht="15" customHeight="1" x14ac:dyDescent="0.3">
      <c r="A392" s="57" t="s">
        <v>911</v>
      </c>
      <c r="B392" s="82">
        <v>44935</v>
      </c>
      <c r="C392" s="59">
        <f t="shared" si="42"/>
        <v>2023</v>
      </c>
      <c r="D392" s="59">
        <f t="shared" si="43"/>
        <v>1</v>
      </c>
      <c r="E392" s="59">
        <f t="shared" si="44"/>
        <v>2</v>
      </c>
      <c r="F392" s="57" t="s">
        <v>57</v>
      </c>
      <c r="G392" s="57" t="s">
        <v>40</v>
      </c>
      <c r="H392" s="57" t="s">
        <v>912</v>
      </c>
      <c r="I392" s="57" t="s">
        <v>65</v>
      </c>
      <c r="J392" s="57" t="s">
        <v>131</v>
      </c>
      <c r="K392" s="57" t="s">
        <v>75</v>
      </c>
      <c r="L392" s="57" t="s">
        <v>113</v>
      </c>
      <c r="M392" s="60">
        <v>490</v>
      </c>
      <c r="N392" s="57" t="s">
        <v>163</v>
      </c>
      <c r="O392" s="61">
        <v>779.26</v>
      </c>
      <c r="P392" s="61">
        <v>381837.4</v>
      </c>
      <c r="Q392" s="61">
        <v>25536.31</v>
      </c>
      <c r="R392" s="62">
        <f t="shared" si="45"/>
        <v>6.6877445739992991E-2</v>
      </c>
      <c r="S392" s="60">
        <v>3</v>
      </c>
      <c r="T392" s="58">
        <v>44938</v>
      </c>
      <c r="U392" s="58">
        <v>44941</v>
      </c>
      <c r="V392" s="63">
        <f t="shared" si="46"/>
        <v>3</v>
      </c>
      <c r="W392" s="57" t="s">
        <v>125</v>
      </c>
      <c r="X392" s="64" t="b">
        <f t="shared" si="47"/>
        <v>0</v>
      </c>
      <c r="Y392" s="60">
        <v>393</v>
      </c>
      <c r="Z392" s="60">
        <v>472</v>
      </c>
      <c r="AA392" s="57" t="s">
        <v>81</v>
      </c>
      <c r="AB392" s="64" t="b">
        <f t="shared" si="48"/>
        <v>1</v>
      </c>
    </row>
    <row r="393" spans="1:28" ht="15" customHeight="1" x14ac:dyDescent="0.3">
      <c r="A393" s="65" t="s">
        <v>913</v>
      </c>
      <c r="B393" s="81">
        <v>45610</v>
      </c>
      <c r="C393" s="59">
        <f t="shared" si="42"/>
        <v>2024</v>
      </c>
      <c r="D393" s="59">
        <f t="shared" si="43"/>
        <v>11</v>
      </c>
      <c r="E393" s="59">
        <f t="shared" si="44"/>
        <v>46</v>
      </c>
      <c r="F393" s="65" t="s">
        <v>57</v>
      </c>
      <c r="G393" s="65" t="s">
        <v>42</v>
      </c>
      <c r="H393" s="65" t="s">
        <v>914</v>
      </c>
      <c r="I393" s="65" t="s">
        <v>68</v>
      </c>
      <c r="J393" s="65" t="s">
        <v>143</v>
      </c>
      <c r="K393" s="65" t="s">
        <v>72</v>
      </c>
      <c r="L393" s="65" t="s">
        <v>146</v>
      </c>
      <c r="M393" s="67">
        <v>906</v>
      </c>
      <c r="N393" s="65" t="s">
        <v>163</v>
      </c>
      <c r="O393" s="68">
        <v>96.17</v>
      </c>
      <c r="P393" s="68">
        <v>87130.02</v>
      </c>
      <c r="Q393" s="68">
        <v>1844.03</v>
      </c>
      <c r="R393" s="62">
        <f t="shared" si="45"/>
        <v>2.1164117717406696E-2</v>
      </c>
      <c r="S393" s="67">
        <v>17</v>
      </c>
      <c r="T393" s="66">
        <v>45627</v>
      </c>
      <c r="U393" s="66">
        <v>45627</v>
      </c>
      <c r="V393" s="63">
        <f t="shared" si="46"/>
        <v>0</v>
      </c>
      <c r="W393" s="65" t="s">
        <v>115</v>
      </c>
      <c r="X393" s="64" t="b">
        <f t="shared" si="47"/>
        <v>1</v>
      </c>
      <c r="Y393" s="67">
        <v>305</v>
      </c>
      <c r="Z393" s="67">
        <v>468</v>
      </c>
      <c r="AA393" s="65" t="s">
        <v>83</v>
      </c>
      <c r="AB393" s="64" t="b">
        <f t="shared" si="48"/>
        <v>1</v>
      </c>
    </row>
    <row r="394" spans="1:28" ht="15" customHeight="1" x14ac:dyDescent="0.3">
      <c r="A394" s="57" t="s">
        <v>915</v>
      </c>
      <c r="B394" s="82">
        <v>45494</v>
      </c>
      <c r="C394" s="59">
        <f t="shared" si="42"/>
        <v>2024</v>
      </c>
      <c r="D394" s="59">
        <f t="shared" si="43"/>
        <v>7</v>
      </c>
      <c r="E394" s="59">
        <f t="shared" si="44"/>
        <v>30</v>
      </c>
      <c r="F394" s="57" t="s">
        <v>52</v>
      </c>
      <c r="G394" s="57" t="s">
        <v>39</v>
      </c>
      <c r="H394" s="57" t="s">
        <v>916</v>
      </c>
      <c r="I394" s="57" t="s">
        <v>65</v>
      </c>
      <c r="J394" s="57" t="s">
        <v>123</v>
      </c>
      <c r="K394" s="57" t="s">
        <v>74</v>
      </c>
      <c r="L394" s="57" t="s">
        <v>113</v>
      </c>
      <c r="M394" s="60">
        <v>920</v>
      </c>
      <c r="N394" s="57" t="s">
        <v>114</v>
      </c>
      <c r="O394" s="61">
        <v>1280.42</v>
      </c>
      <c r="P394" s="61">
        <v>1177986.3999999999</v>
      </c>
      <c r="Q394" s="61">
        <v>46672.3</v>
      </c>
      <c r="R394" s="62">
        <f t="shared" si="45"/>
        <v>3.9620406483470441E-2</v>
      </c>
      <c r="S394" s="60">
        <v>1</v>
      </c>
      <c r="T394" s="58">
        <v>45495</v>
      </c>
      <c r="U394" s="58">
        <v>45495</v>
      </c>
      <c r="V394" s="63">
        <f t="shared" si="46"/>
        <v>0</v>
      </c>
      <c r="W394" s="57" t="s">
        <v>115</v>
      </c>
      <c r="X394" s="64" t="b">
        <f t="shared" si="47"/>
        <v>1</v>
      </c>
      <c r="Y394" s="60">
        <v>145</v>
      </c>
      <c r="Z394" s="60">
        <v>331</v>
      </c>
      <c r="AA394" s="57" t="s">
        <v>83</v>
      </c>
      <c r="AB394" s="64" t="b">
        <f t="shared" si="48"/>
        <v>1</v>
      </c>
    </row>
    <row r="395" spans="1:28" ht="15" customHeight="1" x14ac:dyDescent="0.3">
      <c r="A395" s="65" t="s">
        <v>917</v>
      </c>
      <c r="B395" s="81">
        <v>45233</v>
      </c>
      <c r="C395" s="59">
        <f t="shared" si="42"/>
        <v>2023</v>
      </c>
      <c r="D395" s="59">
        <f t="shared" si="43"/>
        <v>11</v>
      </c>
      <c r="E395" s="59">
        <f t="shared" si="44"/>
        <v>44</v>
      </c>
      <c r="F395" s="65" t="s">
        <v>54</v>
      </c>
      <c r="G395" s="65" t="s">
        <v>41</v>
      </c>
      <c r="H395" s="65" t="s">
        <v>918</v>
      </c>
      <c r="I395" s="65" t="s">
        <v>68</v>
      </c>
      <c r="J395" s="65" t="s">
        <v>112</v>
      </c>
      <c r="K395" s="65" t="s">
        <v>71</v>
      </c>
      <c r="L395" s="65" t="s">
        <v>113</v>
      </c>
      <c r="M395" s="67">
        <v>982</v>
      </c>
      <c r="N395" s="65" t="s">
        <v>136</v>
      </c>
      <c r="O395" s="68">
        <v>408.41</v>
      </c>
      <c r="P395" s="68">
        <v>401058.62</v>
      </c>
      <c r="Q395" s="68">
        <v>23132.07</v>
      </c>
      <c r="R395" s="62">
        <f t="shared" si="45"/>
        <v>5.7677528536850799E-2</v>
      </c>
      <c r="S395" s="67">
        <v>16</v>
      </c>
      <c r="T395" s="66">
        <v>45249</v>
      </c>
      <c r="U395" s="66">
        <v>45250</v>
      </c>
      <c r="V395" s="63">
        <f t="shared" si="46"/>
        <v>1</v>
      </c>
      <c r="W395" s="65" t="s">
        <v>125</v>
      </c>
      <c r="X395" s="64" t="b">
        <f t="shared" si="47"/>
        <v>0</v>
      </c>
      <c r="Y395" s="67">
        <v>17</v>
      </c>
      <c r="Z395" s="67">
        <v>378</v>
      </c>
      <c r="AA395" s="65" t="s">
        <v>82</v>
      </c>
      <c r="AB395" s="64" t="b">
        <f t="shared" si="48"/>
        <v>1</v>
      </c>
    </row>
    <row r="396" spans="1:28" ht="15" customHeight="1" x14ac:dyDescent="0.3">
      <c r="A396" s="57" t="s">
        <v>919</v>
      </c>
      <c r="B396" s="82">
        <v>45606</v>
      </c>
      <c r="C396" s="59">
        <f t="shared" si="42"/>
        <v>2024</v>
      </c>
      <c r="D396" s="59">
        <f t="shared" si="43"/>
        <v>11</v>
      </c>
      <c r="E396" s="59">
        <f t="shared" si="44"/>
        <v>46</v>
      </c>
      <c r="F396" s="57" t="s">
        <v>58</v>
      </c>
      <c r="G396" s="57" t="s">
        <v>46</v>
      </c>
      <c r="H396" s="57" t="s">
        <v>920</v>
      </c>
      <c r="I396" s="57" t="s">
        <v>65</v>
      </c>
      <c r="J396" s="57" t="s">
        <v>131</v>
      </c>
      <c r="K396" s="57" t="s">
        <v>75</v>
      </c>
      <c r="L396" s="57" t="s">
        <v>124</v>
      </c>
      <c r="M396" s="60">
        <v>282</v>
      </c>
      <c r="N396" s="57" t="s">
        <v>120</v>
      </c>
      <c r="O396" s="61">
        <v>87.03</v>
      </c>
      <c r="P396" s="61">
        <v>24542.46</v>
      </c>
      <c r="Q396" s="61">
        <v>896.08</v>
      </c>
      <c r="R396" s="62">
        <f t="shared" si="45"/>
        <v>3.6511417355880385E-2</v>
      </c>
      <c r="S396" s="60">
        <v>12</v>
      </c>
      <c r="T396" s="58">
        <v>45618</v>
      </c>
      <c r="U396" s="58">
        <v>45618</v>
      </c>
      <c r="V396" s="63">
        <f t="shared" si="46"/>
        <v>0</v>
      </c>
      <c r="W396" s="57" t="s">
        <v>115</v>
      </c>
      <c r="X396" s="64" t="b">
        <f t="shared" si="47"/>
        <v>1</v>
      </c>
      <c r="Y396" s="60">
        <v>15</v>
      </c>
      <c r="Z396" s="60">
        <v>345</v>
      </c>
      <c r="AA396" s="57" t="s">
        <v>116</v>
      </c>
      <c r="AB396" s="64" t="b">
        <f t="shared" si="48"/>
        <v>0</v>
      </c>
    </row>
    <row r="397" spans="1:28" ht="15" customHeight="1" x14ac:dyDescent="0.3">
      <c r="A397" s="65" t="s">
        <v>921</v>
      </c>
      <c r="B397" s="81">
        <v>45033</v>
      </c>
      <c r="C397" s="59">
        <f t="shared" si="42"/>
        <v>2023</v>
      </c>
      <c r="D397" s="59">
        <f t="shared" si="43"/>
        <v>4</v>
      </c>
      <c r="E397" s="59">
        <f t="shared" si="44"/>
        <v>16</v>
      </c>
      <c r="F397" s="65" t="s">
        <v>56</v>
      </c>
      <c r="G397" s="65" t="s">
        <v>43</v>
      </c>
      <c r="H397" s="65" t="s">
        <v>922</v>
      </c>
      <c r="I397" s="65" t="s">
        <v>64</v>
      </c>
      <c r="J397" s="65" t="s">
        <v>131</v>
      </c>
      <c r="K397" s="65" t="s">
        <v>72</v>
      </c>
      <c r="L397" s="65" t="s">
        <v>146</v>
      </c>
      <c r="M397" s="67">
        <v>929</v>
      </c>
      <c r="N397" s="65" t="s">
        <v>163</v>
      </c>
      <c r="O397" s="68">
        <v>286.82</v>
      </c>
      <c r="P397" s="68">
        <v>266455.78000000003</v>
      </c>
      <c r="Q397" s="68">
        <v>19870.990000000002</v>
      </c>
      <c r="R397" s="62">
        <f t="shared" si="45"/>
        <v>7.4575188423384925E-2</v>
      </c>
      <c r="S397" s="67">
        <v>27</v>
      </c>
      <c r="T397" s="66">
        <v>45060</v>
      </c>
      <c r="U397" s="66">
        <v>45055</v>
      </c>
      <c r="V397" s="63">
        <f t="shared" si="46"/>
        <v>-5</v>
      </c>
      <c r="W397" s="65" t="s">
        <v>115</v>
      </c>
      <c r="X397" s="64" t="b">
        <f t="shared" si="47"/>
        <v>1</v>
      </c>
      <c r="Y397" s="67">
        <v>307</v>
      </c>
      <c r="Z397" s="67">
        <v>28</v>
      </c>
      <c r="AA397" s="65" t="s">
        <v>84</v>
      </c>
      <c r="AB397" s="64" t="b">
        <f t="shared" si="48"/>
        <v>1</v>
      </c>
    </row>
    <row r="398" spans="1:28" ht="15" customHeight="1" x14ac:dyDescent="0.3">
      <c r="A398" s="57" t="s">
        <v>923</v>
      </c>
      <c r="B398" s="82">
        <v>45064</v>
      </c>
      <c r="C398" s="59">
        <f t="shared" si="42"/>
        <v>2023</v>
      </c>
      <c r="D398" s="59">
        <f t="shared" si="43"/>
        <v>5</v>
      </c>
      <c r="E398" s="59">
        <f t="shared" si="44"/>
        <v>20</v>
      </c>
      <c r="F398" s="57" t="s">
        <v>55</v>
      </c>
      <c r="G398" s="57" t="s">
        <v>41</v>
      </c>
      <c r="H398" s="57" t="s">
        <v>924</v>
      </c>
      <c r="I398" s="57" t="s">
        <v>69</v>
      </c>
      <c r="J398" s="57" t="s">
        <v>151</v>
      </c>
      <c r="K398" s="57" t="s">
        <v>71</v>
      </c>
      <c r="L398" s="57" t="s">
        <v>146</v>
      </c>
      <c r="M398" s="60">
        <v>67</v>
      </c>
      <c r="N398" s="57" t="s">
        <v>132</v>
      </c>
      <c r="O398" s="61">
        <v>704.99</v>
      </c>
      <c r="P398" s="61">
        <v>47234.33</v>
      </c>
      <c r="Q398" s="61">
        <v>2741.17</v>
      </c>
      <c r="R398" s="62">
        <f t="shared" si="45"/>
        <v>5.8033426111897851E-2</v>
      </c>
      <c r="S398" s="60">
        <v>19</v>
      </c>
      <c r="T398" s="58">
        <v>45083</v>
      </c>
      <c r="U398" s="58">
        <v>45091</v>
      </c>
      <c r="V398" s="63">
        <f t="shared" si="46"/>
        <v>8</v>
      </c>
      <c r="W398" s="57" t="s">
        <v>128</v>
      </c>
      <c r="X398" s="64" t="b">
        <f t="shared" si="47"/>
        <v>0</v>
      </c>
      <c r="Y398" s="60">
        <v>452</v>
      </c>
      <c r="Z398" s="60">
        <v>357</v>
      </c>
      <c r="AA398" s="57" t="s">
        <v>84</v>
      </c>
      <c r="AB398" s="64" t="b">
        <f t="shared" si="48"/>
        <v>1</v>
      </c>
    </row>
    <row r="399" spans="1:28" ht="15" customHeight="1" x14ac:dyDescent="0.3">
      <c r="A399" s="65" t="s">
        <v>925</v>
      </c>
      <c r="B399" s="81">
        <v>45197</v>
      </c>
      <c r="C399" s="59">
        <f t="shared" si="42"/>
        <v>2023</v>
      </c>
      <c r="D399" s="59">
        <f t="shared" si="43"/>
        <v>9</v>
      </c>
      <c r="E399" s="59">
        <f t="shared" si="44"/>
        <v>39</v>
      </c>
      <c r="F399" s="65" t="s">
        <v>54</v>
      </c>
      <c r="G399" s="65" t="s">
        <v>45</v>
      </c>
      <c r="H399" s="65" t="s">
        <v>926</v>
      </c>
      <c r="I399" s="65" t="s">
        <v>64</v>
      </c>
      <c r="J399" s="65" t="s">
        <v>143</v>
      </c>
      <c r="K399" s="65" t="s">
        <v>71</v>
      </c>
      <c r="L399" s="65" t="s">
        <v>124</v>
      </c>
      <c r="M399" s="67">
        <v>337</v>
      </c>
      <c r="N399" s="65" t="s">
        <v>114</v>
      </c>
      <c r="O399" s="68">
        <v>240.07</v>
      </c>
      <c r="P399" s="68">
        <v>80903.59</v>
      </c>
      <c r="Q399" s="68">
        <v>1967.12</v>
      </c>
      <c r="R399" s="62">
        <f t="shared" si="45"/>
        <v>2.4314372205238358E-2</v>
      </c>
      <c r="S399" s="67">
        <v>22</v>
      </c>
      <c r="T399" s="66">
        <v>45219</v>
      </c>
      <c r="U399" s="66">
        <v>45222</v>
      </c>
      <c r="V399" s="63">
        <f t="shared" si="46"/>
        <v>3</v>
      </c>
      <c r="W399" s="65" t="s">
        <v>128</v>
      </c>
      <c r="X399" s="64" t="b">
        <f t="shared" si="47"/>
        <v>0</v>
      </c>
      <c r="Y399" s="67">
        <v>435</v>
      </c>
      <c r="Z399" s="67">
        <v>482</v>
      </c>
      <c r="AA399" s="65" t="s">
        <v>116</v>
      </c>
      <c r="AB399" s="64" t="b">
        <f t="shared" si="48"/>
        <v>0</v>
      </c>
    </row>
    <row r="400" spans="1:28" ht="15" customHeight="1" x14ac:dyDescent="0.3">
      <c r="A400" s="57" t="s">
        <v>927</v>
      </c>
      <c r="B400" s="82">
        <v>45045</v>
      </c>
      <c r="C400" s="59">
        <f t="shared" si="42"/>
        <v>2023</v>
      </c>
      <c r="D400" s="59">
        <f t="shared" si="43"/>
        <v>4</v>
      </c>
      <c r="E400" s="59">
        <f t="shared" si="44"/>
        <v>17</v>
      </c>
      <c r="F400" s="57" t="s">
        <v>52</v>
      </c>
      <c r="G400" s="57" t="s">
        <v>40</v>
      </c>
      <c r="H400" s="57" t="s">
        <v>928</v>
      </c>
      <c r="I400" s="57" t="s">
        <v>66</v>
      </c>
      <c r="J400" s="57" t="s">
        <v>151</v>
      </c>
      <c r="K400" s="57" t="s">
        <v>74</v>
      </c>
      <c r="L400" s="57" t="s">
        <v>156</v>
      </c>
      <c r="M400" s="60">
        <v>740</v>
      </c>
      <c r="N400" s="57" t="s">
        <v>140</v>
      </c>
      <c r="O400" s="61">
        <v>1077.29</v>
      </c>
      <c r="P400" s="61">
        <v>797194.6</v>
      </c>
      <c r="Q400" s="61">
        <v>59423.15</v>
      </c>
      <c r="R400" s="62">
        <f t="shared" si="45"/>
        <v>7.4540331808569713E-2</v>
      </c>
      <c r="S400" s="60">
        <v>23</v>
      </c>
      <c r="T400" s="58">
        <v>45068</v>
      </c>
      <c r="U400" s="58">
        <v>45071</v>
      </c>
      <c r="V400" s="63">
        <f t="shared" si="46"/>
        <v>3</v>
      </c>
      <c r="W400" s="57" t="s">
        <v>125</v>
      </c>
      <c r="X400" s="64" t="b">
        <f t="shared" si="47"/>
        <v>0</v>
      </c>
      <c r="Y400" s="60">
        <v>158</v>
      </c>
      <c r="Z400" s="60">
        <v>356</v>
      </c>
      <c r="AA400" s="57" t="s">
        <v>116</v>
      </c>
      <c r="AB400" s="64" t="b">
        <f t="shared" si="48"/>
        <v>0</v>
      </c>
    </row>
    <row r="401" spans="1:28" ht="15" customHeight="1" x14ac:dyDescent="0.3">
      <c r="A401" s="65" t="s">
        <v>929</v>
      </c>
      <c r="B401" s="81">
        <v>45036</v>
      </c>
      <c r="C401" s="59">
        <f t="shared" si="42"/>
        <v>2023</v>
      </c>
      <c r="D401" s="59">
        <f t="shared" si="43"/>
        <v>4</v>
      </c>
      <c r="E401" s="59">
        <f t="shared" si="44"/>
        <v>16</v>
      </c>
      <c r="F401" s="65" t="s">
        <v>58</v>
      </c>
      <c r="G401" s="65" t="s">
        <v>42</v>
      </c>
      <c r="H401" s="65" t="s">
        <v>930</v>
      </c>
      <c r="I401" s="65" t="s">
        <v>68</v>
      </c>
      <c r="J401" s="65" t="s">
        <v>143</v>
      </c>
      <c r="K401" s="65" t="s">
        <v>72</v>
      </c>
      <c r="L401" s="65" t="s">
        <v>156</v>
      </c>
      <c r="M401" s="67">
        <v>118</v>
      </c>
      <c r="N401" s="65" t="s">
        <v>114</v>
      </c>
      <c r="O401" s="68">
        <v>60.42</v>
      </c>
      <c r="P401" s="68">
        <v>7129.56</v>
      </c>
      <c r="Q401" s="68">
        <v>552.29999999999995</v>
      </c>
      <c r="R401" s="62">
        <f t="shared" si="45"/>
        <v>7.7466211098581109E-2</v>
      </c>
      <c r="S401" s="67">
        <v>22</v>
      </c>
      <c r="T401" s="66">
        <v>45058</v>
      </c>
      <c r="U401" s="66">
        <v>45070</v>
      </c>
      <c r="V401" s="63">
        <f t="shared" si="46"/>
        <v>12</v>
      </c>
      <c r="W401" s="65" t="s">
        <v>128</v>
      </c>
      <c r="X401" s="64" t="b">
        <f t="shared" si="47"/>
        <v>0</v>
      </c>
      <c r="Y401" s="67">
        <v>484</v>
      </c>
      <c r="Z401" s="67">
        <v>365</v>
      </c>
      <c r="AA401" s="65" t="s">
        <v>81</v>
      </c>
      <c r="AB401" s="64" t="b">
        <f t="shared" si="48"/>
        <v>1</v>
      </c>
    </row>
    <row r="402" spans="1:28" ht="15" customHeight="1" x14ac:dyDescent="0.3">
      <c r="A402" s="57" t="s">
        <v>931</v>
      </c>
      <c r="B402" s="82">
        <v>45493</v>
      </c>
      <c r="C402" s="59">
        <f t="shared" si="42"/>
        <v>2024</v>
      </c>
      <c r="D402" s="59">
        <f t="shared" si="43"/>
        <v>7</v>
      </c>
      <c r="E402" s="59">
        <f t="shared" si="44"/>
        <v>29</v>
      </c>
      <c r="F402" s="57" t="s">
        <v>54</v>
      </c>
      <c r="G402" s="57" t="s">
        <v>40</v>
      </c>
      <c r="H402" s="57" t="s">
        <v>932</v>
      </c>
      <c r="I402" s="57" t="s">
        <v>69</v>
      </c>
      <c r="J402" s="57" t="s">
        <v>123</v>
      </c>
      <c r="K402" s="57" t="s">
        <v>74</v>
      </c>
      <c r="L402" s="57" t="s">
        <v>124</v>
      </c>
      <c r="M402" s="60">
        <v>288</v>
      </c>
      <c r="N402" s="57" t="s">
        <v>140</v>
      </c>
      <c r="O402" s="61">
        <v>774.26</v>
      </c>
      <c r="P402" s="61">
        <v>222986.88</v>
      </c>
      <c r="Q402" s="61">
        <v>5499.47</v>
      </c>
      <c r="R402" s="62">
        <f t="shared" si="45"/>
        <v>2.4662751458740532E-2</v>
      </c>
      <c r="S402" s="60">
        <v>14</v>
      </c>
      <c r="T402" s="58">
        <v>45507</v>
      </c>
      <c r="U402" s="58">
        <v>45504</v>
      </c>
      <c r="V402" s="63">
        <f t="shared" si="46"/>
        <v>-3</v>
      </c>
      <c r="W402" s="57" t="s">
        <v>115</v>
      </c>
      <c r="X402" s="64" t="b">
        <f t="shared" si="47"/>
        <v>1</v>
      </c>
      <c r="Y402" s="60">
        <v>339</v>
      </c>
      <c r="Z402" s="60">
        <v>427</v>
      </c>
      <c r="AA402" s="57" t="s">
        <v>116</v>
      </c>
      <c r="AB402" s="64" t="b">
        <f t="shared" si="48"/>
        <v>0</v>
      </c>
    </row>
    <row r="403" spans="1:28" ht="15" customHeight="1" x14ac:dyDescent="0.3">
      <c r="A403" s="65" t="s">
        <v>933</v>
      </c>
      <c r="B403" s="81">
        <v>45086</v>
      </c>
      <c r="C403" s="59">
        <f t="shared" si="42"/>
        <v>2023</v>
      </c>
      <c r="D403" s="59">
        <f t="shared" si="43"/>
        <v>6</v>
      </c>
      <c r="E403" s="59">
        <f t="shared" si="44"/>
        <v>23</v>
      </c>
      <c r="F403" s="65" t="s">
        <v>58</v>
      </c>
      <c r="G403" s="65" t="s">
        <v>40</v>
      </c>
      <c r="H403" s="65" t="s">
        <v>934</v>
      </c>
      <c r="I403" s="65" t="s">
        <v>64</v>
      </c>
      <c r="J403" s="65" t="s">
        <v>151</v>
      </c>
      <c r="K403" s="65" t="s">
        <v>73</v>
      </c>
      <c r="L403" s="65" t="s">
        <v>113</v>
      </c>
      <c r="M403" s="67">
        <v>695</v>
      </c>
      <c r="N403" s="65" t="s">
        <v>136</v>
      </c>
      <c r="O403" s="68">
        <v>760.77</v>
      </c>
      <c r="P403" s="68">
        <v>528735.15</v>
      </c>
      <c r="Q403" s="68">
        <v>27463.360000000001</v>
      </c>
      <c r="R403" s="62">
        <f t="shared" si="45"/>
        <v>5.1941619542411735E-2</v>
      </c>
      <c r="S403" s="67">
        <v>6</v>
      </c>
      <c r="T403" s="66">
        <v>45092</v>
      </c>
      <c r="U403" s="66">
        <v>45091</v>
      </c>
      <c r="V403" s="63">
        <f t="shared" si="46"/>
        <v>-1</v>
      </c>
      <c r="W403" s="65" t="s">
        <v>115</v>
      </c>
      <c r="X403" s="64" t="b">
        <f t="shared" si="47"/>
        <v>1</v>
      </c>
      <c r="Y403" s="67">
        <v>406</v>
      </c>
      <c r="Z403" s="67">
        <v>364</v>
      </c>
      <c r="AA403" s="65" t="s">
        <v>82</v>
      </c>
      <c r="AB403" s="64" t="b">
        <f t="shared" si="48"/>
        <v>1</v>
      </c>
    </row>
    <row r="404" spans="1:28" ht="15" customHeight="1" x14ac:dyDescent="0.3">
      <c r="A404" s="57" t="s">
        <v>935</v>
      </c>
      <c r="B404" s="82">
        <v>45205</v>
      </c>
      <c r="C404" s="59">
        <f t="shared" si="42"/>
        <v>2023</v>
      </c>
      <c r="D404" s="59">
        <f t="shared" si="43"/>
        <v>10</v>
      </c>
      <c r="E404" s="59">
        <f t="shared" si="44"/>
        <v>40</v>
      </c>
      <c r="F404" s="57" t="s">
        <v>52</v>
      </c>
      <c r="G404" s="57" t="s">
        <v>39</v>
      </c>
      <c r="H404" s="57" t="s">
        <v>936</v>
      </c>
      <c r="I404" s="57" t="s">
        <v>69</v>
      </c>
      <c r="J404" s="57" t="s">
        <v>123</v>
      </c>
      <c r="K404" s="57" t="s">
        <v>71</v>
      </c>
      <c r="L404" s="57" t="s">
        <v>135</v>
      </c>
      <c r="M404" s="60">
        <v>337</v>
      </c>
      <c r="N404" s="57" t="s">
        <v>120</v>
      </c>
      <c r="O404" s="61">
        <v>1812.77</v>
      </c>
      <c r="P404" s="61">
        <v>610903.49</v>
      </c>
      <c r="Q404" s="61">
        <v>23337.65</v>
      </c>
      <c r="R404" s="62">
        <f t="shared" si="45"/>
        <v>3.8201860657237366E-2</v>
      </c>
      <c r="S404" s="60">
        <v>6</v>
      </c>
      <c r="T404" s="58">
        <v>45211</v>
      </c>
      <c r="U404" s="58">
        <v>45211</v>
      </c>
      <c r="V404" s="63">
        <f t="shared" si="46"/>
        <v>0</v>
      </c>
      <c r="W404" s="57" t="s">
        <v>115</v>
      </c>
      <c r="X404" s="64" t="b">
        <f t="shared" si="47"/>
        <v>1</v>
      </c>
      <c r="Y404" s="60">
        <v>351</v>
      </c>
      <c r="Z404" s="60">
        <v>428</v>
      </c>
      <c r="AA404" s="57" t="s">
        <v>116</v>
      </c>
      <c r="AB404" s="64" t="b">
        <f t="shared" si="48"/>
        <v>0</v>
      </c>
    </row>
    <row r="405" spans="1:28" ht="15" customHeight="1" x14ac:dyDescent="0.3">
      <c r="A405" s="65" t="s">
        <v>937</v>
      </c>
      <c r="B405" s="81">
        <v>45215</v>
      </c>
      <c r="C405" s="59">
        <f t="shared" si="42"/>
        <v>2023</v>
      </c>
      <c r="D405" s="59">
        <f t="shared" si="43"/>
        <v>10</v>
      </c>
      <c r="E405" s="59">
        <f t="shared" si="44"/>
        <v>42</v>
      </c>
      <c r="F405" s="65" t="s">
        <v>54</v>
      </c>
      <c r="G405" s="65" t="s">
        <v>39</v>
      </c>
      <c r="H405" s="65" t="s">
        <v>938</v>
      </c>
      <c r="I405" s="65" t="s">
        <v>66</v>
      </c>
      <c r="J405" s="65" t="s">
        <v>139</v>
      </c>
      <c r="K405" s="65" t="s">
        <v>73</v>
      </c>
      <c r="L405" s="65" t="s">
        <v>156</v>
      </c>
      <c r="M405" s="67">
        <v>785</v>
      </c>
      <c r="N405" s="65" t="s">
        <v>120</v>
      </c>
      <c r="O405" s="68">
        <v>1477.15</v>
      </c>
      <c r="P405" s="68">
        <v>1159562.75</v>
      </c>
      <c r="Q405" s="68">
        <v>50522.55</v>
      </c>
      <c r="R405" s="62">
        <f t="shared" si="45"/>
        <v>4.3570345804916553E-2</v>
      </c>
      <c r="S405" s="67">
        <v>13</v>
      </c>
      <c r="T405" s="66">
        <v>45228</v>
      </c>
      <c r="U405" s="66">
        <v>45228</v>
      </c>
      <c r="V405" s="63">
        <f t="shared" si="46"/>
        <v>0</v>
      </c>
      <c r="W405" s="65" t="s">
        <v>115</v>
      </c>
      <c r="X405" s="64" t="b">
        <f t="shared" si="47"/>
        <v>1</v>
      </c>
      <c r="Y405" s="67">
        <v>297</v>
      </c>
      <c r="Z405" s="67">
        <v>284</v>
      </c>
      <c r="AA405" s="65" t="s">
        <v>81</v>
      </c>
      <c r="AB405" s="64" t="b">
        <f t="shared" si="48"/>
        <v>1</v>
      </c>
    </row>
    <row r="406" spans="1:28" ht="15" customHeight="1" x14ac:dyDescent="0.3">
      <c r="A406" s="57" t="s">
        <v>939</v>
      </c>
      <c r="B406" s="82">
        <v>45546</v>
      </c>
      <c r="C406" s="59">
        <f t="shared" si="42"/>
        <v>2024</v>
      </c>
      <c r="D406" s="59">
        <f t="shared" si="43"/>
        <v>9</v>
      </c>
      <c r="E406" s="59">
        <f t="shared" si="44"/>
        <v>37</v>
      </c>
      <c r="F406" s="57" t="s">
        <v>53</v>
      </c>
      <c r="G406" s="57" t="s">
        <v>43</v>
      </c>
      <c r="H406" s="57" t="s">
        <v>940</v>
      </c>
      <c r="I406" s="57" t="s">
        <v>67</v>
      </c>
      <c r="J406" s="57" t="s">
        <v>139</v>
      </c>
      <c r="K406" s="57" t="s">
        <v>74</v>
      </c>
      <c r="L406" s="57" t="s">
        <v>156</v>
      </c>
      <c r="M406" s="60">
        <v>324</v>
      </c>
      <c r="N406" s="57" t="s">
        <v>140</v>
      </c>
      <c r="O406" s="61">
        <v>163.76</v>
      </c>
      <c r="P406" s="61">
        <v>53058.239999999998</v>
      </c>
      <c r="Q406" s="61">
        <v>1633.08</v>
      </c>
      <c r="R406" s="62">
        <f t="shared" si="45"/>
        <v>3.0779008123903093E-2</v>
      </c>
      <c r="S406" s="60">
        <v>19</v>
      </c>
      <c r="T406" s="58">
        <v>45565</v>
      </c>
      <c r="U406" s="58">
        <v>45560</v>
      </c>
      <c r="V406" s="63">
        <f t="shared" si="46"/>
        <v>-5</v>
      </c>
      <c r="W406" s="57" t="s">
        <v>115</v>
      </c>
      <c r="X406" s="64" t="b">
        <f t="shared" si="47"/>
        <v>1</v>
      </c>
      <c r="Y406" s="60">
        <v>208</v>
      </c>
      <c r="Z406" s="60">
        <v>496</v>
      </c>
      <c r="AA406" s="57" t="s">
        <v>81</v>
      </c>
      <c r="AB406" s="64" t="b">
        <f t="shared" si="48"/>
        <v>1</v>
      </c>
    </row>
    <row r="407" spans="1:28" ht="15" customHeight="1" x14ac:dyDescent="0.3">
      <c r="A407" s="65" t="s">
        <v>941</v>
      </c>
      <c r="B407" s="81">
        <v>45142</v>
      </c>
      <c r="C407" s="59">
        <f t="shared" si="42"/>
        <v>2023</v>
      </c>
      <c r="D407" s="59">
        <f t="shared" si="43"/>
        <v>8</v>
      </c>
      <c r="E407" s="59">
        <f t="shared" si="44"/>
        <v>31</v>
      </c>
      <c r="F407" s="65" t="s">
        <v>60</v>
      </c>
      <c r="G407" s="65" t="s">
        <v>39</v>
      </c>
      <c r="H407" s="65" t="s">
        <v>942</v>
      </c>
      <c r="I407" s="65" t="s">
        <v>68</v>
      </c>
      <c r="J407" s="65" t="s">
        <v>143</v>
      </c>
      <c r="K407" s="65" t="s">
        <v>75</v>
      </c>
      <c r="L407" s="65" t="s">
        <v>124</v>
      </c>
      <c r="M407" s="67">
        <v>483</v>
      </c>
      <c r="N407" s="65" t="s">
        <v>132</v>
      </c>
      <c r="O407" s="68">
        <v>1765.76</v>
      </c>
      <c r="P407" s="68">
        <v>852862.08</v>
      </c>
      <c r="Q407" s="68">
        <v>46638.19</v>
      </c>
      <c r="R407" s="62">
        <f t="shared" si="45"/>
        <v>5.4684328326568353E-2</v>
      </c>
      <c r="S407" s="67">
        <v>22</v>
      </c>
      <c r="T407" s="66">
        <v>45164</v>
      </c>
      <c r="U407" s="66">
        <v>45166</v>
      </c>
      <c r="V407" s="63">
        <f t="shared" si="46"/>
        <v>2</v>
      </c>
      <c r="W407" s="65" t="s">
        <v>128</v>
      </c>
      <c r="X407" s="64" t="b">
        <f t="shared" si="47"/>
        <v>0</v>
      </c>
      <c r="Y407" s="67">
        <v>445</v>
      </c>
      <c r="Z407" s="67">
        <v>471</v>
      </c>
      <c r="AA407" s="65" t="s">
        <v>116</v>
      </c>
      <c r="AB407" s="64" t="b">
        <f t="shared" si="48"/>
        <v>0</v>
      </c>
    </row>
    <row r="408" spans="1:28" ht="15" customHeight="1" x14ac:dyDescent="0.3">
      <c r="A408" s="57" t="s">
        <v>943</v>
      </c>
      <c r="B408" s="82">
        <v>45278</v>
      </c>
      <c r="C408" s="59">
        <f t="shared" si="42"/>
        <v>2023</v>
      </c>
      <c r="D408" s="59">
        <f t="shared" si="43"/>
        <v>12</v>
      </c>
      <c r="E408" s="59">
        <f t="shared" si="44"/>
        <v>51</v>
      </c>
      <c r="F408" s="57" t="s">
        <v>52</v>
      </c>
      <c r="G408" s="57" t="s">
        <v>39</v>
      </c>
      <c r="H408" s="57" t="s">
        <v>944</v>
      </c>
      <c r="I408" s="57" t="s">
        <v>68</v>
      </c>
      <c r="J408" s="57" t="s">
        <v>143</v>
      </c>
      <c r="K408" s="57" t="s">
        <v>71</v>
      </c>
      <c r="L408" s="57" t="s">
        <v>124</v>
      </c>
      <c r="M408" s="60">
        <v>120</v>
      </c>
      <c r="N408" s="57" t="s">
        <v>140</v>
      </c>
      <c r="O408" s="61">
        <v>2027.26</v>
      </c>
      <c r="P408" s="61">
        <v>243271.2</v>
      </c>
      <c r="Q408" s="61">
        <v>18848.349999999999</v>
      </c>
      <c r="R408" s="62">
        <f t="shared" si="45"/>
        <v>7.7478756219396289E-2</v>
      </c>
      <c r="S408" s="60">
        <v>8</v>
      </c>
      <c r="T408" s="58">
        <v>45286</v>
      </c>
      <c r="U408" s="58">
        <v>45298</v>
      </c>
      <c r="V408" s="63">
        <f t="shared" si="46"/>
        <v>12</v>
      </c>
      <c r="W408" s="57" t="s">
        <v>128</v>
      </c>
      <c r="X408" s="64" t="b">
        <f t="shared" si="47"/>
        <v>0</v>
      </c>
      <c r="Y408" s="60">
        <v>204</v>
      </c>
      <c r="Z408" s="60">
        <v>58</v>
      </c>
      <c r="AA408" s="57" t="s">
        <v>116</v>
      </c>
      <c r="AB408" s="64" t="b">
        <f t="shared" si="48"/>
        <v>0</v>
      </c>
    </row>
    <row r="409" spans="1:28" ht="15" customHeight="1" x14ac:dyDescent="0.3">
      <c r="A409" s="65" t="s">
        <v>945</v>
      </c>
      <c r="B409" s="81">
        <v>45135</v>
      </c>
      <c r="C409" s="59">
        <f t="shared" si="42"/>
        <v>2023</v>
      </c>
      <c r="D409" s="59">
        <f t="shared" si="43"/>
        <v>7</v>
      </c>
      <c r="E409" s="59">
        <f t="shared" si="44"/>
        <v>30</v>
      </c>
      <c r="F409" s="65" t="s">
        <v>57</v>
      </c>
      <c r="G409" s="65" t="s">
        <v>41</v>
      </c>
      <c r="H409" s="65" t="s">
        <v>946</v>
      </c>
      <c r="I409" s="65" t="s">
        <v>65</v>
      </c>
      <c r="J409" s="65" t="s">
        <v>151</v>
      </c>
      <c r="K409" s="65" t="s">
        <v>75</v>
      </c>
      <c r="L409" s="65" t="s">
        <v>135</v>
      </c>
      <c r="M409" s="67">
        <v>708</v>
      </c>
      <c r="N409" s="65" t="s">
        <v>140</v>
      </c>
      <c r="O409" s="68">
        <v>502.85</v>
      </c>
      <c r="P409" s="68">
        <v>356017.8</v>
      </c>
      <c r="Q409" s="68">
        <v>17866.52</v>
      </c>
      <c r="R409" s="62">
        <f t="shared" si="45"/>
        <v>5.0184344715348508E-2</v>
      </c>
      <c r="S409" s="67">
        <v>27</v>
      </c>
      <c r="T409" s="66">
        <v>45162</v>
      </c>
      <c r="U409" s="66">
        <v>45164</v>
      </c>
      <c r="V409" s="63">
        <f t="shared" si="46"/>
        <v>2</v>
      </c>
      <c r="W409" s="65" t="s">
        <v>125</v>
      </c>
      <c r="X409" s="64" t="b">
        <f t="shared" si="47"/>
        <v>0</v>
      </c>
      <c r="Y409" s="67">
        <v>112</v>
      </c>
      <c r="Z409" s="67">
        <v>142</v>
      </c>
      <c r="AA409" s="65" t="s">
        <v>84</v>
      </c>
      <c r="AB409" s="64" t="b">
        <f t="shared" si="48"/>
        <v>1</v>
      </c>
    </row>
    <row r="410" spans="1:28" ht="15" customHeight="1" x14ac:dyDescent="0.3">
      <c r="A410" s="57" t="s">
        <v>947</v>
      </c>
      <c r="B410" s="82">
        <v>45630</v>
      </c>
      <c r="C410" s="59">
        <f t="shared" si="42"/>
        <v>2024</v>
      </c>
      <c r="D410" s="59">
        <f t="shared" si="43"/>
        <v>12</v>
      </c>
      <c r="E410" s="59">
        <f t="shared" si="44"/>
        <v>49</v>
      </c>
      <c r="F410" s="57" t="s">
        <v>57</v>
      </c>
      <c r="G410" s="57" t="s">
        <v>45</v>
      </c>
      <c r="H410" s="57" t="s">
        <v>948</v>
      </c>
      <c r="I410" s="57" t="s">
        <v>68</v>
      </c>
      <c r="J410" s="57" t="s">
        <v>139</v>
      </c>
      <c r="K410" s="57" t="s">
        <v>72</v>
      </c>
      <c r="L410" s="57" t="s">
        <v>135</v>
      </c>
      <c r="M410" s="60">
        <v>790</v>
      </c>
      <c r="N410" s="57" t="s">
        <v>120</v>
      </c>
      <c r="O410" s="61">
        <v>161.16</v>
      </c>
      <c r="P410" s="61">
        <v>127316.4</v>
      </c>
      <c r="Q410" s="61">
        <v>3179.71</v>
      </c>
      <c r="R410" s="62">
        <f t="shared" si="45"/>
        <v>2.4974865767489501E-2</v>
      </c>
      <c r="S410" s="60">
        <v>27</v>
      </c>
      <c r="T410" s="58">
        <v>45657</v>
      </c>
      <c r="U410" s="58">
        <v>45657</v>
      </c>
      <c r="V410" s="63">
        <f t="shared" si="46"/>
        <v>0</v>
      </c>
      <c r="W410" s="57" t="s">
        <v>115</v>
      </c>
      <c r="X410" s="64" t="b">
        <f t="shared" si="47"/>
        <v>1</v>
      </c>
      <c r="Y410" s="60">
        <v>177</v>
      </c>
      <c r="Z410" s="60">
        <v>325</v>
      </c>
      <c r="AA410" s="57" t="s">
        <v>83</v>
      </c>
      <c r="AB410" s="64" t="b">
        <f t="shared" si="48"/>
        <v>1</v>
      </c>
    </row>
    <row r="411" spans="1:28" ht="15" customHeight="1" x14ac:dyDescent="0.3">
      <c r="A411" s="65" t="s">
        <v>949</v>
      </c>
      <c r="B411" s="81">
        <v>45576</v>
      </c>
      <c r="C411" s="59">
        <f t="shared" si="42"/>
        <v>2024</v>
      </c>
      <c r="D411" s="59">
        <f t="shared" si="43"/>
        <v>10</v>
      </c>
      <c r="E411" s="59">
        <f t="shared" si="44"/>
        <v>41</v>
      </c>
      <c r="F411" s="65" t="s">
        <v>56</v>
      </c>
      <c r="G411" s="65" t="s">
        <v>46</v>
      </c>
      <c r="H411" s="65" t="s">
        <v>950</v>
      </c>
      <c r="I411" s="65" t="s">
        <v>68</v>
      </c>
      <c r="J411" s="65" t="s">
        <v>112</v>
      </c>
      <c r="K411" s="65" t="s">
        <v>71</v>
      </c>
      <c r="L411" s="65" t="s">
        <v>146</v>
      </c>
      <c r="M411" s="67">
        <v>944</v>
      </c>
      <c r="N411" s="65" t="s">
        <v>163</v>
      </c>
      <c r="O411" s="68">
        <v>51.44</v>
      </c>
      <c r="P411" s="68">
        <v>48559.360000000001</v>
      </c>
      <c r="Q411" s="68">
        <v>2777.6</v>
      </c>
      <c r="R411" s="62">
        <f t="shared" si="45"/>
        <v>5.7200094894166643E-2</v>
      </c>
      <c r="S411" s="67">
        <v>2</v>
      </c>
      <c r="T411" s="66">
        <v>45578</v>
      </c>
      <c r="U411" s="66">
        <v>45579</v>
      </c>
      <c r="V411" s="63">
        <f t="shared" si="46"/>
        <v>1</v>
      </c>
      <c r="W411" s="65" t="s">
        <v>128</v>
      </c>
      <c r="X411" s="64" t="b">
        <f t="shared" si="47"/>
        <v>0</v>
      </c>
      <c r="Y411" s="67">
        <v>460</v>
      </c>
      <c r="Z411" s="67">
        <v>351</v>
      </c>
      <c r="AA411" s="65" t="s">
        <v>116</v>
      </c>
      <c r="AB411" s="64" t="b">
        <f t="shared" si="48"/>
        <v>0</v>
      </c>
    </row>
    <row r="412" spans="1:28" ht="15" customHeight="1" x14ac:dyDescent="0.3">
      <c r="A412" s="57" t="s">
        <v>951</v>
      </c>
      <c r="B412" s="82">
        <v>45197</v>
      </c>
      <c r="C412" s="59">
        <f t="shared" si="42"/>
        <v>2023</v>
      </c>
      <c r="D412" s="59">
        <f t="shared" si="43"/>
        <v>9</v>
      </c>
      <c r="E412" s="59">
        <f t="shared" si="44"/>
        <v>39</v>
      </c>
      <c r="F412" s="57" t="s">
        <v>59</v>
      </c>
      <c r="G412" s="57" t="s">
        <v>43</v>
      </c>
      <c r="H412" s="57" t="s">
        <v>952</v>
      </c>
      <c r="I412" s="57" t="s">
        <v>64</v>
      </c>
      <c r="J412" s="57" t="s">
        <v>112</v>
      </c>
      <c r="K412" s="57" t="s">
        <v>73</v>
      </c>
      <c r="L412" s="57" t="s">
        <v>124</v>
      </c>
      <c r="M412" s="60">
        <v>238</v>
      </c>
      <c r="N412" s="57" t="s">
        <v>132</v>
      </c>
      <c r="O412" s="61">
        <v>178</v>
      </c>
      <c r="P412" s="61">
        <v>42364</v>
      </c>
      <c r="Q412" s="61">
        <v>1712.07</v>
      </c>
      <c r="R412" s="62">
        <f t="shared" si="45"/>
        <v>4.0413322632423754E-2</v>
      </c>
      <c r="S412" s="60">
        <v>21</v>
      </c>
      <c r="T412" s="58">
        <v>45218</v>
      </c>
      <c r="U412" s="58">
        <v>45226</v>
      </c>
      <c r="V412" s="63">
        <f t="shared" si="46"/>
        <v>8</v>
      </c>
      <c r="W412" s="57" t="s">
        <v>125</v>
      </c>
      <c r="X412" s="64" t="b">
        <f t="shared" si="47"/>
        <v>0</v>
      </c>
      <c r="Y412" s="60">
        <v>208</v>
      </c>
      <c r="Z412" s="60">
        <v>299</v>
      </c>
      <c r="AA412" s="57" t="s">
        <v>116</v>
      </c>
      <c r="AB412" s="64" t="b">
        <f t="shared" si="48"/>
        <v>0</v>
      </c>
    </row>
    <row r="413" spans="1:28" ht="15" customHeight="1" x14ac:dyDescent="0.3">
      <c r="A413" s="65" t="s">
        <v>953</v>
      </c>
      <c r="B413" s="81">
        <v>45444</v>
      </c>
      <c r="C413" s="59">
        <f t="shared" si="42"/>
        <v>2024</v>
      </c>
      <c r="D413" s="59">
        <f t="shared" si="43"/>
        <v>6</v>
      </c>
      <c r="E413" s="59">
        <f t="shared" si="44"/>
        <v>22</v>
      </c>
      <c r="F413" s="65" t="s">
        <v>57</v>
      </c>
      <c r="G413" s="65" t="s">
        <v>41</v>
      </c>
      <c r="H413" s="65" t="s">
        <v>954</v>
      </c>
      <c r="I413" s="65" t="s">
        <v>68</v>
      </c>
      <c r="J413" s="65" t="s">
        <v>112</v>
      </c>
      <c r="K413" s="65" t="s">
        <v>75</v>
      </c>
      <c r="L413" s="65" t="s">
        <v>156</v>
      </c>
      <c r="M413" s="67">
        <v>506</v>
      </c>
      <c r="N413" s="65" t="s">
        <v>120</v>
      </c>
      <c r="O413" s="68">
        <v>469.96</v>
      </c>
      <c r="P413" s="68">
        <v>237799.76</v>
      </c>
      <c r="Q413" s="68">
        <v>16968.32</v>
      </c>
      <c r="R413" s="62">
        <f t="shared" si="45"/>
        <v>7.1355496742301169E-2</v>
      </c>
      <c r="S413" s="67">
        <v>1</v>
      </c>
      <c r="T413" s="66">
        <v>45445</v>
      </c>
      <c r="U413" s="66">
        <v>45450</v>
      </c>
      <c r="V413" s="63">
        <f t="shared" si="46"/>
        <v>5</v>
      </c>
      <c r="W413" s="65" t="s">
        <v>125</v>
      </c>
      <c r="X413" s="64" t="b">
        <f t="shared" si="47"/>
        <v>0</v>
      </c>
      <c r="Y413" s="67">
        <v>123</v>
      </c>
      <c r="Z413" s="67">
        <v>225</v>
      </c>
      <c r="AA413" s="65" t="s">
        <v>83</v>
      </c>
      <c r="AB413" s="64" t="b">
        <f t="shared" si="48"/>
        <v>1</v>
      </c>
    </row>
    <row r="414" spans="1:28" ht="15" customHeight="1" x14ac:dyDescent="0.3">
      <c r="A414" s="57" t="s">
        <v>955</v>
      </c>
      <c r="B414" s="82">
        <v>45427</v>
      </c>
      <c r="C414" s="59">
        <f t="shared" si="42"/>
        <v>2024</v>
      </c>
      <c r="D414" s="59">
        <f t="shared" si="43"/>
        <v>5</v>
      </c>
      <c r="E414" s="59">
        <f t="shared" si="44"/>
        <v>20</v>
      </c>
      <c r="F414" s="57" t="s">
        <v>59</v>
      </c>
      <c r="G414" s="57" t="s">
        <v>46</v>
      </c>
      <c r="H414" s="57" t="s">
        <v>956</v>
      </c>
      <c r="I414" s="57" t="s">
        <v>68</v>
      </c>
      <c r="J414" s="57" t="s">
        <v>139</v>
      </c>
      <c r="K414" s="57" t="s">
        <v>72</v>
      </c>
      <c r="L414" s="57" t="s">
        <v>119</v>
      </c>
      <c r="M414" s="60">
        <v>165</v>
      </c>
      <c r="N414" s="57" t="s">
        <v>114</v>
      </c>
      <c r="O414" s="61">
        <v>72.849999999999994</v>
      </c>
      <c r="P414" s="61">
        <v>12020.25</v>
      </c>
      <c r="Q414" s="61">
        <v>553.9</v>
      </c>
      <c r="R414" s="62">
        <f t="shared" si="45"/>
        <v>4.6080572367463241E-2</v>
      </c>
      <c r="S414" s="60">
        <v>28</v>
      </c>
      <c r="T414" s="58">
        <v>45455</v>
      </c>
      <c r="U414" s="58">
        <v>45454</v>
      </c>
      <c r="V414" s="63">
        <f t="shared" si="46"/>
        <v>-1</v>
      </c>
      <c r="W414" s="57" t="s">
        <v>115</v>
      </c>
      <c r="X414" s="64" t="b">
        <f t="shared" si="47"/>
        <v>1</v>
      </c>
      <c r="Y414" s="60">
        <v>14</v>
      </c>
      <c r="Z414" s="60">
        <v>163</v>
      </c>
      <c r="AA414" s="57" t="s">
        <v>82</v>
      </c>
      <c r="AB414" s="64" t="b">
        <f t="shared" si="48"/>
        <v>1</v>
      </c>
    </row>
    <row r="415" spans="1:28" ht="15" customHeight="1" x14ac:dyDescent="0.3">
      <c r="A415" s="65" t="s">
        <v>957</v>
      </c>
      <c r="B415" s="81">
        <v>45184</v>
      </c>
      <c r="C415" s="59">
        <f t="shared" si="42"/>
        <v>2023</v>
      </c>
      <c r="D415" s="59">
        <f t="shared" si="43"/>
        <v>9</v>
      </c>
      <c r="E415" s="59">
        <f t="shared" si="44"/>
        <v>37</v>
      </c>
      <c r="F415" s="65" t="s">
        <v>53</v>
      </c>
      <c r="G415" s="65" t="s">
        <v>40</v>
      </c>
      <c r="H415" s="65" t="s">
        <v>958</v>
      </c>
      <c r="I415" s="65" t="s">
        <v>66</v>
      </c>
      <c r="J415" s="65" t="s">
        <v>112</v>
      </c>
      <c r="K415" s="65" t="s">
        <v>71</v>
      </c>
      <c r="L415" s="65" t="s">
        <v>119</v>
      </c>
      <c r="M415" s="67">
        <v>482</v>
      </c>
      <c r="N415" s="65" t="s">
        <v>140</v>
      </c>
      <c r="O415" s="68">
        <v>944.61</v>
      </c>
      <c r="P415" s="68">
        <v>455302.02</v>
      </c>
      <c r="Q415" s="68">
        <v>14374.06</v>
      </c>
      <c r="R415" s="62">
        <f t="shared" si="45"/>
        <v>3.1570384862338187E-2</v>
      </c>
      <c r="S415" s="67">
        <v>15</v>
      </c>
      <c r="T415" s="66">
        <v>45199</v>
      </c>
      <c r="U415" s="66">
        <v>45199</v>
      </c>
      <c r="V415" s="63">
        <f t="shared" si="46"/>
        <v>0</v>
      </c>
      <c r="W415" s="65" t="s">
        <v>115</v>
      </c>
      <c r="X415" s="64" t="b">
        <f t="shared" si="47"/>
        <v>1</v>
      </c>
      <c r="Y415" s="67">
        <v>345</v>
      </c>
      <c r="Z415" s="67">
        <v>83</v>
      </c>
      <c r="AA415" s="65" t="s">
        <v>83</v>
      </c>
      <c r="AB415" s="64" t="b">
        <f t="shared" si="48"/>
        <v>1</v>
      </c>
    </row>
    <row r="416" spans="1:28" ht="15" customHeight="1" x14ac:dyDescent="0.3">
      <c r="A416" s="57" t="s">
        <v>959</v>
      </c>
      <c r="B416" s="82">
        <v>44979</v>
      </c>
      <c r="C416" s="59">
        <f t="shared" si="42"/>
        <v>2023</v>
      </c>
      <c r="D416" s="59">
        <f t="shared" si="43"/>
        <v>2</v>
      </c>
      <c r="E416" s="59">
        <f t="shared" si="44"/>
        <v>8</v>
      </c>
      <c r="F416" s="57" t="s">
        <v>52</v>
      </c>
      <c r="G416" s="57" t="s">
        <v>41</v>
      </c>
      <c r="H416" s="57" t="s">
        <v>960</v>
      </c>
      <c r="I416" s="57" t="s">
        <v>66</v>
      </c>
      <c r="J416" s="57" t="s">
        <v>123</v>
      </c>
      <c r="K416" s="57" t="s">
        <v>72</v>
      </c>
      <c r="L416" s="57" t="s">
        <v>113</v>
      </c>
      <c r="M416" s="60">
        <v>710</v>
      </c>
      <c r="N416" s="57" t="s">
        <v>163</v>
      </c>
      <c r="O416" s="61">
        <v>628.42999999999995</v>
      </c>
      <c r="P416" s="61">
        <v>446185.3</v>
      </c>
      <c r="Q416" s="61">
        <v>14039.82</v>
      </c>
      <c r="R416" s="62">
        <f t="shared" si="45"/>
        <v>3.1466343691735253E-2</v>
      </c>
      <c r="S416" s="60">
        <v>1</v>
      </c>
      <c r="T416" s="58">
        <v>44980</v>
      </c>
      <c r="U416" s="58">
        <v>44985</v>
      </c>
      <c r="V416" s="63">
        <f t="shared" si="46"/>
        <v>5</v>
      </c>
      <c r="W416" s="57" t="s">
        <v>125</v>
      </c>
      <c r="X416" s="64" t="b">
        <f t="shared" si="47"/>
        <v>0</v>
      </c>
      <c r="Y416" s="60">
        <v>427</v>
      </c>
      <c r="Z416" s="60">
        <v>376</v>
      </c>
      <c r="AA416" s="57" t="s">
        <v>83</v>
      </c>
      <c r="AB416" s="64" t="b">
        <f t="shared" si="48"/>
        <v>1</v>
      </c>
    </row>
    <row r="417" spans="1:28" ht="15" customHeight="1" x14ac:dyDescent="0.3">
      <c r="A417" s="65" t="s">
        <v>961</v>
      </c>
      <c r="B417" s="81">
        <v>45021</v>
      </c>
      <c r="C417" s="59">
        <f t="shared" si="42"/>
        <v>2023</v>
      </c>
      <c r="D417" s="59">
        <f t="shared" si="43"/>
        <v>4</v>
      </c>
      <c r="E417" s="59">
        <f t="shared" si="44"/>
        <v>14</v>
      </c>
      <c r="F417" s="65" t="s">
        <v>58</v>
      </c>
      <c r="G417" s="65" t="s">
        <v>44</v>
      </c>
      <c r="H417" s="65" t="s">
        <v>962</v>
      </c>
      <c r="I417" s="65" t="s">
        <v>69</v>
      </c>
      <c r="J417" s="65" t="s">
        <v>131</v>
      </c>
      <c r="K417" s="65" t="s">
        <v>73</v>
      </c>
      <c r="L417" s="65" t="s">
        <v>156</v>
      </c>
      <c r="M417" s="67">
        <v>281</v>
      </c>
      <c r="N417" s="65" t="s">
        <v>132</v>
      </c>
      <c r="O417" s="68">
        <v>118.8</v>
      </c>
      <c r="P417" s="68">
        <v>33382.800000000003</v>
      </c>
      <c r="Q417" s="68">
        <v>2207.4699999999998</v>
      </c>
      <c r="R417" s="62">
        <f t="shared" si="45"/>
        <v>6.6125969061912107E-2</v>
      </c>
      <c r="S417" s="67">
        <v>5</v>
      </c>
      <c r="T417" s="66">
        <v>45026</v>
      </c>
      <c r="U417" s="66">
        <v>45031</v>
      </c>
      <c r="V417" s="63">
        <f t="shared" si="46"/>
        <v>5</v>
      </c>
      <c r="W417" s="65" t="s">
        <v>125</v>
      </c>
      <c r="X417" s="64" t="b">
        <f t="shared" si="47"/>
        <v>0</v>
      </c>
      <c r="Y417" s="67">
        <v>475</v>
      </c>
      <c r="Z417" s="67">
        <v>312</v>
      </c>
      <c r="AA417" s="65" t="s">
        <v>116</v>
      </c>
      <c r="AB417" s="64" t="b">
        <f t="shared" si="48"/>
        <v>0</v>
      </c>
    </row>
    <row r="418" spans="1:28" ht="15" customHeight="1" x14ac:dyDescent="0.3">
      <c r="A418" s="57" t="s">
        <v>963</v>
      </c>
      <c r="B418" s="82">
        <v>45576</v>
      </c>
      <c r="C418" s="59">
        <f t="shared" si="42"/>
        <v>2024</v>
      </c>
      <c r="D418" s="59">
        <f t="shared" si="43"/>
        <v>10</v>
      </c>
      <c r="E418" s="59">
        <f t="shared" si="44"/>
        <v>41</v>
      </c>
      <c r="F418" s="57" t="s">
        <v>56</v>
      </c>
      <c r="G418" s="57" t="s">
        <v>41</v>
      </c>
      <c r="H418" s="57" t="s">
        <v>964</v>
      </c>
      <c r="I418" s="57" t="s">
        <v>69</v>
      </c>
      <c r="J418" s="57" t="s">
        <v>143</v>
      </c>
      <c r="K418" s="57" t="s">
        <v>71</v>
      </c>
      <c r="L418" s="57" t="s">
        <v>119</v>
      </c>
      <c r="M418" s="60">
        <v>896</v>
      </c>
      <c r="N418" s="57" t="s">
        <v>136</v>
      </c>
      <c r="O418" s="61">
        <v>679.6</v>
      </c>
      <c r="P418" s="61">
        <v>608921.59999999998</v>
      </c>
      <c r="Q418" s="61">
        <v>21881.75</v>
      </c>
      <c r="R418" s="62">
        <f t="shared" si="45"/>
        <v>3.5935250120869421E-2</v>
      </c>
      <c r="S418" s="60">
        <v>28</v>
      </c>
      <c r="T418" s="58">
        <v>45604</v>
      </c>
      <c r="U418" s="58">
        <v>45616</v>
      </c>
      <c r="V418" s="63">
        <f t="shared" si="46"/>
        <v>12</v>
      </c>
      <c r="W418" s="57" t="s">
        <v>128</v>
      </c>
      <c r="X418" s="64" t="b">
        <f t="shared" si="47"/>
        <v>0</v>
      </c>
      <c r="Y418" s="60">
        <v>297</v>
      </c>
      <c r="Z418" s="60">
        <v>116</v>
      </c>
      <c r="AA418" s="57" t="s">
        <v>81</v>
      </c>
      <c r="AB418" s="64" t="b">
        <f t="shared" si="48"/>
        <v>1</v>
      </c>
    </row>
    <row r="419" spans="1:28" ht="15" customHeight="1" x14ac:dyDescent="0.3">
      <c r="A419" s="65" t="s">
        <v>965</v>
      </c>
      <c r="B419" s="81">
        <v>45360</v>
      </c>
      <c r="C419" s="59">
        <f t="shared" si="42"/>
        <v>2024</v>
      </c>
      <c r="D419" s="59">
        <f t="shared" si="43"/>
        <v>3</v>
      </c>
      <c r="E419" s="59">
        <f t="shared" si="44"/>
        <v>10</v>
      </c>
      <c r="F419" s="65" t="s">
        <v>60</v>
      </c>
      <c r="G419" s="65" t="s">
        <v>39</v>
      </c>
      <c r="H419" s="65" t="s">
        <v>966</v>
      </c>
      <c r="I419" s="65" t="s">
        <v>68</v>
      </c>
      <c r="J419" s="65" t="s">
        <v>151</v>
      </c>
      <c r="K419" s="65" t="s">
        <v>72</v>
      </c>
      <c r="L419" s="65" t="s">
        <v>156</v>
      </c>
      <c r="M419" s="67">
        <v>11</v>
      </c>
      <c r="N419" s="65" t="s">
        <v>132</v>
      </c>
      <c r="O419" s="68">
        <v>1294.9100000000001</v>
      </c>
      <c r="P419" s="68">
        <v>14244.01</v>
      </c>
      <c r="Q419" s="68">
        <v>940.59</v>
      </c>
      <c r="R419" s="62">
        <f t="shared" si="45"/>
        <v>6.6034073270097401E-2</v>
      </c>
      <c r="S419" s="67">
        <v>29</v>
      </c>
      <c r="T419" s="66">
        <v>45389</v>
      </c>
      <c r="U419" s="66">
        <v>45392</v>
      </c>
      <c r="V419" s="63">
        <f t="shared" si="46"/>
        <v>3</v>
      </c>
      <c r="W419" s="65" t="s">
        <v>125</v>
      </c>
      <c r="X419" s="64" t="b">
        <f t="shared" si="47"/>
        <v>0</v>
      </c>
      <c r="Y419" s="67">
        <v>44</v>
      </c>
      <c r="Z419" s="67">
        <v>319</v>
      </c>
      <c r="AA419" s="65" t="s">
        <v>116</v>
      </c>
      <c r="AB419" s="64" t="b">
        <f t="shared" si="48"/>
        <v>0</v>
      </c>
    </row>
    <row r="420" spans="1:28" ht="15" customHeight="1" x14ac:dyDescent="0.3">
      <c r="A420" s="57" t="s">
        <v>967</v>
      </c>
      <c r="B420" s="82">
        <v>45210</v>
      </c>
      <c r="C420" s="59">
        <f t="shared" si="42"/>
        <v>2023</v>
      </c>
      <c r="D420" s="59">
        <f t="shared" si="43"/>
        <v>10</v>
      </c>
      <c r="E420" s="59">
        <f t="shared" si="44"/>
        <v>41</v>
      </c>
      <c r="F420" s="57" t="s">
        <v>55</v>
      </c>
      <c r="G420" s="57" t="s">
        <v>46</v>
      </c>
      <c r="H420" s="57" t="s">
        <v>968</v>
      </c>
      <c r="I420" s="57" t="s">
        <v>68</v>
      </c>
      <c r="J420" s="57" t="s">
        <v>123</v>
      </c>
      <c r="K420" s="57" t="s">
        <v>74</v>
      </c>
      <c r="L420" s="57" t="s">
        <v>124</v>
      </c>
      <c r="M420" s="60">
        <v>767</v>
      </c>
      <c r="N420" s="57" t="s">
        <v>132</v>
      </c>
      <c r="O420" s="61">
        <v>64.510000000000005</v>
      </c>
      <c r="P420" s="61">
        <v>49479.17</v>
      </c>
      <c r="Q420" s="61">
        <v>1600.81</v>
      </c>
      <c r="R420" s="62">
        <f t="shared" si="45"/>
        <v>3.2353210451994241E-2</v>
      </c>
      <c r="S420" s="60">
        <v>16</v>
      </c>
      <c r="T420" s="58">
        <v>45226</v>
      </c>
      <c r="U420" s="58">
        <v>45221</v>
      </c>
      <c r="V420" s="63">
        <f t="shared" si="46"/>
        <v>-5</v>
      </c>
      <c r="W420" s="57" t="s">
        <v>115</v>
      </c>
      <c r="X420" s="64" t="b">
        <f t="shared" si="47"/>
        <v>1</v>
      </c>
      <c r="Y420" s="60">
        <v>93</v>
      </c>
      <c r="Z420" s="60">
        <v>203</v>
      </c>
      <c r="AA420" s="57" t="s">
        <v>116</v>
      </c>
      <c r="AB420" s="64" t="b">
        <f t="shared" si="48"/>
        <v>0</v>
      </c>
    </row>
    <row r="421" spans="1:28" ht="15" customHeight="1" x14ac:dyDescent="0.3">
      <c r="A421" s="65" t="s">
        <v>969</v>
      </c>
      <c r="B421" s="81">
        <v>44972</v>
      </c>
      <c r="C421" s="59">
        <f t="shared" si="42"/>
        <v>2023</v>
      </c>
      <c r="D421" s="59">
        <f t="shared" si="43"/>
        <v>2</v>
      </c>
      <c r="E421" s="59">
        <f t="shared" si="44"/>
        <v>7</v>
      </c>
      <c r="F421" s="65" t="s">
        <v>59</v>
      </c>
      <c r="G421" s="65" t="s">
        <v>43</v>
      </c>
      <c r="H421" s="65" t="s">
        <v>970</v>
      </c>
      <c r="I421" s="65" t="s">
        <v>65</v>
      </c>
      <c r="J421" s="65" t="s">
        <v>112</v>
      </c>
      <c r="K421" s="65" t="s">
        <v>71</v>
      </c>
      <c r="L421" s="65" t="s">
        <v>156</v>
      </c>
      <c r="M421" s="67">
        <v>731</v>
      </c>
      <c r="N421" s="65" t="s">
        <v>140</v>
      </c>
      <c r="O421" s="68">
        <v>268.14999999999998</v>
      </c>
      <c r="P421" s="68">
        <v>196017.65</v>
      </c>
      <c r="Q421" s="68">
        <v>7703.73</v>
      </c>
      <c r="R421" s="62">
        <f t="shared" si="45"/>
        <v>3.930120578427504E-2</v>
      </c>
      <c r="S421" s="67">
        <v>19</v>
      </c>
      <c r="T421" s="66">
        <v>44991</v>
      </c>
      <c r="U421" s="66">
        <v>44991</v>
      </c>
      <c r="V421" s="63">
        <f t="shared" si="46"/>
        <v>0</v>
      </c>
      <c r="W421" s="65" t="s">
        <v>115</v>
      </c>
      <c r="X421" s="64" t="b">
        <f t="shared" si="47"/>
        <v>1</v>
      </c>
      <c r="Y421" s="67">
        <v>106</v>
      </c>
      <c r="Z421" s="67">
        <v>354</v>
      </c>
      <c r="AA421" s="65" t="s">
        <v>84</v>
      </c>
      <c r="AB421" s="64" t="b">
        <f t="shared" si="48"/>
        <v>1</v>
      </c>
    </row>
    <row r="422" spans="1:28" ht="15" customHeight="1" x14ac:dyDescent="0.3">
      <c r="A422" s="57" t="s">
        <v>971</v>
      </c>
      <c r="B422" s="82">
        <v>44930</v>
      </c>
      <c r="C422" s="59">
        <f t="shared" si="42"/>
        <v>2023</v>
      </c>
      <c r="D422" s="59">
        <f t="shared" si="43"/>
        <v>1</v>
      </c>
      <c r="E422" s="59">
        <f t="shared" si="44"/>
        <v>1</v>
      </c>
      <c r="F422" s="57" t="s">
        <v>60</v>
      </c>
      <c r="G422" s="57" t="s">
        <v>43</v>
      </c>
      <c r="H422" s="57" t="s">
        <v>972</v>
      </c>
      <c r="I422" s="57" t="s">
        <v>69</v>
      </c>
      <c r="J422" s="57" t="s">
        <v>131</v>
      </c>
      <c r="K422" s="57" t="s">
        <v>71</v>
      </c>
      <c r="L422" s="57" t="s">
        <v>119</v>
      </c>
      <c r="M422" s="60">
        <v>520</v>
      </c>
      <c r="N422" s="57" t="s">
        <v>140</v>
      </c>
      <c r="O422" s="61">
        <v>168.83</v>
      </c>
      <c r="P422" s="61">
        <v>87791.6</v>
      </c>
      <c r="Q422" s="61">
        <v>4207.78</v>
      </c>
      <c r="R422" s="62">
        <f t="shared" si="45"/>
        <v>4.7929186847033192E-2</v>
      </c>
      <c r="S422" s="60">
        <v>4</v>
      </c>
      <c r="T422" s="58">
        <v>44934</v>
      </c>
      <c r="U422" s="58">
        <v>44934</v>
      </c>
      <c r="V422" s="63">
        <f t="shared" si="46"/>
        <v>0</v>
      </c>
      <c r="W422" s="57" t="s">
        <v>115</v>
      </c>
      <c r="X422" s="64" t="b">
        <f t="shared" si="47"/>
        <v>1</v>
      </c>
      <c r="Y422" s="60">
        <v>418</v>
      </c>
      <c r="Z422" s="60">
        <v>496</v>
      </c>
      <c r="AA422" s="57" t="s">
        <v>116</v>
      </c>
      <c r="AB422" s="64" t="b">
        <f t="shared" si="48"/>
        <v>0</v>
      </c>
    </row>
    <row r="423" spans="1:28" ht="15" customHeight="1" x14ac:dyDescent="0.3">
      <c r="A423" s="65" t="s">
        <v>973</v>
      </c>
      <c r="B423" s="81">
        <v>45268</v>
      </c>
      <c r="C423" s="59">
        <f t="shared" si="42"/>
        <v>2023</v>
      </c>
      <c r="D423" s="59">
        <f t="shared" si="43"/>
        <v>12</v>
      </c>
      <c r="E423" s="59">
        <f t="shared" si="44"/>
        <v>49</v>
      </c>
      <c r="F423" s="65" t="s">
        <v>56</v>
      </c>
      <c r="G423" s="65" t="s">
        <v>46</v>
      </c>
      <c r="H423" s="65" t="s">
        <v>974</v>
      </c>
      <c r="I423" s="65" t="s">
        <v>64</v>
      </c>
      <c r="J423" s="65" t="s">
        <v>151</v>
      </c>
      <c r="K423" s="65" t="s">
        <v>71</v>
      </c>
      <c r="L423" s="65" t="s">
        <v>156</v>
      </c>
      <c r="M423" s="67">
        <v>922</v>
      </c>
      <c r="N423" s="65" t="s">
        <v>136</v>
      </c>
      <c r="O423" s="68">
        <v>47.27</v>
      </c>
      <c r="P423" s="68">
        <v>43582.94</v>
      </c>
      <c r="Q423" s="68">
        <v>3338.09</v>
      </c>
      <c r="R423" s="62">
        <f t="shared" si="45"/>
        <v>7.6591666372208947E-2</v>
      </c>
      <c r="S423" s="67">
        <v>3</v>
      </c>
      <c r="T423" s="66">
        <v>45271</v>
      </c>
      <c r="U423" s="66">
        <v>45273</v>
      </c>
      <c r="V423" s="63">
        <f t="shared" si="46"/>
        <v>2</v>
      </c>
      <c r="W423" s="65" t="s">
        <v>125</v>
      </c>
      <c r="X423" s="64" t="b">
        <f t="shared" si="47"/>
        <v>0</v>
      </c>
      <c r="Y423" s="67">
        <v>277</v>
      </c>
      <c r="Z423" s="67">
        <v>293</v>
      </c>
      <c r="AA423" s="65" t="s">
        <v>82</v>
      </c>
      <c r="AB423" s="64" t="b">
        <f t="shared" si="48"/>
        <v>1</v>
      </c>
    </row>
    <row r="424" spans="1:28" ht="15" customHeight="1" x14ac:dyDescent="0.3">
      <c r="A424" s="57" t="s">
        <v>975</v>
      </c>
      <c r="B424" s="82">
        <v>45060</v>
      </c>
      <c r="C424" s="59">
        <f t="shared" si="42"/>
        <v>2023</v>
      </c>
      <c r="D424" s="59">
        <f t="shared" si="43"/>
        <v>5</v>
      </c>
      <c r="E424" s="59">
        <f t="shared" si="44"/>
        <v>20</v>
      </c>
      <c r="F424" s="57" t="s">
        <v>56</v>
      </c>
      <c r="G424" s="57" t="s">
        <v>39</v>
      </c>
      <c r="H424" s="57" t="s">
        <v>976</v>
      </c>
      <c r="I424" s="57" t="s">
        <v>68</v>
      </c>
      <c r="J424" s="57" t="s">
        <v>123</v>
      </c>
      <c r="K424" s="57" t="s">
        <v>71</v>
      </c>
      <c r="L424" s="57" t="s">
        <v>135</v>
      </c>
      <c r="M424" s="60">
        <v>295</v>
      </c>
      <c r="N424" s="57" t="s">
        <v>136</v>
      </c>
      <c r="O424" s="61">
        <v>2110.42</v>
      </c>
      <c r="P424" s="61">
        <v>622573.9</v>
      </c>
      <c r="Q424" s="61">
        <v>47255.78</v>
      </c>
      <c r="R424" s="62">
        <f t="shared" si="45"/>
        <v>7.5903888678918272E-2</v>
      </c>
      <c r="S424" s="60">
        <v>17</v>
      </c>
      <c r="T424" s="58">
        <v>45077</v>
      </c>
      <c r="U424" s="58">
        <v>45085</v>
      </c>
      <c r="V424" s="63">
        <f t="shared" si="46"/>
        <v>8</v>
      </c>
      <c r="W424" s="57" t="s">
        <v>125</v>
      </c>
      <c r="X424" s="64" t="b">
        <f t="shared" si="47"/>
        <v>0</v>
      </c>
      <c r="Y424" s="60">
        <v>127</v>
      </c>
      <c r="Z424" s="60">
        <v>144</v>
      </c>
      <c r="AA424" s="57" t="s">
        <v>81</v>
      </c>
      <c r="AB424" s="64" t="b">
        <f t="shared" si="48"/>
        <v>1</v>
      </c>
    </row>
    <row r="425" spans="1:28" ht="15" customHeight="1" x14ac:dyDescent="0.3">
      <c r="A425" s="65" t="s">
        <v>977</v>
      </c>
      <c r="B425" s="81">
        <v>45579</v>
      </c>
      <c r="C425" s="59">
        <f t="shared" si="42"/>
        <v>2024</v>
      </c>
      <c r="D425" s="59">
        <f t="shared" si="43"/>
        <v>10</v>
      </c>
      <c r="E425" s="59">
        <f t="shared" si="44"/>
        <v>42</v>
      </c>
      <c r="F425" s="65" t="s">
        <v>57</v>
      </c>
      <c r="G425" s="65" t="s">
        <v>42</v>
      </c>
      <c r="H425" s="65" t="s">
        <v>978</v>
      </c>
      <c r="I425" s="65" t="s">
        <v>64</v>
      </c>
      <c r="J425" s="65" t="s">
        <v>151</v>
      </c>
      <c r="K425" s="65" t="s">
        <v>74</v>
      </c>
      <c r="L425" s="65" t="s">
        <v>113</v>
      </c>
      <c r="M425" s="67">
        <v>880</v>
      </c>
      <c r="N425" s="65" t="s">
        <v>136</v>
      </c>
      <c r="O425" s="68">
        <v>77.95</v>
      </c>
      <c r="P425" s="68">
        <v>68596</v>
      </c>
      <c r="Q425" s="68">
        <v>2223.35</v>
      </c>
      <c r="R425" s="62">
        <f t="shared" si="45"/>
        <v>3.2412239780745235E-2</v>
      </c>
      <c r="S425" s="67">
        <v>17</v>
      </c>
      <c r="T425" s="66">
        <v>45596</v>
      </c>
      <c r="U425" s="66">
        <v>45608</v>
      </c>
      <c r="V425" s="63">
        <f t="shared" si="46"/>
        <v>12</v>
      </c>
      <c r="W425" s="65" t="s">
        <v>128</v>
      </c>
      <c r="X425" s="64" t="b">
        <f t="shared" si="47"/>
        <v>0</v>
      </c>
      <c r="Y425" s="67">
        <v>457</v>
      </c>
      <c r="Z425" s="67">
        <v>26</v>
      </c>
      <c r="AA425" s="65" t="s">
        <v>116</v>
      </c>
      <c r="AB425" s="64" t="b">
        <f t="shared" si="48"/>
        <v>0</v>
      </c>
    </row>
    <row r="426" spans="1:28" ht="15" customHeight="1" x14ac:dyDescent="0.3">
      <c r="A426" s="57" t="s">
        <v>979</v>
      </c>
      <c r="B426" s="82">
        <v>45195</v>
      </c>
      <c r="C426" s="59">
        <f t="shared" si="42"/>
        <v>2023</v>
      </c>
      <c r="D426" s="59">
        <f t="shared" si="43"/>
        <v>9</v>
      </c>
      <c r="E426" s="59">
        <f t="shared" si="44"/>
        <v>39</v>
      </c>
      <c r="F426" s="57" t="s">
        <v>60</v>
      </c>
      <c r="G426" s="57" t="s">
        <v>41</v>
      </c>
      <c r="H426" s="57" t="s">
        <v>980</v>
      </c>
      <c r="I426" s="57" t="s">
        <v>68</v>
      </c>
      <c r="J426" s="57" t="s">
        <v>143</v>
      </c>
      <c r="K426" s="57" t="s">
        <v>73</v>
      </c>
      <c r="L426" s="57" t="s">
        <v>146</v>
      </c>
      <c r="M426" s="60">
        <v>22</v>
      </c>
      <c r="N426" s="57" t="s">
        <v>120</v>
      </c>
      <c r="O426" s="61">
        <v>623.54999999999995</v>
      </c>
      <c r="P426" s="61">
        <v>13718.1</v>
      </c>
      <c r="Q426" s="61">
        <v>569.21</v>
      </c>
      <c r="R426" s="62">
        <f t="shared" si="45"/>
        <v>4.1493355493836613E-2</v>
      </c>
      <c r="S426" s="60">
        <v>12</v>
      </c>
      <c r="T426" s="58">
        <v>45207</v>
      </c>
      <c r="U426" s="58">
        <v>45202</v>
      </c>
      <c r="V426" s="63">
        <f t="shared" si="46"/>
        <v>-5</v>
      </c>
      <c r="W426" s="57" t="s">
        <v>115</v>
      </c>
      <c r="X426" s="64" t="b">
        <f t="shared" si="47"/>
        <v>1</v>
      </c>
      <c r="Y426" s="60">
        <v>458</v>
      </c>
      <c r="Z426" s="60">
        <v>16</v>
      </c>
      <c r="AA426" s="57" t="s">
        <v>116</v>
      </c>
      <c r="AB426" s="64" t="b">
        <f t="shared" si="48"/>
        <v>0</v>
      </c>
    </row>
    <row r="427" spans="1:28" ht="15" customHeight="1" x14ac:dyDescent="0.3">
      <c r="A427" s="65" t="s">
        <v>981</v>
      </c>
      <c r="B427" s="81">
        <v>45092</v>
      </c>
      <c r="C427" s="59">
        <f t="shared" si="42"/>
        <v>2023</v>
      </c>
      <c r="D427" s="59">
        <f t="shared" si="43"/>
        <v>6</v>
      </c>
      <c r="E427" s="59">
        <f t="shared" si="44"/>
        <v>24</v>
      </c>
      <c r="F427" s="65" t="s">
        <v>54</v>
      </c>
      <c r="G427" s="65" t="s">
        <v>39</v>
      </c>
      <c r="H427" s="65" t="s">
        <v>982</v>
      </c>
      <c r="I427" s="65" t="s">
        <v>64</v>
      </c>
      <c r="J427" s="65" t="s">
        <v>139</v>
      </c>
      <c r="K427" s="65" t="s">
        <v>74</v>
      </c>
      <c r="L427" s="65" t="s">
        <v>119</v>
      </c>
      <c r="M427" s="67">
        <v>617</v>
      </c>
      <c r="N427" s="65" t="s">
        <v>120</v>
      </c>
      <c r="O427" s="68">
        <v>1080.42</v>
      </c>
      <c r="P427" s="68">
        <v>666619.14</v>
      </c>
      <c r="Q427" s="68">
        <v>19307.93</v>
      </c>
      <c r="R427" s="62">
        <f t="shared" si="45"/>
        <v>2.8963959840697044E-2</v>
      </c>
      <c r="S427" s="67">
        <v>28</v>
      </c>
      <c r="T427" s="66">
        <v>45120</v>
      </c>
      <c r="U427" s="66">
        <v>45123</v>
      </c>
      <c r="V427" s="63">
        <f t="shared" si="46"/>
        <v>3</v>
      </c>
      <c r="W427" s="65" t="s">
        <v>128</v>
      </c>
      <c r="X427" s="64" t="b">
        <f t="shared" si="47"/>
        <v>0</v>
      </c>
      <c r="Y427" s="67">
        <v>37</v>
      </c>
      <c r="Z427" s="67">
        <v>62</v>
      </c>
      <c r="AA427" s="65" t="s">
        <v>81</v>
      </c>
      <c r="AB427" s="64" t="b">
        <f t="shared" si="48"/>
        <v>1</v>
      </c>
    </row>
    <row r="428" spans="1:28" ht="15" customHeight="1" x14ac:dyDescent="0.3">
      <c r="A428" s="57" t="s">
        <v>983</v>
      </c>
      <c r="B428" s="82">
        <v>45379</v>
      </c>
      <c r="C428" s="59">
        <f t="shared" si="42"/>
        <v>2024</v>
      </c>
      <c r="D428" s="59">
        <f t="shared" si="43"/>
        <v>3</v>
      </c>
      <c r="E428" s="59">
        <f t="shared" si="44"/>
        <v>13</v>
      </c>
      <c r="F428" s="57" t="s">
        <v>61</v>
      </c>
      <c r="G428" s="57" t="s">
        <v>44</v>
      </c>
      <c r="H428" s="57" t="s">
        <v>984</v>
      </c>
      <c r="I428" s="57" t="s">
        <v>67</v>
      </c>
      <c r="J428" s="57" t="s">
        <v>112</v>
      </c>
      <c r="K428" s="57" t="s">
        <v>74</v>
      </c>
      <c r="L428" s="57" t="s">
        <v>124</v>
      </c>
      <c r="M428" s="60">
        <v>507</v>
      </c>
      <c r="N428" s="57" t="s">
        <v>140</v>
      </c>
      <c r="O428" s="61">
        <v>150.24</v>
      </c>
      <c r="P428" s="61">
        <v>76171.679999999993</v>
      </c>
      <c r="Q428" s="61">
        <v>3854.22</v>
      </c>
      <c r="R428" s="62">
        <f t="shared" si="45"/>
        <v>5.0599120302978744E-2</v>
      </c>
      <c r="S428" s="60">
        <v>29</v>
      </c>
      <c r="T428" s="58">
        <v>45408</v>
      </c>
      <c r="U428" s="58">
        <v>45408</v>
      </c>
      <c r="V428" s="63">
        <f t="shared" si="46"/>
        <v>0</v>
      </c>
      <c r="W428" s="57" t="s">
        <v>115</v>
      </c>
      <c r="X428" s="64" t="b">
        <f t="shared" si="47"/>
        <v>1</v>
      </c>
      <c r="Y428" s="60">
        <v>96</v>
      </c>
      <c r="Z428" s="60">
        <v>266</v>
      </c>
      <c r="AA428" s="57" t="s">
        <v>82</v>
      </c>
      <c r="AB428" s="64" t="b">
        <f t="shared" si="48"/>
        <v>1</v>
      </c>
    </row>
    <row r="429" spans="1:28" ht="15" customHeight="1" x14ac:dyDescent="0.3">
      <c r="A429" s="65" t="s">
        <v>985</v>
      </c>
      <c r="B429" s="81">
        <v>45491</v>
      </c>
      <c r="C429" s="59">
        <f t="shared" si="42"/>
        <v>2024</v>
      </c>
      <c r="D429" s="59">
        <f t="shared" si="43"/>
        <v>7</v>
      </c>
      <c r="E429" s="59">
        <f t="shared" si="44"/>
        <v>29</v>
      </c>
      <c r="F429" s="65" t="s">
        <v>56</v>
      </c>
      <c r="G429" s="65" t="s">
        <v>45</v>
      </c>
      <c r="H429" s="65" t="s">
        <v>986</v>
      </c>
      <c r="I429" s="65" t="s">
        <v>64</v>
      </c>
      <c r="J429" s="65" t="s">
        <v>123</v>
      </c>
      <c r="K429" s="65" t="s">
        <v>72</v>
      </c>
      <c r="L429" s="65" t="s">
        <v>146</v>
      </c>
      <c r="M429" s="67">
        <v>742</v>
      </c>
      <c r="N429" s="65" t="s">
        <v>140</v>
      </c>
      <c r="O429" s="68">
        <v>190.58</v>
      </c>
      <c r="P429" s="68">
        <v>141410.35999999999</v>
      </c>
      <c r="Q429" s="68">
        <v>6736.08</v>
      </c>
      <c r="R429" s="62">
        <f t="shared" si="45"/>
        <v>4.7634982330856106E-2</v>
      </c>
      <c r="S429" s="67">
        <v>14</v>
      </c>
      <c r="T429" s="66">
        <v>45505</v>
      </c>
      <c r="U429" s="66">
        <v>45505</v>
      </c>
      <c r="V429" s="63">
        <f t="shared" si="46"/>
        <v>0</v>
      </c>
      <c r="W429" s="65" t="s">
        <v>115</v>
      </c>
      <c r="X429" s="64" t="b">
        <f t="shared" si="47"/>
        <v>1</v>
      </c>
      <c r="Y429" s="67">
        <v>197</v>
      </c>
      <c r="Z429" s="67">
        <v>63</v>
      </c>
      <c r="AA429" s="65" t="s">
        <v>116</v>
      </c>
      <c r="AB429" s="64" t="b">
        <f t="shared" si="48"/>
        <v>0</v>
      </c>
    </row>
    <row r="430" spans="1:28" ht="15" customHeight="1" x14ac:dyDescent="0.3">
      <c r="A430" s="57" t="s">
        <v>987</v>
      </c>
      <c r="B430" s="82">
        <v>45649</v>
      </c>
      <c r="C430" s="59">
        <f t="shared" si="42"/>
        <v>2024</v>
      </c>
      <c r="D430" s="59">
        <f t="shared" si="43"/>
        <v>12</v>
      </c>
      <c r="E430" s="59">
        <f t="shared" si="44"/>
        <v>52</v>
      </c>
      <c r="F430" s="57" t="s">
        <v>59</v>
      </c>
      <c r="G430" s="57" t="s">
        <v>40</v>
      </c>
      <c r="H430" s="57" t="s">
        <v>988</v>
      </c>
      <c r="I430" s="57" t="s">
        <v>69</v>
      </c>
      <c r="J430" s="57" t="s">
        <v>123</v>
      </c>
      <c r="K430" s="57" t="s">
        <v>75</v>
      </c>
      <c r="L430" s="57" t="s">
        <v>113</v>
      </c>
      <c r="M430" s="60">
        <v>247</v>
      </c>
      <c r="N430" s="57" t="s">
        <v>136</v>
      </c>
      <c r="O430" s="61">
        <v>595.66999999999996</v>
      </c>
      <c r="P430" s="61">
        <v>147130.49</v>
      </c>
      <c r="Q430" s="61">
        <v>10894.37</v>
      </c>
      <c r="R430" s="62">
        <f t="shared" si="45"/>
        <v>7.4045631194458755E-2</v>
      </c>
      <c r="S430" s="60">
        <v>21</v>
      </c>
      <c r="T430" s="58">
        <v>45670</v>
      </c>
      <c r="U430" s="58">
        <v>45682</v>
      </c>
      <c r="V430" s="63">
        <f t="shared" si="46"/>
        <v>12</v>
      </c>
      <c r="W430" s="57" t="s">
        <v>128</v>
      </c>
      <c r="X430" s="64" t="b">
        <f t="shared" si="47"/>
        <v>0</v>
      </c>
      <c r="Y430" s="60">
        <v>191</v>
      </c>
      <c r="Z430" s="60">
        <v>38</v>
      </c>
      <c r="AA430" s="57" t="s">
        <v>81</v>
      </c>
      <c r="AB430" s="64" t="b">
        <f t="shared" si="48"/>
        <v>1</v>
      </c>
    </row>
    <row r="431" spans="1:28" ht="15" customHeight="1" x14ac:dyDescent="0.3">
      <c r="A431" s="65" t="s">
        <v>989</v>
      </c>
      <c r="B431" s="81">
        <v>45364</v>
      </c>
      <c r="C431" s="59">
        <f t="shared" si="42"/>
        <v>2024</v>
      </c>
      <c r="D431" s="59">
        <f t="shared" si="43"/>
        <v>3</v>
      </c>
      <c r="E431" s="59">
        <f t="shared" si="44"/>
        <v>11</v>
      </c>
      <c r="F431" s="65" t="s">
        <v>55</v>
      </c>
      <c r="G431" s="65" t="s">
        <v>46</v>
      </c>
      <c r="H431" s="65" t="s">
        <v>990</v>
      </c>
      <c r="I431" s="65" t="s">
        <v>68</v>
      </c>
      <c r="J431" s="65" t="s">
        <v>131</v>
      </c>
      <c r="K431" s="65" t="s">
        <v>75</v>
      </c>
      <c r="L431" s="65" t="s">
        <v>135</v>
      </c>
      <c r="M431" s="67">
        <v>103</v>
      </c>
      <c r="N431" s="65" t="s">
        <v>120</v>
      </c>
      <c r="O431" s="68">
        <v>71.27</v>
      </c>
      <c r="P431" s="68">
        <v>7340.81</v>
      </c>
      <c r="Q431" s="68">
        <v>556.44000000000005</v>
      </c>
      <c r="R431" s="62">
        <f t="shared" si="45"/>
        <v>7.5800899355793164E-2</v>
      </c>
      <c r="S431" s="67">
        <v>6</v>
      </c>
      <c r="T431" s="66">
        <v>45370</v>
      </c>
      <c r="U431" s="66">
        <v>45373</v>
      </c>
      <c r="V431" s="63">
        <f t="shared" si="46"/>
        <v>3</v>
      </c>
      <c r="W431" s="65" t="s">
        <v>128</v>
      </c>
      <c r="X431" s="64" t="b">
        <f t="shared" si="47"/>
        <v>0</v>
      </c>
      <c r="Y431" s="67">
        <v>356</v>
      </c>
      <c r="Z431" s="67">
        <v>129</v>
      </c>
      <c r="AA431" s="65" t="s">
        <v>81</v>
      </c>
      <c r="AB431" s="64" t="b">
        <f t="shared" si="48"/>
        <v>1</v>
      </c>
    </row>
    <row r="432" spans="1:28" ht="15" customHeight="1" x14ac:dyDescent="0.3">
      <c r="A432" s="57" t="s">
        <v>991</v>
      </c>
      <c r="B432" s="82">
        <v>45501</v>
      </c>
      <c r="C432" s="59">
        <f t="shared" si="42"/>
        <v>2024</v>
      </c>
      <c r="D432" s="59">
        <f t="shared" si="43"/>
        <v>7</v>
      </c>
      <c r="E432" s="59">
        <f t="shared" si="44"/>
        <v>31</v>
      </c>
      <c r="F432" s="57" t="s">
        <v>55</v>
      </c>
      <c r="G432" s="57" t="s">
        <v>45</v>
      </c>
      <c r="H432" s="57" t="s">
        <v>992</v>
      </c>
      <c r="I432" s="57" t="s">
        <v>69</v>
      </c>
      <c r="J432" s="57" t="s">
        <v>131</v>
      </c>
      <c r="K432" s="57" t="s">
        <v>72</v>
      </c>
      <c r="L432" s="57" t="s">
        <v>135</v>
      </c>
      <c r="M432" s="60">
        <v>347</v>
      </c>
      <c r="N432" s="57" t="s">
        <v>163</v>
      </c>
      <c r="O432" s="61">
        <v>178.53</v>
      </c>
      <c r="P432" s="61">
        <v>61949.91</v>
      </c>
      <c r="Q432" s="61">
        <v>2664.72</v>
      </c>
      <c r="R432" s="62">
        <f t="shared" si="45"/>
        <v>4.3014106073761847E-2</v>
      </c>
      <c r="S432" s="60">
        <v>3</v>
      </c>
      <c r="T432" s="58">
        <v>45504</v>
      </c>
      <c r="U432" s="58">
        <v>45512</v>
      </c>
      <c r="V432" s="63">
        <f t="shared" si="46"/>
        <v>8</v>
      </c>
      <c r="W432" s="57" t="s">
        <v>128</v>
      </c>
      <c r="X432" s="64" t="b">
        <f t="shared" si="47"/>
        <v>0</v>
      </c>
      <c r="Y432" s="60">
        <v>6</v>
      </c>
      <c r="Z432" s="60">
        <v>114</v>
      </c>
      <c r="AA432" s="57" t="s">
        <v>116</v>
      </c>
      <c r="AB432" s="64" t="b">
        <f t="shared" si="48"/>
        <v>0</v>
      </c>
    </row>
    <row r="433" spans="1:28" ht="15" customHeight="1" x14ac:dyDescent="0.3">
      <c r="A433" s="65" t="s">
        <v>993</v>
      </c>
      <c r="B433" s="81">
        <v>44936</v>
      </c>
      <c r="C433" s="59">
        <f t="shared" si="42"/>
        <v>2023</v>
      </c>
      <c r="D433" s="59">
        <f t="shared" si="43"/>
        <v>1</v>
      </c>
      <c r="E433" s="59">
        <f t="shared" si="44"/>
        <v>2</v>
      </c>
      <c r="F433" s="65" t="s">
        <v>53</v>
      </c>
      <c r="G433" s="65" t="s">
        <v>41</v>
      </c>
      <c r="H433" s="65" t="s">
        <v>994</v>
      </c>
      <c r="I433" s="65" t="s">
        <v>64</v>
      </c>
      <c r="J433" s="65" t="s">
        <v>131</v>
      </c>
      <c r="K433" s="65" t="s">
        <v>74</v>
      </c>
      <c r="L433" s="65" t="s">
        <v>135</v>
      </c>
      <c r="M433" s="67">
        <v>790</v>
      </c>
      <c r="N433" s="65" t="s">
        <v>120</v>
      </c>
      <c r="O433" s="68">
        <v>504.72</v>
      </c>
      <c r="P433" s="68">
        <v>398728.8</v>
      </c>
      <c r="Q433" s="68">
        <v>19738.78</v>
      </c>
      <c r="R433" s="62">
        <f t="shared" si="45"/>
        <v>4.950427458462995E-2</v>
      </c>
      <c r="S433" s="67">
        <v>28</v>
      </c>
      <c r="T433" s="66">
        <v>44964</v>
      </c>
      <c r="U433" s="66">
        <v>44964</v>
      </c>
      <c r="V433" s="63">
        <f t="shared" si="46"/>
        <v>0</v>
      </c>
      <c r="W433" s="65" t="s">
        <v>125</v>
      </c>
      <c r="X433" s="64" t="b">
        <f t="shared" si="47"/>
        <v>0</v>
      </c>
      <c r="Y433" s="67">
        <v>43</v>
      </c>
      <c r="Z433" s="67">
        <v>449</v>
      </c>
      <c r="AA433" s="65" t="s">
        <v>82</v>
      </c>
      <c r="AB433" s="64" t="b">
        <f t="shared" si="48"/>
        <v>1</v>
      </c>
    </row>
    <row r="434" spans="1:28" ht="15" customHeight="1" x14ac:dyDescent="0.3">
      <c r="A434" s="57" t="s">
        <v>995</v>
      </c>
      <c r="B434" s="82">
        <v>45041</v>
      </c>
      <c r="C434" s="59">
        <f t="shared" si="42"/>
        <v>2023</v>
      </c>
      <c r="D434" s="59">
        <f t="shared" si="43"/>
        <v>4</v>
      </c>
      <c r="E434" s="59">
        <f t="shared" si="44"/>
        <v>17</v>
      </c>
      <c r="F434" s="57" t="s">
        <v>53</v>
      </c>
      <c r="G434" s="57" t="s">
        <v>43</v>
      </c>
      <c r="H434" s="57" t="s">
        <v>996</v>
      </c>
      <c r="I434" s="57" t="s">
        <v>66</v>
      </c>
      <c r="J434" s="57" t="s">
        <v>151</v>
      </c>
      <c r="K434" s="57" t="s">
        <v>72</v>
      </c>
      <c r="L434" s="57" t="s">
        <v>135</v>
      </c>
      <c r="M434" s="60">
        <v>180</v>
      </c>
      <c r="N434" s="57" t="s">
        <v>140</v>
      </c>
      <c r="O434" s="61">
        <v>152.88999999999999</v>
      </c>
      <c r="P434" s="61">
        <v>27520.2</v>
      </c>
      <c r="Q434" s="61">
        <v>2030.28</v>
      </c>
      <c r="R434" s="62">
        <f t="shared" si="45"/>
        <v>7.3774173152811387E-2</v>
      </c>
      <c r="S434" s="60">
        <v>9</v>
      </c>
      <c r="T434" s="58">
        <v>45050</v>
      </c>
      <c r="U434" s="58">
        <v>45050</v>
      </c>
      <c r="V434" s="63">
        <f t="shared" si="46"/>
        <v>0</v>
      </c>
      <c r="W434" s="57" t="s">
        <v>115</v>
      </c>
      <c r="X434" s="64" t="b">
        <f t="shared" si="47"/>
        <v>1</v>
      </c>
      <c r="Y434" s="60">
        <v>331</v>
      </c>
      <c r="Z434" s="60">
        <v>437</v>
      </c>
      <c r="AA434" s="57" t="s">
        <v>116</v>
      </c>
      <c r="AB434" s="64" t="b">
        <f t="shared" si="48"/>
        <v>0</v>
      </c>
    </row>
    <row r="435" spans="1:28" ht="15" customHeight="1" x14ac:dyDescent="0.3">
      <c r="A435" s="65" t="s">
        <v>997</v>
      </c>
      <c r="B435" s="81">
        <v>45004</v>
      </c>
      <c r="C435" s="59">
        <f t="shared" si="42"/>
        <v>2023</v>
      </c>
      <c r="D435" s="59">
        <f t="shared" si="43"/>
        <v>3</v>
      </c>
      <c r="E435" s="59">
        <f t="shared" si="44"/>
        <v>12</v>
      </c>
      <c r="F435" s="65" t="s">
        <v>57</v>
      </c>
      <c r="G435" s="65" t="s">
        <v>40</v>
      </c>
      <c r="H435" s="65" t="s">
        <v>998</v>
      </c>
      <c r="I435" s="65" t="s">
        <v>66</v>
      </c>
      <c r="J435" s="65" t="s">
        <v>112</v>
      </c>
      <c r="K435" s="65" t="s">
        <v>71</v>
      </c>
      <c r="L435" s="65" t="s">
        <v>119</v>
      </c>
      <c r="M435" s="67">
        <v>990</v>
      </c>
      <c r="N435" s="65" t="s">
        <v>120</v>
      </c>
      <c r="O435" s="68">
        <v>654.17999999999995</v>
      </c>
      <c r="P435" s="68">
        <v>647638.19999999995</v>
      </c>
      <c r="Q435" s="68">
        <v>44300.05</v>
      </c>
      <c r="R435" s="62">
        <f t="shared" si="45"/>
        <v>6.840246606824614E-2</v>
      </c>
      <c r="S435" s="67">
        <v>5</v>
      </c>
      <c r="T435" s="66">
        <v>45009</v>
      </c>
      <c r="U435" s="66">
        <v>45021</v>
      </c>
      <c r="V435" s="63">
        <f t="shared" si="46"/>
        <v>12</v>
      </c>
      <c r="W435" s="65" t="s">
        <v>125</v>
      </c>
      <c r="X435" s="64" t="b">
        <f t="shared" si="47"/>
        <v>0</v>
      </c>
      <c r="Y435" s="67">
        <v>6</v>
      </c>
      <c r="Z435" s="67">
        <v>412</v>
      </c>
      <c r="AA435" s="65" t="s">
        <v>81</v>
      </c>
      <c r="AB435" s="64" t="b">
        <f t="shared" si="48"/>
        <v>1</v>
      </c>
    </row>
    <row r="436" spans="1:28" ht="15" customHeight="1" x14ac:dyDescent="0.3">
      <c r="A436" s="57" t="s">
        <v>999</v>
      </c>
      <c r="B436" s="82">
        <v>45634</v>
      </c>
      <c r="C436" s="59">
        <f t="shared" si="42"/>
        <v>2024</v>
      </c>
      <c r="D436" s="59">
        <f t="shared" si="43"/>
        <v>12</v>
      </c>
      <c r="E436" s="59">
        <f t="shared" si="44"/>
        <v>50</v>
      </c>
      <c r="F436" s="57" t="s">
        <v>54</v>
      </c>
      <c r="G436" s="57" t="s">
        <v>45</v>
      </c>
      <c r="H436" s="57" t="s">
        <v>1000</v>
      </c>
      <c r="I436" s="57" t="s">
        <v>66</v>
      </c>
      <c r="J436" s="57" t="s">
        <v>151</v>
      </c>
      <c r="K436" s="57" t="s">
        <v>72</v>
      </c>
      <c r="L436" s="57" t="s">
        <v>119</v>
      </c>
      <c r="M436" s="60">
        <v>615</v>
      </c>
      <c r="N436" s="57" t="s">
        <v>140</v>
      </c>
      <c r="O436" s="61">
        <v>187.68</v>
      </c>
      <c r="P436" s="61">
        <v>115423.2</v>
      </c>
      <c r="Q436" s="61">
        <v>2333.79</v>
      </c>
      <c r="R436" s="62">
        <f t="shared" si="45"/>
        <v>2.0219418626411328E-2</v>
      </c>
      <c r="S436" s="60">
        <v>24</v>
      </c>
      <c r="T436" s="58">
        <v>45658</v>
      </c>
      <c r="U436" s="58">
        <v>45658</v>
      </c>
      <c r="V436" s="63">
        <f t="shared" si="46"/>
        <v>0</v>
      </c>
      <c r="W436" s="57" t="s">
        <v>115</v>
      </c>
      <c r="X436" s="64" t="b">
        <f t="shared" si="47"/>
        <v>1</v>
      </c>
      <c r="Y436" s="60">
        <v>193</v>
      </c>
      <c r="Z436" s="60">
        <v>44</v>
      </c>
      <c r="AA436" s="57" t="s">
        <v>82</v>
      </c>
      <c r="AB436" s="64" t="b">
        <f t="shared" si="48"/>
        <v>1</v>
      </c>
    </row>
    <row r="437" spans="1:28" ht="15" customHeight="1" x14ac:dyDescent="0.3">
      <c r="A437" s="65" t="s">
        <v>1001</v>
      </c>
      <c r="B437" s="81">
        <v>45079</v>
      </c>
      <c r="C437" s="59">
        <f t="shared" si="42"/>
        <v>2023</v>
      </c>
      <c r="D437" s="59">
        <f t="shared" si="43"/>
        <v>6</v>
      </c>
      <c r="E437" s="59">
        <f t="shared" si="44"/>
        <v>22</v>
      </c>
      <c r="F437" s="65" t="s">
        <v>57</v>
      </c>
      <c r="G437" s="65" t="s">
        <v>42</v>
      </c>
      <c r="H437" s="65" t="s">
        <v>1002</v>
      </c>
      <c r="I437" s="65" t="s">
        <v>68</v>
      </c>
      <c r="J437" s="65" t="s">
        <v>112</v>
      </c>
      <c r="K437" s="65" t="s">
        <v>72</v>
      </c>
      <c r="L437" s="65" t="s">
        <v>156</v>
      </c>
      <c r="M437" s="67">
        <v>670</v>
      </c>
      <c r="N437" s="65" t="s">
        <v>136</v>
      </c>
      <c r="O437" s="68">
        <v>61.74</v>
      </c>
      <c r="P437" s="68">
        <v>41365.800000000003</v>
      </c>
      <c r="Q437" s="68">
        <v>1621.69</v>
      </c>
      <c r="R437" s="62">
        <f t="shared" si="45"/>
        <v>3.920364165566724E-2</v>
      </c>
      <c r="S437" s="67">
        <v>29</v>
      </c>
      <c r="T437" s="66">
        <v>45108</v>
      </c>
      <c r="U437" s="66">
        <v>45103</v>
      </c>
      <c r="V437" s="63">
        <f t="shared" si="46"/>
        <v>-5</v>
      </c>
      <c r="W437" s="65" t="s">
        <v>115</v>
      </c>
      <c r="X437" s="64" t="b">
        <f t="shared" si="47"/>
        <v>1</v>
      </c>
      <c r="Y437" s="67">
        <v>315</v>
      </c>
      <c r="Z437" s="67">
        <v>215</v>
      </c>
      <c r="AA437" s="65" t="s">
        <v>81</v>
      </c>
      <c r="AB437" s="64" t="b">
        <f t="shared" si="48"/>
        <v>1</v>
      </c>
    </row>
    <row r="438" spans="1:28" ht="15" customHeight="1" x14ac:dyDescent="0.3">
      <c r="A438" s="57" t="s">
        <v>1003</v>
      </c>
      <c r="B438" s="82">
        <v>45485</v>
      </c>
      <c r="C438" s="59">
        <f t="shared" si="42"/>
        <v>2024</v>
      </c>
      <c r="D438" s="59">
        <f t="shared" si="43"/>
        <v>7</v>
      </c>
      <c r="E438" s="59">
        <f t="shared" si="44"/>
        <v>28</v>
      </c>
      <c r="F438" s="57" t="s">
        <v>55</v>
      </c>
      <c r="G438" s="57" t="s">
        <v>45</v>
      </c>
      <c r="H438" s="57" t="s">
        <v>1004</v>
      </c>
      <c r="I438" s="57" t="s">
        <v>65</v>
      </c>
      <c r="J438" s="57" t="s">
        <v>123</v>
      </c>
      <c r="K438" s="57" t="s">
        <v>71</v>
      </c>
      <c r="L438" s="57" t="s">
        <v>124</v>
      </c>
      <c r="M438" s="60">
        <v>633</v>
      </c>
      <c r="N438" s="57" t="s">
        <v>136</v>
      </c>
      <c r="O438" s="61">
        <v>285.73</v>
      </c>
      <c r="P438" s="61">
        <v>180867.09</v>
      </c>
      <c r="Q438" s="61">
        <v>8194.4500000000007</v>
      </c>
      <c r="R438" s="62">
        <f t="shared" si="45"/>
        <v>4.5306473388829337E-2</v>
      </c>
      <c r="S438" s="60">
        <v>17</v>
      </c>
      <c r="T438" s="58">
        <v>45502</v>
      </c>
      <c r="U438" s="58">
        <v>45497</v>
      </c>
      <c r="V438" s="63">
        <f t="shared" si="46"/>
        <v>-5</v>
      </c>
      <c r="W438" s="57" t="s">
        <v>115</v>
      </c>
      <c r="X438" s="64" t="b">
        <f t="shared" si="47"/>
        <v>1</v>
      </c>
      <c r="Y438" s="60">
        <v>0</v>
      </c>
      <c r="Z438" s="60">
        <v>87</v>
      </c>
      <c r="AA438" s="57" t="s">
        <v>116</v>
      </c>
      <c r="AB438" s="64" t="b">
        <f t="shared" si="48"/>
        <v>0</v>
      </c>
    </row>
    <row r="439" spans="1:28" ht="15" customHeight="1" x14ac:dyDescent="0.3">
      <c r="A439" s="65" t="s">
        <v>1005</v>
      </c>
      <c r="B439" s="81">
        <v>44963</v>
      </c>
      <c r="C439" s="59">
        <f t="shared" si="42"/>
        <v>2023</v>
      </c>
      <c r="D439" s="59">
        <f t="shared" si="43"/>
        <v>2</v>
      </c>
      <c r="E439" s="59">
        <f t="shared" si="44"/>
        <v>6</v>
      </c>
      <c r="F439" s="65" t="s">
        <v>58</v>
      </c>
      <c r="G439" s="65" t="s">
        <v>44</v>
      </c>
      <c r="H439" s="65" t="s">
        <v>1006</v>
      </c>
      <c r="I439" s="65" t="s">
        <v>67</v>
      </c>
      <c r="J439" s="65" t="s">
        <v>151</v>
      </c>
      <c r="K439" s="65" t="s">
        <v>75</v>
      </c>
      <c r="L439" s="65" t="s">
        <v>156</v>
      </c>
      <c r="M439" s="67">
        <v>576</v>
      </c>
      <c r="N439" s="65" t="s">
        <v>136</v>
      </c>
      <c r="O439" s="68">
        <v>84.58</v>
      </c>
      <c r="P439" s="68">
        <v>48718.080000000002</v>
      </c>
      <c r="Q439" s="68">
        <v>1645.84</v>
      </c>
      <c r="R439" s="62">
        <f t="shared" si="45"/>
        <v>3.3782940542812848E-2</v>
      </c>
      <c r="S439" s="67">
        <v>14</v>
      </c>
      <c r="T439" s="66">
        <v>44977</v>
      </c>
      <c r="U439" s="66">
        <v>44979</v>
      </c>
      <c r="V439" s="63">
        <f t="shared" si="46"/>
        <v>2</v>
      </c>
      <c r="W439" s="65" t="s">
        <v>128</v>
      </c>
      <c r="X439" s="64" t="b">
        <f t="shared" si="47"/>
        <v>0</v>
      </c>
      <c r="Y439" s="67">
        <v>61</v>
      </c>
      <c r="Z439" s="67">
        <v>335</v>
      </c>
      <c r="AA439" s="65" t="s">
        <v>116</v>
      </c>
      <c r="AB439" s="64" t="b">
        <f t="shared" si="48"/>
        <v>0</v>
      </c>
    </row>
    <row r="440" spans="1:28" ht="15" customHeight="1" x14ac:dyDescent="0.3">
      <c r="A440" s="57" t="s">
        <v>1007</v>
      </c>
      <c r="B440" s="82">
        <v>45305</v>
      </c>
      <c r="C440" s="59">
        <f t="shared" si="42"/>
        <v>2024</v>
      </c>
      <c r="D440" s="59">
        <f t="shared" si="43"/>
        <v>1</v>
      </c>
      <c r="E440" s="59">
        <f t="shared" si="44"/>
        <v>3</v>
      </c>
      <c r="F440" s="57" t="s">
        <v>55</v>
      </c>
      <c r="G440" s="57" t="s">
        <v>43</v>
      </c>
      <c r="H440" s="57" t="s">
        <v>1008</v>
      </c>
      <c r="I440" s="57" t="s">
        <v>64</v>
      </c>
      <c r="J440" s="57" t="s">
        <v>151</v>
      </c>
      <c r="K440" s="57" t="s">
        <v>71</v>
      </c>
      <c r="L440" s="57" t="s">
        <v>124</v>
      </c>
      <c r="M440" s="60">
        <v>858</v>
      </c>
      <c r="N440" s="57" t="s">
        <v>163</v>
      </c>
      <c r="O440" s="61">
        <v>217.42</v>
      </c>
      <c r="P440" s="61">
        <v>186546.36</v>
      </c>
      <c r="Q440" s="61">
        <v>5964.69</v>
      </c>
      <c r="R440" s="62">
        <f t="shared" si="45"/>
        <v>3.1974303867413977E-2</v>
      </c>
      <c r="S440" s="60">
        <v>21</v>
      </c>
      <c r="T440" s="58">
        <v>45326</v>
      </c>
      <c r="U440" s="58">
        <v>45338</v>
      </c>
      <c r="V440" s="63">
        <f t="shared" si="46"/>
        <v>12</v>
      </c>
      <c r="W440" s="57" t="s">
        <v>125</v>
      </c>
      <c r="X440" s="64" t="b">
        <f t="shared" si="47"/>
        <v>0</v>
      </c>
      <c r="Y440" s="60">
        <v>342</v>
      </c>
      <c r="Z440" s="60">
        <v>414</v>
      </c>
      <c r="AA440" s="57" t="s">
        <v>116</v>
      </c>
      <c r="AB440" s="64" t="b">
        <f t="shared" si="48"/>
        <v>0</v>
      </c>
    </row>
    <row r="441" spans="1:28" ht="15" customHeight="1" x14ac:dyDescent="0.3">
      <c r="A441" s="65" t="s">
        <v>1009</v>
      </c>
      <c r="B441" s="81">
        <v>45523</v>
      </c>
      <c r="C441" s="59">
        <f t="shared" si="42"/>
        <v>2024</v>
      </c>
      <c r="D441" s="59">
        <f t="shared" si="43"/>
        <v>8</v>
      </c>
      <c r="E441" s="59">
        <f t="shared" si="44"/>
        <v>34</v>
      </c>
      <c r="F441" s="65" t="s">
        <v>56</v>
      </c>
      <c r="G441" s="65" t="s">
        <v>46</v>
      </c>
      <c r="H441" s="65" t="s">
        <v>1010</v>
      </c>
      <c r="I441" s="65" t="s">
        <v>65</v>
      </c>
      <c r="J441" s="65" t="s">
        <v>151</v>
      </c>
      <c r="K441" s="65" t="s">
        <v>73</v>
      </c>
      <c r="L441" s="65" t="s">
        <v>113</v>
      </c>
      <c r="M441" s="67">
        <v>945</v>
      </c>
      <c r="N441" s="65" t="s">
        <v>163</v>
      </c>
      <c r="O441" s="68">
        <v>47.92</v>
      </c>
      <c r="P441" s="68">
        <v>45284.4</v>
      </c>
      <c r="Q441" s="68">
        <v>1008.35</v>
      </c>
      <c r="R441" s="62">
        <f t="shared" si="45"/>
        <v>2.2267050021641005E-2</v>
      </c>
      <c r="S441" s="67">
        <v>3</v>
      </c>
      <c r="T441" s="66">
        <v>45526</v>
      </c>
      <c r="U441" s="66">
        <v>45528</v>
      </c>
      <c r="V441" s="63">
        <f t="shared" si="46"/>
        <v>2</v>
      </c>
      <c r="W441" s="65" t="s">
        <v>128</v>
      </c>
      <c r="X441" s="64" t="b">
        <f t="shared" si="47"/>
        <v>0</v>
      </c>
      <c r="Y441" s="67">
        <v>88</v>
      </c>
      <c r="Z441" s="67">
        <v>176</v>
      </c>
      <c r="AA441" s="65" t="s">
        <v>116</v>
      </c>
      <c r="AB441" s="64" t="b">
        <f t="shared" si="48"/>
        <v>0</v>
      </c>
    </row>
    <row r="442" spans="1:28" ht="15" customHeight="1" x14ac:dyDescent="0.3">
      <c r="A442" s="57" t="s">
        <v>1011</v>
      </c>
      <c r="B442" s="82">
        <v>45492</v>
      </c>
      <c r="C442" s="59">
        <f t="shared" si="42"/>
        <v>2024</v>
      </c>
      <c r="D442" s="59">
        <f t="shared" si="43"/>
        <v>7</v>
      </c>
      <c r="E442" s="59">
        <f t="shared" si="44"/>
        <v>29</v>
      </c>
      <c r="F442" s="57" t="s">
        <v>60</v>
      </c>
      <c r="G442" s="57" t="s">
        <v>41</v>
      </c>
      <c r="H442" s="57" t="s">
        <v>1012</v>
      </c>
      <c r="I442" s="57" t="s">
        <v>66</v>
      </c>
      <c r="J442" s="57" t="s">
        <v>139</v>
      </c>
      <c r="K442" s="57" t="s">
        <v>72</v>
      </c>
      <c r="L442" s="57" t="s">
        <v>156</v>
      </c>
      <c r="M442" s="60">
        <v>476</v>
      </c>
      <c r="N442" s="57" t="s">
        <v>140</v>
      </c>
      <c r="O442" s="61">
        <v>473.07</v>
      </c>
      <c r="P442" s="61">
        <v>225181.32</v>
      </c>
      <c r="Q442" s="61">
        <v>13196.12</v>
      </c>
      <c r="R442" s="62">
        <f t="shared" si="45"/>
        <v>5.8602196665336184E-2</v>
      </c>
      <c r="S442" s="60">
        <v>28</v>
      </c>
      <c r="T442" s="58">
        <v>45520</v>
      </c>
      <c r="U442" s="58">
        <v>45532</v>
      </c>
      <c r="V442" s="63">
        <f t="shared" si="46"/>
        <v>12</v>
      </c>
      <c r="W442" s="57" t="s">
        <v>125</v>
      </c>
      <c r="X442" s="64" t="b">
        <f t="shared" si="47"/>
        <v>0</v>
      </c>
      <c r="Y442" s="60">
        <v>17</v>
      </c>
      <c r="Z442" s="60">
        <v>490</v>
      </c>
      <c r="AA442" s="57" t="s">
        <v>116</v>
      </c>
      <c r="AB442" s="64" t="b">
        <f t="shared" si="48"/>
        <v>0</v>
      </c>
    </row>
    <row r="443" spans="1:28" ht="15" customHeight="1" x14ac:dyDescent="0.3">
      <c r="A443" s="65" t="s">
        <v>1013</v>
      </c>
      <c r="B443" s="81">
        <v>45078</v>
      </c>
      <c r="C443" s="59">
        <f t="shared" si="42"/>
        <v>2023</v>
      </c>
      <c r="D443" s="59">
        <f t="shared" si="43"/>
        <v>6</v>
      </c>
      <c r="E443" s="59">
        <f t="shared" si="44"/>
        <v>22</v>
      </c>
      <c r="F443" s="65" t="s">
        <v>60</v>
      </c>
      <c r="G443" s="65" t="s">
        <v>46</v>
      </c>
      <c r="H443" s="65" t="s">
        <v>1014</v>
      </c>
      <c r="I443" s="65" t="s">
        <v>64</v>
      </c>
      <c r="J443" s="65" t="s">
        <v>143</v>
      </c>
      <c r="K443" s="65" t="s">
        <v>72</v>
      </c>
      <c r="L443" s="65" t="s">
        <v>113</v>
      </c>
      <c r="M443" s="67">
        <v>637</v>
      </c>
      <c r="N443" s="65" t="s">
        <v>132</v>
      </c>
      <c r="O443" s="68">
        <v>86.45</v>
      </c>
      <c r="P443" s="68">
        <v>55068.65</v>
      </c>
      <c r="Q443" s="68">
        <v>1968.74</v>
      </c>
      <c r="R443" s="62">
        <f t="shared" si="45"/>
        <v>3.5750649416682628E-2</v>
      </c>
      <c r="S443" s="67">
        <v>1</v>
      </c>
      <c r="T443" s="66">
        <v>45079</v>
      </c>
      <c r="U443" s="66">
        <v>45079</v>
      </c>
      <c r="V443" s="63">
        <f t="shared" si="46"/>
        <v>0</v>
      </c>
      <c r="W443" s="65" t="s">
        <v>115</v>
      </c>
      <c r="X443" s="64" t="b">
        <f t="shared" si="47"/>
        <v>1</v>
      </c>
      <c r="Y443" s="67">
        <v>107</v>
      </c>
      <c r="Z443" s="67">
        <v>264</v>
      </c>
      <c r="AA443" s="65" t="s">
        <v>81</v>
      </c>
      <c r="AB443" s="64" t="b">
        <f t="shared" si="48"/>
        <v>1</v>
      </c>
    </row>
    <row r="444" spans="1:28" ht="15" customHeight="1" x14ac:dyDescent="0.3">
      <c r="A444" s="57" t="s">
        <v>1015</v>
      </c>
      <c r="B444" s="82">
        <v>45367</v>
      </c>
      <c r="C444" s="59">
        <f t="shared" si="42"/>
        <v>2024</v>
      </c>
      <c r="D444" s="59">
        <f t="shared" si="43"/>
        <v>3</v>
      </c>
      <c r="E444" s="59">
        <f t="shared" si="44"/>
        <v>11</v>
      </c>
      <c r="F444" s="57" t="s">
        <v>56</v>
      </c>
      <c r="G444" s="57" t="s">
        <v>40</v>
      </c>
      <c r="H444" s="57" t="s">
        <v>1016</v>
      </c>
      <c r="I444" s="57" t="s">
        <v>65</v>
      </c>
      <c r="J444" s="57" t="s">
        <v>112</v>
      </c>
      <c r="K444" s="57" t="s">
        <v>75</v>
      </c>
      <c r="L444" s="57" t="s">
        <v>113</v>
      </c>
      <c r="M444" s="60">
        <v>152</v>
      </c>
      <c r="N444" s="57" t="s">
        <v>114</v>
      </c>
      <c r="O444" s="61">
        <v>663.48</v>
      </c>
      <c r="P444" s="61">
        <v>100848.96000000001</v>
      </c>
      <c r="Q444" s="61">
        <v>2333.73</v>
      </c>
      <c r="R444" s="62">
        <f t="shared" si="45"/>
        <v>2.31408434950643E-2</v>
      </c>
      <c r="S444" s="60">
        <v>20</v>
      </c>
      <c r="T444" s="58">
        <v>45387</v>
      </c>
      <c r="U444" s="58">
        <v>45399</v>
      </c>
      <c r="V444" s="63">
        <f t="shared" si="46"/>
        <v>12</v>
      </c>
      <c r="W444" s="57" t="s">
        <v>125</v>
      </c>
      <c r="X444" s="64" t="b">
        <f t="shared" si="47"/>
        <v>0</v>
      </c>
      <c r="Y444" s="60">
        <v>134</v>
      </c>
      <c r="Z444" s="60">
        <v>410</v>
      </c>
      <c r="AA444" s="57" t="s">
        <v>84</v>
      </c>
      <c r="AB444" s="64" t="b">
        <f t="shared" si="48"/>
        <v>1</v>
      </c>
    </row>
    <row r="445" spans="1:28" ht="15" customHeight="1" x14ac:dyDescent="0.3">
      <c r="A445" s="65" t="s">
        <v>1017</v>
      </c>
      <c r="B445" s="81">
        <v>45057</v>
      </c>
      <c r="C445" s="59">
        <f t="shared" si="42"/>
        <v>2023</v>
      </c>
      <c r="D445" s="59">
        <f t="shared" si="43"/>
        <v>5</v>
      </c>
      <c r="E445" s="59">
        <f t="shared" si="44"/>
        <v>19</v>
      </c>
      <c r="F445" s="65" t="s">
        <v>56</v>
      </c>
      <c r="G445" s="65" t="s">
        <v>41</v>
      </c>
      <c r="H445" s="65" t="s">
        <v>1018</v>
      </c>
      <c r="I445" s="65" t="s">
        <v>69</v>
      </c>
      <c r="J445" s="65" t="s">
        <v>112</v>
      </c>
      <c r="K445" s="65" t="s">
        <v>74</v>
      </c>
      <c r="L445" s="65" t="s">
        <v>113</v>
      </c>
      <c r="M445" s="67">
        <v>210</v>
      </c>
      <c r="N445" s="65" t="s">
        <v>163</v>
      </c>
      <c r="O445" s="68">
        <v>736.33</v>
      </c>
      <c r="P445" s="68">
        <v>154629.29999999999</v>
      </c>
      <c r="Q445" s="68">
        <v>5235.5600000000004</v>
      </c>
      <c r="R445" s="62">
        <f t="shared" si="45"/>
        <v>3.3858783555251175E-2</v>
      </c>
      <c r="S445" s="67">
        <v>29</v>
      </c>
      <c r="T445" s="66">
        <v>45086</v>
      </c>
      <c r="U445" s="66">
        <v>45094</v>
      </c>
      <c r="V445" s="63">
        <f t="shared" si="46"/>
        <v>8</v>
      </c>
      <c r="W445" s="65" t="s">
        <v>125</v>
      </c>
      <c r="X445" s="64" t="b">
        <f t="shared" si="47"/>
        <v>0</v>
      </c>
      <c r="Y445" s="67">
        <v>370</v>
      </c>
      <c r="Z445" s="67">
        <v>439</v>
      </c>
      <c r="AA445" s="65" t="s">
        <v>116</v>
      </c>
      <c r="AB445" s="64" t="b">
        <f t="shared" si="48"/>
        <v>0</v>
      </c>
    </row>
    <row r="446" spans="1:28" ht="15" customHeight="1" x14ac:dyDescent="0.3">
      <c r="A446" s="57" t="s">
        <v>1019</v>
      </c>
      <c r="B446" s="82">
        <v>44969</v>
      </c>
      <c r="C446" s="59">
        <f t="shared" si="42"/>
        <v>2023</v>
      </c>
      <c r="D446" s="59">
        <f t="shared" si="43"/>
        <v>2</v>
      </c>
      <c r="E446" s="59">
        <f t="shared" si="44"/>
        <v>7</v>
      </c>
      <c r="F446" s="57" t="s">
        <v>55</v>
      </c>
      <c r="G446" s="57" t="s">
        <v>39</v>
      </c>
      <c r="H446" s="57" t="s">
        <v>1020</v>
      </c>
      <c r="I446" s="57" t="s">
        <v>66</v>
      </c>
      <c r="J446" s="57" t="s">
        <v>151</v>
      </c>
      <c r="K446" s="57" t="s">
        <v>71</v>
      </c>
      <c r="L446" s="57" t="s">
        <v>135</v>
      </c>
      <c r="M446" s="60">
        <v>189</v>
      </c>
      <c r="N446" s="57" t="s">
        <v>140</v>
      </c>
      <c r="O446" s="61">
        <v>1296.95</v>
      </c>
      <c r="P446" s="61">
        <v>245123.55</v>
      </c>
      <c r="Q446" s="61">
        <v>16696.55</v>
      </c>
      <c r="R446" s="62">
        <f t="shared" si="45"/>
        <v>6.8114834335583019E-2</v>
      </c>
      <c r="S446" s="60">
        <v>21</v>
      </c>
      <c r="T446" s="58">
        <v>44990</v>
      </c>
      <c r="U446" s="58">
        <v>44990</v>
      </c>
      <c r="V446" s="63">
        <f t="shared" si="46"/>
        <v>0</v>
      </c>
      <c r="W446" s="57" t="s">
        <v>115</v>
      </c>
      <c r="X446" s="64" t="b">
        <f t="shared" si="47"/>
        <v>1</v>
      </c>
      <c r="Y446" s="60">
        <v>309</v>
      </c>
      <c r="Z446" s="60">
        <v>104</v>
      </c>
      <c r="AA446" s="57" t="s">
        <v>82</v>
      </c>
      <c r="AB446" s="64" t="b">
        <f t="shared" si="48"/>
        <v>1</v>
      </c>
    </row>
    <row r="447" spans="1:28" ht="15" customHeight="1" x14ac:dyDescent="0.3">
      <c r="A447" s="65" t="s">
        <v>1021</v>
      </c>
      <c r="B447" s="81">
        <v>45242</v>
      </c>
      <c r="C447" s="59">
        <f t="shared" si="42"/>
        <v>2023</v>
      </c>
      <c r="D447" s="59">
        <f t="shared" si="43"/>
        <v>11</v>
      </c>
      <c r="E447" s="59">
        <f t="shared" si="44"/>
        <v>46</v>
      </c>
      <c r="F447" s="65" t="s">
        <v>60</v>
      </c>
      <c r="G447" s="65" t="s">
        <v>42</v>
      </c>
      <c r="H447" s="65" t="s">
        <v>1022</v>
      </c>
      <c r="I447" s="65" t="s">
        <v>65</v>
      </c>
      <c r="J447" s="65" t="s">
        <v>139</v>
      </c>
      <c r="K447" s="65" t="s">
        <v>74</v>
      </c>
      <c r="L447" s="65" t="s">
        <v>146</v>
      </c>
      <c r="M447" s="67">
        <v>723</v>
      </c>
      <c r="N447" s="65" t="s">
        <v>120</v>
      </c>
      <c r="O447" s="68">
        <v>103.46</v>
      </c>
      <c r="P447" s="68">
        <v>74801.58</v>
      </c>
      <c r="Q447" s="68">
        <v>5317.6</v>
      </c>
      <c r="R447" s="62">
        <f t="shared" si="45"/>
        <v>7.1089407469735272E-2</v>
      </c>
      <c r="S447" s="67">
        <v>23</v>
      </c>
      <c r="T447" s="66">
        <v>45265</v>
      </c>
      <c r="U447" s="66">
        <v>45262</v>
      </c>
      <c r="V447" s="63">
        <f t="shared" si="46"/>
        <v>-3</v>
      </c>
      <c r="W447" s="65" t="s">
        <v>115</v>
      </c>
      <c r="X447" s="64" t="b">
        <f t="shared" si="47"/>
        <v>1</v>
      </c>
      <c r="Y447" s="67">
        <v>66</v>
      </c>
      <c r="Z447" s="67">
        <v>380</v>
      </c>
      <c r="AA447" s="65" t="s">
        <v>82</v>
      </c>
      <c r="AB447" s="64" t="b">
        <f t="shared" si="48"/>
        <v>1</v>
      </c>
    </row>
    <row r="448" spans="1:28" ht="15" customHeight="1" x14ac:dyDescent="0.3">
      <c r="A448" s="57" t="s">
        <v>1023</v>
      </c>
      <c r="B448" s="82">
        <v>45300</v>
      </c>
      <c r="C448" s="59">
        <f t="shared" si="42"/>
        <v>2024</v>
      </c>
      <c r="D448" s="59">
        <f t="shared" si="43"/>
        <v>1</v>
      </c>
      <c r="E448" s="59">
        <f t="shared" si="44"/>
        <v>2</v>
      </c>
      <c r="F448" s="57" t="s">
        <v>60</v>
      </c>
      <c r="G448" s="57" t="s">
        <v>39</v>
      </c>
      <c r="H448" s="57" t="s">
        <v>1024</v>
      </c>
      <c r="I448" s="57" t="s">
        <v>68</v>
      </c>
      <c r="J448" s="57" t="s">
        <v>151</v>
      </c>
      <c r="K448" s="57" t="s">
        <v>73</v>
      </c>
      <c r="L448" s="57" t="s">
        <v>146</v>
      </c>
      <c r="M448" s="60">
        <v>373</v>
      </c>
      <c r="N448" s="57" t="s">
        <v>136</v>
      </c>
      <c r="O448" s="61">
        <v>1706.01</v>
      </c>
      <c r="P448" s="61">
        <v>636341.73</v>
      </c>
      <c r="Q448" s="61">
        <v>31170.55</v>
      </c>
      <c r="R448" s="62">
        <f t="shared" si="45"/>
        <v>4.8983979095634671E-2</v>
      </c>
      <c r="S448" s="60">
        <v>1</v>
      </c>
      <c r="T448" s="58">
        <v>45301</v>
      </c>
      <c r="U448" s="58">
        <v>45301</v>
      </c>
      <c r="V448" s="63">
        <f t="shared" si="46"/>
        <v>0</v>
      </c>
      <c r="W448" s="57" t="s">
        <v>115</v>
      </c>
      <c r="X448" s="64" t="b">
        <f t="shared" si="47"/>
        <v>1</v>
      </c>
      <c r="Y448" s="60">
        <v>92</v>
      </c>
      <c r="Z448" s="60">
        <v>333</v>
      </c>
      <c r="AA448" s="57" t="s">
        <v>116</v>
      </c>
      <c r="AB448" s="64" t="b">
        <f t="shared" si="48"/>
        <v>0</v>
      </c>
    </row>
    <row r="449" spans="1:28" ht="15" customHeight="1" x14ac:dyDescent="0.3">
      <c r="A449" s="65" t="s">
        <v>1025</v>
      </c>
      <c r="B449" s="81">
        <v>44967</v>
      </c>
      <c r="C449" s="59">
        <f t="shared" si="42"/>
        <v>2023</v>
      </c>
      <c r="D449" s="59">
        <f t="shared" si="43"/>
        <v>2</v>
      </c>
      <c r="E449" s="59">
        <f t="shared" si="44"/>
        <v>6</v>
      </c>
      <c r="F449" s="65" t="s">
        <v>52</v>
      </c>
      <c r="G449" s="65" t="s">
        <v>39</v>
      </c>
      <c r="H449" s="65" t="s">
        <v>1026</v>
      </c>
      <c r="I449" s="65" t="s">
        <v>69</v>
      </c>
      <c r="J449" s="65" t="s">
        <v>112</v>
      </c>
      <c r="K449" s="65" t="s">
        <v>71</v>
      </c>
      <c r="L449" s="65" t="s">
        <v>119</v>
      </c>
      <c r="M449" s="67">
        <v>488</v>
      </c>
      <c r="N449" s="65" t="s">
        <v>136</v>
      </c>
      <c r="O449" s="68">
        <v>2111.37</v>
      </c>
      <c r="P449" s="68">
        <v>1030348.56</v>
      </c>
      <c r="Q449" s="68">
        <v>46328.84</v>
      </c>
      <c r="R449" s="62">
        <f t="shared" si="45"/>
        <v>4.4964240062605604E-2</v>
      </c>
      <c r="S449" s="67">
        <v>3</v>
      </c>
      <c r="T449" s="66">
        <v>44970</v>
      </c>
      <c r="U449" s="66">
        <v>44973</v>
      </c>
      <c r="V449" s="63">
        <f t="shared" si="46"/>
        <v>3</v>
      </c>
      <c r="W449" s="65" t="s">
        <v>128</v>
      </c>
      <c r="X449" s="64" t="b">
        <f t="shared" si="47"/>
        <v>0</v>
      </c>
      <c r="Y449" s="67">
        <v>137</v>
      </c>
      <c r="Z449" s="67">
        <v>300</v>
      </c>
      <c r="AA449" s="65" t="s">
        <v>83</v>
      </c>
      <c r="AB449" s="64" t="b">
        <f t="shared" si="48"/>
        <v>1</v>
      </c>
    </row>
    <row r="450" spans="1:28" ht="15" customHeight="1" x14ac:dyDescent="0.3">
      <c r="A450" s="57" t="s">
        <v>1027</v>
      </c>
      <c r="B450" s="82">
        <v>45293</v>
      </c>
      <c r="C450" s="59">
        <f t="shared" ref="C450:C513" si="49">YEAR(B450)</f>
        <v>2024</v>
      </c>
      <c r="D450" s="59">
        <f t="shared" ref="D450:D513" si="50">MONTH(B450)</f>
        <v>1</v>
      </c>
      <c r="E450" s="59">
        <f t="shared" ref="E450:E513" si="51">WEEKNUM(B450,1)</f>
        <v>1</v>
      </c>
      <c r="F450" s="57" t="s">
        <v>60</v>
      </c>
      <c r="G450" s="57" t="s">
        <v>46</v>
      </c>
      <c r="H450" s="57" t="s">
        <v>1028</v>
      </c>
      <c r="I450" s="57" t="s">
        <v>66</v>
      </c>
      <c r="J450" s="57" t="s">
        <v>143</v>
      </c>
      <c r="K450" s="57" t="s">
        <v>73</v>
      </c>
      <c r="L450" s="57" t="s">
        <v>113</v>
      </c>
      <c r="M450" s="60">
        <v>574</v>
      </c>
      <c r="N450" s="57" t="s">
        <v>136</v>
      </c>
      <c r="O450" s="61">
        <v>68.59</v>
      </c>
      <c r="P450" s="61">
        <v>39370.660000000003</v>
      </c>
      <c r="Q450" s="61">
        <v>3097.34</v>
      </c>
      <c r="R450" s="62">
        <f t="shared" ref="R450:R513" si="52">Q450/P450</f>
        <v>7.8671274497303323E-2</v>
      </c>
      <c r="S450" s="60">
        <v>18</v>
      </c>
      <c r="T450" s="58">
        <v>45311</v>
      </c>
      <c r="U450" s="58">
        <v>45311</v>
      </c>
      <c r="V450" s="63">
        <f t="shared" ref="V450:V513" si="53">U450-T450</f>
        <v>0</v>
      </c>
      <c r="W450" s="57" t="s">
        <v>128</v>
      </c>
      <c r="X450" s="64" t="b">
        <f t="shared" ref="X450:X513" si="54">IF(W450="Entregado", TRUE(), FALSE())</f>
        <v>0</v>
      </c>
      <c r="Y450" s="60">
        <v>188</v>
      </c>
      <c r="Z450" s="60">
        <v>472</v>
      </c>
      <c r="AA450" s="57" t="s">
        <v>84</v>
      </c>
      <c r="AB450" s="64" t="b">
        <f t="shared" ref="AB450:AB513" si="55">IF(AA450="Ninguna",FALSE(),TRUE())</f>
        <v>1</v>
      </c>
    </row>
    <row r="451" spans="1:28" ht="15" customHeight="1" x14ac:dyDescent="0.3">
      <c r="A451" s="65" t="s">
        <v>1029</v>
      </c>
      <c r="B451" s="81">
        <v>45142</v>
      </c>
      <c r="C451" s="59">
        <f t="shared" si="49"/>
        <v>2023</v>
      </c>
      <c r="D451" s="59">
        <f t="shared" si="50"/>
        <v>8</v>
      </c>
      <c r="E451" s="59">
        <f t="shared" si="51"/>
        <v>31</v>
      </c>
      <c r="F451" s="65" t="s">
        <v>56</v>
      </c>
      <c r="G451" s="65" t="s">
        <v>40</v>
      </c>
      <c r="H451" s="65" t="s">
        <v>1030</v>
      </c>
      <c r="I451" s="65" t="s">
        <v>67</v>
      </c>
      <c r="J451" s="65" t="s">
        <v>143</v>
      </c>
      <c r="K451" s="65" t="s">
        <v>73</v>
      </c>
      <c r="L451" s="65" t="s">
        <v>135</v>
      </c>
      <c r="M451" s="67">
        <v>480</v>
      </c>
      <c r="N451" s="65" t="s">
        <v>140</v>
      </c>
      <c r="O451" s="68">
        <v>902.12</v>
      </c>
      <c r="P451" s="68">
        <v>433017.59999999998</v>
      </c>
      <c r="Q451" s="68">
        <v>13871.23</v>
      </c>
      <c r="R451" s="62">
        <f t="shared" si="52"/>
        <v>3.203387114057258E-2</v>
      </c>
      <c r="S451" s="67">
        <v>25</v>
      </c>
      <c r="T451" s="66">
        <v>45167</v>
      </c>
      <c r="U451" s="66">
        <v>45167</v>
      </c>
      <c r="V451" s="63">
        <f t="shared" si="53"/>
        <v>0</v>
      </c>
      <c r="W451" s="65" t="s">
        <v>115</v>
      </c>
      <c r="X451" s="64" t="b">
        <f t="shared" si="54"/>
        <v>1</v>
      </c>
      <c r="Y451" s="67">
        <v>58</v>
      </c>
      <c r="Z451" s="67">
        <v>170</v>
      </c>
      <c r="AA451" s="65" t="s">
        <v>81</v>
      </c>
      <c r="AB451" s="64" t="b">
        <f t="shared" si="55"/>
        <v>1</v>
      </c>
    </row>
    <row r="452" spans="1:28" ht="15" customHeight="1" x14ac:dyDescent="0.3">
      <c r="A452" s="57" t="s">
        <v>1031</v>
      </c>
      <c r="B452" s="82">
        <v>45625</v>
      </c>
      <c r="C452" s="59">
        <f t="shared" si="49"/>
        <v>2024</v>
      </c>
      <c r="D452" s="59">
        <f t="shared" si="50"/>
        <v>11</v>
      </c>
      <c r="E452" s="59">
        <f t="shared" si="51"/>
        <v>48</v>
      </c>
      <c r="F452" s="57" t="s">
        <v>53</v>
      </c>
      <c r="G452" s="57" t="s">
        <v>42</v>
      </c>
      <c r="H452" s="57" t="s">
        <v>1032</v>
      </c>
      <c r="I452" s="57" t="s">
        <v>66</v>
      </c>
      <c r="J452" s="57" t="s">
        <v>123</v>
      </c>
      <c r="K452" s="57" t="s">
        <v>73</v>
      </c>
      <c r="L452" s="57" t="s">
        <v>156</v>
      </c>
      <c r="M452" s="60">
        <v>393</v>
      </c>
      <c r="N452" s="57" t="s">
        <v>136</v>
      </c>
      <c r="O452" s="61">
        <v>68.510000000000005</v>
      </c>
      <c r="P452" s="61">
        <v>26924.43</v>
      </c>
      <c r="Q452" s="61">
        <v>886.39</v>
      </c>
      <c r="R452" s="62">
        <f t="shared" si="52"/>
        <v>3.2921402607223253E-2</v>
      </c>
      <c r="S452" s="60">
        <v>10</v>
      </c>
      <c r="T452" s="58">
        <v>45635</v>
      </c>
      <c r="U452" s="58">
        <v>45640</v>
      </c>
      <c r="V452" s="63">
        <f t="shared" si="53"/>
        <v>5</v>
      </c>
      <c r="W452" s="57" t="s">
        <v>125</v>
      </c>
      <c r="X452" s="64" t="b">
        <f t="shared" si="54"/>
        <v>0</v>
      </c>
      <c r="Y452" s="60">
        <v>186</v>
      </c>
      <c r="Z452" s="60">
        <v>107</v>
      </c>
      <c r="AA452" s="57" t="s">
        <v>116</v>
      </c>
      <c r="AB452" s="64" t="b">
        <f t="shared" si="55"/>
        <v>0</v>
      </c>
    </row>
    <row r="453" spans="1:28" ht="15" customHeight="1" x14ac:dyDescent="0.3">
      <c r="A453" s="65" t="s">
        <v>1033</v>
      </c>
      <c r="B453" s="81">
        <v>45182</v>
      </c>
      <c r="C453" s="59">
        <f t="shared" si="49"/>
        <v>2023</v>
      </c>
      <c r="D453" s="59">
        <f t="shared" si="50"/>
        <v>9</v>
      </c>
      <c r="E453" s="59">
        <f t="shared" si="51"/>
        <v>37</v>
      </c>
      <c r="F453" s="65" t="s">
        <v>54</v>
      </c>
      <c r="G453" s="65" t="s">
        <v>45</v>
      </c>
      <c r="H453" s="65" t="s">
        <v>1034</v>
      </c>
      <c r="I453" s="65" t="s">
        <v>68</v>
      </c>
      <c r="J453" s="65" t="s">
        <v>139</v>
      </c>
      <c r="K453" s="65" t="s">
        <v>71</v>
      </c>
      <c r="L453" s="65" t="s">
        <v>156</v>
      </c>
      <c r="M453" s="67">
        <v>701</v>
      </c>
      <c r="N453" s="65" t="s">
        <v>163</v>
      </c>
      <c r="O453" s="68">
        <v>166.6</v>
      </c>
      <c r="P453" s="68">
        <v>116786.6</v>
      </c>
      <c r="Q453" s="68">
        <v>4380.8999999999996</v>
      </c>
      <c r="R453" s="62">
        <f t="shared" si="52"/>
        <v>3.7512009083233856E-2</v>
      </c>
      <c r="S453" s="67">
        <v>22</v>
      </c>
      <c r="T453" s="66">
        <v>45204</v>
      </c>
      <c r="U453" s="66">
        <v>45199</v>
      </c>
      <c r="V453" s="63">
        <f t="shared" si="53"/>
        <v>-5</v>
      </c>
      <c r="W453" s="65" t="s">
        <v>115</v>
      </c>
      <c r="X453" s="64" t="b">
        <f t="shared" si="54"/>
        <v>1</v>
      </c>
      <c r="Y453" s="67">
        <v>234</v>
      </c>
      <c r="Z453" s="67">
        <v>405</v>
      </c>
      <c r="AA453" s="65" t="s">
        <v>82</v>
      </c>
      <c r="AB453" s="64" t="b">
        <f t="shared" si="55"/>
        <v>1</v>
      </c>
    </row>
    <row r="454" spans="1:28" ht="15" customHeight="1" x14ac:dyDescent="0.3">
      <c r="A454" s="57" t="s">
        <v>1035</v>
      </c>
      <c r="B454" s="82">
        <v>45609</v>
      </c>
      <c r="C454" s="59">
        <f t="shared" si="49"/>
        <v>2024</v>
      </c>
      <c r="D454" s="59">
        <f t="shared" si="50"/>
        <v>11</v>
      </c>
      <c r="E454" s="59">
        <f t="shared" si="51"/>
        <v>46</v>
      </c>
      <c r="F454" s="57" t="s">
        <v>58</v>
      </c>
      <c r="G454" s="57" t="s">
        <v>41</v>
      </c>
      <c r="H454" s="57" t="s">
        <v>1036</v>
      </c>
      <c r="I454" s="57" t="s">
        <v>67</v>
      </c>
      <c r="J454" s="57" t="s">
        <v>143</v>
      </c>
      <c r="K454" s="57" t="s">
        <v>71</v>
      </c>
      <c r="L454" s="57" t="s">
        <v>119</v>
      </c>
      <c r="M454" s="60">
        <v>935</v>
      </c>
      <c r="N454" s="57" t="s">
        <v>120</v>
      </c>
      <c r="O454" s="61">
        <v>716.6</v>
      </c>
      <c r="P454" s="61">
        <v>670021</v>
      </c>
      <c r="Q454" s="61">
        <v>20345.48</v>
      </c>
      <c r="R454" s="62">
        <f t="shared" si="52"/>
        <v>3.0365436307220221E-2</v>
      </c>
      <c r="S454" s="60">
        <v>26</v>
      </c>
      <c r="T454" s="58">
        <v>45635</v>
      </c>
      <c r="U454" s="58">
        <v>45636</v>
      </c>
      <c r="V454" s="63">
        <f t="shared" si="53"/>
        <v>1</v>
      </c>
      <c r="W454" s="57" t="s">
        <v>128</v>
      </c>
      <c r="X454" s="64" t="b">
        <f t="shared" si="54"/>
        <v>0</v>
      </c>
      <c r="Y454" s="60">
        <v>68</v>
      </c>
      <c r="Z454" s="60">
        <v>354</v>
      </c>
      <c r="AA454" s="57" t="s">
        <v>84</v>
      </c>
      <c r="AB454" s="64" t="b">
        <f t="shared" si="55"/>
        <v>1</v>
      </c>
    </row>
    <row r="455" spans="1:28" ht="15" customHeight="1" x14ac:dyDescent="0.3">
      <c r="A455" s="65" t="s">
        <v>1037</v>
      </c>
      <c r="B455" s="81">
        <v>45032</v>
      </c>
      <c r="C455" s="59">
        <f t="shared" si="49"/>
        <v>2023</v>
      </c>
      <c r="D455" s="59">
        <f t="shared" si="50"/>
        <v>4</v>
      </c>
      <c r="E455" s="59">
        <f t="shared" si="51"/>
        <v>16</v>
      </c>
      <c r="F455" s="65" t="s">
        <v>56</v>
      </c>
      <c r="G455" s="65" t="s">
        <v>41</v>
      </c>
      <c r="H455" s="65" t="s">
        <v>1038</v>
      </c>
      <c r="I455" s="65" t="s">
        <v>67</v>
      </c>
      <c r="J455" s="65" t="s">
        <v>139</v>
      </c>
      <c r="K455" s="65" t="s">
        <v>75</v>
      </c>
      <c r="L455" s="65" t="s">
        <v>119</v>
      </c>
      <c r="M455" s="67">
        <v>426</v>
      </c>
      <c r="N455" s="65" t="s">
        <v>136</v>
      </c>
      <c r="O455" s="68">
        <v>481.14</v>
      </c>
      <c r="P455" s="68">
        <v>204965.64</v>
      </c>
      <c r="Q455" s="68">
        <v>8764.73</v>
      </c>
      <c r="R455" s="62">
        <f t="shared" si="52"/>
        <v>4.2761947807447138E-2</v>
      </c>
      <c r="S455" s="67">
        <v>3</v>
      </c>
      <c r="T455" s="66">
        <v>45035</v>
      </c>
      <c r="U455" s="66">
        <v>45034</v>
      </c>
      <c r="V455" s="63">
        <f t="shared" si="53"/>
        <v>-1</v>
      </c>
      <c r="W455" s="65" t="s">
        <v>115</v>
      </c>
      <c r="X455" s="64" t="b">
        <f t="shared" si="54"/>
        <v>1</v>
      </c>
      <c r="Y455" s="67">
        <v>446</v>
      </c>
      <c r="Z455" s="67">
        <v>160</v>
      </c>
      <c r="AA455" s="65" t="s">
        <v>83</v>
      </c>
      <c r="AB455" s="64" t="b">
        <f t="shared" si="55"/>
        <v>1</v>
      </c>
    </row>
    <row r="456" spans="1:28" ht="15" customHeight="1" x14ac:dyDescent="0.3">
      <c r="A456" s="57" t="s">
        <v>1039</v>
      </c>
      <c r="B456" s="82">
        <v>45289</v>
      </c>
      <c r="C456" s="59">
        <f t="shared" si="49"/>
        <v>2023</v>
      </c>
      <c r="D456" s="59">
        <f t="shared" si="50"/>
        <v>12</v>
      </c>
      <c r="E456" s="59">
        <f t="shared" si="51"/>
        <v>52</v>
      </c>
      <c r="F456" s="57" t="s">
        <v>60</v>
      </c>
      <c r="G456" s="57" t="s">
        <v>44</v>
      </c>
      <c r="H456" s="57" t="s">
        <v>1040</v>
      </c>
      <c r="I456" s="57" t="s">
        <v>67</v>
      </c>
      <c r="J456" s="57" t="s">
        <v>151</v>
      </c>
      <c r="K456" s="57" t="s">
        <v>72</v>
      </c>
      <c r="L456" s="57" t="s">
        <v>113</v>
      </c>
      <c r="M456" s="60">
        <v>834</v>
      </c>
      <c r="N456" s="57" t="s">
        <v>140</v>
      </c>
      <c r="O456" s="61">
        <v>119.72</v>
      </c>
      <c r="P456" s="61">
        <v>99846.48</v>
      </c>
      <c r="Q456" s="61">
        <v>7453.55</v>
      </c>
      <c r="R456" s="62">
        <f t="shared" si="52"/>
        <v>7.4650102837876708E-2</v>
      </c>
      <c r="S456" s="60">
        <v>8</v>
      </c>
      <c r="T456" s="58">
        <v>45297</v>
      </c>
      <c r="U456" s="58">
        <v>45297</v>
      </c>
      <c r="V456" s="63">
        <f t="shared" si="53"/>
        <v>0</v>
      </c>
      <c r="W456" s="57" t="s">
        <v>115</v>
      </c>
      <c r="X456" s="64" t="b">
        <f t="shared" si="54"/>
        <v>1</v>
      </c>
      <c r="Y456" s="60">
        <v>97</v>
      </c>
      <c r="Z456" s="60">
        <v>282</v>
      </c>
      <c r="AA456" s="57" t="s">
        <v>83</v>
      </c>
      <c r="AB456" s="64" t="b">
        <f t="shared" si="55"/>
        <v>1</v>
      </c>
    </row>
    <row r="457" spans="1:28" ht="15" customHeight="1" x14ac:dyDescent="0.3">
      <c r="A457" s="65" t="s">
        <v>1041</v>
      </c>
      <c r="B457" s="81">
        <v>45500</v>
      </c>
      <c r="C457" s="59">
        <f t="shared" si="49"/>
        <v>2024</v>
      </c>
      <c r="D457" s="59">
        <f t="shared" si="50"/>
        <v>7</v>
      </c>
      <c r="E457" s="59">
        <f t="shared" si="51"/>
        <v>30</v>
      </c>
      <c r="F457" s="65" t="s">
        <v>59</v>
      </c>
      <c r="G457" s="65" t="s">
        <v>43</v>
      </c>
      <c r="H457" s="65" t="s">
        <v>1042</v>
      </c>
      <c r="I457" s="65" t="s">
        <v>64</v>
      </c>
      <c r="J457" s="65" t="s">
        <v>123</v>
      </c>
      <c r="K457" s="65" t="s">
        <v>74</v>
      </c>
      <c r="L457" s="65" t="s">
        <v>113</v>
      </c>
      <c r="M457" s="67">
        <v>317</v>
      </c>
      <c r="N457" s="65" t="s">
        <v>120</v>
      </c>
      <c r="O457" s="68">
        <v>261.57</v>
      </c>
      <c r="P457" s="68">
        <v>82917.69</v>
      </c>
      <c r="Q457" s="68">
        <v>4719.75</v>
      </c>
      <c r="R457" s="62">
        <f t="shared" si="52"/>
        <v>5.6920905538974852E-2</v>
      </c>
      <c r="S457" s="67">
        <v>14</v>
      </c>
      <c r="T457" s="66">
        <v>45514</v>
      </c>
      <c r="U457" s="66">
        <v>45514</v>
      </c>
      <c r="V457" s="63">
        <f t="shared" si="53"/>
        <v>0</v>
      </c>
      <c r="W457" s="65" t="s">
        <v>115</v>
      </c>
      <c r="X457" s="64" t="b">
        <f t="shared" si="54"/>
        <v>1</v>
      </c>
      <c r="Y457" s="67">
        <v>7</v>
      </c>
      <c r="Z457" s="67">
        <v>39</v>
      </c>
      <c r="AA457" s="65" t="s">
        <v>82</v>
      </c>
      <c r="AB457" s="64" t="b">
        <f t="shared" si="55"/>
        <v>1</v>
      </c>
    </row>
    <row r="458" spans="1:28" ht="15" customHeight="1" x14ac:dyDescent="0.3">
      <c r="A458" s="57" t="s">
        <v>1043</v>
      </c>
      <c r="B458" s="82">
        <v>45343</v>
      </c>
      <c r="C458" s="59">
        <f t="shared" si="49"/>
        <v>2024</v>
      </c>
      <c r="D458" s="59">
        <f t="shared" si="50"/>
        <v>2</v>
      </c>
      <c r="E458" s="59">
        <f t="shared" si="51"/>
        <v>8</v>
      </c>
      <c r="F458" s="57" t="s">
        <v>55</v>
      </c>
      <c r="G458" s="57" t="s">
        <v>44</v>
      </c>
      <c r="H458" s="57" t="s">
        <v>1044</v>
      </c>
      <c r="I458" s="57" t="s">
        <v>64</v>
      </c>
      <c r="J458" s="57" t="s">
        <v>112</v>
      </c>
      <c r="K458" s="57" t="s">
        <v>74</v>
      </c>
      <c r="L458" s="57" t="s">
        <v>156</v>
      </c>
      <c r="M458" s="60">
        <v>658</v>
      </c>
      <c r="N458" s="57" t="s">
        <v>136</v>
      </c>
      <c r="O458" s="61">
        <v>116.53</v>
      </c>
      <c r="P458" s="61">
        <v>76676.740000000005</v>
      </c>
      <c r="Q458" s="61">
        <v>3428.74</v>
      </c>
      <c r="R458" s="62">
        <f t="shared" si="52"/>
        <v>4.4716820250834864E-2</v>
      </c>
      <c r="S458" s="60">
        <v>24</v>
      </c>
      <c r="T458" s="58">
        <v>45367</v>
      </c>
      <c r="U458" s="58">
        <v>45367</v>
      </c>
      <c r="V458" s="63">
        <f t="shared" si="53"/>
        <v>0</v>
      </c>
      <c r="W458" s="57" t="s">
        <v>115</v>
      </c>
      <c r="X458" s="64" t="b">
        <f t="shared" si="54"/>
        <v>1</v>
      </c>
      <c r="Y458" s="60">
        <v>461</v>
      </c>
      <c r="Z458" s="60">
        <v>25</v>
      </c>
      <c r="AA458" s="57" t="s">
        <v>116</v>
      </c>
      <c r="AB458" s="64" t="b">
        <f t="shared" si="55"/>
        <v>0</v>
      </c>
    </row>
    <row r="459" spans="1:28" ht="15" customHeight="1" x14ac:dyDescent="0.3">
      <c r="A459" s="65" t="s">
        <v>1045</v>
      </c>
      <c r="B459" s="81">
        <v>45562</v>
      </c>
      <c r="C459" s="59">
        <f t="shared" si="49"/>
        <v>2024</v>
      </c>
      <c r="D459" s="59">
        <f t="shared" si="50"/>
        <v>9</v>
      </c>
      <c r="E459" s="59">
        <f t="shared" si="51"/>
        <v>39</v>
      </c>
      <c r="F459" s="65" t="s">
        <v>55</v>
      </c>
      <c r="G459" s="65" t="s">
        <v>45</v>
      </c>
      <c r="H459" s="65" t="s">
        <v>1046</v>
      </c>
      <c r="I459" s="65" t="s">
        <v>67</v>
      </c>
      <c r="J459" s="65" t="s">
        <v>143</v>
      </c>
      <c r="K459" s="65" t="s">
        <v>73</v>
      </c>
      <c r="L459" s="65" t="s">
        <v>156</v>
      </c>
      <c r="M459" s="67">
        <v>703</v>
      </c>
      <c r="N459" s="65" t="s">
        <v>132</v>
      </c>
      <c r="O459" s="68">
        <v>292.33</v>
      </c>
      <c r="P459" s="68">
        <v>205507.99</v>
      </c>
      <c r="Q459" s="68">
        <v>15631.89</v>
      </c>
      <c r="R459" s="62">
        <f t="shared" si="52"/>
        <v>7.6064633788691133E-2</v>
      </c>
      <c r="S459" s="67">
        <v>18</v>
      </c>
      <c r="T459" s="66">
        <v>45580</v>
      </c>
      <c r="U459" s="66">
        <v>45588</v>
      </c>
      <c r="V459" s="63">
        <f t="shared" si="53"/>
        <v>8</v>
      </c>
      <c r="W459" s="65" t="s">
        <v>128</v>
      </c>
      <c r="X459" s="64" t="b">
        <f t="shared" si="54"/>
        <v>0</v>
      </c>
      <c r="Y459" s="67">
        <v>487</v>
      </c>
      <c r="Z459" s="67">
        <v>82</v>
      </c>
      <c r="AA459" s="65" t="s">
        <v>116</v>
      </c>
      <c r="AB459" s="64" t="b">
        <f t="shared" si="55"/>
        <v>0</v>
      </c>
    </row>
    <row r="460" spans="1:28" ht="15" customHeight="1" x14ac:dyDescent="0.3">
      <c r="A460" s="57" t="s">
        <v>1047</v>
      </c>
      <c r="B460" s="82">
        <v>45085</v>
      </c>
      <c r="C460" s="59">
        <f t="shared" si="49"/>
        <v>2023</v>
      </c>
      <c r="D460" s="59">
        <f t="shared" si="50"/>
        <v>6</v>
      </c>
      <c r="E460" s="59">
        <f t="shared" si="51"/>
        <v>23</v>
      </c>
      <c r="F460" s="57" t="s">
        <v>54</v>
      </c>
      <c r="G460" s="57" t="s">
        <v>44</v>
      </c>
      <c r="H460" s="57" t="s">
        <v>1048</v>
      </c>
      <c r="I460" s="57" t="s">
        <v>69</v>
      </c>
      <c r="J460" s="57" t="s">
        <v>143</v>
      </c>
      <c r="K460" s="57" t="s">
        <v>71</v>
      </c>
      <c r="L460" s="57" t="s">
        <v>156</v>
      </c>
      <c r="M460" s="60">
        <v>376</v>
      </c>
      <c r="N460" s="57" t="s">
        <v>136</v>
      </c>
      <c r="O460" s="61">
        <v>154.84</v>
      </c>
      <c r="P460" s="61">
        <v>58219.839999999997</v>
      </c>
      <c r="Q460" s="61">
        <v>1333.69</v>
      </c>
      <c r="R460" s="62">
        <f t="shared" si="52"/>
        <v>2.2907826610310166E-2</v>
      </c>
      <c r="S460" s="60">
        <v>15</v>
      </c>
      <c r="T460" s="58">
        <v>45100</v>
      </c>
      <c r="U460" s="58">
        <v>45100</v>
      </c>
      <c r="V460" s="63">
        <f t="shared" si="53"/>
        <v>0</v>
      </c>
      <c r="W460" s="57" t="s">
        <v>115</v>
      </c>
      <c r="X460" s="64" t="b">
        <f t="shared" si="54"/>
        <v>1</v>
      </c>
      <c r="Y460" s="60">
        <v>310</v>
      </c>
      <c r="Z460" s="60">
        <v>172</v>
      </c>
      <c r="AA460" s="57" t="s">
        <v>116</v>
      </c>
      <c r="AB460" s="64" t="b">
        <f t="shared" si="55"/>
        <v>0</v>
      </c>
    </row>
    <row r="461" spans="1:28" ht="15" customHeight="1" x14ac:dyDescent="0.3">
      <c r="A461" s="65" t="s">
        <v>1049</v>
      </c>
      <c r="B461" s="81">
        <v>45169</v>
      </c>
      <c r="C461" s="59">
        <f t="shared" si="49"/>
        <v>2023</v>
      </c>
      <c r="D461" s="59">
        <f t="shared" si="50"/>
        <v>8</v>
      </c>
      <c r="E461" s="59">
        <f t="shared" si="51"/>
        <v>35</v>
      </c>
      <c r="F461" s="65" t="s">
        <v>56</v>
      </c>
      <c r="G461" s="65" t="s">
        <v>41</v>
      </c>
      <c r="H461" s="65" t="s">
        <v>1050</v>
      </c>
      <c r="I461" s="65" t="s">
        <v>67</v>
      </c>
      <c r="J461" s="65" t="s">
        <v>131</v>
      </c>
      <c r="K461" s="65" t="s">
        <v>71</v>
      </c>
      <c r="L461" s="65" t="s">
        <v>156</v>
      </c>
      <c r="M461" s="67">
        <v>10</v>
      </c>
      <c r="N461" s="65" t="s">
        <v>114</v>
      </c>
      <c r="O461" s="68">
        <v>588.97</v>
      </c>
      <c r="P461" s="68">
        <v>5889.7</v>
      </c>
      <c r="Q461" s="68">
        <v>192.1</v>
      </c>
      <c r="R461" s="62">
        <f t="shared" si="52"/>
        <v>3.2616262288401789E-2</v>
      </c>
      <c r="S461" s="67">
        <v>22</v>
      </c>
      <c r="T461" s="66">
        <v>45191</v>
      </c>
      <c r="U461" s="66">
        <v>45186</v>
      </c>
      <c r="V461" s="63">
        <f t="shared" si="53"/>
        <v>-5</v>
      </c>
      <c r="W461" s="65" t="s">
        <v>115</v>
      </c>
      <c r="X461" s="64" t="b">
        <f t="shared" si="54"/>
        <v>1</v>
      </c>
      <c r="Y461" s="67">
        <v>133</v>
      </c>
      <c r="Z461" s="67">
        <v>486</v>
      </c>
      <c r="AA461" s="65" t="s">
        <v>116</v>
      </c>
      <c r="AB461" s="64" t="b">
        <f t="shared" si="55"/>
        <v>0</v>
      </c>
    </row>
    <row r="462" spans="1:28" ht="15" customHeight="1" x14ac:dyDescent="0.3">
      <c r="A462" s="57" t="s">
        <v>1051</v>
      </c>
      <c r="B462" s="82">
        <v>45093</v>
      </c>
      <c r="C462" s="59">
        <f t="shared" si="49"/>
        <v>2023</v>
      </c>
      <c r="D462" s="59">
        <f t="shared" si="50"/>
        <v>6</v>
      </c>
      <c r="E462" s="59">
        <f t="shared" si="51"/>
        <v>24</v>
      </c>
      <c r="F462" s="57" t="s">
        <v>54</v>
      </c>
      <c r="G462" s="57" t="s">
        <v>46</v>
      </c>
      <c r="H462" s="57" t="s">
        <v>1052</v>
      </c>
      <c r="I462" s="57" t="s">
        <v>65</v>
      </c>
      <c r="J462" s="57" t="s">
        <v>112</v>
      </c>
      <c r="K462" s="57" t="s">
        <v>73</v>
      </c>
      <c r="L462" s="57" t="s">
        <v>146</v>
      </c>
      <c r="M462" s="60">
        <v>53</v>
      </c>
      <c r="N462" s="57" t="s">
        <v>163</v>
      </c>
      <c r="O462" s="61">
        <v>84.28</v>
      </c>
      <c r="P462" s="61">
        <v>4466.84</v>
      </c>
      <c r="Q462" s="61">
        <v>241</v>
      </c>
      <c r="R462" s="62">
        <f t="shared" si="52"/>
        <v>5.3953130177037907E-2</v>
      </c>
      <c r="S462" s="60">
        <v>23</v>
      </c>
      <c r="T462" s="58">
        <v>45116</v>
      </c>
      <c r="U462" s="58">
        <v>45111</v>
      </c>
      <c r="V462" s="63">
        <f t="shared" si="53"/>
        <v>-5</v>
      </c>
      <c r="W462" s="57" t="s">
        <v>115</v>
      </c>
      <c r="X462" s="64" t="b">
        <f t="shared" si="54"/>
        <v>1</v>
      </c>
      <c r="Y462" s="60">
        <v>384</v>
      </c>
      <c r="Z462" s="60">
        <v>172</v>
      </c>
      <c r="AA462" s="57" t="s">
        <v>116</v>
      </c>
      <c r="AB462" s="64" t="b">
        <f t="shared" si="55"/>
        <v>0</v>
      </c>
    </row>
    <row r="463" spans="1:28" ht="15" customHeight="1" x14ac:dyDescent="0.3">
      <c r="A463" s="65" t="s">
        <v>1053</v>
      </c>
      <c r="B463" s="81">
        <v>45108</v>
      </c>
      <c r="C463" s="59">
        <f t="shared" si="49"/>
        <v>2023</v>
      </c>
      <c r="D463" s="59">
        <f t="shared" si="50"/>
        <v>7</v>
      </c>
      <c r="E463" s="59">
        <f t="shared" si="51"/>
        <v>26</v>
      </c>
      <c r="F463" s="65" t="s">
        <v>53</v>
      </c>
      <c r="G463" s="65" t="s">
        <v>39</v>
      </c>
      <c r="H463" s="65" t="s">
        <v>1054</v>
      </c>
      <c r="I463" s="65" t="s">
        <v>67</v>
      </c>
      <c r="J463" s="65" t="s">
        <v>143</v>
      </c>
      <c r="K463" s="65" t="s">
        <v>72</v>
      </c>
      <c r="L463" s="65" t="s">
        <v>113</v>
      </c>
      <c r="M463" s="67">
        <v>748</v>
      </c>
      <c r="N463" s="65" t="s">
        <v>120</v>
      </c>
      <c r="O463" s="68">
        <v>1109.53</v>
      </c>
      <c r="P463" s="68">
        <v>829928.44</v>
      </c>
      <c r="Q463" s="68">
        <v>47250.45</v>
      </c>
      <c r="R463" s="62">
        <f t="shared" si="52"/>
        <v>5.693316161089744E-2</v>
      </c>
      <c r="S463" s="67">
        <v>2</v>
      </c>
      <c r="T463" s="66">
        <v>45110</v>
      </c>
      <c r="U463" s="66">
        <v>45109</v>
      </c>
      <c r="V463" s="63">
        <f t="shared" si="53"/>
        <v>-1</v>
      </c>
      <c r="W463" s="65" t="s">
        <v>115</v>
      </c>
      <c r="X463" s="64" t="b">
        <f t="shared" si="54"/>
        <v>1</v>
      </c>
      <c r="Y463" s="67">
        <v>55</v>
      </c>
      <c r="Z463" s="67">
        <v>281</v>
      </c>
      <c r="AA463" s="65" t="s">
        <v>83</v>
      </c>
      <c r="AB463" s="64" t="b">
        <f t="shared" si="55"/>
        <v>1</v>
      </c>
    </row>
    <row r="464" spans="1:28" ht="15" customHeight="1" x14ac:dyDescent="0.3">
      <c r="A464" s="57" t="s">
        <v>1055</v>
      </c>
      <c r="B464" s="82">
        <v>45349</v>
      </c>
      <c r="C464" s="59">
        <f t="shared" si="49"/>
        <v>2024</v>
      </c>
      <c r="D464" s="59">
        <f t="shared" si="50"/>
        <v>2</v>
      </c>
      <c r="E464" s="59">
        <f t="shared" si="51"/>
        <v>9</v>
      </c>
      <c r="F464" s="57" t="s">
        <v>61</v>
      </c>
      <c r="G464" s="57" t="s">
        <v>40</v>
      </c>
      <c r="H464" s="57" t="s">
        <v>1056</v>
      </c>
      <c r="I464" s="57" t="s">
        <v>64</v>
      </c>
      <c r="J464" s="57" t="s">
        <v>143</v>
      </c>
      <c r="K464" s="57" t="s">
        <v>74</v>
      </c>
      <c r="L464" s="57" t="s">
        <v>113</v>
      </c>
      <c r="M464" s="60">
        <v>852</v>
      </c>
      <c r="N464" s="57" t="s">
        <v>163</v>
      </c>
      <c r="O464" s="61">
        <v>724.52</v>
      </c>
      <c r="P464" s="61">
        <v>617291.04</v>
      </c>
      <c r="Q464" s="61">
        <v>13810.93</v>
      </c>
      <c r="R464" s="62">
        <f t="shared" si="52"/>
        <v>2.237344964540551E-2</v>
      </c>
      <c r="S464" s="60">
        <v>27</v>
      </c>
      <c r="T464" s="58">
        <v>45376</v>
      </c>
      <c r="U464" s="58">
        <v>45388</v>
      </c>
      <c r="V464" s="63">
        <f t="shared" si="53"/>
        <v>12</v>
      </c>
      <c r="W464" s="57" t="s">
        <v>125</v>
      </c>
      <c r="X464" s="64" t="b">
        <f t="shared" si="54"/>
        <v>0</v>
      </c>
      <c r="Y464" s="60">
        <v>480</v>
      </c>
      <c r="Z464" s="60">
        <v>69</v>
      </c>
      <c r="AA464" s="57" t="s">
        <v>81</v>
      </c>
      <c r="AB464" s="64" t="b">
        <f t="shared" si="55"/>
        <v>1</v>
      </c>
    </row>
    <row r="465" spans="1:28" ht="15" customHeight="1" x14ac:dyDescent="0.3">
      <c r="A465" s="65" t="s">
        <v>1057</v>
      </c>
      <c r="B465" s="81">
        <v>44952</v>
      </c>
      <c r="C465" s="59">
        <f t="shared" si="49"/>
        <v>2023</v>
      </c>
      <c r="D465" s="59">
        <f t="shared" si="50"/>
        <v>1</v>
      </c>
      <c r="E465" s="59">
        <f t="shared" si="51"/>
        <v>4</v>
      </c>
      <c r="F465" s="65" t="s">
        <v>57</v>
      </c>
      <c r="G465" s="65" t="s">
        <v>39</v>
      </c>
      <c r="H465" s="65" t="s">
        <v>1058</v>
      </c>
      <c r="I465" s="65" t="s">
        <v>64</v>
      </c>
      <c r="J465" s="65" t="s">
        <v>112</v>
      </c>
      <c r="K465" s="65" t="s">
        <v>75</v>
      </c>
      <c r="L465" s="65" t="s">
        <v>156</v>
      </c>
      <c r="M465" s="67">
        <v>107</v>
      </c>
      <c r="N465" s="65" t="s">
        <v>132</v>
      </c>
      <c r="O465" s="68">
        <v>1608.04</v>
      </c>
      <c r="P465" s="68">
        <v>172060.28</v>
      </c>
      <c r="Q465" s="68">
        <v>7602.02</v>
      </c>
      <c r="R465" s="62">
        <f t="shared" si="52"/>
        <v>4.4182306340545305E-2</v>
      </c>
      <c r="S465" s="67">
        <v>10</v>
      </c>
      <c r="T465" s="66">
        <v>44962</v>
      </c>
      <c r="U465" s="66">
        <v>44967</v>
      </c>
      <c r="V465" s="63">
        <f t="shared" si="53"/>
        <v>5</v>
      </c>
      <c r="W465" s="65" t="s">
        <v>125</v>
      </c>
      <c r="X465" s="64" t="b">
        <f t="shared" si="54"/>
        <v>0</v>
      </c>
      <c r="Y465" s="67">
        <v>359</v>
      </c>
      <c r="Z465" s="67">
        <v>322</v>
      </c>
      <c r="AA465" s="65" t="s">
        <v>116</v>
      </c>
      <c r="AB465" s="64" t="b">
        <f t="shared" si="55"/>
        <v>0</v>
      </c>
    </row>
    <row r="466" spans="1:28" ht="15" customHeight="1" x14ac:dyDescent="0.3">
      <c r="A466" s="57" t="s">
        <v>1059</v>
      </c>
      <c r="B466" s="82">
        <v>45110</v>
      </c>
      <c r="C466" s="59">
        <f t="shared" si="49"/>
        <v>2023</v>
      </c>
      <c r="D466" s="59">
        <f t="shared" si="50"/>
        <v>7</v>
      </c>
      <c r="E466" s="59">
        <f t="shared" si="51"/>
        <v>27</v>
      </c>
      <c r="F466" s="57" t="s">
        <v>59</v>
      </c>
      <c r="G466" s="57" t="s">
        <v>39</v>
      </c>
      <c r="H466" s="57" t="s">
        <v>1060</v>
      </c>
      <c r="I466" s="57" t="s">
        <v>65</v>
      </c>
      <c r="J466" s="57" t="s">
        <v>123</v>
      </c>
      <c r="K466" s="57" t="s">
        <v>72</v>
      </c>
      <c r="L466" s="57" t="s">
        <v>135</v>
      </c>
      <c r="M466" s="60">
        <v>729</v>
      </c>
      <c r="N466" s="57" t="s">
        <v>132</v>
      </c>
      <c r="O466" s="61">
        <v>1322.37</v>
      </c>
      <c r="P466" s="61">
        <v>964007.73</v>
      </c>
      <c r="Q466" s="61">
        <v>56827.519999999997</v>
      </c>
      <c r="R466" s="62">
        <f t="shared" si="52"/>
        <v>5.8949236848961778E-2</v>
      </c>
      <c r="S466" s="60">
        <v>2</v>
      </c>
      <c r="T466" s="58">
        <v>45112</v>
      </c>
      <c r="U466" s="58">
        <v>45112</v>
      </c>
      <c r="V466" s="63">
        <f t="shared" si="53"/>
        <v>0</v>
      </c>
      <c r="W466" s="57" t="s">
        <v>115</v>
      </c>
      <c r="X466" s="64" t="b">
        <f t="shared" si="54"/>
        <v>1</v>
      </c>
      <c r="Y466" s="60">
        <v>458</v>
      </c>
      <c r="Z466" s="60">
        <v>5</v>
      </c>
      <c r="AA466" s="57" t="s">
        <v>82</v>
      </c>
      <c r="AB466" s="64" t="b">
        <f t="shared" si="55"/>
        <v>1</v>
      </c>
    </row>
    <row r="467" spans="1:28" ht="15" customHeight="1" x14ac:dyDescent="0.3">
      <c r="A467" s="65" t="s">
        <v>1061</v>
      </c>
      <c r="B467" s="81">
        <v>45267</v>
      </c>
      <c r="C467" s="59">
        <f t="shared" si="49"/>
        <v>2023</v>
      </c>
      <c r="D467" s="59">
        <f t="shared" si="50"/>
        <v>12</v>
      </c>
      <c r="E467" s="59">
        <f t="shared" si="51"/>
        <v>49</v>
      </c>
      <c r="F467" s="65" t="s">
        <v>57</v>
      </c>
      <c r="G467" s="65" t="s">
        <v>42</v>
      </c>
      <c r="H467" s="65" t="s">
        <v>1062</v>
      </c>
      <c r="I467" s="65" t="s">
        <v>65</v>
      </c>
      <c r="J467" s="65" t="s">
        <v>139</v>
      </c>
      <c r="K467" s="65" t="s">
        <v>71</v>
      </c>
      <c r="L467" s="65" t="s">
        <v>156</v>
      </c>
      <c r="M467" s="67">
        <v>274</v>
      </c>
      <c r="N467" s="65" t="s">
        <v>114</v>
      </c>
      <c r="O467" s="68">
        <v>103.61</v>
      </c>
      <c r="P467" s="68">
        <v>28389.14</v>
      </c>
      <c r="Q467" s="68">
        <v>1756.84</v>
      </c>
      <c r="R467" s="62">
        <f t="shared" si="52"/>
        <v>6.1884227560257195E-2</v>
      </c>
      <c r="S467" s="67">
        <v>26</v>
      </c>
      <c r="T467" s="66">
        <v>45293</v>
      </c>
      <c r="U467" s="66">
        <v>45293</v>
      </c>
      <c r="V467" s="63">
        <f t="shared" si="53"/>
        <v>0</v>
      </c>
      <c r="W467" s="65" t="s">
        <v>115</v>
      </c>
      <c r="X467" s="64" t="b">
        <f t="shared" si="54"/>
        <v>1</v>
      </c>
      <c r="Y467" s="67">
        <v>113</v>
      </c>
      <c r="Z467" s="67">
        <v>283</v>
      </c>
      <c r="AA467" s="65" t="s">
        <v>116</v>
      </c>
      <c r="AB467" s="64" t="b">
        <f t="shared" si="55"/>
        <v>0</v>
      </c>
    </row>
    <row r="468" spans="1:28" ht="15" customHeight="1" x14ac:dyDescent="0.3">
      <c r="A468" s="57" t="s">
        <v>1063</v>
      </c>
      <c r="B468" s="82">
        <v>45348</v>
      </c>
      <c r="C468" s="59">
        <f t="shared" si="49"/>
        <v>2024</v>
      </c>
      <c r="D468" s="59">
        <f t="shared" si="50"/>
        <v>2</v>
      </c>
      <c r="E468" s="59">
        <f t="shared" si="51"/>
        <v>9</v>
      </c>
      <c r="F468" s="57" t="s">
        <v>61</v>
      </c>
      <c r="G468" s="57" t="s">
        <v>41</v>
      </c>
      <c r="H468" s="57" t="s">
        <v>1064</v>
      </c>
      <c r="I468" s="57" t="s">
        <v>66</v>
      </c>
      <c r="J468" s="57" t="s">
        <v>112</v>
      </c>
      <c r="K468" s="57" t="s">
        <v>73</v>
      </c>
      <c r="L468" s="57" t="s">
        <v>124</v>
      </c>
      <c r="M468" s="60">
        <v>809</v>
      </c>
      <c r="N468" s="57" t="s">
        <v>163</v>
      </c>
      <c r="O468" s="61">
        <v>717.68</v>
      </c>
      <c r="P468" s="61">
        <v>580603.12</v>
      </c>
      <c r="Q468" s="61">
        <v>33842.42</v>
      </c>
      <c r="R468" s="62">
        <f t="shared" si="52"/>
        <v>5.8288388116136888E-2</v>
      </c>
      <c r="S468" s="60">
        <v>17</v>
      </c>
      <c r="T468" s="58">
        <v>45365</v>
      </c>
      <c r="U468" s="58">
        <v>45362</v>
      </c>
      <c r="V468" s="63">
        <f t="shared" si="53"/>
        <v>-3</v>
      </c>
      <c r="W468" s="57" t="s">
        <v>115</v>
      </c>
      <c r="X468" s="64" t="b">
        <f t="shared" si="54"/>
        <v>1</v>
      </c>
      <c r="Y468" s="60">
        <v>87</v>
      </c>
      <c r="Z468" s="60">
        <v>194</v>
      </c>
      <c r="AA468" s="57" t="s">
        <v>116</v>
      </c>
      <c r="AB468" s="64" t="b">
        <f t="shared" si="55"/>
        <v>0</v>
      </c>
    </row>
    <row r="469" spans="1:28" ht="15" customHeight="1" x14ac:dyDescent="0.3">
      <c r="A469" s="65" t="s">
        <v>1065</v>
      </c>
      <c r="B469" s="81">
        <v>45612</v>
      </c>
      <c r="C469" s="59">
        <f t="shared" si="49"/>
        <v>2024</v>
      </c>
      <c r="D469" s="59">
        <f t="shared" si="50"/>
        <v>11</v>
      </c>
      <c r="E469" s="59">
        <f t="shared" si="51"/>
        <v>46</v>
      </c>
      <c r="F469" s="65" t="s">
        <v>59</v>
      </c>
      <c r="G469" s="65" t="s">
        <v>45</v>
      </c>
      <c r="H469" s="65" t="s">
        <v>1066</v>
      </c>
      <c r="I469" s="65" t="s">
        <v>69</v>
      </c>
      <c r="J469" s="65" t="s">
        <v>139</v>
      </c>
      <c r="K469" s="65" t="s">
        <v>74</v>
      </c>
      <c r="L469" s="65" t="s">
        <v>119</v>
      </c>
      <c r="M469" s="67">
        <v>792</v>
      </c>
      <c r="N469" s="65" t="s">
        <v>120</v>
      </c>
      <c r="O469" s="68">
        <v>207.8</v>
      </c>
      <c r="P469" s="68">
        <v>164577.60000000001</v>
      </c>
      <c r="Q469" s="68">
        <v>6457</v>
      </c>
      <c r="R469" s="62">
        <f t="shared" si="52"/>
        <v>3.9233771789113463E-2</v>
      </c>
      <c r="S469" s="67">
        <v>8</v>
      </c>
      <c r="T469" s="66">
        <v>45620</v>
      </c>
      <c r="U469" s="66">
        <v>45622</v>
      </c>
      <c r="V469" s="63">
        <f t="shared" si="53"/>
        <v>2</v>
      </c>
      <c r="W469" s="65" t="s">
        <v>125</v>
      </c>
      <c r="X469" s="64" t="b">
        <f t="shared" si="54"/>
        <v>0</v>
      </c>
      <c r="Y469" s="67">
        <v>137</v>
      </c>
      <c r="Z469" s="67">
        <v>12</v>
      </c>
      <c r="AA469" s="65" t="s">
        <v>83</v>
      </c>
      <c r="AB469" s="64" t="b">
        <f t="shared" si="55"/>
        <v>1</v>
      </c>
    </row>
    <row r="470" spans="1:28" ht="15" customHeight="1" x14ac:dyDescent="0.3">
      <c r="A470" s="57" t="s">
        <v>1067</v>
      </c>
      <c r="B470" s="82">
        <v>45181</v>
      </c>
      <c r="C470" s="59">
        <f t="shared" si="49"/>
        <v>2023</v>
      </c>
      <c r="D470" s="59">
        <f t="shared" si="50"/>
        <v>9</v>
      </c>
      <c r="E470" s="59">
        <f t="shared" si="51"/>
        <v>37</v>
      </c>
      <c r="F470" s="57" t="s">
        <v>57</v>
      </c>
      <c r="G470" s="57" t="s">
        <v>45</v>
      </c>
      <c r="H470" s="57" t="s">
        <v>1068</v>
      </c>
      <c r="I470" s="57" t="s">
        <v>69</v>
      </c>
      <c r="J470" s="57" t="s">
        <v>123</v>
      </c>
      <c r="K470" s="57" t="s">
        <v>73</v>
      </c>
      <c r="L470" s="57" t="s">
        <v>124</v>
      </c>
      <c r="M470" s="60">
        <v>149</v>
      </c>
      <c r="N470" s="57" t="s">
        <v>132</v>
      </c>
      <c r="O470" s="61">
        <v>194.74</v>
      </c>
      <c r="P470" s="61">
        <v>29016.26</v>
      </c>
      <c r="Q470" s="61">
        <v>743.14</v>
      </c>
      <c r="R470" s="62">
        <f t="shared" si="52"/>
        <v>2.5611157330407159E-2</v>
      </c>
      <c r="S470" s="60">
        <v>1</v>
      </c>
      <c r="T470" s="58">
        <v>45182</v>
      </c>
      <c r="U470" s="58">
        <v>45190</v>
      </c>
      <c r="V470" s="63">
        <f t="shared" si="53"/>
        <v>8</v>
      </c>
      <c r="W470" s="57" t="s">
        <v>125</v>
      </c>
      <c r="X470" s="64" t="b">
        <f t="shared" si="54"/>
        <v>0</v>
      </c>
      <c r="Y470" s="60">
        <v>107</v>
      </c>
      <c r="Z470" s="60">
        <v>62</v>
      </c>
      <c r="AA470" s="57" t="s">
        <v>81</v>
      </c>
      <c r="AB470" s="64" t="b">
        <f t="shared" si="55"/>
        <v>1</v>
      </c>
    </row>
    <row r="471" spans="1:28" ht="15" customHeight="1" x14ac:dyDescent="0.3">
      <c r="A471" s="65" t="s">
        <v>1069</v>
      </c>
      <c r="B471" s="81">
        <v>45200</v>
      </c>
      <c r="C471" s="59">
        <f t="shared" si="49"/>
        <v>2023</v>
      </c>
      <c r="D471" s="59">
        <f t="shared" si="50"/>
        <v>10</v>
      </c>
      <c r="E471" s="59">
        <f t="shared" si="51"/>
        <v>40</v>
      </c>
      <c r="F471" s="65" t="s">
        <v>59</v>
      </c>
      <c r="G471" s="65" t="s">
        <v>40</v>
      </c>
      <c r="H471" s="65" t="s">
        <v>1070</v>
      </c>
      <c r="I471" s="65" t="s">
        <v>69</v>
      </c>
      <c r="J471" s="65" t="s">
        <v>123</v>
      </c>
      <c r="K471" s="65" t="s">
        <v>71</v>
      </c>
      <c r="L471" s="65" t="s">
        <v>135</v>
      </c>
      <c r="M471" s="67">
        <v>490</v>
      </c>
      <c r="N471" s="65" t="s">
        <v>132</v>
      </c>
      <c r="O471" s="68">
        <v>1175.3900000000001</v>
      </c>
      <c r="P471" s="68">
        <v>575941.1</v>
      </c>
      <c r="Q471" s="68">
        <v>26278.32</v>
      </c>
      <c r="R471" s="62">
        <f t="shared" si="52"/>
        <v>4.56267489852695E-2</v>
      </c>
      <c r="S471" s="67">
        <v>9</v>
      </c>
      <c r="T471" s="66">
        <v>45209</v>
      </c>
      <c r="U471" s="66">
        <v>45217</v>
      </c>
      <c r="V471" s="63">
        <f t="shared" si="53"/>
        <v>8</v>
      </c>
      <c r="W471" s="65" t="s">
        <v>128</v>
      </c>
      <c r="X471" s="64" t="b">
        <f t="shared" si="54"/>
        <v>0</v>
      </c>
      <c r="Y471" s="67">
        <v>499</v>
      </c>
      <c r="Z471" s="67">
        <v>12</v>
      </c>
      <c r="AA471" s="65" t="s">
        <v>81</v>
      </c>
      <c r="AB471" s="64" t="b">
        <f t="shared" si="55"/>
        <v>1</v>
      </c>
    </row>
    <row r="472" spans="1:28" ht="15" customHeight="1" x14ac:dyDescent="0.3">
      <c r="A472" s="57" t="s">
        <v>1071</v>
      </c>
      <c r="B472" s="82">
        <v>45090</v>
      </c>
      <c r="C472" s="59">
        <f t="shared" si="49"/>
        <v>2023</v>
      </c>
      <c r="D472" s="59">
        <f t="shared" si="50"/>
        <v>6</v>
      </c>
      <c r="E472" s="59">
        <f t="shared" si="51"/>
        <v>24</v>
      </c>
      <c r="F472" s="57" t="s">
        <v>54</v>
      </c>
      <c r="G472" s="57" t="s">
        <v>46</v>
      </c>
      <c r="H472" s="57" t="s">
        <v>1072</v>
      </c>
      <c r="I472" s="57" t="s">
        <v>68</v>
      </c>
      <c r="J472" s="57" t="s">
        <v>151</v>
      </c>
      <c r="K472" s="57" t="s">
        <v>73</v>
      </c>
      <c r="L472" s="57" t="s">
        <v>119</v>
      </c>
      <c r="M472" s="60">
        <v>246</v>
      </c>
      <c r="N472" s="57" t="s">
        <v>136</v>
      </c>
      <c r="O472" s="61">
        <v>63.35</v>
      </c>
      <c r="P472" s="61">
        <v>15584.1</v>
      </c>
      <c r="Q472" s="61">
        <v>432.07</v>
      </c>
      <c r="R472" s="62">
        <f t="shared" si="52"/>
        <v>2.7725053098991922E-2</v>
      </c>
      <c r="S472" s="60">
        <v>11</v>
      </c>
      <c r="T472" s="58">
        <v>45101</v>
      </c>
      <c r="U472" s="58">
        <v>45098</v>
      </c>
      <c r="V472" s="63">
        <f t="shared" si="53"/>
        <v>-3</v>
      </c>
      <c r="W472" s="57" t="s">
        <v>115</v>
      </c>
      <c r="X472" s="64" t="b">
        <f t="shared" si="54"/>
        <v>1</v>
      </c>
      <c r="Y472" s="60">
        <v>22</v>
      </c>
      <c r="Z472" s="60">
        <v>248</v>
      </c>
      <c r="AA472" s="57" t="s">
        <v>84</v>
      </c>
      <c r="AB472" s="64" t="b">
        <f t="shared" si="55"/>
        <v>1</v>
      </c>
    </row>
    <row r="473" spans="1:28" ht="15" customHeight="1" x14ac:dyDescent="0.3">
      <c r="A473" s="65" t="s">
        <v>1073</v>
      </c>
      <c r="B473" s="81">
        <v>45645</v>
      </c>
      <c r="C473" s="59">
        <f t="shared" si="49"/>
        <v>2024</v>
      </c>
      <c r="D473" s="59">
        <f t="shared" si="50"/>
        <v>12</v>
      </c>
      <c r="E473" s="59">
        <f t="shared" si="51"/>
        <v>51</v>
      </c>
      <c r="F473" s="65" t="s">
        <v>58</v>
      </c>
      <c r="G473" s="65" t="s">
        <v>42</v>
      </c>
      <c r="H473" s="65" t="s">
        <v>1074</v>
      </c>
      <c r="I473" s="65" t="s">
        <v>64</v>
      </c>
      <c r="J473" s="65" t="s">
        <v>131</v>
      </c>
      <c r="K473" s="65" t="s">
        <v>74</v>
      </c>
      <c r="L473" s="65" t="s">
        <v>135</v>
      </c>
      <c r="M473" s="67">
        <v>983</v>
      </c>
      <c r="N473" s="65" t="s">
        <v>114</v>
      </c>
      <c r="O473" s="68">
        <v>87.3</v>
      </c>
      <c r="P473" s="68">
        <v>85815.9</v>
      </c>
      <c r="Q473" s="68">
        <v>6595.59</v>
      </c>
      <c r="R473" s="62">
        <f t="shared" si="52"/>
        <v>7.685743551020266E-2</v>
      </c>
      <c r="S473" s="67">
        <v>22</v>
      </c>
      <c r="T473" s="66">
        <v>45667</v>
      </c>
      <c r="U473" s="66">
        <v>45670</v>
      </c>
      <c r="V473" s="63">
        <f t="shared" si="53"/>
        <v>3</v>
      </c>
      <c r="W473" s="65" t="s">
        <v>125</v>
      </c>
      <c r="X473" s="64" t="b">
        <f t="shared" si="54"/>
        <v>0</v>
      </c>
      <c r="Y473" s="67">
        <v>143</v>
      </c>
      <c r="Z473" s="67">
        <v>204</v>
      </c>
      <c r="AA473" s="65" t="s">
        <v>82</v>
      </c>
      <c r="AB473" s="64" t="b">
        <f t="shared" si="55"/>
        <v>1</v>
      </c>
    </row>
    <row r="474" spans="1:28" ht="15" customHeight="1" x14ac:dyDescent="0.3">
      <c r="A474" s="57" t="s">
        <v>1075</v>
      </c>
      <c r="B474" s="82">
        <v>45037</v>
      </c>
      <c r="C474" s="59">
        <f t="shared" si="49"/>
        <v>2023</v>
      </c>
      <c r="D474" s="59">
        <f t="shared" si="50"/>
        <v>4</v>
      </c>
      <c r="E474" s="59">
        <f t="shared" si="51"/>
        <v>16</v>
      </c>
      <c r="F474" s="57" t="s">
        <v>52</v>
      </c>
      <c r="G474" s="57" t="s">
        <v>43</v>
      </c>
      <c r="H474" s="57" t="s">
        <v>1076</v>
      </c>
      <c r="I474" s="57" t="s">
        <v>69</v>
      </c>
      <c r="J474" s="57" t="s">
        <v>123</v>
      </c>
      <c r="K474" s="57" t="s">
        <v>73</v>
      </c>
      <c r="L474" s="57" t="s">
        <v>119</v>
      </c>
      <c r="M474" s="60">
        <v>962</v>
      </c>
      <c r="N474" s="57" t="s">
        <v>140</v>
      </c>
      <c r="O474" s="61">
        <v>196.26</v>
      </c>
      <c r="P474" s="61">
        <v>188802.12</v>
      </c>
      <c r="Q474" s="61">
        <v>9158.84</v>
      </c>
      <c r="R474" s="62">
        <f t="shared" si="52"/>
        <v>4.8510260372076335E-2</v>
      </c>
      <c r="S474" s="60">
        <v>16</v>
      </c>
      <c r="T474" s="58">
        <v>45053</v>
      </c>
      <c r="U474" s="58">
        <v>45050</v>
      </c>
      <c r="V474" s="63">
        <f t="shared" si="53"/>
        <v>-3</v>
      </c>
      <c r="W474" s="57" t="s">
        <v>115</v>
      </c>
      <c r="X474" s="64" t="b">
        <f t="shared" si="54"/>
        <v>1</v>
      </c>
      <c r="Y474" s="60">
        <v>356</v>
      </c>
      <c r="Z474" s="60">
        <v>384</v>
      </c>
      <c r="AA474" s="57" t="s">
        <v>81</v>
      </c>
      <c r="AB474" s="64" t="b">
        <f t="shared" si="55"/>
        <v>1</v>
      </c>
    </row>
    <row r="475" spans="1:28" ht="15" customHeight="1" x14ac:dyDescent="0.3">
      <c r="A475" s="65" t="s">
        <v>1077</v>
      </c>
      <c r="B475" s="81">
        <v>45318</v>
      </c>
      <c r="C475" s="59">
        <f t="shared" si="49"/>
        <v>2024</v>
      </c>
      <c r="D475" s="59">
        <f t="shared" si="50"/>
        <v>1</v>
      </c>
      <c r="E475" s="59">
        <f t="shared" si="51"/>
        <v>4</v>
      </c>
      <c r="F475" s="65" t="s">
        <v>59</v>
      </c>
      <c r="G475" s="65" t="s">
        <v>46</v>
      </c>
      <c r="H475" s="65" t="s">
        <v>1078</v>
      </c>
      <c r="I475" s="65" t="s">
        <v>66</v>
      </c>
      <c r="J475" s="65" t="s">
        <v>123</v>
      </c>
      <c r="K475" s="65" t="s">
        <v>74</v>
      </c>
      <c r="L475" s="65" t="s">
        <v>156</v>
      </c>
      <c r="M475" s="67">
        <v>913</v>
      </c>
      <c r="N475" s="65" t="s">
        <v>132</v>
      </c>
      <c r="O475" s="68">
        <v>85.66</v>
      </c>
      <c r="P475" s="68">
        <v>78207.58</v>
      </c>
      <c r="Q475" s="68">
        <v>3052.88</v>
      </c>
      <c r="R475" s="62">
        <f t="shared" si="52"/>
        <v>3.9035602431375577E-2</v>
      </c>
      <c r="S475" s="67">
        <v>7</v>
      </c>
      <c r="T475" s="66">
        <v>45325</v>
      </c>
      <c r="U475" s="66">
        <v>45328</v>
      </c>
      <c r="V475" s="63">
        <f t="shared" si="53"/>
        <v>3</v>
      </c>
      <c r="W475" s="65" t="s">
        <v>128</v>
      </c>
      <c r="X475" s="64" t="b">
        <f t="shared" si="54"/>
        <v>0</v>
      </c>
      <c r="Y475" s="67">
        <v>143</v>
      </c>
      <c r="Z475" s="67">
        <v>252</v>
      </c>
      <c r="AA475" s="65" t="s">
        <v>83</v>
      </c>
      <c r="AB475" s="64" t="b">
        <f t="shared" si="55"/>
        <v>1</v>
      </c>
    </row>
    <row r="476" spans="1:28" ht="15" customHeight="1" x14ac:dyDescent="0.3">
      <c r="A476" s="57" t="s">
        <v>1079</v>
      </c>
      <c r="B476" s="82">
        <v>44966</v>
      </c>
      <c r="C476" s="59">
        <f t="shared" si="49"/>
        <v>2023</v>
      </c>
      <c r="D476" s="59">
        <f t="shared" si="50"/>
        <v>2</v>
      </c>
      <c r="E476" s="59">
        <f t="shared" si="51"/>
        <v>6</v>
      </c>
      <c r="F476" s="57" t="s">
        <v>61</v>
      </c>
      <c r="G476" s="57" t="s">
        <v>44</v>
      </c>
      <c r="H476" s="57" t="s">
        <v>1080</v>
      </c>
      <c r="I476" s="57" t="s">
        <v>66</v>
      </c>
      <c r="J476" s="57" t="s">
        <v>139</v>
      </c>
      <c r="K476" s="57" t="s">
        <v>73</v>
      </c>
      <c r="L476" s="57" t="s">
        <v>156</v>
      </c>
      <c r="M476" s="60">
        <v>81</v>
      </c>
      <c r="N476" s="57" t="s">
        <v>120</v>
      </c>
      <c r="O476" s="61">
        <v>138.62</v>
      </c>
      <c r="P476" s="61">
        <v>11228.22</v>
      </c>
      <c r="Q476" s="61">
        <v>740.82</v>
      </c>
      <c r="R476" s="62">
        <f t="shared" si="52"/>
        <v>6.5978400850713659E-2</v>
      </c>
      <c r="S476" s="60">
        <v>29</v>
      </c>
      <c r="T476" s="58">
        <v>44995</v>
      </c>
      <c r="U476" s="58">
        <v>44996</v>
      </c>
      <c r="V476" s="63">
        <f t="shared" si="53"/>
        <v>1</v>
      </c>
      <c r="W476" s="57" t="s">
        <v>125</v>
      </c>
      <c r="X476" s="64" t="b">
        <f t="shared" si="54"/>
        <v>0</v>
      </c>
      <c r="Y476" s="60">
        <v>55</v>
      </c>
      <c r="Z476" s="60">
        <v>39</v>
      </c>
      <c r="AA476" s="57" t="s">
        <v>83</v>
      </c>
      <c r="AB476" s="64" t="b">
        <f t="shared" si="55"/>
        <v>1</v>
      </c>
    </row>
    <row r="477" spans="1:28" ht="15" customHeight="1" x14ac:dyDescent="0.3">
      <c r="A477" s="65" t="s">
        <v>1081</v>
      </c>
      <c r="B477" s="81">
        <v>45408</v>
      </c>
      <c r="C477" s="59">
        <f t="shared" si="49"/>
        <v>2024</v>
      </c>
      <c r="D477" s="59">
        <f t="shared" si="50"/>
        <v>4</v>
      </c>
      <c r="E477" s="59">
        <f t="shared" si="51"/>
        <v>17</v>
      </c>
      <c r="F477" s="65" t="s">
        <v>54</v>
      </c>
      <c r="G477" s="65" t="s">
        <v>46</v>
      </c>
      <c r="H477" s="65" t="s">
        <v>1082</v>
      </c>
      <c r="I477" s="65" t="s">
        <v>69</v>
      </c>
      <c r="J477" s="65" t="s">
        <v>123</v>
      </c>
      <c r="K477" s="65" t="s">
        <v>73</v>
      </c>
      <c r="L477" s="65" t="s">
        <v>135</v>
      </c>
      <c r="M477" s="67">
        <v>676</v>
      </c>
      <c r="N477" s="65" t="s">
        <v>120</v>
      </c>
      <c r="O477" s="68">
        <v>78.58</v>
      </c>
      <c r="P477" s="68">
        <v>53120.08</v>
      </c>
      <c r="Q477" s="68">
        <v>2649.47</v>
      </c>
      <c r="R477" s="62">
        <f t="shared" si="52"/>
        <v>4.9876995667175197E-2</v>
      </c>
      <c r="S477" s="67">
        <v>10</v>
      </c>
      <c r="T477" s="66">
        <v>45418</v>
      </c>
      <c r="U477" s="66">
        <v>45420</v>
      </c>
      <c r="V477" s="63">
        <f t="shared" si="53"/>
        <v>2</v>
      </c>
      <c r="W477" s="65" t="s">
        <v>128</v>
      </c>
      <c r="X477" s="64" t="b">
        <f t="shared" si="54"/>
        <v>0</v>
      </c>
      <c r="Y477" s="67">
        <v>107</v>
      </c>
      <c r="Z477" s="67">
        <v>164</v>
      </c>
      <c r="AA477" s="65" t="s">
        <v>84</v>
      </c>
      <c r="AB477" s="64" t="b">
        <f t="shared" si="55"/>
        <v>1</v>
      </c>
    </row>
    <row r="478" spans="1:28" ht="15" customHeight="1" x14ac:dyDescent="0.3">
      <c r="A478" s="57" t="s">
        <v>1083</v>
      </c>
      <c r="B478" s="82">
        <v>45154</v>
      </c>
      <c r="C478" s="59">
        <f t="shared" si="49"/>
        <v>2023</v>
      </c>
      <c r="D478" s="59">
        <f t="shared" si="50"/>
        <v>8</v>
      </c>
      <c r="E478" s="59">
        <f t="shared" si="51"/>
        <v>33</v>
      </c>
      <c r="F478" s="57" t="s">
        <v>52</v>
      </c>
      <c r="G478" s="57" t="s">
        <v>46</v>
      </c>
      <c r="H478" s="57" t="s">
        <v>1084</v>
      </c>
      <c r="I478" s="57" t="s">
        <v>65</v>
      </c>
      <c r="J478" s="57" t="s">
        <v>112</v>
      </c>
      <c r="K478" s="57" t="s">
        <v>74</v>
      </c>
      <c r="L478" s="57" t="s">
        <v>119</v>
      </c>
      <c r="M478" s="60">
        <v>199</v>
      </c>
      <c r="N478" s="57" t="s">
        <v>136</v>
      </c>
      <c r="O478" s="61">
        <v>80.97</v>
      </c>
      <c r="P478" s="61">
        <v>16113.03</v>
      </c>
      <c r="Q478" s="61">
        <v>622</v>
      </c>
      <c r="R478" s="62">
        <f t="shared" si="52"/>
        <v>3.8602298884815582E-2</v>
      </c>
      <c r="S478" s="60">
        <v>23</v>
      </c>
      <c r="T478" s="58">
        <v>45177</v>
      </c>
      <c r="U478" s="58">
        <v>45185</v>
      </c>
      <c r="V478" s="63">
        <f t="shared" si="53"/>
        <v>8</v>
      </c>
      <c r="W478" s="57" t="s">
        <v>125</v>
      </c>
      <c r="X478" s="64" t="b">
        <f t="shared" si="54"/>
        <v>0</v>
      </c>
      <c r="Y478" s="60">
        <v>350</v>
      </c>
      <c r="Z478" s="60">
        <v>30</v>
      </c>
      <c r="AA478" s="57" t="s">
        <v>116</v>
      </c>
      <c r="AB478" s="64" t="b">
        <f t="shared" si="55"/>
        <v>0</v>
      </c>
    </row>
    <row r="479" spans="1:28" ht="15" customHeight="1" x14ac:dyDescent="0.3">
      <c r="A479" s="65" t="s">
        <v>1085</v>
      </c>
      <c r="B479" s="81">
        <v>45131</v>
      </c>
      <c r="C479" s="59">
        <f t="shared" si="49"/>
        <v>2023</v>
      </c>
      <c r="D479" s="59">
        <f t="shared" si="50"/>
        <v>7</v>
      </c>
      <c r="E479" s="59">
        <f t="shared" si="51"/>
        <v>30</v>
      </c>
      <c r="F479" s="65" t="s">
        <v>54</v>
      </c>
      <c r="G479" s="65" t="s">
        <v>39</v>
      </c>
      <c r="H479" s="65" t="s">
        <v>1086</v>
      </c>
      <c r="I479" s="65" t="s">
        <v>66</v>
      </c>
      <c r="J479" s="65" t="s">
        <v>151</v>
      </c>
      <c r="K479" s="65" t="s">
        <v>73</v>
      </c>
      <c r="L479" s="65" t="s">
        <v>146</v>
      </c>
      <c r="M479" s="67">
        <v>277</v>
      </c>
      <c r="N479" s="65" t="s">
        <v>120</v>
      </c>
      <c r="O479" s="68">
        <v>1460.22</v>
      </c>
      <c r="P479" s="68">
        <v>404480.94</v>
      </c>
      <c r="Q479" s="68">
        <v>27795.15</v>
      </c>
      <c r="R479" s="62">
        <f t="shared" si="52"/>
        <v>6.8718071116033314E-2</v>
      </c>
      <c r="S479" s="67">
        <v>26</v>
      </c>
      <c r="T479" s="66">
        <v>45157</v>
      </c>
      <c r="U479" s="66">
        <v>45154</v>
      </c>
      <c r="V479" s="63">
        <f t="shared" si="53"/>
        <v>-3</v>
      </c>
      <c r="W479" s="65" t="s">
        <v>115</v>
      </c>
      <c r="X479" s="64" t="b">
        <f t="shared" si="54"/>
        <v>1</v>
      </c>
      <c r="Y479" s="67">
        <v>5</v>
      </c>
      <c r="Z479" s="67">
        <v>499</v>
      </c>
      <c r="AA479" s="65" t="s">
        <v>81</v>
      </c>
      <c r="AB479" s="64" t="b">
        <f t="shared" si="55"/>
        <v>1</v>
      </c>
    </row>
    <row r="480" spans="1:28" ht="15" customHeight="1" x14ac:dyDescent="0.3">
      <c r="A480" s="57" t="s">
        <v>1087</v>
      </c>
      <c r="B480" s="82">
        <v>45398</v>
      </c>
      <c r="C480" s="59">
        <f t="shared" si="49"/>
        <v>2024</v>
      </c>
      <c r="D480" s="59">
        <f t="shared" si="50"/>
        <v>4</v>
      </c>
      <c r="E480" s="59">
        <f t="shared" si="51"/>
        <v>16</v>
      </c>
      <c r="F480" s="57" t="s">
        <v>53</v>
      </c>
      <c r="G480" s="57" t="s">
        <v>46</v>
      </c>
      <c r="H480" s="57" t="s">
        <v>1088</v>
      </c>
      <c r="I480" s="57" t="s">
        <v>65</v>
      </c>
      <c r="J480" s="57" t="s">
        <v>151</v>
      </c>
      <c r="K480" s="57" t="s">
        <v>72</v>
      </c>
      <c r="L480" s="57" t="s">
        <v>135</v>
      </c>
      <c r="M480" s="60">
        <v>330</v>
      </c>
      <c r="N480" s="57" t="s">
        <v>136</v>
      </c>
      <c r="O480" s="61">
        <v>62.82</v>
      </c>
      <c r="P480" s="61">
        <v>20730.599999999999</v>
      </c>
      <c r="Q480" s="61">
        <v>1493.21</v>
      </c>
      <c r="R480" s="62">
        <f t="shared" si="52"/>
        <v>7.2029270739872461E-2</v>
      </c>
      <c r="S480" s="60">
        <v>3</v>
      </c>
      <c r="T480" s="58">
        <v>45401</v>
      </c>
      <c r="U480" s="58">
        <v>45402</v>
      </c>
      <c r="V480" s="63">
        <f t="shared" si="53"/>
        <v>1</v>
      </c>
      <c r="W480" s="57" t="s">
        <v>125</v>
      </c>
      <c r="X480" s="64" t="b">
        <f t="shared" si="54"/>
        <v>0</v>
      </c>
      <c r="Y480" s="60">
        <v>29</v>
      </c>
      <c r="Z480" s="60">
        <v>16</v>
      </c>
      <c r="AA480" s="57" t="s">
        <v>84</v>
      </c>
      <c r="AB480" s="64" t="b">
        <f t="shared" si="55"/>
        <v>1</v>
      </c>
    </row>
    <row r="481" spans="1:28" ht="15" customHeight="1" x14ac:dyDescent="0.3">
      <c r="A481" s="65" t="s">
        <v>1089</v>
      </c>
      <c r="B481" s="81">
        <v>45285</v>
      </c>
      <c r="C481" s="59">
        <f t="shared" si="49"/>
        <v>2023</v>
      </c>
      <c r="D481" s="59">
        <f t="shared" si="50"/>
        <v>12</v>
      </c>
      <c r="E481" s="59">
        <f t="shared" si="51"/>
        <v>52</v>
      </c>
      <c r="F481" s="65" t="s">
        <v>60</v>
      </c>
      <c r="G481" s="65" t="s">
        <v>45</v>
      </c>
      <c r="H481" s="65" t="s">
        <v>1090</v>
      </c>
      <c r="I481" s="65" t="s">
        <v>64</v>
      </c>
      <c r="J481" s="65" t="s">
        <v>112</v>
      </c>
      <c r="K481" s="65" t="s">
        <v>75</v>
      </c>
      <c r="L481" s="65" t="s">
        <v>135</v>
      </c>
      <c r="M481" s="67">
        <v>116</v>
      </c>
      <c r="N481" s="65" t="s">
        <v>132</v>
      </c>
      <c r="O481" s="68">
        <v>275.76</v>
      </c>
      <c r="P481" s="68">
        <v>31988.16</v>
      </c>
      <c r="Q481" s="68">
        <v>1931.46</v>
      </c>
      <c r="R481" s="62">
        <f t="shared" si="52"/>
        <v>6.0380465772335766E-2</v>
      </c>
      <c r="S481" s="67">
        <v>18</v>
      </c>
      <c r="T481" s="66">
        <v>45303</v>
      </c>
      <c r="U481" s="66">
        <v>45315</v>
      </c>
      <c r="V481" s="63">
        <f t="shared" si="53"/>
        <v>12</v>
      </c>
      <c r="W481" s="65" t="s">
        <v>125</v>
      </c>
      <c r="X481" s="64" t="b">
        <f t="shared" si="54"/>
        <v>0</v>
      </c>
      <c r="Y481" s="67">
        <v>446</v>
      </c>
      <c r="Z481" s="67">
        <v>136</v>
      </c>
      <c r="AA481" s="65" t="s">
        <v>116</v>
      </c>
      <c r="AB481" s="64" t="b">
        <f t="shared" si="55"/>
        <v>0</v>
      </c>
    </row>
    <row r="482" spans="1:28" ht="15" customHeight="1" x14ac:dyDescent="0.3">
      <c r="A482" s="57" t="s">
        <v>1091</v>
      </c>
      <c r="B482" s="82">
        <v>45239</v>
      </c>
      <c r="C482" s="59">
        <f t="shared" si="49"/>
        <v>2023</v>
      </c>
      <c r="D482" s="59">
        <f t="shared" si="50"/>
        <v>11</v>
      </c>
      <c r="E482" s="59">
        <f t="shared" si="51"/>
        <v>45</v>
      </c>
      <c r="F482" s="57" t="s">
        <v>55</v>
      </c>
      <c r="G482" s="57" t="s">
        <v>44</v>
      </c>
      <c r="H482" s="57" t="s">
        <v>1092</v>
      </c>
      <c r="I482" s="57" t="s">
        <v>68</v>
      </c>
      <c r="J482" s="57" t="s">
        <v>143</v>
      </c>
      <c r="K482" s="57" t="s">
        <v>72</v>
      </c>
      <c r="L482" s="57" t="s">
        <v>124</v>
      </c>
      <c r="M482" s="60">
        <v>241</v>
      </c>
      <c r="N482" s="57" t="s">
        <v>132</v>
      </c>
      <c r="O482" s="61">
        <v>118.87</v>
      </c>
      <c r="P482" s="61">
        <v>28647.67</v>
      </c>
      <c r="Q482" s="61">
        <v>653.67999999999995</v>
      </c>
      <c r="R482" s="62">
        <f t="shared" si="52"/>
        <v>2.2817911543940573E-2</v>
      </c>
      <c r="S482" s="60">
        <v>25</v>
      </c>
      <c r="T482" s="58">
        <v>45264</v>
      </c>
      <c r="U482" s="58">
        <v>45264</v>
      </c>
      <c r="V482" s="63">
        <f t="shared" si="53"/>
        <v>0</v>
      </c>
      <c r="W482" s="57" t="s">
        <v>115</v>
      </c>
      <c r="X482" s="64" t="b">
        <f t="shared" si="54"/>
        <v>1</v>
      </c>
      <c r="Y482" s="60">
        <v>484</v>
      </c>
      <c r="Z482" s="60">
        <v>364</v>
      </c>
      <c r="AA482" s="57" t="s">
        <v>116</v>
      </c>
      <c r="AB482" s="64" t="b">
        <f t="shared" si="55"/>
        <v>0</v>
      </c>
    </row>
    <row r="483" spans="1:28" ht="15" customHeight="1" x14ac:dyDescent="0.3">
      <c r="A483" s="65" t="s">
        <v>1093</v>
      </c>
      <c r="B483" s="81">
        <v>45160</v>
      </c>
      <c r="C483" s="59">
        <f t="shared" si="49"/>
        <v>2023</v>
      </c>
      <c r="D483" s="59">
        <f t="shared" si="50"/>
        <v>8</v>
      </c>
      <c r="E483" s="59">
        <f t="shared" si="51"/>
        <v>34</v>
      </c>
      <c r="F483" s="65" t="s">
        <v>53</v>
      </c>
      <c r="G483" s="65" t="s">
        <v>44</v>
      </c>
      <c r="H483" s="65" t="s">
        <v>1094</v>
      </c>
      <c r="I483" s="65" t="s">
        <v>66</v>
      </c>
      <c r="J483" s="65" t="s">
        <v>123</v>
      </c>
      <c r="K483" s="65" t="s">
        <v>75</v>
      </c>
      <c r="L483" s="65" t="s">
        <v>113</v>
      </c>
      <c r="M483" s="67">
        <v>51</v>
      </c>
      <c r="N483" s="65" t="s">
        <v>132</v>
      </c>
      <c r="O483" s="68">
        <v>160.22</v>
      </c>
      <c r="P483" s="68">
        <v>8171.22</v>
      </c>
      <c r="Q483" s="68">
        <v>441.08</v>
      </c>
      <c r="R483" s="62">
        <f t="shared" si="52"/>
        <v>5.3979699481839914E-2</v>
      </c>
      <c r="S483" s="67">
        <v>24</v>
      </c>
      <c r="T483" s="66">
        <v>45184</v>
      </c>
      <c r="U483" s="66">
        <v>45184</v>
      </c>
      <c r="V483" s="63">
        <f t="shared" si="53"/>
        <v>0</v>
      </c>
      <c r="W483" s="65" t="s">
        <v>115</v>
      </c>
      <c r="X483" s="64" t="b">
        <f t="shared" si="54"/>
        <v>1</v>
      </c>
      <c r="Y483" s="67">
        <v>384</v>
      </c>
      <c r="Z483" s="67">
        <v>319</v>
      </c>
      <c r="AA483" s="65" t="s">
        <v>116</v>
      </c>
      <c r="AB483" s="64" t="b">
        <f t="shared" si="55"/>
        <v>0</v>
      </c>
    </row>
    <row r="484" spans="1:28" ht="15" customHeight="1" x14ac:dyDescent="0.3">
      <c r="A484" s="57" t="s">
        <v>1095</v>
      </c>
      <c r="B484" s="82">
        <v>45155</v>
      </c>
      <c r="C484" s="59">
        <f t="shared" si="49"/>
        <v>2023</v>
      </c>
      <c r="D484" s="59">
        <f t="shared" si="50"/>
        <v>8</v>
      </c>
      <c r="E484" s="59">
        <f t="shared" si="51"/>
        <v>33</v>
      </c>
      <c r="F484" s="57" t="s">
        <v>61</v>
      </c>
      <c r="G484" s="57" t="s">
        <v>41</v>
      </c>
      <c r="H484" s="57" t="s">
        <v>1096</v>
      </c>
      <c r="I484" s="57" t="s">
        <v>65</v>
      </c>
      <c r="J484" s="57" t="s">
        <v>131</v>
      </c>
      <c r="K484" s="57" t="s">
        <v>72</v>
      </c>
      <c r="L484" s="57" t="s">
        <v>135</v>
      </c>
      <c r="M484" s="60">
        <v>711</v>
      </c>
      <c r="N484" s="57" t="s">
        <v>132</v>
      </c>
      <c r="O484" s="61">
        <v>726.4</v>
      </c>
      <c r="P484" s="61">
        <v>516470.4</v>
      </c>
      <c r="Q484" s="61">
        <v>33982.559999999998</v>
      </c>
      <c r="R484" s="62">
        <f t="shared" si="52"/>
        <v>6.5797691406903461E-2</v>
      </c>
      <c r="S484" s="60">
        <v>13</v>
      </c>
      <c r="T484" s="58">
        <v>45168</v>
      </c>
      <c r="U484" s="58">
        <v>45169</v>
      </c>
      <c r="V484" s="63">
        <f t="shared" si="53"/>
        <v>1</v>
      </c>
      <c r="W484" s="57" t="s">
        <v>125</v>
      </c>
      <c r="X484" s="64" t="b">
        <f t="shared" si="54"/>
        <v>0</v>
      </c>
      <c r="Y484" s="60">
        <v>306</v>
      </c>
      <c r="Z484" s="60">
        <v>312</v>
      </c>
      <c r="AA484" s="57" t="s">
        <v>81</v>
      </c>
      <c r="AB484" s="64" t="b">
        <f t="shared" si="55"/>
        <v>1</v>
      </c>
    </row>
    <row r="485" spans="1:28" ht="15" customHeight="1" x14ac:dyDescent="0.3">
      <c r="A485" s="65" t="s">
        <v>1097</v>
      </c>
      <c r="B485" s="81">
        <v>44951</v>
      </c>
      <c r="C485" s="59">
        <f t="shared" si="49"/>
        <v>2023</v>
      </c>
      <c r="D485" s="59">
        <f t="shared" si="50"/>
        <v>1</v>
      </c>
      <c r="E485" s="59">
        <f t="shared" si="51"/>
        <v>4</v>
      </c>
      <c r="F485" s="65" t="s">
        <v>56</v>
      </c>
      <c r="G485" s="65" t="s">
        <v>46</v>
      </c>
      <c r="H485" s="65" t="s">
        <v>1098</v>
      </c>
      <c r="I485" s="65" t="s">
        <v>69</v>
      </c>
      <c r="J485" s="65" t="s">
        <v>123</v>
      </c>
      <c r="K485" s="65" t="s">
        <v>75</v>
      </c>
      <c r="L485" s="65" t="s">
        <v>146</v>
      </c>
      <c r="M485" s="67">
        <v>892</v>
      </c>
      <c r="N485" s="65" t="s">
        <v>140</v>
      </c>
      <c r="O485" s="68">
        <v>71.91</v>
      </c>
      <c r="P485" s="68">
        <v>64143.72</v>
      </c>
      <c r="Q485" s="68">
        <v>1808.22</v>
      </c>
      <c r="R485" s="62">
        <f t="shared" si="52"/>
        <v>2.8190133032508873E-2</v>
      </c>
      <c r="S485" s="67">
        <v>28</v>
      </c>
      <c r="T485" s="66">
        <v>44979</v>
      </c>
      <c r="U485" s="66">
        <v>44979</v>
      </c>
      <c r="V485" s="63">
        <f t="shared" si="53"/>
        <v>0</v>
      </c>
      <c r="W485" s="65" t="s">
        <v>115</v>
      </c>
      <c r="X485" s="64" t="b">
        <f t="shared" si="54"/>
        <v>1</v>
      </c>
      <c r="Y485" s="67">
        <v>361</v>
      </c>
      <c r="Z485" s="67">
        <v>396</v>
      </c>
      <c r="AA485" s="65" t="s">
        <v>116</v>
      </c>
      <c r="AB485" s="64" t="b">
        <f t="shared" si="55"/>
        <v>0</v>
      </c>
    </row>
    <row r="486" spans="1:28" ht="15" customHeight="1" x14ac:dyDescent="0.3">
      <c r="A486" s="57" t="s">
        <v>1099</v>
      </c>
      <c r="B486" s="82">
        <v>45602</v>
      </c>
      <c r="C486" s="59">
        <f t="shared" si="49"/>
        <v>2024</v>
      </c>
      <c r="D486" s="59">
        <f t="shared" si="50"/>
        <v>11</v>
      </c>
      <c r="E486" s="59">
        <f t="shared" si="51"/>
        <v>45</v>
      </c>
      <c r="F486" s="57" t="s">
        <v>56</v>
      </c>
      <c r="G486" s="57" t="s">
        <v>39</v>
      </c>
      <c r="H486" s="57" t="s">
        <v>1100</v>
      </c>
      <c r="I486" s="57" t="s">
        <v>64</v>
      </c>
      <c r="J486" s="57" t="s">
        <v>151</v>
      </c>
      <c r="K486" s="57" t="s">
        <v>73</v>
      </c>
      <c r="L486" s="57" t="s">
        <v>156</v>
      </c>
      <c r="M486" s="60">
        <v>148</v>
      </c>
      <c r="N486" s="57" t="s">
        <v>114</v>
      </c>
      <c r="O486" s="61">
        <v>1939.95</v>
      </c>
      <c r="P486" s="61">
        <v>287112.59999999998</v>
      </c>
      <c r="Q486" s="61">
        <v>9681.51</v>
      </c>
      <c r="R486" s="62">
        <f t="shared" si="52"/>
        <v>3.3720254701465564E-2</v>
      </c>
      <c r="S486" s="60">
        <v>26</v>
      </c>
      <c r="T486" s="58">
        <v>45628</v>
      </c>
      <c r="U486" s="58">
        <v>45625</v>
      </c>
      <c r="V486" s="63">
        <f t="shared" si="53"/>
        <v>-3</v>
      </c>
      <c r="W486" s="57" t="s">
        <v>115</v>
      </c>
      <c r="X486" s="64" t="b">
        <f t="shared" si="54"/>
        <v>1</v>
      </c>
      <c r="Y486" s="60">
        <v>344</v>
      </c>
      <c r="Z486" s="60">
        <v>164</v>
      </c>
      <c r="AA486" s="57" t="s">
        <v>82</v>
      </c>
      <c r="AB486" s="64" t="b">
        <f t="shared" si="55"/>
        <v>1</v>
      </c>
    </row>
    <row r="487" spans="1:28" ht="15" customHeight="1" x14ac:dyDescent="0.3">
      <c r="A487" s="65" t="s">
        <v>1101</v>
      </c>
      <c r="B487" s="81">
        <v>45124</v>
      </c>
      <c r="C487" s="59">
        <f t="shared" si="49"/>
        <v>2023</v>
      </c>
      <c r="D487" s="59">
        <f t="shared" si="50"/>
        <v>7</v>
      </c>
      <c r="E487" s="59">
        <f t="shared" si="51"/>
        <v>29</v>
      </c>
      <c r="F487" s="65" t="s">
        <v>55</v>
      </c>
      <c r="G487" s="65" t="s">
        <v>46</v>
      </c>
      <c r="H487" s="65" t="s">
        <v>1102</v>
      </c>
      <c r="I487" s="65" t="s">
        <v>67</v>
      </c>
      <c r="J487" s="65" t="s">
        <v>131</v>
      </c>
      <c r="K487" s="65" t="s">
        <v>74</v>
      </c>
      <c r="L487" s="65" t="s">
        <v>119</v>
      </c>
      <c r="M487" s="67">
        <v>624</v>
      </c>
      <c r="N487" s="65" t="s">
        <v>114</v>
      </c>
      <c r="O487" s="68">
        <v>80.64</v>
      </c>
      <c r="P487" s="68">
        <v>50319.360000000001</v>
      </c>
      <c r="Q487" s="68">
        <v>3670.78</v>
      </c>
      <c r="R487" s="62">
        <f t="shared" si="52"/>
        <v>7.2949655957468454E-2</v>
      </c>
      <c r="S487" s="67">
        <v>7</v>
      </c>
      <c r="T487" s="66">
        <v>45131</v>
      </c>
      <c r="U487" s="66">
        <v>45136</v>
      </c>
      <c r="V487" s="63">
        <f t="shared" si="53"/>
        <v>5</v>
      </c>
      <c r="W487" s="65" t="s">
        <v>125</v>
      </c>
      <c r="X487" s="64" t="b">
        <f t="shared" si="54"/>
        <v>0</v>
      </c>
      <c r="Y487" s="67">
        <v>126</v>
      </c>
      <c r="Z487" s="67">
        <v>397</v>
      </c>
      <c r="AA487" s="65" t="s">
        <v>81</v>
      </c>
      <c r="AB487" s="64" t="b">
        <f t="shared" si="55"/>
        <v>1</v>
      </c>
    </row>
    <row r="488" spans="1:28" ht="15" customHeight="1" x14ac:dyDescent="0.3">
      <c r="A488" s="57" t="s">
        <v>1103</v>
      </c>
      <c r="B488" s="82">
        <v>45335</v>
      </c>
      <c r="C488" s="59">
        <f t="shared" si="49"/>
        <v>2024</v>
      </c>
      <c r="D488" s="59">
        <f t="shared" si="50"/>
        <v>2</v>
      </c>
      <c r="E488" s="59">
        <f t="shared" si="51"/>
        <v>7</v>
      </c>
      <c r="F488" s="57" t="s">
        <v>54</v>
      </c>
      <c r="G488" s="57" t="s">
        <v>43</v>
      </c>
      <c r="H488" s="57" t="s">
        <v>1104</v>
      </c>
      <c r="I488" s="57" t="s">
        <v>67</v>
      </c>
      <c r="J488" s="57" t="s">
        <v>143</v>
      </c>
      <c r="K488" s="57" t="s">
        <v>74</v>
      </c>
      <c r="L488" s="57" t="s">
        <v>113</v>
      </c>
      <c r="M488" s="60">
        <v>692</v>
      </c>
      <c r="N488" s="57" t="s">
        <v>140</v>
      </c>
      <c r="O488" s="61">
        <v>275.20999999999998</v>
      </c>
      <c r="P488" s="61">
        <v>190445.32</v>
      </c>
      <c r="Q488" s="61">
        <v>4038.83</v>
      </c>
      <c r="R488" s="62">
        <f t="shared" si="52"/>
        <v>2.1207294566230349E-2</v>
      </c>
      <c r="S488" s="60">
        <v>25</v>
      </c>
      <c r="T488" s="58">
        <v>45360</v>
      </c>
      <c r="U488" s="58">
        <v>45372</v>
      </c>
      <c r="V488" s="63">
        <f t="shared" si="53"/>
        <v>12</v>
      </c>
      <c r="W488" s="57" t="s">
        <v>125</v>
      </c>
      <c r="X488" s="64" t="b">
        <f t="shared" si="54"/>
        <v>0</v>
      </c>
      <c r="Y488" s="60">
        <v>301</v>
      </c>
      <c r="Z488" s="60">
        <v>458</v>
      </c>
      <c r="AA488" s="57" t="s">
        <v>116</v>
      </c>
      <c r="AB488" s="64" t="b">
        <f t="shared" si="55"/>
        <v>0</v>
      </c>
    </row>
    <row r="489" spans="1:28" ht="15" customHeight="1" x14ac:dyDescent="0.3">
      <c r="A489" s="65" t="s">
        <v>1105</v>
      </c>
      <c r="B489" s="81">
        <v>45263</v>
      </c>
      <c r="C489" s="59">
        <f t="shared" si="49"/>
        <v>2023</v>
      </c>
      <c r="D489" s="59">
        <f t="shared" si="50"/>
        <v>12</v>
      </c>
      <c r="E489" s="59">
        <f t="shared" si="51"/>
        <v>49</v>
      </c>
      <c r="F489" s="65" t="s">
        <v>58</v>
      </c>
      <c r="G489" s="65" t="s">
        <v>43</v>
      </c>
      <c r="H489" s="65" t="s">
        <v>1106</v>
      </c>
      <c r="I489" s="65" t="s">
        <v>69</v>
      </c>
      <c r="J489" s="65" t="s">
        <v>139</v>
      </c>
      <c r="K489" s="65" t="s">
        <v>71</v>
      </c>
      <c r="L489" s="65" t="s">
        <v>119</v>
      </c>
      <c r="M489" s="67">
        <v>872</v>
      </c>
      <c r="N489" s="65" t="s">
        <v>132</v>
      </c>
      <c r="O489" s="68">
        <v>203.21</v>
      </c>
      <c r="P489" s="68">
        <v>177199.12</v>
      </c>
      <c r="Q489" s="68">
        <v>11546.94</v>
      </c>
      <c r="R489" s="62">
        <f t="shared" si="52"/>
        <v>6.5163641896190005E-2</v>
      </c>
      <c r="S489" s="67">
        <v>4</v>
      </c>
      <c r="T489" s="66">
        <v>45267</v>
      </c>
      <c r="U489" s="66">
        <v>45268</v>
      </c>
      <c r="V489" s="63">
        <f t="shared" si="53"/>
        <v>1</v>
      </c>
      <c r="W489" s="65" t="s">
        <v>128</v>
      </c>
      <c r="X489" s="64" t="b">
        <f t="shared" si="54"/>
        <v>0</v>
      </c>
      <c r="Y489" s="67">
        <v>120</v>
      </c>
      <c r="Z489" s="67">
        <v>280</v>
      </c>
      <c r="AA489" s="65" t="s">
        <v>82</v>
      </c>
      <c r="AB489" s="64" t="b">
        <f t="shared" si="55"/>
        <v>1</v>
      </c>
    </row>
    <row r="490" spans="1:28" ht="15" customHeight="1" x14ac:dyDescent="0.3">
      <c r="A490" s="57" t="s">
        <v>1107</v>
      </c>
      <c r="B490" s="82">
        <v>45212</v>
      </c>
      <c r="C490" s="59">
        <f t="shared" si="49"/>
        <v>2023</v>
      </c>
      <c r="D490" s="59">
        <f t="shared" si="50"/>
        <v>10</v>
      </c>
      <c r="E490" s="59">
        <f t="shared" si="51"/>
        <v>41</v>
      </c>
      <c r="F490" s="57" t="s">
        <v>61</v>
      </c>
      <c r="G490" s="57" t="s">
        <v>39</v>
      </c>
      <c r="H490" s="57" t="s">
        <v>1108</v>
      </c>
      <c r="I490" s="57" t="s">
        <v>64</v>
      </c>
      <c r="J490" s="57" t="s">
        <v>139</v>
      </c>
      <c r="K490" s="57" t="s">
        <v>75</v>
      </c>
      <c r="L490" s="57" t="s">
        <v>156</v>
      </c>
      <c r="M490" s="60">
        <v>282</v>
      </c>
      <c r="N490" s="57" t="s">
        <v>120</v>
      </c>
      <c r="O490" s="61">
        <v>1111.52</v>
      </c>
      <c r="P490" s="61">
        <v>313448.64</v>
      </c>
      <c r="Q490" s="61">
        <v>15179.19</v>
      </c>
      <c r="R490" s="62">
        <f t="shared" si="52"/>
        <v>4.8426402488139682E-2</v>
      </c>
      <c r="S490" s="60">
        <v>13</v>
      </c>
      <c r="T490" s="58">
        <v>45225</v>
      </c>
      <c r="U490" s="58">
        <v>45227</v>
      </c>
      <c r="V490" s="63">
        <f t="shared" si="53"/>
        <v>2</v>
      </c>
      <c r="W490" s="57" t="s">
        <v>128</v>
      </c>
      <c r="X490" s="64" t="b">
        <f t="shared" si="54"/>
        <v>0</v>
      </c>
      <c r="Y490" s="60">
        <v>404</v>
      </c>
      <c r="Z490" s="60">
        <v>222</v>
      </c>
      <c r="AA490" s="57" t="s">
        <v>84</v>
      </c>
      <c r="AB490" s="64" t="b">
        <f t="shared" si="55"/>
        <v>1</v>
      </c>
    </row>
    <row r="491" spans="1:28" ht="15" customHeight="1" x14ac:dyDescent="0.3">
      <c r="A491" s="65" t="s">
        <v>1109</v>
      </c>
      <c r="B491" s="81">
        <v>44998</v>
      </c>
      <c r="C491" s="59">
        <f t="shared" si="49"/>
        <v>2023</v>
      </c>
      <c r="D491" s="59">
        <f t="shared" si="50"/>
        <v>3</v>
      </c>
      <c r="E491" s="59">
        <f t="shared" si="51"/>
        <v>11</v>
      </c>
      <c r="F491" s="65" t="s">
        <v>55</v>
      </c>
      <c r="G491" s="65" t="s">
        <v>41</v>
      </c>
      <c r="H491" s="65" t="s">
        <v>1110</v>
      </c>
      <c r="I491" s="65" t="s">
        <v>64</v>
      </c>
      <c r="J491" s="65" t="s">
        <v>123</v>
      </c>
      <c r="K491" s="65" t="s">
        <v>71</v>
      </c>
      <c r="L491" s="65" t="s">
        <v>135</v>
      </c>
      <c r="M491" s="67">
        <v>490</v>
      </c>
      <c r="N491" s="65" t="s">
        <v>136</v>
      </c>
      <c r="O491" s="68">
        <v>510.75</v>
      </c>
      <c r="P491" s="68">
        <v>250267.5</v>
      </c>
      <c r="Q491" s="68">
        <v>11714.1</v>
      </c>
      <c r="R491" s="62">
        <f t="shared" si="52"/>
        <v>4.6806317240552613E-2</v>
      </c>
      <c r="S491" s="67">
        <v>20</v>
      </c>
      <c r="T491" s="66">
        <v>45018</v>
      </c>
      <c r="U491" s="66">
        <v>45015</v>
      </c>
      <c r="V491" s="63">
        <f t="shared" si="53"/>
        <v>-3</v>
      </c>
      <c r="W491" s="65" t="s">
        <v>115</v>
      </c>
      <c r="X491" s="64" t="b">
        <f t="shared" si="54"/>
        <v>1</v>
      </c>
      <c r="Y491" s="67">
        <v>98</v>
      </c>
      <c r="Z491" s="67">
        <v>121</v>
      </c>
      <c r="AA491" s="65" t="s">
        <v>116</v>
      </c>
      <c r="AB491" s="64" t="b">
        <f t="shared" si="55"/>
        <v>0</v>
      </c>
    </row>
    <row r="492" spans="1:28" ht="15" customHeight="1" x14ac:dyDescent="0.3">
      <c r="A492" s="57" t="s">
        <v>1111</v>
      </c>
      <c r="B492" s="82">
        <v>45212</v>
      </c>
      <c r="C492" s="59">
        <f t="shared" si="49"/>
        <v>2023</v>
      </c>
      <c r="D492" s="59">
        <f t="shared" si="50"/>
        <v>10</v>
      </c>
      <c r="E492" s="59">
        <f t="shared" si="51"/>
        <v>41</v>
      </c>
      <c r="F492" s="57" t="s">
        <v>52</v>
      </c>
      <c r="G492" s="57" t="s">
        <v>41</v>
      </c>
      <c r="H492" s="57" t="s">
        <v>1112</v>
      </c>
      <c r="I492" s="57" t="s">
        <v>64</v>
      </c>
      <c r="J492" s="57" t="s">
        <v>123</v>
      </c>
      <c r="K492" s="57" t="s">
        <v>71</v>
      </c>
      <c r="L492" s="57" t="s">
        <v>124</v>
      </c>
      <c r="M492" s="60">
        <v>425</v>
      </c>
      <c r="N492" s="57" t="s">
        <v>114</v>
      </c>
      <c r="O492" s="61">
        <v>619.5</v>
      </c>
      <c r="P492" s="61">
        <v>263287.5</v>
      </c>
      <c r="Q492" s="61">
        <v>5377.86</v>
      </c>
      <c r="R492" s="62">
        <f t="shared" si="52"/>
        <v>2.0425808289417462E-2</v>
      </c>
      <c r="S492" s="60">
        <v>1</v>
      </c>
      <c r="T492" s="58">
        <v>45213</v>
      </c>
      <c r="U492" s="58">
        <v>45213</v>
      </c>
      <c r="V492" s="63">
        <f t="shared" si="53"/>
        <v>0</v>
      </c>
      <c r="W492" s="57" t="s">
        <v>115</v>
      </c>
      <c r="X492" s="64" t="b">
        <f t="shared" si="54"/>
        <v>1</v>
      </c>
      <c r="Y492" s="60">
        <v>165</v>
      </c>
      <c r="Z492" s="60">
        <v>77</v>
      </c>
      <c r="AA492" s="57" t="s">
        <v>116</v>
      </c>
      <c r="AB492" s="64" t="b">
        <f t="shared" si="55"/>
        <v>0</v>
      </c>
    </row>
    <row r="493" spans="1:28" ht="15" customHeight="1" x14ac:dyDescent="0.3">
      <c r="A493" s="65" t="s">
        <v>1113</v>
      </c>
      <c r="B493" s="81">
        <v>45286</v>
      </c>
      <c r="C493" s="59">
        <f t="shared" si="49"/>
        <v>2023</v>
      </c>
      <c r="D493" s="59">
        <f t="shared" si="50"/>
        <v>12</v>
      </c>
      <c r="E493" s="59">
        <f t="shared" si="51"/>
        <v>52</v>
      </c>
      <c r="F493" s="65" t="s">
        <v>52</v>
      </c>
      <c r="G493" s="65" t="s">
        <v>44</v>
      </c>
      <c r="H493" s="65" t="s">
        <v>1114</v>
      </c>
      <c r="I493" s="65" t="s">
        <v>64</v>
      </c>
      <c r="J493" s="65" t="s">
        <v>131</v>
      </c>
      <c r="K493" s="65" t="s">
        <v>75</v>
      </c>
      <c r="L493" s="65" t="s">
        <v>146</v>
      </c>
      <c r="M493" s="67">
        <v>515</v>
      </c>
      <c r="N493" s="65" t="s">
        <v>163</v>
      </c>
      <c r="O493" s="68">
        <v>127.23</v>
      </c>
      <c r="P493" s="68">
        <v>65523.45</v>
      </c>
      <c r="Q493" s="68">
        <v>4531.8599999999997</v>
      </c>
      <c r="R493" s="62">
        <f t="shared" si="52"/>
        <v>6.9163940543423771E-2</v>
      </c>
      <c r="S493" s="67">
        <v>8</v>
      </c>
      <c r="T493" s="66">
        <v>45294</v>
      </c>
      <c r="U493" s="66">
        <v>45289</v>
      </c>
      <c r="V493" s="63">
        <f t="shared" si="53"/>
        <v>-5</v>
      </c>
      <c r="W493" s="65" t="s">
        <v>115</v>
      </c>
      <c r="X493" s="64" t="b">
        <f t="shared" si="54"/>
        <v>1</v>
      </c>
      <c r="Y493" s="67">
        <v>324</v>
      </c>
      <c r="Z493" s="67">
        <v>312</v>
      </c>
      <c r="AA493" s="65" t="s">
        <v>81</v>
      </c>
      <c r="AB493" s="64" t="b">
        <f t="shared" si="55"/>
        <v>1</v>
      </c>
    </row>
    <row r="494" spans="1:28" ht="15" customHeight="1" x14ac:dyDescent="0.3">
      <c r="A494" s="57" t="s">
        <v>1115</v>
      </c>
      <c r="B494" s="82">
        <v>45583</v>
      </c>
      <c r="C494" s="59">
        <f t="shared" si="49"/>
        <v>2024</v>
      </c>
      <c r="D494" s="59">
        <f t="shared" si="50"/>
        <v>10</v>
      </c>
      <c r="E494" s="59">
        <f t="shared" si="51"/>
        <v>42</v>
      </c>
      <c r="F494" s="57" t="s">
        <v>56</v>
      </c>
      <c r="G494" s="57" t="s">
        <v>44</v>
      </c>
      <c r="H494" s="57" t="s">
        <v>1116</v>
      </c>
      <c r="I494" s="57" t="s">
        <v>67</v>
      </c>
      <c r="J494" s="57" t="s">
        <v>131</v>
      </c>
      <c r="K494" s="57" t="s">
        <v>74</v>
      </c>
      <c r="L494" s="57" t="s">
        <v>113</v>
      </c>
      <c r="M494" s="60">
        <v>742</v>
      </c>
      <c r="N494" s="57" t="s">
        <v>136</v>
      </c>
      <c r="O494" s="61">
        <v>155.9</v>
      </c>
      <c r="P494" s="61">
        <v>115677.8</v>
      </c>
      <c r="Q494" s="61">
        <v>4810.9799999999996</v>
      </c>
      <c r="R494" s="62">
        <f t="shared" si="52"/>
        <v>4.1589483894057457E-2</v>
      </c>
      <c r="S494" s="60">
        <v>14</v>
      </c>
      <c r="T494" s="58">
        <v>45597</v>
      </c>
      <c r="U494" s="58">
        <v>45598</v>
      </c>
      <c r="V494" s="63">
        <f t="shared" si="53"/>
        <v>1</v>
      </c>
      <c r="W494" s="57" t="s">
        <v>128</v>
      </c>
      <c r="X494" s="64" t="b">
        <f t="shared" si="54"/>
        <v>0</v>
      </c>
      <c r="Y494" s="60">
        <v>318</v>
      </c>
      <c r="Z494" s="60">
        <v>326</v>
      </c>
      <c r="AA494" s="57" t="s">
        <v>81</v>
      </c>
      <c r="AB494" s="64" t="b">
        <f t="shared" si="55"/>
        <v>1</v>
      </c>
    </row>
    <row r="495" spans="1:28" ht="15" customHeight="1" x14ac:dyDescent="0.3">
      <c r="A495" s="65" t="s">
        <v>1117</v>
      </c>
      <c r="B495" s="81">
        <v>45448</v>
      </c>
      <c r="C495" s="59">
        <f t="shared" si="49"/>
        <v>2024</v>
      </c>
      <c r="D495" s="59">
        <f t="shared" si="50"/>
        <v>6</v>
      </c>
      <c r="E495" s="59">
        <f t="shared" si="51"/>
        <v>23</v>
      </c>
      <c r="F495" s="65" t="s">
        <v>60</v>
      </c>
      <c r="G495" s="65" t="s">
        <v>42</v>
      </c>
      <c r="H495" s="65" t="s">
        <v>1118</v>
      </c>
      <c r="I495" s="65" t="s">
        <v>65</v>
      </c>
      <c r="J495" s="65" t="s">
        <v>143</v>
      </c>
      <c r="K495" s="65" t="s">
        <v>75</v>
      </c>
      <c r="L495" s="65" t="s">
        <v>146</v>
      </c>
      <c r="M495" s="67">
        <v>734</v>
      </c>
      <c r="N495" s="65" t="s">
        <v>163</v>
      </c>
      <c r="O495" s="68">
        <v>78.849999999999994</v>
      </c>
      <c r="P495" s="68">
        <v>57875.9</v>
      </c>
      <c r="Q495" s="68">
        <v>3035.36</v>
      </c>
      <c r="R495" s="62">
        <f t="shared" si="52"/>
        <v>5.2446009478902274E-2</v>
      </c>
      <c r="S495" s="67">
        <v>16</v>
      </c>
      <c r="T495" s="66">
        <v>45464</v>
      </c>
      <c r="U495" s="66">
        <v>45466</v>
      </c>
      <c r="V495" s="63">
        <f t="shared" si="53"/>
        <v>2</v>
      </c>
      <c r="W495" s="65" t="s">
        <v>125</v>
      </c>
      <c r="X495" s="64" t="b">
        <f t="shared" si="54"/>
        <v>0</v>
      </c>
      <c r="Y495" s="67">
        <v>240</v>
      </c>
      <c r="Z495" s="67">
        <v>87</v>
      </c>
      <c r="AA495" s="65" t="s">
        <v>116</v>
      </c>
      <c r="AB495" s="64" t="b">
        <f t="shared" si="55"/>
        <v>0</v>
      </c>
    </row>
    <row r="496" spans="1:28" ht="15" customHeight="1" x14ac:dyDescent="0.3">
      <c r="A496" s="57" t="s">
        <v>1119</v>
      </c>
      <c r="B496" s="82">
        <v>45336</v>
      </c>
      <c r="C496" s="59">
        <f t="shared" si="49"/>
        <v>2024</v>
      </c>
      <c r="D496" s="59">
        <f t="shared" si="50"/>
        <v>2</v>
      </c>
      <c r="E496" s="59">
        <f t="shared" si="51"/>
        <v>7</v>
      </c>
      <c r="F496" s="57" t="s">
        <v>54</v>
      </c>
      <c r="G496" s="57" t="s">
        <v>39</v>
      </c>
      <c r="H496" s="57" t="s">
        <v>1120</v>
      </c>
      <c r="I496" s="57" t="s">
        <v>64</v>
      </c>
      <c r="J496" s="57" t="s">
        <v>123</v>
      </c>
      <c r="K496" s="57" t="s">
        <v>73</v>
      </c>
      <c r="L496" s="57" t="s">
        <v>146</v>
      </c>
      <c r="M496" s="60">
        <v>862</v>
      </c>
      <c r="N496" s="57" t="s">
        <v>163</v>
      </c>
      <c r="O496" s="61">
        <v>1811.69</v>
      </c>
      <c r="P496" s="61">
        <v>1561676.78</v>
      </c>
      <c r="Q496" s="61">
        <v>94697.02</v>
      </c>
      <c r="R496" s="62">
        <f t="shared" si="52"/>
        <v>6.0638040606584419E-2</v>
      </c>
      <c r="S496" s="60">
        <v>14</v>
      </c>
      <c r="T496" s="58">
        <v>45350</v>
      </c>
      <c r="U496" s="58">
        <v>45350</v>
      </c>
      <c r="V496" s="63">
        <f t="shared" si="53"/>
        <v>0</v>
      </c>
      <c r="W496" s="57" t="s">
        <v>115</v>
      </c>
      <c r="X496" s="64" t="b">
        <f t="shared" si="54"/>
        <v>1</v>
      </c>
      <c r="Y496" s="60">
        <v>49</v>
      </c>
      <c r="Z496" s="60">
        <v>112</v>
      </c>
      <c r="AA496" s="57" t="s">
        <v>116</v>
      </c>
      <c r="AB496" s="64" t="b">
        <f t="shared" si="55"/>
        <v>0</v>
      </c>
    </row>
    <row r="497" spans="1:28" ht="15" customHeight="1" x14ac:dyDescent="0.3">
      <c r="A497" s="65" t="s">
        <v>1121</v>
      </c>
      <c r="B497" s="81">
        <v>45622</v>
      </c>
      <c r="C497" s="59">
        <f t="shared" si="49"/>
        <v>2024</v>
      </c>
      <c r="D497" s="59">
        <f t="shared" si="50"/>
        <v>11</v>
      </c>
      <c r="E497" s="59">
        <f t="shared" si="51"/>
        <v>48</v>
      </c>
      <c r="F497" s="65" t="s">
        <v>56</v>
      </c>
      <c r="G497" s="65" t="s">
        <v>46</v>
      </c>
      <c r="H497" s="65" t="s">
        <v>1122</v>
      </c>
      <c r="I497" s="65" t="s">
        <v>65</v>
      </c>
      <c r="J497" s="65" t="s">
        <v>151</v>
      </c>
      <c r="K497" s="65" t="s">
        <v>71</v>
      </c>
      <c r="L497" s="65" t="s">
        <v>146</v>
      </c>
      <c r="M497" s="67">
        <v>433</v>
      </c>
      <c r="N497" s="65" t="s">
        <v>132</v>
      </c>
      <c r="O497" s="68">
        <v>50.95</v>
      </c>
      <c r="P497" s="68">
        <v>22061.35</v>
      </c>
      <c r="Q497" s="68">
        <v>1371.28</v>
      </c>
      <c r="R497" s="62">
        <f t="shared" si="52"/>
        <v>6.2157574219166102E-2</v>
      </c>
      <c r="S497" s="67">
        <v>12</v>
      </c>
      <c r="T497" s="66">
        <v>45634</v>
      </c>
      <c r="U497" s="66">
        <v>45634</v>
      </c>
      <c r="V497" s="63">
        <f t="shared" si="53"/>
        <v>0</v>
      </c>
      <c r="W497" s="65" t="s">
        <v>115</v>
      </c>
      <c r="X497" s="64" t="b">
        <f t="shared" si="54"/>
        <v>1</v>
      </c>
      <c r="Y497" s="67">
        <v>267</v>
      </c>
      <c r="Z497" s="67">
        <v>99</v>
      </c>
      <c r="AA497" s="65" t="s">
        <v>116</v>
      </c>
      <c r="AB497" s="64" t="b">
        <f t="shared" si="55"/>
        <v>0</v>
      </c>
    </row>
    <row r="498" spans="1:28" ht="15" customHeight="1" x14ac:dyDescent="0.3">
      <c r="A498" s="57" t="s">
        <v>1123</v>
      </c>
      <c r="B498" s="82">
        <v>45476</v>
      </c>
      <c r="C498" s="59">
        <f t="shared" si="49"/>
        <v>2024</v>
      </c>
      <c r="D498" s="59">
        <f t="shared" si="50"/>
        <v>7</v>
      </c>
      <c r="E498" s="59">
        <f t="shared" si="51"/>
        <v>27</v>
      </c>
      <c r="F498" s="57" t="s">
        <v>58</v>
      </c>
      <c r="G498" s="57" t="s">
        <v>40</v>
      </c>
      <c r="H498" s="57" t="s">
        <v>1124</v>
      </c>
      <c r="I498" s="57" t="s">
        <v>64</v>
      </c>
      <c r="J498" s="57" t="s">
        <v>139</v>
      </c>
      <c r="K498" s="57" t="s">
        <v>71</v>
      </c>
      <c r="L498" s="57" t="s">
        <v>146</v>
      </c>
      <c r="M498" s="60">
        <v>416</v>
      </c>
      <c r="N498" s="57" t="s">
        <v>163</v>
      </c>
      <c r="O498" s="61">
        <v>1039.5999999999999</v>
      </c>
      <c r="P498" s="61">
        <v>432473.59999999998</v>
      </c>
      <c r="Q498" s="61">
        <v>33455.64</v>
      </c>
      <c r="R498" s="62">
        <f t="shared" si="52"/>
        <v>7.7358802941959931E-2</v>
      </c>
      <c r="S498" s="60">
        <v>19</v>
      </c>
      <c r="T498" s="58">
        <v>45495</v>
      </c>
      <c r="U498" s="58">
        <v>45495</v>
      </c>
      <c r="V498" s="63">
        <f t="shared" si="53"/>
        <v>0</v>
      </c>
      <c r="W498" s="57" t="s">
        <v>115</v>
      </c>
      <c r="X498" s="64" t="b">
        <f t="shared" si="54"/>
        <v>1</v>
      </c>
      <c r="Y498" s="60">
        <v>324</v>
      </c>
      <c r="Z498" s="60">
        <v>425</v>
      </c>
      <c r="AA498" s="57" t="s">
        <v>81</v>
      </c>
      <c r="AB498" s="64" t="b">
        <f t="shared" si="55"/>
        <v>1</v>
      </c>
    </row>
    <row r="499" spans="1:28" ht="15" customHeight="1" x14ac:dyDescent="0.3">
      <c r="A499" s="65" t="s">
        <v>1125</v>
      </c>
      <c r="B499" s="81">
        <v>45266</v>
      </c>
      <c r="C499" s="59">
        <f t="shared" si="49"/>
        <v>2023</v>
      </c>
      <c r="D499" s="59">
        <f t="shared" si="50"/>
        <v>12</v>
      </c>
      <c r="E499" s="59">
        <f t="shared" si="51"/>
        <v>49</v>
      </c>
      <c r="F499" s="65" t="s">
        <v>55</v>
      </c>
      <c r="G499" s="65" t="s">
        <v>39</v>
      </c>
      <c r="H499" s="65" t="s">
        <v>1126</v>
      </c>
      <c r="I499" s="65" t="s">
        <v>66</v>
      </c>
      <c r="J499" s="65" t="s">
        <v>143</v>
      </c>
      <c r="K499" s="65" t="s">
        <v>75</v>
      </c>
      <c r="L499" s="65" t="s">
        <v>156</v>
      </c>
      <c r="M499" s="67">
        <v>577</v>
      </c>
      <c r="N499" s="65" t="s">
        <v>132</v>
      </c>
      <c r="O499" s="68">
        <v>1704.84</v>
      </c>
      <c r="P499" s="68">
        <v>983692.68</v>
      </c>
      <c r="Q499" s="68">
        <v>51034.37</v>
      </c>
      <c r="R499" s="62">
        <f t="shared" si="52"/>
        <v>5.1880400289244809E-2</v>
      </c>
      <c r="S499" s="67">
        <v>23</v>
      </c>
      <c r="T499" s="66">
        <v>45289</v>
      </c>
      <c r="U499" s="66">
        <v>45286</v>
      </c>
      <c r="V499" s="63">
        <f t="shared" si="53"/>
        <v>-3</v>
      </c>
      <c r="W499" s="65" t="s">
        <v>115</v>
      </c>
      <c r="X499" s="64" t="b">
        <f t="shared" si="54"/>
        <v>1</v>
      </c>
      <c r="Y499" s="67">
        <v>72</v>
      </c>
      <c r="Z499" s="67">
        <v>425</v>
      </c>
      <c r="AA499" s="65" t="s">
        <v>116</v>
      </c>
      <c r="AB499" s="64" t="b">
        <f t="shared" si="55"/>
        <v>0</v>
      </c>
    </row>
    <row r="500" spans="1:28" ht="15" customHeight="1" x14ac:dyDescent="0.3">
      <c r="A500" s="57" t="s">
        <v>1127</v>
      </c>
      <c r="B500" s="82">
        <v>44955</v>
      </c>
      <c r="C500" s="59">
        <f t="shared" si="49"/>
        <v>2023</v>
      </c>
      <c r="D500" s="59">
        <f t="shared" si="50"/>
        <v>1</v>
      </c>
      <c r="E500" s="59">
        <f t="shared" si="51"/>
        <v>5</v>
      </c>
      <c r="F500" s="57" t="s">
        <v>59</v>
      </c>
      <c r="G500" s="57" t="s">
        <v>42</v>
      </c>
      <c r="H500" s="57" t="s">
        <v>1128</v>
      </c>
      <c r="I500" s="57" t="s">
        <v>68</v>
      </c>
      <c r="J500" s="57" t="s">
        <v>131</v>
      </c>
      <c r="K500" s="57" t="s">
        <v>71</v>
      </c>
      <c r="L500" s="57" t="s">
        <v>146</v>
      </c>
      <c r="M500" s="60">
        <v>399</v>
      </c>
      <c r="N500" s="57" t="s">
        <v>140</v>
      </c>
      <c r="O500" s="61">
        <v>69.06</v>
      </c>
      <c r="P500" s="61">
        <v>27554.94</v>
      </c>
      <c r="Q500" s="61">
        <v>1211.95</v>
      </c>
      <c r="R500" s="62">
        <f t="shared" si="52"/>
        <v>4.3983038975951322E-2</v>
      </c>
      <c r="S500" s="60">
        <v>15</v>
      </c>
      <c r="T500" s="58">
        <v>44970</v>
      </c>
      <c r="U500" s="58">
        <v>44965</v>
      </c>
      <c r="V500" s="63">
        <f t="shared" si="53"/>
        <v>-5</v>
      </c>
      <c r="W500" s="57" t="s">
        <v>115</v>
      </c>
      <c r="X500" s="64" t="b">
        <f t="shared" si="54"/>
        <v>1</v>
      </c>
      <c r="Y500" s="60">
        <v>299</v>
      </c>
      <c r="Z500" s="60">
        <v>302</v>
      </c>
      <c r="AA500" s="57" t="s">
        <v>116</v>
      </c>
      <c r="AB500" s="64" t="b">
        <f t="shared" si="55"/>
        <v>0</v>
      </c>
    </row>
    <row r="501" spans="1:28" ht="15" customHeight="1" x14ac:dyDescent="0.3">
      <c r="A501" s="65" t="s">
        <v>1129</v>
      </c>
      <c r="B501" s="81">
        <v>45045</v>
      </c>
      <c r="C501" s="59">
        <f t="shared" si="49"/>
        <v>2023</v>
      </c>
      <c r="D501" s="59">
        <f t="shared" si="50"/>
        <v>4</v>
      </c>
      <c r="E501" s="59">
        <f t="shared" si="51"/>
        <v>17</v>
      </c>
      <c r="F501" s="65" t="s">
        <v>58</v>
      </c>
      <c r="G501" s="65" t="s">
        <v>44</v>
      </c>
      <c r="H501" s="65" t="s">
        <v>1130</v>
      </c>
      <c r="I501" s="65" t="s">
        <v>66</v>
      </c>
      <c r="J501" s="65" t="s">
        <v>151</v>
      </c>
      <c r="K501" s="65" t="s">
        <v>74</v>
      </c>
      <c r="L501" s="65" t="s">
        <v>124</v>
      </c>
      <c r="M501" s="67">
        <v>351</v>
      </c>
      <c r="N501" s="65" t="s">
        <v>120</v>
      </c>
      <c r="O501" s="68">
        <v>112.02</v>
      </c>
      <c r="P501" s="68">
        <v>39319.019999999997</v>
      </c>
      <c r="Q501" s="68">
        <v>3036.3</v>
      </c>
      <c r="R501" s="62">
        <f t="shared" si="52"/>
        <v>7.7222168812956182E-2</v>
      </c>
      <c r="S501" s="67">
        <v>28</v>
      </c>
      <c r="T501" s="66">
        <v>45073</v>
      </c>
      <c r="U501" s="66">
        <v>45074</v>
      </c>
      <c r="V501" s="63">
        <f t="shared" si="53"/>
        <v>1</v>
      </c>
      <c r="W501" s="65" t="s">
        <v>128</v>
      </c>
      <c r="X501" s="64" t="b">
        <f t="shared" si="54"/>
        <v>0</v>
      </c>
      <c r="Y501" s="67">
        <v>51</v>
      </c>
      <c r="Z501" s="67">
        <v>371</v>
      </c>
      <c r="AA501" s="65" t="s">
        <v>83</v>
      </c>
      <c r="AB501" s="64" t="b">
        <f t="shared" si="55"/>
        <v>1</v>
      </c>
    </row>
    <row r="502" spans="1:28" ht="15" customHeight="1" x14ac:dyDescent="0.3">
      <c r="A502" s="57" t="s">
        <v>1131</v>
      </c>
      <c r="B502" s="82">
        <v>45194</v>
      </c>
      <c r="C502" s="59">
        <f t="shared" si="49"/>
        <v>2023</v>
      </c>
      <c r="D502" s="59">
        <f t="shared" si="50"/>
        <v>9</v>
      </c>
      <c r="E502" s="59">
        <f t="shared" si="51"/>
        <v>39</v>
      </c>
      <c r="F502" s="57" t="s">
        <v>59</v>
      </c>
      <c r="G502" s="57" t="s">
        <v>39</v>
      </c>
      <c r="H502" s="57" t="s">
        <v>1132</v>
      </c>
      <c r="I502" s="57" t="s">
        <v>68</v>
      </c>
      <c r="J502" s="57" t="s">
        <v>123</v>
      </c>
      <c r="K502" s="57" t="s">
        <v>71</v>
      </c>
      <c r="L502" s="57" t="s">
        <v>146</v>
      </c>
      <c r="M502" s="60">
        <v>955</v>
      </c>
      <c r="N502" s="57" t="s">
        <v>163</v>
      </c>
      <c r="O502" s="61">
        <v>1948.33</v>
      </c>
      <c r="P502" s="61">
        <v>1639255.3774000001</v>
      </c>
      <c r="Q502" s="61">
        <v>96548.6302</v>
      </c>
      <c r="R502" s="62">
        <f t="shared" si="52"/>
        <v>5.8897857851248549E-2</v>
      </c>
      <c r="S502" s="60">
        <v>2</v>
      </c>
      <c r="T502" s="58">
        <v>45196</v>
      </c>
      <c r="U502" s="58">
        <v>45197</v>
      </c>
      <c r="V502" s="63">
        <f t="shared" si="53"/>
        <v>1</v>
      </c>
      <c r="W502" s="57" t="s">
        <v>125</v>
      </c>
      <c r="X502" s="64" t="b">
        <f t="shared" si="54"/>
        <v>0</v>
      </c>
      <c r="Y502" s="60">
        <v>264</v>
      </c>
      <c r="Z502" s="60">
        <v>427</v>
      </c>
      <c r="AA502" s="57" t="s">
        <v>83</v>
      </c>
      <c r="AB502" s="64" t="b">
        <f t="shared" si="55"/>
        <v>1</v>
      </c>
    </row>
    <row r="503" spans="1:28" ht="15" customHeight="1" x14ac:dyDescent="0.3">
      <c r="A503" s="65" t="s">
        <v>1133</v>
      </c>
      <c r="B503" s="81">
        <v>45109</v>
      </c>
      <c r="C503" s="59">
        <f t="shared" si="49"/>
        <v>2023</v>
      </c>
      <c r="D503" s="59">
        <f t="shared" si="50"/>
        <v>7</v>
      </c>
      <c r="E503" s="59">
        <f t="shared" si="51"/>
        <v>27</v>
      </c>
      <c r="F503" s="65" t="s">
        <v>54</v>
      </c>
      <c r="G503" s="65" t="s">
        <v>39</v>
      </c>
      <c r="H503" s="65" t="s">
        <v>1134</v>
      </c>
      <c r="I503" s="65" t="s">
        <v>66</v>
      </c>
      <c r="J503" s="65" t="s">
        <v>112</v>
      </c>
      <c r="K503" s="65" t="s">
        <v>75</v>
      </c>
      <c r="L503" s="65" t="s">
        <v>156</v>
      </c>
      <c r="M503" s="67">
        <v>623</v>
      </c>
      <c r="N503" s="65" t="s">
        <v>120</v>
      </c>
      <c r="O503" s="68">
        <v>1629.12</v>
      </c>
      <c r="P503" s="68">
        <v>1014941.76</v>
      </c>
      <c r="Q503" s="68">
        <v>38455.15</v>
      </c>
      <c r="R503" s="62">
        <f t="shared" si="52"/>
        <v>3.7889021336554328E-2</v>
      </c>
      <c r="S503" s="67">
        <v>2</v>
      </c>
      <c r="T503" s="66">
        <v>45111</v>
      </c>
      <c r="U503" s="66">
        <v>45116</v>
      </c>
      <c r="V503" s="63">
        <f t="shared" si="53"/>
        <v>5</v>
      </c>
      <c r="W503" s="65" t="s">
        <v>128</v>
      </c>
      <c r="X503" s="64" t="b">
        <f t="shared" si="54"/>
        <v>0</v>
      </c>
      <c r="Y503" s="67">
        <v>226</v>
      </c>
      <c r="Z503" s="67">
        <v>424</v>
      </c>
      <c r="AA503" s="65" t="s">
        <v>116</v>
      </c>
      <c r="AB503" s="64" t="b">
        <f t="shared" si="55"/>
        <v>0</v>
      </c>
    </row>
    <row r="504" spans="1:28" ht="15" customHeight="1" x14ac:dyDescent="0.3">
      <c r="A504" s="57" t="s">
        <v>1135</v>
      </c>
      <c r="B504" s="82">
        <v>45521</v>
      </c>
      <c r="C504" s="59">
        <f t="shared" si="49"/>
        <v>2024</v>
      </c>
      <c r="D504" s="59">
        <f t="shared" si="50"/>
        <v>8</v>
      </c>
      <c r="E504" s="59">
        <f t="shared" si="51"/>
        <v>33</v>
      </c>
      <c r="F504" s="57" t="s">
        <v>55</v>
      </c>
      <c r="G504" s="57" t="s">
        <v>44</v>
      </c>
      <c r="H504" s="57" t="s">
        <v>1136</v>
      </c>
      <c r="I504" s="57" t="s">
        <v>64</v>
      </c>
      <c r="J504" s="57" t="s">
        <v>131</v>
      </c>
      <c r="K504" s="57" t="s">
        <v>74</v>
      </c>
      <c r="L504" s="57" t="s">
        <v>119</v>
      </c>
      <c r="M504" s="60">
        <v>942</v>
      </c>
      <c r="N504" s="57" t="s">
        <v>132</v>
      </c>
      <c r="O504" s="61">
        <v>104.74</v>
      </c>
      <c r="P504" s="61">
        <v>98665.08</v>
      </c>
      <c r="Q504" s="61">
        <v>2721.96</v>
      </c>
      <c r="R504" s="62">
        <f t="shared" si="52"/>
        <v>2.7587876075304454E-2</v>
      </c>
      <c r="S504" s="60">
        <v>23</v>
      </c>
      <c r="T504" s="58">
        <v>45544</v>
      </c>
      <c r="U504" s="58">
        <v>45552</v>
      </c>
      <c r="V504" s="63">
        <f t="shared" si="53"/>
        <v>8</v>
      </c>
      <c r="W504" s="57" t="s">
        <v>125</v>
      </c>
      <c r="X504" s="64" t="b">
        <f t="shared" si="54"/>
        <v>0</v>
      </c>
      <c r="Y504" s="60">
        <v>192</v>
      </c>
      <c r="Z504" s="60">
        <v>386</v>
      </c>
      <c r="AA504" s="57" t="s">
        <v>82</v>
      </c>
      <c r="AB504" s="64" t="b">
        <f t="shared" si="55"/>
        <v>1</v>
      </c>
    </row>
    <row r="505" spans="1:28" ht="15" customHeight="1" x14ac:dyDescent="0.3">
      <c r="A505" s="65" t="s">
        <v>1137</v>
      </c>
      <c r="B505" s="81">
        <v>45198</v>
      </c>
      <c r="C505" s="59">
        <f t="shared" si="49"/>
        <v>2023</v>
      </c>
      <c r="D505" s="59">
        <f t="shared" si="50"/>
        <v>9</v>
      </c>
      <c r="E505" s="59">
        <f t="shared" si="51"/>
        <v>39</v>
      </c>
      <c r="F505" s="65" t="s">
        <v>52</v>
      </c>
      <c r="G505" s="65" t="s">
        <v>45</v>
      </c>
      <c r="H505" s="65" t="s">
        <v>1138</v>
      </c>
      <c r="I505" s="65" t="s">
        <v>65</v>
      </c>
      <c r="J505" s="65" t="s">
        <v>143</v>
      </c>
      <c r="K505" s="65" t="s">
        <v>74</v>
      </c>
      <c r="L505" s="65" t="s">
        <v>156</v>
      </c>
      <c r="M505" s="67">
        <v>502</v>
      </c>
      <c r="N505" s="65" t="s">
        <v>163</v>
      </c>
      <c r="O505" s="68">
        <v>294.76</v>
      </c>
      <c r="P505" s="68">
        <v>147969.51999999999</v>
      </c>
      <c r="Q505" s="68">
        <v>10439.73</v>
      </c>
      <c r="R505" s="62">
        <f t="shared" si="52"/>
        <v>7.0553246371279715E-2</v>
      </c>
      <c r="S505" s="67">
        <v>22</v>
      </c>
      <c r="T505" s="66">
        <v>45220</v>
      </c>
      <c r="U505" s="66">
        <v>45225</v>
      </c>
      <c r="V505" s="63">
        <f t="shared" si="53"/>
        <v>5</v>
      </c>
      <c r="W505" s="65" t="s">
        <v>125</v>
      </c>
      <c r="X505" s="64" t="b">
        <f t="shared" si="54"/>
        <v>0</v>
      </c>
      <c r="Y505" s="67">
        <v>373</v>
      </c>
      <c r="Z505" s="67">
        <v>238</v>
      </c>
      <c r="AA505" s="65" t="s">
        <v>84</v>
      </c>
      <c r="AB505" s="64" t="b">
        <f t="shared" si="55"/>
        <v>1</v>
      </c>
    </row>
    <row r="506" spans="1:28" ht="15" customHeight="1" x14ac:dyDescent="0.3">
      <c r="A506" s="57" t="s">
        <v>1139</v>
      </c>
      <c r="B506" s="82">
        <v>44966</v>
      </c>
      <c r="C506" s="59">
        <f t="shared" si="49"/>
        <v>2023</v>
      </c>
      <c r="D506" s="59">
        <f t="shared" si="50"/>
        <v>2</v>
      </c>
      <c r="E506" s="59">
        <f t="shared" si="51"/>
        <v>6</v>
      </c>
      <c r="F506" s="57" t="s">
        <v>52</v>
      </c>
      <c r="G506" s="57" t="s">
        <v>42</v>
      </c>
      <c r="H506" s="57" t="s">
        <v>1140</v>
      </c>
      <c r="I506" s="57" t="s">
        <v>68</v>
      </c>
      <c r="J506" s="57" t="s">
        <v>112</v>
      </c>
      <c r="K506" s="57" t="s">
        <v>71</v>
      </c>
      <c r="L506" s="57" t="s">
        <v>124</v>
      </c>
      <c r="M506" s="60">
        <v>201</v>
      </c>
      <c r="N506" s="57" t="s">
        <v>136</v>
      </c>
      <c r="O506" s="61">
        <v>101.77</v>
      </c>
      <c r="P506" s="61">
        <v>20455.77</v>
      </c>
      <c r="Q506" s="61">
        <v>853.64</v>
      </c>
      <c r="R506" s="62">
        <f t="shared" si="52"/>
        <v>4.1731012814477282E-2</v>
      </c>
      <c r="S506" s="60">
        <v>19</v>
      </c>
      <c r="T506" s="58">
        <v>44985</v>
      </c>
      <c r="U506" s="58">
        <v>44982</v>
      </c>
      <c r="V506" s="63">
        <f t="shared" si="53"/>
        <v>-3</v>
      </c>
      <c r="W506" s="57" t="s">
        <v>115</v>
      </c>
      <c r="X506" s="64" t="b">
        <f t="shared" si="54"/>
        <v>1</v>
      </c>
      <c r="Y506" s="60">
        <v>238</v>
      </c>
      <c r="Z506" s="60">
        <v>491</v>
      </c>
      <c r="AA506" s="57" t="s">
        <v>116</v>
      </c>
      <c r="AB506" s="64" t="b">
        <f t="shared" si="55"/>
        <v>0</v>
      </c>
    </row>
    <row r="507" spans="1:28" ht="15" customHeight="1" x14ac:dyDescent="0.3">
      <c r="A507" s="65" t="s">
        <v>1141</v>
      </c>
      <c r="B507" s="81">
        <v>45038</v>
      </c>
      <c r="C507" s="59">
        <f t="shared" si="49"/>
        <v>2023</v>
      </c>
      <c r="D507" s="59">
        <f t="shared" si="50"/>
        <v>4</v>
      </c>
      <c r="E507" s="59">
        <f t="shared" si="51"/>
        <v>16</v>
      </c>
      <c r="F507" s="65" t="s">
        <v>53</v>
      </c>
      <c r="G507" s="65" t="s">
        <v>44</v>
      </c>
      <c r="H507" s="65" t="s">
        <v>1142</v>
      </c>
      <c r="I507" s="65" t="s">
        <v>67</v>
      </c>
      <c r="J507" s="65" t="s">
        <v>151</v>
      </c>
      <c r="K507" s="65" t="s">
        <v>75</v>
      </c>
      <c r="L507" s="65" t="s">
        <v>124</v>
      </c>
      <c r="M507" s="67">
        <v>508</v>
      </c>
      <c r="N507" s="65" t="s">
        <v>140</v>
      </c>
      <c r="O507" s="68">
        <v>175.88</v>
      </c>
      <c r="P507" s="68">
        <v>89347.04</v>
      </c>
      <c r="Q507" s="68">
        <v>5327.6</v>
      </c>
      <c r="R507" s="62">
        <f t="shared" si="52"/>
        <v>5.9628164514459583E-2</v>
      </c>
      <c r="S507" s="67">
        <v>25</v>
      </c>
      <c r="T507" s="66">
        <v>45063</v>
      </c>
      <c r="U507" s="66">
        <v>45060</v>
      </c>
      <c r="V507" s="63">
        <f t="shared" si="53"/>
        <v>-3</v>
      </c>
      <c r="W507" s="65" t="s">
        <v>115</v>
      </c>
      <c r="X507" s="64" t="b">
        <f t="shared" si="54"/>
        <v>1</v>
      </c>
      <c r="Y507" s="67">
        <v>9</v>
      </c>
      <c r="Z507" s="67">
        <v>345</v>
      </c>
      <c r="AA507" s="65" t="s">
        <v>83</v>
      </c>
      <c r="AB507" s="64" t="b">
        <f t="shared" si="55"/>
        <v>1</v>
      </c>
    </row>
    <row r="508" spans="1:28" ht="15" customHeight="1" x14ac:dyDescent="0.3">
      <c r="A508" s="57" t="s">
        <v>1143</v>
      </c>
      <c r="B508" s="82">
        <v>45537</v>
      </c>
      <c r="C508" s="59">
        <f t="shared" si="49"/>
        <v>2024</v>
      </c>
      <c r="D508" s="59">
        <f t="shared" si="50"/>
        <v>9</v>
      </c>
      <c r="E508" s="59">
        <f t="shared" si="51"/>
        <v>36</v>
      </c>
      <c r="F508" s="57" t="s">
        <v>52</v>
      </c>
      <c r="G508" s="57" t="s">
        <v>41</v>
      </c>
      <c r="H508" s="57" t="s">
        <v>1144</v>
      </c>
      <c r="I508" s="57" t="s">
        <v>69</v>
      </c>
      <c r="J508" s="57" t="s">
        <v>139</v>
      </c>
      <c r="K508" s="57" t="s">
        <v>71</v>
      </c>
      <c r="L508" s="57" t="s">
        <v>135</v>
      </c>
      <c r="M508" s="60">
        <v>831</v>
      </c>
      <c r="N508" s="57" t="s">
        <v>114</v>
      </c>
      <c r="O508" s="61">
        <v>520.84</v>
      </c>
      <c r="P508" s="61">
        <v>432818.04</v>
      </c>
      <c r="Q508" s="61">
        <v>20883.03</v>
      </c>
      <c r="R508" s="62">
        <f t="shared" si="52"/>
        <v>4.824898241302511E-2</v>
      </c>
      <c r="S508" s="60">
        <v>26</v>
      </c>
      <c r="T508" s="58">
        <v>45563</v>
      </c>
      <c r="U508" s="58">
        <v>45558</v>
      </c>
      <c r="V508" s="63">
        <f t="shared" si="53"/>
        <v>-5</v>
      </c>
      <c r="W508" s="57" t="s">
        <v>115</v>
      </c>
      <c r="X508" s="64" t="b">
        <f t="shared" si="54"/>
        <v>1</v>
      </c>
      <c r="Y508" s="60">
        <v>301</v>
      </c>
      <c r="Z508" s="60">
        <v>110</v>
      </c>
      <c r="AA508" s="57" t="s">
        <v>84</v>
      </c>
      <c r="AB508" s="64" t="b">
        <f t="shared" si="55"/>
        <v>1</v>
      </c>
    </row>
    <row r="509" spans="1:28" ht="15" customHeight="1" x14ac:dyDescent="0.3">
      <c r="A509" s="65" t="s">
        <v>1145</v>
      </c>
      <c r="B509" s="81">
        <v>45371</v>
      </c>
      <c r="C509" s="59">
        <f t="shared" si="49"/>
        <v>2024</v>
      </c>
      <c r="D509" s="59">
        <f t="shared" si="50"/>
        <v>3</v>
      </c>
      <c r="E509" s="59">
        <f t="shared" si="51"/>
        <v>12</v>
      </c>
      <c r="F509" s="65" t="s">
        <v>61</v>
      </c>
      <c r="G509" s="65" t="s">
        <v>46</v>
      </c>
      <c r="H509" s="65" t="s">
        <v>1146</v>
      </c>
      <c r="I509" s="65" t="s">
        <v>68</v>
      </c>
      <c r="J509" s="65" t="s">
        <v>151</v>
      </c>
      <c r="K509" s="65" t="s">
        <v>73</v>
      </c>
      <c r="L509" s="65" t="s">
        <v>156</v>
      </c>
      <c r="M509" s="67">
        <v>721</v>
      </c>
      <c r="N509" s="65" t="s">
        <v>140</v>
      </c>
      <c r="O509" s="68">
        <v>64.8</v>
      </c>
      <c r="P509" s="68">
        <v>46720.800000000003</v>
      </c>
      <c r="Q509" s="68">
        <v>1492.07</v>
      </c>
      <c r="R509" s="62">
        <f t="shared" si="52"/>
        <v>3.1935882947209802E-2</v>
      </c>
      <c r="S509" s="67">
        <v>29</v>
      </c>
      <c r="T509" s="66">
        <v>45400</v>
      </c>
      <c r="U509" s="66">
        <v>45405</v>
      </c>
      <c r="V509" s="63">
        <f t="shared" si="53"/>
        <v>5</v>
      </c>
      <c r="W509" s="65" t="s">
        <v>128</v>
      </c>
      <c r="X509" s="64" t="b">
        <f t="shared" si="54"/>
        <v>0</v>
      </c>
      <c r="Y509" s="67">
        <v>358</v>
      </c>
      <c r="Z509" s="67">
        <v>89</v>
      </c>
      <c r="AA509" s="65" t="s">
        <v>116</v>
      </c>
      <c r="AB509" s="64" t="b">
        <f t="shared" si="55"/>
        <v>0</v>
      </c>
    </row>
    <row r="510" spans="1:28" ht="15" customHeight="1" x14ac:dyDescent="0.3">
      <c r="A510" s="57" t="s">
        <v>1147</v>
      </c>
      <c r="B510" s="82">
        <v>45280</v>
      </c>
      <c r="C510" s="59">
        <f t="shared" si="49"/>
        <v>2023</v>
      </c>
      <c r="D510" s="59">
        <f t="shared" si="50"/>
        <v>12</v>
      </c>
      <c r="E510" s="59">
        <f t="shared" si="51"/>
        <v>51</v>
      </c>
      <c r="F510" s="57" t="s">
        <v>53</v>
      </c>
      <c r="G510" s="57" t="s">
        <v>44</v>
      </c>
      <c r="H510" s="57" t="s">
        <v>1148</v>
      </c>
      <c r="I510" s="57" t="s">
        <v>68</v>
      </c>
      <c r="J510" s="57" t="s">
        <v>139</v>
      </c>
      <c r="K510" s="57" t="s">
        <v>73</v>
      </c>
      <c r="L510" s="57" t="s">
        <v>119</v>
      </c>
      <c r="M510" s="60">
        <v>242</v>
      </c>
      <c r="N510" s="57" t="s">
        <v>163</v>
      </c>
      <c r="O510" s="61">
        <v>170.2</v>
      </c>
      <c r="P510" s="61">
        <v>41188.400000000001</v>
      </c>
      <c r="Q510" s="61">
        <v>2310.7199999999998</v>
      </c>
      <c r="R510" s="62">
        <f t="shared" si="52"/>
        <v>5.6101232385817358E-2</v>
      </c>
      <c r="S510" s="60">
        <v>22</v>
      </c>
      <c r="T510" s="58">
        <v>45302</v>
      </c>
      <c r="U510" s="58">
        <v>45304</v>
      </c>
      <c r="V510" s="63">
        <f t="shared" si="53"/>
        <v>2</v>
      </c>
      <c r="W510" s="57" t="s">
        <v>128</v>
      </c>
      <c r="X510" s="64" t="b">
        <f t="shared" si="54"/>
        <v>0</v>
      </c>
      <c r="Y510" s="60">
        <v>227</v>
      </c>
      <c r="Z510" s="60">
        <v>384</v>
      </c>
      <c r="AA510" s="57" t="s">
        <v>83</v>
      </c>
      <c r="AB510" s="64" t="b">
        <f t="shared" si="55"/>
        <v>1</v>
      </c>
    </row>
    <row r="511" spans="1:28" ht="15" customHeight="1" x14ac:dyDescent="0.3">
      <c r="A511" s="65" t="s">
        <v>1149</v>
      </c>
      <c r="B511" s="81">
        <v>45248</v>
      </c>
      <c r="C511" s="59">
        <f t="shared" si="49"/>
        <v>2023</v>
      </c>
      <c r="D511" s="59">
        <f t="shared" si="50"/>
        <v>11</v>
      </c>
      <c r="E511" s="59">
        <f t="shared" si="51"/>
        <v>46</v>
      </c>
      <c r="F511" s="65" t="s">
        <v>53</v>
      </c>
      <c r="G511" s="65" t="s">
        <v>42</v>
      </c>
      <c r="H511" s="65" t="s">
        <v>1150</v>
      </c>
      <c r="I511" s="65" t="s">
        <v>67</v>
      </c>
      <c r="J511" s="65" t="s">
        <v>151</v>
      </c>
      <c r="K511" s="65" t="s">
        <v>74</v>
      </c>
      <c r="L511" s="65" t="s">
        <v>135</v>
      </c>
      <c r="M511" s="67">
        <v>954</v>
      </c>
      <c r="N511" s="65" t="s">
        <v>140</v>
      </c>
      <c r="O511" s="68">
        <v>89.6</v>
      </c>
      <c r="P511" s="68">
        <v>85478.399999999994</v>
      </c>
      <c r="Q511" s="68">
        <v>2020.79</v>
      </c>
      <c r="R511" s="62">
        <f t="shared" si="52"/>
        <v>2.3640943209044626E-2</v>
      </c>
      <c r="S511" s="67">
        <v>26</v>
      </c>
      <c r="T511" s="66">
        <v>45274</v>
      </c>
      <c r="U511" s="66">
        <v>45276</v>
      </c>
      <c r="V511" s="63">
        <f t="shared" si="53"/>
        <v>2</v>
      </c>
      <c r="W511" s="65" t="s">
        <v>128</v>
      </c>
      <c r="X511" s="64" t="b">
        <f t="shared" si="54"/>
        <v>0</v>
      </c>
      <c r="Y511" s="67">
        <v>441</v>
      </c>
      <c r="Z511" s="67">
        <v>462</v>
      </c>
      <c r="AA511" s="65" t="s">
        <v>83</v>
      </c>
      <c r="AB511" s="64" t="b">
        <f t="shared" si="55"/>
        <v>1</v>
      </c>
    </row>
    <row r="512" spans="1:28" ht="15" customHeight="1" x14ac:dyDescent="0.3">
      <c r="A512" s="57" t="s">
        <v>1151</v>
      </c>
      <c r="B512" s="82">
        <v>45373</v>
      </c>
      <c r="C512" s="59">
        <f t="shared" si="49"/>
        <v>2024</v>
      </c>
      <c r="D512" s="59">
        <f t="shared" si="50"/>
        <v>3</v>
      </c>
      <c r="E512" s="59">
        <f t="shared" si="51"/>
        <v>12</v>
      </c>
      <c r="F512" s="57" t="s">
        <v>52</v>
      </c>
      <c r="G512" s="57" t="s">
        <v>43</v>
      </c>
      <c r="H512" s="57" t="s">
        <v>1152</v>
      </c>
      <c r="I512" s="57" t="s">
        <v>64</v>
      </c>
      <c r="J512" s="57" t="s">
        <v>131</v>
      </c>
      <c r="K512" s="57" t="s">
        <v>71</v>
      </c>
      <c r="L512" s="57" t="s">
        <v>135</v>
      </c>
      <c r="M512" s="60">
        <v>236</v>
      </c>
      <c r="N512" s="57" t="s">
        <v>114</v>
      </c>
      <c r="O512" s="61">
        <v>253.16</v>
      </c>
      <c r="P512" s="61">
        <v>59745.760000000002</v>
      </c>
      <c r="Q512" s="61">
        <v>2676.64</v>
      </c>
      <c r="R512" s="62">
        <f t="shared" si="52"/>
        <v>4.4800501324278069E-2</v>
      </c>
      <c r="S512" s="60">
        <v>26</v>
      </c>
      <c r="T512" s="58">
        <v>45399</v>
      </c>
      <c r="U512" s="58">
        <v>45394</v>
      </c>
      <c r="V512" s="63">
        <f t="shared" si="53"/>
        <v>-5</v>
      </c>
      <c r="W512" s="57" t="s">
        <v>115</v>
      </c>
      <c r="X512" s="64" t="b">
        <f t="shared" si="54"/>
        <v>1</v>
      </c>
      <c r="Y512" s="60">
        <v>292</v>
      </c>
      <c r="Z512" s="60">
        <v>138</v>
      </c>
      <c r="AA512" s="57" t="s">
        <v>116</v>
      </c>
      <c r="AB512" s="64" t="b">
        <f t="shared" si="55"/>
        <v>0</v>
      </c>
    </row>
    <row r="513" spans="1:28" ht="15" customHeight="1" x14ac:dyDescent="0.3">
      <c r="A513" s="65" t="s">
        <v>1153</v>
      </c>
      <c r="B513" s="81">
        <v>45547</v>
      </c>
      <c r="C513" s="59">
        <f t="shared" si="49"/>
        <v>2024</v>
      </c>
      <c r="D513" s="59">
        <f t="shared" si="50"/>
        <v>9</v>
      </c>
      <c r="E513" s="59">
        <f t="shared" si="51"/>
        <v>37</v>
      </c>
      <c r="F513" s="65" t="s">
        <v>56</v>
      </c>
      <c r="G513" s="65" t="s">
        <v>41</v>
      </c>
      <c r="H513" s="65" t="s">
        <v>1154</v>
      </c>
      <c r="I513" s="65" t="s">
        <v>66</v>
      </c>
      <c r="J513" s="65" t="s">
        <v>131</v>
      </c>
      <c r="K513" s="65" t="s">
        <v>73</v>
      </c>
      <c r="L513" s="65" t="s">
        <v>113</v>
      </c>
      <c r="M513" s="67">
        <v>380</v>
      </c>
      <c r="N513" s="65" t="s">
        <v>136</v>
      </c>
      <c r="O513" s="68">
        <v>450.87</v>
      </c>
      <c r="P513" s="68">
        <v>171330.6</v>
      </c>
      <c r="Q513" s="68">
        <v>9045.7199999999993</v>
      </c>
      <c r="R513" s="62">
        <f t="shared" si="52"/>
        <v>5.2796873413155615E-2</v>
      </c>
      <c r="S513" s="67">
        <v>22</v>
      </c>
      <c r="T513" s="66">
        <v>45569</v>
      </c>
      <c r="U513" s="66">
        <v>45581</v>
      </c>
      <c r="V513" s="63">
        <f t="shared" si="53"/>
        <v>12</v>
      </c>
      <c r="W513" s="65" t="s">
        <v>125</v>
      </c>
      <c r="X513" s="64" t="b">
        <f t="shared" si="54"/>
        <v>0</v>
      </c>
      <c r="Y513" s="67">
        <v>51</v>
      </c>
      <c r="Z513" s="67">
        <v>484</v>
      </c>
      <c r="AA513" s="65" t="s">
        <v>116</v>
      </c>
      <c r="AB513" s="64" t="b">
        <f t="shared" si="55"/>
        <v>0</v>
      </c>
    </row>
    <row r="514" spans="1:28" ht="15" customHeight="1" x14ac:dyDescent="0.3">
      <c r="A514" s="57" t="s">
        <v>1155</v>
      </c>
      <c r="B514" s="82">
        <v>45450</v>
      </c>
      <c r="C514" s="59">
        <f t="shared" ref="C514:C577" si="56">YEAR(B514)</f>
        <v>2024</v>
      </c>
      <c r="D514" s="59">
        <f t="shared" ref="D514:D577" si="57">MONTH(B514)</f>
        <v>6</v>
      </c>
      <c r="E514" s="59">
        <f t="shared" ref="E514:E577" si="58">WEEKNUM(B514,1)</f>
        <v>23</v>
      </c>
      <c r="F514" s="57" t="s">
        <v>60</v>
      </c>
      <c r="G514" s="57" t="s">
        <v>43</v>
      </c>
      <c r="H514" s="57" t="s">
        <v>1156</v>
      </c>
      <c r="I514" s="57" t="s">
        <v>66</v>
      </c>
      <c r="J514" s="57" t="s">
        <v>143</v>
      </c>
      <c r="K514" s="57" t="s">
        <v>72</v>
      </c>
      <c r="L514" s="57" t="s">
        <v>146</v>
      </c>
      <c r="M514" s="60">
        <v>148</v>
      </c>
      <c r="N514" s="57" t="s">
        <v>120</v>
      </c>
      <c r="O514" s="61">
        <v>211.48</v>
      </c>
      <c r="P514" s="61">
        <v>31299.040000000001</v>
      </c>
      <c r="Q514" s="61">
        <v>1444.85</v>
      </c>
      <c r="R514" s="62">
        <f t="shared" ref="R514:R577" si="59">Q514/P514</f>
        <v>4.6162757707584635E-2</v>
      </c>
      <c r="S514" s="60">
        <v>17</v>
      </c>
      <c r="T514" s="58">
        <v>45467</v>
      </c>
      <c r="U514" s="58">
        <v>45475</v>
      </c>
      <c r="V514" s="63">
        <f t="shared" ref="V514:V577" si="60">U514-T514</f>
        <v>8</v>
      </c>
      <c r="W514" s="57" t="s">
        <v>128</v>
      </c>
      <c r="X514" s="64" t="b">
        <f t="shared" ref="X514:X577" si="61">IF(W514="Entregado", TRUE(), FALSE())</f>
        <v>0</v>
      </c>
      <c r="Y514" s="60">
        <v>239</v>
      </c>
      <c r="Z514" s="60">
        <v>134</v>
      </c>
      <c r="AA514" s="57" t="s">
        <v>82</v>
      </c>
      <c r="AB514" s="64" t="b">
        <f t="shared" ref="AB514:AB577" si="62">IF(AA514="Ninguna",FALSE(),TRUE())</f>
        <v>1</v>
      </c>
    </row>
    <row r="515" spans="1:28" ht="15" customHeight="1" x14ac:dyDescent="0.3">
      <c r="A515" s="65" t="s">
        <v>1157</v>
      </c>
      <c r="B515" s="81">
        <v>45045</v>
      </c>
      <c r="C515" s="59">
        <f t="shared" si="56"/>
        <v>2023</v>
      </c>
      <c r="D515" s="59">
        <f t="shared" si="57"/>
        <v>4</v>
      </c>
      <c r="E515" s="59">
        <f t="shared" si="58"/>
        <v>17</v>
      </c>
      <c r="F515" s="65" t="s">
        <v>60</v>
      </c>
      <c r="G515" s="65" t="s">
        <v>40</v>
      </c>
      <c r="H515" s="65" t="s">
        <v>1158</v>
      </c>
      <c r="I515" s="65" t="s">
        <v>65</v>
      </c>
      <c r="J515" s="65" t="s">
        <v>112</v>
      </c>
      <c r="K515" s="65" t="s">
        <v>73</v>
      </c>
      <c r="L515" s="65" t="s">
        <v>135</v>
      </c>
      <c r="M515" s="67">
        <v>865</v>
      </c>
      <c r="N515" s="65" t="s">
        <v>136</v>
      </c>
      <c r="O515" s="68">
        <v>639.01</v>
      </c>
      <c r="P515" s="68">
        <v>552743.65</v>
      </c>
      <c r="Q515" s="68">
        <v>35884.300000000003</v>
      </c>
      <c r="R515" s="62">
        <f t="shared" si="59"/>
        <v>6.4920329704375626E-2</v>
      </c>
      <c r="S515" s="67">
        <v>20</v>
      </c>
      <c r="T515" s="66">
        <v>45065</v>
      </c>
      <c r="U515" s="66">
        <v>45067</v>
      </c>
      <c r="V515" s="63">
        <f t="shared" si="60"/>
        <v>2</v>
      </c>
      <c r="W515" s="65" t="s">
        <v>125</v>
      </c>
      <c r="X515" s="64" t="b">
        <f t="shared" si="61"/>
        <v>0</v>
      </c>
      <c r="Y515" s="67">
        <v>98</v>
      </c>
      <c r="Z515" s="67">
        <v>11</v>
      </c>
      <c r="AA515" s="65" t="s">
        <v>84</v>
      </c>
      <c r="AB515" s="64" t="b">
        <f t="shared" si="62"/>
        <v>1</v>
      </c>
    </row>
    <row r="516" spans="1:28" ht="15" customHeight="1" x14ac:dyDescent="0.3">
      <c r="A516" s="57" t="s">
        <v>1159</v>
      </c>
      <c r="B516" s="82">
        <v>45321</v>
      </c>
      <c r="C516" s="59">
        <f t="shared" si="56"/>
        <v>2024</v>
      </c>
      <c r="D516" s="59">
        <f t="shared" si="57"/>
        <v>1</v>
      </c>
      <c r="E516" s="59">
        <f t="shared" si="58"/>
        <v>5</v>
      </c>
      <c r="F516" s="57" t="s">
        <v>61</v>
      </c>
      <c r="G516" s="57" t="s">
        <v>44</v>
      </c>
      <c r="H516" s="57" t="s">
        <v>1160</v>
      </c>
      <c r="I516" s="57" t="s">
        <v>64</v>
      </c>
      <c r="J516" s="57" t="s">
        <v>151</v>
      </c>
      <c r="K516" s="57" t="s">
        <v>71</v>
      </c>
      <c r="L516" s="57" t="s">
        <v>135</v>
      </c>
      <c r="M516" s="60">
        <v>826</v>
      </c>
      <c r="N516" s="57" t="s">
        <v>140</v>
      </c>
      <c r="O516" s="61">
        <v>103.77</v>
      </c>
      <c r="P516" s="61">
        <v>85714.02</v>
      </c>
      <c r="Q516" s="61">
        <v>5972.17</v>
      </c>
      <c r="R516" s="62">
        <f t="shared" si="59"/>
        <v>6.9675532660817913E-2</v>
      </c>
      <c r="S516" s="60">
        <v>10</v>
      </c>
      <c r="T516" s="58">
        <v>45331</v>
      </c>
      <c r="U516" s="58">
        <v>45334</v>
      </c>
      <c r="V516" s="63">
        <f t="shared" si="60"/>
        <v>3</v>
      </c>
      <c r="W516" s="57" t="s">
        <v>128</v>
      </c>
      <c r="X516" s="64" t="b">
        <f t="shared" si="61"/>
        <v>0</v>
      </c>
      <c r="Y516" s="60">
        <v>80</v>
      </c>
      <c r="Z516" s="60">
        <v>243</v>
      </c>
      <c r="AA516" s="57" t="s">
        <v>83</v>
      </c>
      <c r="AB516" s="64" t="b">
        <f t="shared" si="62"/>
        <v>1</v>
      </c>
    </row>
    <row r="517" spans="1:28" ht="15" customHeight="1" x14ac:dyDescent="0.3">
      <c r="A517" s="65" t="s">
        <v>1161</v>
      </c>
      <c r="B517" s="81">
        <v>45517</v>
      </c>
      <c r="C517" s="59">
        <f t="shared" si="56"/>
        <v>2024</v>
      </c>
      <c r="D517" s="59">
        <f t="shared" si="57"/>
        <v>8</v>
      </c>
      <c r="E517" s="59">
        <f t="shared" si="58"/>
        <v>33</v>
      </c>
      <c r="F517" s="65" t="s">
        <v>57</v>
      </c>
      <c r="G517" s="65" t="s">
        <v>41</v>
      </c>
      <c r="H517" s="65" t="s">
        <v>1162</v>
      </c>
      <c r="I517" s="65" t="s">
        <v>67</v>
      </c>
      <c r="J517" s="65" t="s">
        <v>151</v>
      </c>
      <c r="K517" s="65" t="s">
        <v>71</v>
      </c>
      <c r="L517" s="65" t="s">
        <v>124</v>
      </c>
      <c r="M517" s="67">
        <v>158</v>
      </c>
      <c r="N517" s="65" t="s">
        <v>114</v>
      </c>
      <c r="O517" s="68">
        <v>350.38</v>
      </c>
      <c r="P517" s="68">
        <v>55360.04</v>
      </c>
      <c r="Q517" s="68">
        <v>3668.96</v>
      </c>
      <c r="R517" s="62">
        <f t="shared" si="59"/>
        <v>6.6274518587775583E-2</v>
      </c>
      <c r="S517" s="67">
        <v>6</v>
      </c>
      <c r="T517" s="66">
        <v>45523</v>
      </c>
      <c r="U517" s="66">
        <v>45523</v>
      </c>
      <c r="V517" s="63">
        <f t="shared" si="60"/>
        <v>0</v>
      </c>
      <c r="W517" s="65" t="s">
        <v>115</v>
      </c>
      <c r="X517" s="64" t="b">
        <f t="shared" si="61"/>
        <v>1</v>
      </c>
      <c r="Y517" s="67">
        <v>12</v>
      </c>
      <c r="Z517" s="67">
        <v>421</v>
      </c>
      <c r="AA517" s="65" t="s">
        <v>84</v>
      </c>
      <c r="AB517" s="64" t="b">
        <f t="shared" si="62"/>
        <v>1</v>
      </c>
    </row>
    <row r="518" spans="1:28" ht="15" customHeight="1" x14ac:dyDescent="0.3">
      <c r="A518" s="57" t="s">
        <v>1163</v>
      </c>
      <c r="B518" s="82">
        <v>45121</v>
      </c>
      <c r="C518" s="59">
        <f t="shared" si="56"/>
        <v>2023</v>
      </c>
      <c r="D518" s="59">
        <f t="shared" si="57"/>
        <v>7</v>
      </c>
      <c r="E518" s="59">
        <f t="shared" si="58"/>
        <v>28</v>
      </c>
      <c r="F518" s="57" t="s">
        <v>56</v>
      </c>
      <c r="G518" s="57" t="s">
        <v>46</v>
      </c>
      <c r="H518" s="57" t="s">
        <v>1164</v>
      </c>
      <c r="I518" s="57" t="s">
        <v>64</v>
      </c>
      <c r="J518" s="57" t="s">
        <v>112</v>
      </c>
      <c r="K518" s="57" t="s">
        <v>73</v>
      </c>
      <c r="L518" s="57" t="s">
        <v>119</v>
      </c>
      <c r="M518" s="60">
        <v>124</v>
      </c>
      <c r="N518" s="57" t="s">
        <v>120</v>
      </c>
      <c r="O518" s="61">
        <v>43.88</v>
      </c>
      <c r="P518" s="61">
        <v>5441.12</v>
      </c>
      <c r="Q518" s="61">
        <v>142.36009999999999</v>
      </c>
      <c r="R518" s="62">
        <f t="shared" si="59"/>
        <v>2.6163749375128647E-2</v>
      </c>
      <c r="S518" s="60">
        <v>15</v>
      </c>
      <c r="T518" s="58">
        <v>45136</v>
      </c>
      <c r="U518" s="58">
        <v>45131</v>
      </c>
      <c r="V518" s="63">
        <f t="shared" si="60"/>
        <v>-5</v>
      </c>
      <c r="W518" s="57" t="s">
        <v>115</v>
      </c>
      <c r="X518" s="64" t="b">
        <f t="shared" si="61"/>
        <v>1</v>
      </c>
      <c r="Y518" s="60">
        <v>389</v>
      </c>
      <c r="Z518" s="60">
        <v>181</v>
      </c>
      <c r="AA518" s="57" t="s">
        <v>116</v>
      </c>
      <c r="AB518" s="64" t="b">
        <f t="shared" si="62"/>
        <v>0</v>
      </c>
    </row>
    <row r="519" spans="1:28" ht="15" customHeight="1" x14ac:dyDescent="0.3">
      <c r="A519" s="65" t="s">
        <v>1165</v>
      </c>
      <c r="B519" s="81">
        <v>45187</v>
      </c>
      <c r="C519" s="59">
        <f t="shared" si="56"/>
        <v>2023</v>
      </c>
      <c r="D519" s="59">
        <f t="shared" si="57"/>
        <v>9</v>
      </c>
      <c r="E519" s="59">
        <f t="shared" si="58"/>
        <v>38</v>
      </c>
      <c r="F519" s="65" t="s">
        <v>57</v>
      </c>
      <c r="G519" s="65" t="s">
        <v>44</v>
      </c>
      <c r="H519" s="65" t="s">
        <v>1166</v>
      </c>
      <c r="I519" s="65" t="s">
        <v>64</v>
      </c>
      <c r="J519" s="65" t="s">
        <v>123</v>
      </c>
      <c r="K519" s="65" t="s">
        <v>71</v>
      </c>
      <c r="L519" s="65" t="s">
        <v>135</v>
      </c>
      <c r="M519" s="67">
        <v>459</v>
      </c>
      <c r="N519" s="65" t="s">
        <v>114</v>
      </c>
      <c r="O519" s="68">
        <v>177.82</v>
      </c>
      <c r="P519" s="68">
        <v>81619.38</v>
      </c>
      <c r="Q519" s="68">
        <v>2583.0700000000002</v>
      </c>
      <c r="R519" s="62">
        <f t="shared" si="59"/>
        <v>3.1647753266442355E-2</v>
      </c>
      <c r="S519" s="67">
        <v>22</v>
      </c>
      <c r="T519" s="66">
        <v>45209</v>
      </c>
      <c r="U519" s="66">
        <v>45204</v>
      </c>
      <c r="V519" s="63">
        <f t="shared" si="60"/>
        <v>-5</v>
      </c>
      <c r="W519" s="65" t="s">
        <v>115</v>
      </c>
      <c r="X519" s="64" t="b">
        <f t="shared" si="61"/>
        <v>1</v>
      </c>
      <c r="Y519" s="67">
        <v>441</v>
      </c>
      <c r="Z519" s="67">
        <v>194</v>
      </c>
      <c r="AA519" s="65" t="s">
        <v>116</v>
      </c>
      <c r="AB519" s="64" t="b">
        <f t="shared" si="62"/>
        <v>0</v>
      </c>
    </row>
    <row r="520" spans="1:28" ht="15" customHeight="1" x14ac:dyDescent="0.3">
      <c r="A520" s="57" t="s">
        <v>1167</v>
      </c>
      <c r="B520" s="82">
        <v>44972</v>
      </c>
      <c r="C520" s="59">
        <f t="shared" si="56"/>
        <v>2023</v>
      </c>
      <c r="D520" s="59">
        <f t="shared" si="57"/>
        <v>2</v>
      </c>
      <c r="E520" s="59">
        <f t="shared" si="58"/>
        <v>7</v>
      </c>
      <c r="F520" s="57" t="s">
        <v>59</v>
      </c>
      <c r="G520" s="57" t="s">
        <v>46</v>
      </c>
      <c r="H520" s="57" t="s">
        <v>1168</v>
      </c>
      <c r="I520" s="57" t="s">
        <v>66</v>
      </c>
      <c r="J520" s="57" t="s">
        <v>143</v>
      </c>
      <c r="K520" s="57" t="s">
        <v>71</v>
      </c>
      <c r="L520" s="57" t="s">
        <v>119</v>
      </c>
      <c r="M520" s="60">
        <v>72</v>
      </c>
      <c r="N520" s="57" t="s">
        <v>136</v>
      </c>
      <c r="O520" s="61">
        <v>53.63</v>
      </c>
      <c r="P520" s="61">
        <v>3861.36</v>
      </c>
      <c r="Q520" s="61">
        <v>201.55</v>
      </c>
      <c r="R520" s="62">
        <f t="shared" si="59"/>
        <v>5.2196635382352335E-2</v>
      </c>
      <c r="S520" s="60">
        <v>11</v>
      </c>
      <c r="T520" s="58">
        <v>44983</v>
      </c>
      <c r="U520" s="58">
        <v>44982</v>
      </c>
      <c r="V520" s="63">
        <f t="shared" si="60"/>
        <v>-1</v>
      </c>
      <c r="W520" s="57" t="s">
        <v>115</v>
      </c>
      <c r="X520" s="64" t="b">
        <f t="shared" si="61"/>
        <v>1</v>
      </c>
      <c r="Y520" s="60">
        <v>356</v>
      </c>
      <c r="Z520" s="60">
        <v>361</v>
      </c>
      <c r="AA520" s="57" t="s">
        <v>83</v>
      </c>
      <c r="AB520" s="64" t="b">
        <f t="shared" si="62"/>
        <v>1</v>
      </c>
    </row>
    <row r="521" spans="1:28" ht="15" customHeight="1" x14ac:dyDescent="0.3">
      <c r="A521" s="65" t="s">
        <v>1169</v>
      </c>
      <c r="B521" s="81">
        <v>45652</v>
      </c>
      <c r="C521" s="59">
        <f t="shared" si="56"/>
        <v>2024</v>
      </c>
      <c r="D521" s="59">
        <f t="shared" si="57"/>
        <v>12</v>
      </c>
      <c r="E521" s="59">
        <f t="shared" si="58"/>
        <v>52</v>
      </c>
      <c r="F521" s="65" t="s">
        <v>56</v>
      </c>
      <c r="G521" s="65" t="s">
        <v>45</v>
      </c>
      <c r="H521" s="65" t="s">
        <v>1170</v>
      </c>
      <c r="I521" s="65" t="s">
        <v>67</v>
      </c>
      <c r="J521" s="65" t="s">
        <v>151</v>
      </c>
      <c r="K521" s="65" t="s">
        <v>72</v>
      </c>
      <c r="L521" s="65" t="s">
        <v>146</v>
      </c>
      <c r="M521" s="67">
        <v>113</v>
      </c>
      <c r="N521" s="65" t="s">
        <v>132</v>
      </c>
      <c r="O521" s="68">
        <v>246.13</v>
      </c>
      <c r="P521" s="68">
        <v>27812.69</v>
      </c>
      <c r="Q521" s="68">
        <v>2116.25</v>
      </c>
      <c r="R521" s="62">
        <f t="shared" si="59"/>
        <v>7.6089367838925323E-2</v>
      </c>
      <c r="S521" s="67">
        <v>28</v>
      </c>
      <c r="T521" s="66">
        <v>45680</v>
      </c>
      <c r="U521" s="66">
        <v>45680</v>
      </c>
      <c r="V521" s="63">
        <f t="shared" si="60"/>
        <v>0</v>
      </c>
      <c r="W521" s="65" t="s">
        <v>115</v>
      </c>
      <c r="X521" s="64" t="b">
        <f t="shared" si="61"/>
        <v>1</v>
      </c>
      <c r="Y521" s="67">
        <v>127</v>
      </c>
      <c r="Z521" s="67">
        <v>121</v>
      </c>
      <c r="AA521" s="65" t="s">
        <v>116</v>
      </c>
      <c r="AB521" s="64" t="b">
        <f t="shared" si="62"/>
        <v>0</v>
      </c>
    </row>
    <row r="522" spans="1:28" ht="15" customHeight="1" x14ac:dyDescent="0.3">
      <c r="A522" s="57" t="s">
        <v>1171</v>
      </c>
      <c r="B522" s="82">
        <v>45373</v>
      </c>
      <c r="C522" s="59">
        <f t="shared" si="56"/>
        <v>2024</v>
      </c>
      <c r="D522" s="59">
        <f t="shared" si="57"/>
        <v>3</v>
      </c>
      <c r="E522" s="59">
        <f t="shared" si="58"/>
        <v>12</v>
      </c>
      <c r="F522" s="57" t="s">
        <v>55</v>
      </c>
      <c r="G522" s="57" t="s">
        <v>39</v>
      </c>
      <c r="H522" s="57" t="s">
        <v>1172</v>
      </c>
      <c r="I522" s="57" t="s">
        <v>69</v>
      </c>
      <c r="J522" s="57" t="s">
        <v>143</v>
      </c>
      <c r="K522" s="57" t="s">
        <v>74</v>
      </c>
      <c r="L522" s="57" t="s">
        <v>124</v>
      </c>
      <c r="M522" s="60">
        <v>860</v>
      </c>
      <c r="N522" s="57" t="s">
        <v>132</v>
      </c>
      <c r="O522" s="61">
        <v>2056.92</v>
      </c>
      <c r="P522" s="61">
        <v>1639255.3774000001</v>
      </c>
      <c r="Q522" s="61">
        <v>96548.6302</v>
      </c>
      <c r="R522" s="62">
        <f t="shared" si="59"/>
        <v>5.8897857851248549E-2</v>
      </c>
      <c r="S522" s="60">
        <v>5</v>
      </c>
      <c r="T522" s="58">
        <v>45378</v>
      </c>
      <c r="U522" s="58">
        <v>45378</v>
      </c>
      <c r="V522" s="63">
        <f t="shared" si="60"/>
        <v>0</v>
      </c>
      <c r="W522" s="57" t="s">
        <v>115</v>
      </c>
      <c r="X522" s="64" t="b">
        <f t="shared" si="61"/>
        <v>1</v>
      </c>
      <c r="Y522" s="60">
        <v>303</v>
      </c>
      <c r="Z522" s="60">
        <v>52</v>
      </c>
      <c r="AA522" s="57" t="s">
        <v>82</v>
      </c>
      <c r="AB522" s="64" t="b">
        <f t="shared" si="62"/>
        <v>1</v>
      </c>
    </row>
    <row r="523" spans="1:28" ht="15" customHeight="1" x14ac:dyDescent="0.3">
      <c r="A523" s="65" t="s">
        <v>1173</v>
      </c>
      <c r="B523" s="81">
        <v>44928</v>
      </c>
      <c r="C523" s="59">
        <f t="shared" si="56"/>
        <v>2023</v>
      </c>
      <c r="D523" s="59">
        <f t="shared" si="57"/>
        <v>1</v>
      </c>
      <c r="E523" s="59">
        <f t="shared" si="58"/>
        <v>1</v>
      </c>
      <c r="F523" s="65" t="s">
        <v>57</v>
      </c>
      <c r="G523" s="65" t="s">
        <v>43</v>
      </c>
      <c r="H523" s="65" t="s">
        <v>1174</v>
      </c>
      <c r="I523" s="65" t="s">
        <v>68</v>
      </c>
      <c r="J523" s="65" t="s">
        <v>151</v>
      </c>
      <c r="K523" s="65" t="s">
        <v>71</v>
      </c>
      <c r="L523" s="65" t="s">
        <v>113</v>
      </c>
      <c r="M523" s="67">
        <v>880</v>
      </c>
      <c r="N523" s="65" t="s">
        <v>120</v>
      </c>
      <c r="O523" s="68">
        <v>228.11</v>
      </c>
      <c r="P523" s="68">
        <v>200736.8</v>
      </c>
      <c r="Q523" s="68">
        <v>14162.4</v>
      </c>
      <c r="R523" s="62">
        <f t="shared" si="59"/>
        <v>7.0552086114753249E-2</v>
      </c>
      <c r="S523" s="67">
        <v>1</v>
      </c>
      <c r="T523" s="66">
        <v>44929</v>
      </c>
      <c r="U523" s="66">
        <v>44932</v>
      </c>
      <c r="V523" s="63">
        <f t="shared" si="60"/>
        <v>3</v>
      </c>
      <c r="W523" s="65" t="s">
        <v>128</v>
      </c>
      <c r="X523" s="64" t="b">
        <f t="shared" si="61"/>
        <v>0</v>
      </c>
      <c r="Y523" s="67">
        <v>415</v>
      </c>
      <c r="Z523" s="67">
        <v>473</v>
      </c>
      <c r="AA523" s="65" t="s">
        <v>116</v>
      </c>
      <c r="AB523" s="64" t="b">
        <f t="shared" si="62"/>
        <v>0</v>
      </c>
    </row>
    <row r="524" spans="1:28" ht="15" customHeight="1" x14ac:dyDescent="0.3">
      <c r="A524" s="57" t="s">
        <v>1175</v>
      </c>
      <c r="B524" s="82">
        <v>45459</v>
      </c>
      <c r="C524" s="59">
        <f t="shared" si="56"/>
        <v>2024</v>
      </c>
      <c r="D524" s="59">
        <f t="shared" si="57"/>
        <v>6</v>
      </c>
      <c r="E524" s="59">
        <f t="shared" si="58"/>
        <v>25</v>
      </c>
      <c r="F524" s="57" t="s">
        <v>61</v>
      </c>
      <c r="G524" s="57" t="s">
        <v>41</v>
      </c>
      <c r="H524" s="57" t="s">
        <v>1176</v>
      </c>
      <c r="I524" s="57" t="s">
        <v>66</v>
      </c>
      <c r="J524" s="57" t="s">
        <v>151</v>
      </c>
      <c r="K524" s="57" t="s">
        <v>75</v>
      </c>
      <c r="L524" s="57" t="s">
        <v>113</v>
      </c>
      <c r="M524" s="60">
        <v>677</v>
      </c>
      <c r="N524" s="57" t="s">
        <v>120</v>
      </c>
      <c r="O524" s="61">
        <v>411.26</v>
      </c>
      <c r="P524" s="61">
        <v>278423.02</v>
      </c>
      <c r="Q524" s="61">
        <v>10633.67</v>
      </c>
      <c r="R524" s="62">
        <f t="shared" si="59"/>
        <v>3.8192495721079384E-2</v>
      </c>
      <c r="S524" s="60">
        <v>8</v>
      </c>
      <c r="T524" s="58">
        <v>45467</v>
      </c>
      <c r="U524" s="58">
        <v>45472</v>
      </c>
      <c r="V524" s="63">
        <f t="shared" si="60"/>
        <v>5</v>
      </c>
      <c r="W524" s="57" t="s">
        <v>128</v>
      </c>
      <c r="X524" s="64" t="b">
        <f t="shared" si="61"/>
        <v>0</v>
      </c>
      <c r="Y524" s="60">
        <v>10</v>
      </c>
      <c r="Z524" s="60">
        <v>477</v>
      </c>
      <c r="AA524" s="57" t="s">
        <v>83</v>
      </c>
      <c r="AB524" s="64" t="b">
        <f t="shared" si="62"/>
        <v>1</v>
      </c>
    </row>
    <row r="525" spans="1:28" ht="15" customHeight="1" x14ac:dyDescent="0.3">
      <c r="A525" s="65" t="s">
        <v>1177</v>
      </c>
      <c r="B525" s="81">
        <v>45478</v>
      </c>
      <c r="C525" s="59">
        <f t="shared" si="56"/>
        <v>2024</v>
      </c>
      <c r="D525" s="59">
        <f t="shared" si="57"/>
        <v>7</v>
      </c>
      <c r="E525" s="59">
        <f t="shared" si="58"/>
        <v>27</v>
      </c>
      <c r="F525" s="65" t="s">
        <v>61</v>
      </c>
      <c r="G525" s="65" t="s">
        <v>46</v>
      </c>
      <c r="H525" s="65" t="s">
        <v>1178</v>
      </c>
      <c r="I525" s="65" t="s">
        <v>67</v>
      </c>
      <c r="J525" s="65" t="s">
        <v>123</v>
      </c>
      <c r="K525" s="65" t="s">
        <v>74</v>
      </c>
      <c r="L525" s="65" t="s">
        <v>146</v>
      </c>
      <c r="M525" s="67">
        <v>282</v>
      </c>
      <c r="N525" s="65" t="s">
        <v>120</v>
      </c>
      <c r="O525" s="68">
        <v>76.95</v>
      </c>
      <c r="P525" s="68">
        <v>21699.9</v>
      </c>
      <c r="Q525" s="68">
        <v>993.14</v>
      </c>
      <c r="R525" s="62">
        <f t="shared" si="59"/>
        <v>4.5767031184475504E-2</v>
      </c>
      <c r="S525" s="67">
        <v>21</v>
      </c>
      <c r="T525" s="66">
        <v>45499</v>
      </c>
      <c r="U525" s="66">
        <v>45511</v>
      </c>
      <c r="V525" s="63">
        <f t="shared" si="60"/>
        <v>12</v>
      </c>
      <c r="W525" s="65" t="s">
        <v>125</v>
      </c>
      <c r="X525" s="64" t="b">
        <f t="shared" si="61"/>
        <v>0</v>
      </c>
      <c r="Y525" s="67">
        <v>80</v>
      </c>
      <c r="Z525" s="67">
        <v>415</v>
      </c>
      <c r="AA525" s="65" t="s">
        <v>83</v>
      </c>
      <c r="AB525" s="64" t="b">
        <f t="shared" si="62"/>
        <v>1</v>
      </c>
    </row>
    <row r="526" spans="1:28" ht="15" customHeight="1" x14ac:dyDescent="0.3">
      <c r="A526" s="57" t="s">
        <v>1179</v>
      </c>
      <c r="B526" s="82">
        <v>45630</v>
      </c>
      <c r="C526" s="59">
        <f t="shared" si="56"/>
        <v>2024</v>
      </c>
      <c r="D526" s="59">
        <f t="shared" si="57"/>
        <v>12</v>
      </c>
      <c r="E526" s="59">
        <f t="shared" si="58"/>
        <v>49</v>
      </c>
      <c r="F526" s="57" t="s">
        <v>56</v>
      </c>
      <c r="G526" s="57" t="s">
        <v>42</v>
      </c>
      <c r="H526" s="57" t="s">
        <v>1180</v>
      </c>
      <c r="I526" s="57" t="s">
        <v>65</v>
      </c>
      <c r="J526" s="57" t="s">
        <v>131</v>
      </c>
      <c r="K526" s="57" t="s">
        <v>74</v>
      </c>
      <c r="L526" s="57" t="s">
        <v>146</v>
      </c>
      <c r="M526" s="60">
        <v>15</v>
      </c>
      <c r="N526" s="57" t="s">
        <v>132</v>
      </c>
      <c r="O526" s="61">
        <v>94.42</v>
      </c>
      <c r="P526" s="61">
        <v>3302.8089</v>
      </c>
      <c r="Q526" s="61">
        <v>142.36009999999999</v>
      </c>
      <c r="R526" s="62">
        <f t="shared" si="59"/>
        <v>4.3102735977246516E-2</v>
      </c>
      <c r="S526" s="60">
        <v>28</v>
      </c>
      <c r="T526" s="58">
        <v>45658</v>
      </c>
      <c r="U526" s="58">
        <v>45655</v>
      </c>
      <c r="V526" s="63">
        <f t="shared" si="60"/>
        <v>-3</v>
      </c>
      <c r="W526" s="57" t="s">
        <v>115</v>
      </c>
      <c r="X526" s="64" t="b">
        <f t="shared" si="61"/>
        <v>1</v>
      </c>
      <c r="Y526" s="60">
        <v>260</v>
      </c>
      <c r="Z526" s="60">
        <v>355</v>
      </c>
      <c r="AA526" s="57" t="s">
        <v>81</v>
      </c>
      <c r="AB526" s="64" t="b">
        <f t="shared" si="62"/>
        <v>1</v>
      </c>
    </row>
    <row r="527" spans="1:28" ht="15" customHeight="1" x14ac:dyDescent="0.3">
      <c r="A527" s="65" t="s">
        <v>1181</v>
      </c>
      <c r="B527" s="81">
        <v>45613</v>
      </c>
      <c r="C527" s="59">
        <f t="shared" si="56"/>
        <v>2024</v>
      </c>
      <c r="D527" s="59">
        <f t="shared" si="57"/>
        <v>11</v>
      </c>
      <c r="E527" s="59">
        <f t="shared" si="58"/>
        <v>47</v>
      </c>
      <c r="F527" s="65" t="s">
        <v>53</v>
      </c>
      <c r="G527" s="65" t="s">
        <v>46</v>
      </c>
      <c r="H527" s="65" t="s">
        <v>1182</v>
      </c>
      <c r="I527" s="65" t="s">
        <v>68</v>
      </c>
      <c r="J527" s="65" t="s">
        <v>143</v>
      </c>
      <c r="K527" s="65" t="s">
        <v>75</v>
      </c>
      <c r="L527" s="65" t="s">
        <v>124</v>
      </c>
      <c r="M527" s="67">
        <v>156</v>
      </c>
      <c r="N527" s="65" t="s">
        <v>136</v>
      </c>
      <c r="O527" s="68">
        <v>77.099999999999994</v>
      </c>
      <c r="P527" s="68">
        <v>12027.6</v>
      </c>
      <c r="Q527" s="68">
        <v>354.12</v>
      </c>
      <c r="R527" s="62">
        <f t="shared" si="59"/>
        <v>2.9442282749675745E-2</v>
      </c>
      <c r="S527" s="67">
        <v>12</v>
      </c>
      <c r="T527" s="66">
        <v>45625</v>
      </c>
      <c r="U527" s="66">
        <v>45622</v>
      </c>
      <c r="V527" s="63">
        <f t="shared" si="60"/>
        <v>-3</v>
      </c>
      <c r="W527" s="65" t="s">
        <v>115</v>
      </c>
      <c r="X527" s="64" t="b">
        <f t="shared" si="61"/>
        <v>1</v>
      </c>
      <c r="Y527" s="67">
        <v>5</v>
      </c>
      <c r="Z527" s="67">
        <v>172</v>
      </c>
      <c r="AA527" s="65" t="s">
        <v>81</v>
      </c>
      <c r="AB527" s="64" t="b">
        <f t="shared" si="62"/>
        <v>1</v>
      </c>
    </row>
    <row r="528" spans="1:28" ht="15" customHeight="1" x14ac:dyDescent="0.3">
      <c r="A528" s="57" t="s">
        <v>1183</v>
      </c>
      <c r="B528" s="82">
        <v>45128</v>
      </c>
      <c r="C528" s="59">
        <f t="shared" si="56"/>
        <v>2023</v>
      </c>
      <c r="D528" s="59">
        <f t="shared" si="57"/>
        <v>7</v>
      </c>
      <c r="E528" s="59">
        <f t="shared" si="58"/>
        <v>29</v>
      </c>
      <c r="F528" s="57" t="s">
        <v>55</v>
      </c>
      <c r="G528" s="57" t="s">
        <v>42</v>
      </c>
      <c r="H528" s="57" t="s">
        <v>1184</v>
      </c>
      <c r="I528" s="57" t="s">
        <v>68</v>
      </c>
      <c r="J528" s="57" t="s">
        <v>112</v>
      </c>
      <c r="K528" s="57" t="s">
        <v>73</v>
      </c>
      <c r="L528" s="57" t="s">
        <v>124</v>
      </c>
      <c r="M528" s="60">
        <v>193</v>
      </c>
      <c r="N528" s="57" t="s">
        <v>120</v>
      </c>
      <c r="O528" s="61">
        <v>105.26</v>
      </c>
      <c r="P528" s="61">
        <v>20315.18</v>
      </c>
      <c r="Q528" s="61">
        <v>444.17</v>
      </c>
      <c r="R528" s="62">
        <f t="shared" si="59"/>
        <v>2.1863946073822631E-2</v>
      </c>
      <c r="S528" s="60">
        <v>12</v>
      </c>
      <c r="T528" s="58">
        <v>45140</v>
      </c>
      <c r="U528" s="58">
        <v>45140</v>
      </c>
      <c r="V528" s="63">
        <f t="shared" si="60"/>
        <v>0</v>
      </c>
      <c r="W528" s="57" t="s">
        <v>115</v>
      </c>
      <c r="X528" s="64" t="b">
        <f t="shared" si="61"/>
        <v>1</v>
      </c>
      <c r="Y528" s="60">
        <v>457</v>
      </c>
      <c r="Z528" s="60">
        <v>178</v>
      </c>
      <c r="AA528" s="57" t="s">
        <v>82</v>
      </c>
      <c r="AB528" s="64" t="b">
        <f t="shared" si="62"/>
        <v>1</v>
      </c>
    </row>
    <row r="529" spans="1:28" ht="15" customHeight="1" x14ac:dyDescent="0.3">
      <c r="A529" s="65" t="s">
        <v>1185</v>
      </c>
      <c r="B529" s="81">
        <v>45299</v>
      </c>
      <c r="C529" s="59">
        <f t="shared" si="56"/>
        <v>2024</v>
      </c>
      <c r="D529" s="59">
        <f t="shared" si="57"/>
        <v>1</v>
      </c>
      <c r="E529" s="59">
        <f t="shared" si="58"/>
        <v>2</v>
      </c>
      <c r="F529" s="65" t="s">
        <v>54</v>
      </c>
      <c r="G529" s="65" t="s">
        <v>44</v>
      </c>
      <c r="H529" s="65" t="s">
        <v>1186</v>
      </c>
      <c r="I529" s="65" t="s">
        <v>66</v>
      </c>
      <c r="J529" s="65" t="s">
        <v>143</v>
      </c>
      <c r="K529" s="65" t="s">
        <v>72</v>
      </c>
      <c r="L529" s="65" t="s">
        <v>156</v>
      </c>
      <c r="M529" s="67">
        <v>37</v>
      </c>
      <c r="N529" s="65" t="s">
        <v>132</v>
      </c>
      <c r="O529" s="68">
        <v>177.64</v>
      </c>
      <c r="P529" s="68">
        <v>6572.68</v>
      </c>
      <c r="Q529" s="68">
        <v>504.87</v>
      </c>
      <c r="R529" s="62">
        <f t="shared" si="59"/>
        <v>7.6813415532172566E-2</v>
      </c>
      <c r="S529" s="67">
        <v>5</v>
      </c>
      <c r="T529" s="66">
        <v>45304</v>
      </c>
      <c r="U529" s="66">
        <v>45307</v>
      </c>
      <c r="V529" s="63">
        <f t="shared" si="60"/>
        <v>3</v>
      </c>
      <c r="W529" s="65" t="s">
        <v>128</v>
      </c>
      <c r="X529" s="64" t="b">
        <f t="shared" si="61"/>
        <v>0</v>
      </c>
      <c r="Y529" s="67">
        <v>372</v>
      </c>
      <c r="Z529" s="67">
        <v>292</v>
      </c>
      <c r="AA529" s="65" t="s">
        <v>116</v>
      </c>
      <c r="AB529" s="64" t="b">
        <f t="shared" si="62"/>
        <v>0</v>
      </c>
    </row>
    <row r="530" spans="1:28" ht="15" customHeight="1" x14ac:dyDescent="0.3">
      <c r="A530" s="57" t="s">
        <v>1187</v>
      </c>
      <c r="B530" s="82">
        <v>45368</v>
      </c>
      <c r="C530" s="59">
        <f t="shared" si="56"/>
        <v>2024</v>
      </c>
      <c r="D530" s="59">
        <f t="shared" si="57"/>
        <v>3</v>
      </c>
      <c r="E530" s="59">
        <f t="shared" si="58"/>
        <v>12</v>
      </c>
      <c r="F530" s="57" t="s">
        <v>55</v>
      </c>
      <c r="G530" s="57" t="s">
        <v>41</v>
      </c>
      <c r="H530" s="57" t="s">
        <v>1188</v>
      </c>
      <c r="I530" s="57" t="s">
        <v>65</v>
      </c>
      <c r="J530" s="57" t="s">
        <v>123</v>
      </c>
      <c r="K530" s="57" t="s">
        <v>71</v>
      </c>
      <c r="L530" s="57" t="s">
        <v>135</v>
      </c>
      <c r="M530" s="60">
        <v>971</v>
      </c>
      <c r="N530" s="57" t="s">
        <v>120</v>
      </c>
      <c r="O530" s="61">
        <v>579.42999999999995</v>
      </c>
      <c r="P530" s="61">
        <v>562626.53</v>
      </c>
      <c r="Q530" s="61">
        <v>19378.41</v>
      </c>
      <c r="R530" s="62">
        <f t="shared" si="59"/>
        <v>3.4442759035909661E-2</v>
      </c>
      <c r="S530" s="60">
        <v>7</v>
      </c>
      <c r="T530" s="58">
        <v>45375</v>
      </c>
      <c r="U530" s="58">
        <v>45370</v>
      </c>
      <c r="V530" s="63">
        <f t="shared" si="60"/>
        <v>-5</v>
      </c>
      <c r="W530" s="57" t="s">
        <v>115</v>
      </c>
      <c r="X530" s="64" t="b">
        <f t="shared" si="61"/>
        <v>1</v>
      </c>
      <c r="Y530" s="60">
        <v>480</v>
      </c>
      <c r="Z530" s="60">
        <v>374</v>
      </c>
      <c r="AA530" s="57" t="s">
        <v>116</v>
      </c>
      <c r="AB530" s="64" t="b">
        <f t="shared" si="62"/>
        <v>0</v>
      </c>
    </row>
    <row r="531" spans="1:28" ht="15" customHeight="1" x14ac:dyDescent="0.3">
      <c r="A531" s="65" t="s">
        <v>1189</v>
      </c>
      <c r="B531" s="81">
        <v>44998</v>
      </c>
      <c r="C531" s="59">
        <f t="shared" si="56"/>
        <v>2023</v>
      </c>
      <c r="D531" s="59">
        <f t="shared" si="57"/>
        <v>3</v>
      </c>
      <c r="E531" s="59">
        <f t="shared" si="58"/>
        <v>11</v>
      </c>
      <c r="F531" s="65" t="s">
        <v>61</v>
      </c>
      <c r="G531" s="65" t="s">
        <v>46</v>
      </c>
      <c r="H531" s="65" t="s">
        <v>1190</v>
      </c>
      <c r="I531" s="65" t="s">
        <v>66</v>
      </c>
      <c r="J531" s="65" t="s">
        <v>139</v>
      </c>
      <c r="K531" s="65" t="s">
        <v>73</v>
      </c>
      <c r="L531" s="65" t="s">
        <v>135</v>
      </c>
      <c r="M531" s="67">
        <v>559</v>
      </c>
      <c r="N531" s="65" t="s">
        <v>120</v>
      </c>
      <c r="O531" s="68">
        <v>58.4</v>
      </c>
      <c r="P531" s="68">
        <v>32645.599999999999</v>
      </c>
      <c r="Q531" s="68">
        <v>1122.9100000000001</v>
      </c>
      <c r="R531" s="62">
        <f t="shared" si="59"/>
        <v>3.4396978459578016E-2</v>
      </c>
      <c r="S531" s="67">
        <v>4</v>
      </c>
      <c r="T531" s="66">
        <v>45002</v>
      </c>
      <c r="U531" s="66">
        <v>45005</v>
      </c>
      <c r="V531" s="63">
        <f t="shared" si="60"/>
        <v>3</v>
      </c>
      <c r="W531" s="65" t="s">
        <v>125</v>
      </c>
      <c r="X531" s="64" t="b">
        <f t="shared" si="61"/>
        <v>0</v>
      </c>
      <c r="Y531" s="67">
        <v>221</v>
      </c>
      <c r="Z531" s="67">
        <v>58</v>
      </c>
      <c r="AA531" s="65" t="s">
        <v>81</v>
      </c>
      <c r="AB531" s="64" t="b">
        <f t="shared" si="62"/>
        <v>1</v>
      </c>
    </row>
    <row r="532" spans="1:28" ht="15" customHeight="1" x14ac:dyDescent="0.3">
      <c r="A532" s="57" t="s">
        <v>1191</v>
      </c>
      <c r="B532" s="82">
        <v>45607</v>
      </c>
      <c r="C532" s="59">
        <f t="shared" si="56"/>
        <v>2024</v>
      </c>
      <c r="D532" s="59">
        <f t="shared" si="57"/>
        <v>11</v>
      </c>
      <c r="E532" s="59">
        <f t="shared" si="58"/>
        <v>46</v>
      </c>
      <c r="F532" s="57" t="s">
        <v>59</v>
      </c>
      <c r="G532" s="57" t="s">
        <v>40</v>
      </c>
      <c r="H532" s="57" t="s">
        <v>1192</v>
      </c>
      <c r="I532" s="57" t="s">
        <v>64</v>
      </c>
      <c r="J532" s="57" t="s">
        <v>139</v>
      </c>
      <c r="K532" s="57" t="s">
        <v>75</v>
      </c>
      <c r="L532" s="57" t="s">
        <v>135</v>
      </c>
      <c r="M532" s="60">
        <v>128</v>
      </c>
      <c r="N532" s="57" t="s">
        <v>114</v>
      </c>
      <c r="O532" s="61">
        <v>975.02</v>
      </c>
      <c r="P532" s="61">
        <v>124802.56</v>
      </c>
      <c r="Q532" s="61">
        <v>3120.41</v>
      </c>
      <c r="R532" s="62">
        <f t="shared" si="59"/>
        <v>2.5002772379028121E-2</v>
      </c>
      <c r="S532" s="60">
        <v>6</v>
      </c>
      <c r="T532" s="58">
        <v>45613</v>
      </c>
      <c r="U532" s="58">
        <v>45616</v>
      </c>
      <c r="V532" s="63">
        <f t="shared" si="60"/>
        <v>3</v>
      </c>
      <c r="W532" s="57" t="s">
        <v>128</v>
      </c>
      <c r="X532" s="64" t="b">
        <f t="shared" si="61"/>
        <v>0</v>
      </c>
      <c r="Y532" s="60">
        <v>404</v>
      </c>
      <c r="Z532" s="60">
        <v>53</v>
      </c>
      <c r="AA532" s="57" t="s">
        <v>84</v>
      </c>
      <c r="AB532" s="64" t="b">
        <f t="shared" si="62"/>
        <v>1</v>
      </c>
    </row>
    <row r="533" spans="1:28" ht="15" customHeight="1" x14ac:dyDescent="0.3">
      <c r="A533" s="65" t="s">
        <v>1193</v>
      </c>
      <c r="B533" s="81">
        <v>45265</v>
      </c>
      <c r="C533" s="59">
        <f t="shared" si="56"/>
        <v>2023</v>
      </c>
      <c r="D533" s="59">
        <f t="shared" si="57"/>
        <v>12</v>
      </c>
      <c r="E533" s="59">
        <f t="shared" si="58"/>
        <v>49</v>
      </c>
      <c r="F533" s="65" t="s">
        <v>57</v>
      </c>
      <c r="G533" s="65" t="s">
        <v>46</v>
      </c>
      <c r="H533" s="65" t="s">
        <v>1194</v>
      </c>
      <c r="I533" s="65" t="s">
        <v>67</v>
      </c>
      <c r="J533" s="65" t="s">
        <v>123</v>
      </c>
      <c r="K533" s="65" t="s">
        <v>72</v>
      </c>
      <c r="L533" s="65" t="s">
        <v>119</v>
      </c>
      <c r="M533" s="67">
        <v>302</v>
      </c>
      <c r="N533" s="65" t="s">
        <v>120</v>
      </c>
      <c r="O533" s="68">
        <v>45.29</v>
      </c>
      <c r="P533" s="68">
        <v>13677.58</v>
      </c>
      <c r="Q533" s="68">
        <v>1035.54</v>
      </c>
      <c r="R533" s="62">
        <f t="shared" si="59"/>
        <v>7.5710761699072496E-2</v>
      </c>
      <c r="S533" s="67">
        <v>13</v>
      </c>
      <c r="T533" s="66">
        <v>45278</v>
      </c>
      <c r="U533" s="66">
        <v>45281</v>
      </c>
      <c r="V533" s="63">
        <f t="shared" si="60"/>
        <v>3</v>
      </c>
      <c r="W533" s="65" t="s">
        <v>125</v>
      </c>
      <c r="X533" s="64" t="b">
        <f t="shared" si="61"/>
        <v>0</v>
      </c>
      <c r="Y533" s="67">
        <v>297</v>
      </c>
      <c r="Z533" s="67">
        <v>401</v>
      </c>
      <c r="AA533" s="65" t="s">
        <v>84</v>
      </c>
      <c r="AB533" s="64" t="b">
        <f t="shared" si="62"/>
        <v>1</v>
      </c>
    </row>
    <row r="534" spans="1:28" ht="15" customHeight="1" x14ac:dyDescent="0.3">
      <c r="A534" s="57" t="s">
        <v>1195</v>
      </c>
      <c r="B534" s="82">
        <v>45565</v>
      </c>
      <c r="C534" s="59">
        <f t="shared" si="56"/>
        <v>2024</v>
      </c>
      <c r="D534" s="59">
        <f t="shared" si="57"/>
        <v>9</v>
      </c>
      <c r="E534" s="59">
        <f t="shared" si="58"/>
        <v>40</v>
      </c>
      <c r="F534" s="57" t="s">
        <v>57</v>
      </c>
      <c r="G534" s="57" t="s">
        <v>45</v>
      </c>
      <c r="H534" s="57" t="s">
        <v>1196</v>
      </c>
      <c r="I534" s="57" t="s">
        <v>65</v>
      </c>
      <c r="J534" s="57" t="s">
        <v>123</v>
      </c>
      <c r="K534" s="57" t="s">
        <v>72</v>
      </c>
      <c r="L534" s="57" t="s">
        <v>156</v>
      </c>
      <c r="M534" s="60">
        <v>380</v>
      </c>
      <c r="N534" s="57" t="s">
        <v>132</v>
      </c>
      <c r="O534" s="61">
        <v>283.58</v>
      </c>
      <c r="P534" s="61">
        <v>107760.4</v>
      </c>
      <c r="Q534" s="61">
        <v>5903.57</v>
      </c>
      <c r="R534" s="62">
        <f t="shared" si="59"/>
        <v>5.4784225002876753E-2</v>
      </c>
      <c r="S534" s="60">
        <v>20</v>
      </c>
      <c r="T534" s="58">
        <v>45585</v>
      </c>
      <c r="U534" s="58">
        <v>45585</v>
      </c>
      <c r="V534" s="63">
        <f t="shared" si="60"/>
        <v>0</v>
      </c>
      <c r="W534" s="57" t="s">
        <v>115</v>
      </c>
      <c r="X534" s="64" t="b">
        <f t="shared" si="61"/>
        <v>1</v>
      </c>
      <c r="Y534" s="60">
        <v>80</v>
      </c>
      <c r="Z534" s="60">
        <v>256</v>
      </c>
      <c r="AA534" s="57" t="s">
        <v>116</v>
      </c>
      <c r="AB534" s="64" t="b">
        <f t="shared" si="62"/>
        <v>0</v>
      </c>
    </row>
    <row r="535" spans="1:28" ht="15" customHeight="1" x14ac:dyDescent="0.3">
      <c r="A535" s="65" t="s">
        <v>1197</v>
      </c>
      <c r="B535" s="81">
        <v>45248</v>
      </c>
      <c r="C535" s="59">
        <f t="shared" si="56"/>
        <v>2023</v>
      </c>
      <c r="D535" s="59">
        <f t="shared" si="57"/>
        <v>11</v>
      </c>
      <c r="E535" s="59">
        <f t="shared" si="58"/>
        <v>46</v>
      </c>
      <c r="F535" s="65" t="s">
        <v>59</v>
      </c>
      <c r="G535" s="65" t="s">
        <v>40</v>
      </c>
      <c r="H535" s="65" t="s">
        <v>1198</v>
      </c>
      <c r="I535" s="65" t="s">
        <v>68</v>
      </c>
      <c r="J535" s="65" t="s">
        <v>131</v>
      </c>
      <c r="K535" s="65" t="s">
        <v>72</v>
      </c>
      <c r="L535" s="65" t="s">
        <v>135</v>
      </c>
      <c r="M535" s="67">
        <v>253</v>
      </c>
      <c r="N535" s="65" t="s">
        <v>136</v>
      </c>
      <c r="O535" s="68">
        <v>636.4</v>
      </c>
      <c r="P535" s="68">
        <v>161009.20000000001</v>
      </c>
      <c r="Q535" s="68">
        <v>9664.1299999999992</v>
      </c>
      <c r="R535" s="62">
        <f t="shared" si="59"/>
        <v>6.0022222332636883E-2</v>
      </c>
      <c r="S535" s="67">
        <v>15</v>
      </c>
      <c r="T535" s="66">
        <v>45263</v>
      </c>
      <c r="U535" s="66">
        <v>45266</v>
      </c>
      <c r="V535" s="63">
        <f t="shared" si="60"/>
        <v>3</v>
      </c>
      <c r="W535" s="65" t="s">
        <v>128</v>
      </c>
      <c r="X535" s="64" t="b">
        <f t="shared" si="61"/>
        <v>0</v>
      </c>
      <c r="Y535" s="67">
        <v>410</v>
      </c>
      <c r="Z535" s="67">
        <v>244</v>
      </c>
      <c r="AA535" s="65" t="s">
        <v>116</v>
      </c>
      <c r="AB535" s="64" t="b">
        <f t="shared" si="62"/>
        <v>0</v>
      </c>
    </row>
    <row r="536" spans="1:28" ht="15" customHeight="1" x14ac:dyDescent="0.3">
      <c r="A536" s="57" t="s">
        <v>1199</v>
      </c>
      <c r="B536" s="82">
        <v>45606</v>
      </c>
      <c r="C536" s="59">
        <f t="shared" si="56"/>
        <v>2024</v>
      </c>
      <c r="D536" s="59">
        <f t="shared" si="57"/>
        <v>11</v>
      </c>
      <c r="E536" s="59">
        <f t="shared" si="58"/>
        <v>46</v>
      </c>
      <c r="F536" s="57" t="s">
        <v>58</v>
      </c>
      <c r="G536" s="57" t="s">
        <v>41</v>
      </c>
      <c r="H536" s="57" t="s">
        <v>1200</v>
      </c>
      <c r="I536" s="57" t="s">
        <v>66</v>
      </c>
      <c r="J536" s="57" t="s">
        <v>143</v>
      </c>
      <c r="K536" s="57" t="s">
        <v>75</v>
      </c>
      <c r="L536" s="57" t="s">
        <v>119</v>
      </c>
      <c r="M536" s="60">
        <v>589</v>
      </c>
      <c r="N536" s="57" t="s">
        <v>132</v>
      </c>
      <c r="O536" s="61">
        <v>481.14</v>
      </c>
      <c r="P536" s="61">
        <v>283391.46000000002</v>
      </c>
      <c r="Q536" s="61">
        <v>21167.82</v>
      </c>
      <c r="R536" s="62">
        <f t="shared" si="59"/>
        <v>7.4694629118322753E-2</v>
      </c>
      <c r="S536" s="60">
        <v>3</v>
      </c>
      <c r="T536" s="58">
        <v>45609</v>
      </c>
      <c r="U536" s="58">
        <v>45617</v>
      </c>
      <c r="V536" s="63">
        <f t="shared" si="60"/>
        <v>8</v>
      </c>
      <c r="W536" s="57" t="s">
        <v>125</v>
      </c>
      <c r="X536" s="64" t="b">
        <f t="shared" si="61"/>
        <v>0</v>
      </c>
      <c r="Y536" s="60">
        <v>2</v>
      </c>
      <c r="Z536" s="60">
        <v>148</v>
      </c>
      <c r="AA536" s="57" t="s">
        <v>83</v>
      </c>
      <c r="AB536" s="64" t="b">
        <f t="shared" si="62"/>
        <v>1</v>
      </c>
    </row>
    <row r="537" spans="1:28" ht="15" customHeight="1" x14ac:dyDescent="0.3">
      <c r="A537" s="65" t="s">
        <v>1201</v>
      </c>
      <c r="B537" s="81">
        <v>45054</v>
      </c>
      <c r="C537" s="59">
        <f t="shared" si="56"/>
        <v>2023</v>
      </c>
      <c r="D537" s="59">
        <f t="shared" si="57"/>
        <v>5</v>
      </c>
      <c r="E537" s="59">
        <f t="shared" si="58"/>
        <v>19</v>
      </c>
      <c r="F537" s="65" t="s">
        <v>56</v>
      </c>
      <c r="G537" s="65" t="s">
        <v>45</v>
      </c>
      <c r="H537" s="65" t="s">
        <v>1202</v>
      </c>
      <c r="I537" s="65" t="s">
        <v>68</v>
      </c>
      <c r="J537" s="65" t="s">
        <v>143</v>
      </c>
      <c r="K537" s="65" t="s">
        <v>73</v>
      </c>
      <c r="L537" s="65" t="s">
        <v>119</v>
      </c>
      <c r="M537" s="67">
        <v>735</v>
      </c>
      <c r="N537" s="65" t="s">
        <v>132</v>
      </c>
      <c r="O537" s="68">
        <v>270.52</v>
      </c>
      <c r="P537" s="68">
        <v>198832.2</v>
      </c>
      <c r="Q537" s="68">
        <v>8099.87</v>
      </c>
      <c r="R537" s="62">
        <f t="shared" si="59"/>
        <v>4.0737214596026194E-2</v>
      </c>
      <c r="S537" s="67">
        <v>23</v>
      </c>
      <c r="T537" s="66">
        <v>45077</v>
      </c>
      <c r="U537" s="66">
        <v>45077</v>
      </c>
      <c r="V537" s="63">
        <f t="shared" si="60"/>
        <v>0</v>
      </c>
      <c r="W537" s="65" t="s">
        <v>115</v>
      </c>
      <c r="X537" s="64" t="b">
        <f t="shared" si="61"/>
        <v>1</v>
      </c>
      <c r="Y537" s="67">
        <v>59</v>
      </c>
      <c r="Z537" s="67">
        <v>283</v>
      </c>
      <c r="AA537" s="65" t="s">
        <v>83</v>
      </c>
      <c r="AB537" s="64" t="b">
        <f t="shared" si="62"/>
        <v>1</v>
      </c>
    </row>
    <row r="538" spans="1:28" ht="15" customHeight="1" x14ac:dyDescent="0.3">
      <c r="A538" s="57" t="s">
        <v>1203</v>
      </c>
      <c r="B538" s="82">
        <v>45234</v>
      </c>
      <c r="C538" s="59">
        <f t="shared" si="56"/>
        <v>2023</v>
      </c>
      <c r="D538" s="59">
        <f t="shared" si="57"/>
        <v>11</v>
      </c>
      <c r="E538" s="59">
        <f t="shared" si="58"/>
        <v>44</v>
      </c>
      <c r="F538" s="57" t="s">
        <v>61</v>
      </c>
      <c r="G538" s="57" t="s">
        <v>46</v>
      </c>
      <c r="H538" s="57" t="s">
        <v>1204</v>
      </c>
      <c r="I538" s="57" t="s">
        <v>65</v>
      </c>
      <c r="J538" s="57" t="s">
        <v>139</v>
      </c>
      <c r="K538" s="57" t="s">
        <v>71</v>
      </c>
      <c r="L538" s="57" t="s">
        <v>113</v>
      </c>
      <c r="M538" s="60">
        <v>227</v>
      </c>
      <c r="N538" s="57" t="s">
        <v>120</v>
      </c>
      <c r="O538" s="61">
        <v>70.67</v>
      </c>
      <c r="P538" s="61">
        <v>16042.09</v>
      </c>
      <c r="Q538" s="61">
        <v>919.06</v>
      </c>
      <c r="R538" s="62">
        <f t="shared" si="59"/>
        <v>5.729054007302041E-2</v>
      </c>
      <c r="S538" s="60">
        <v>8</v>
      </c>
      <c r="T538" s="58">
        <v>45242</v>
      </c>
      <c r="U538" s="58">
        <v>45239</v>
      </c>
      <c r="V538" s="63">
        <f t="shared" si="60"/>
        <v>-3</v>
      </c>
      <c r="W538" s="57" t="s">
        <v>115</v>
      </c>
      <c r="X538" s="64" t="b">
        <f t="shared" si="61"/>
        <v>1</v>
      </c>
      <c r="Y538" s="60">
        <v>220</v>
      </c>
      <c r="Z538" s="60">
        <v>367</v>
      </c>
      <c r="AA538" s="57" t="s">
        <v>116</v>
      </c>
      <c r="AB538" s="64" t="b">
        <f t="shared" si="62"/>
        <v>0</v>
      </c>
    </row>
    <row r="539" spans="1:28" ht="15" customHeight="1" x14ac:dyDescent="0.3">
      <c r="A539" s="65" t="s">
        <v>1205</v>
      </c>
      <c r="B539" s="81">
        <v>45446</v>
      </c>
      <c r="C539" s="59">
        <f t="shared" si="56"/>
        <v>2024</v>
      </c>
      <c r="D539" s="59">
        <f t="shared" si="57"/>
        <v>6</v>
      </c>
      <c r="E539" s="59">
        <f t="shared" si="58"/>
        <v>23</v>
      </c>
      <c r="F539" s="65" t="s">
        <v>60</v>
      </c>
      <c r="G539" s="65" t="s">
        <v>42</v>
      </c>
      <c r="H539" s="65" t="s">
        <v>1206</v>
      </c>
      <c r="I539" s="65" t="s">
        <v>68</v>
      </c>
      <c r="J539" s="65" t="s">
        <v>112</v>
      </c>
      <c r="K539" s="65" t="s">
        <v>72</v>
      </c>
      <c r="L539" s="65" t="s">
        <v>119</v>
      </c>
      <c r="M539" s="67">
        <v>186</v>
      </c>
      <c r="N539" s="65" t="s">
        <v>114</v>
      </c>
      <c r="O539" s="68">
        <v>81.19</v>
      </c>
      <c r="P539" s="68">
        <v>15101.34</v>
      </c>
      <c r="Q539" s="68">
        <v>337.18</v>
      </c>
      <c r="R539" s="62">
        <f t="shared" si="59"/>
        <v>2.2327819915318774E-2</v>
      </c>
      <c r="S539" s="67">
        <v>20</v>
      </c>
      <c r="T539" s="66">
        <v>45466</v>
      </c>
      <c r="U539" s="66">
        <v>45466</v>
      </c>
      <c r="V539" s="63">
        <f t="shared" si="60"/>
        <v>0</v>
      </c>
      <c r="W539" s="65" t="s">
        <v>115</v>
      </c>
      <c r="X539" s="64" t="b">
        <f t="shared" si="61"/>
        <v>1</v>
      </c>
      <c r="Y539" s="67">
        <v>449</v>
      </c>
      <c r="Z539" s="67">
        <v>15</v>
      </c>
      <c r="AA539" s="65" t="s">
        <v>83</v>
      </c>
      <c r="AB539" s="64" t="b">
        <f t="shared" si="62"/>
        <v>1</v>
      </c>
    </row>
    <row r="540" spans="1:28" ht="15" customHeight="1" x14ac:dyDescent="0.3">
      <c r="A540" s="57" t="s">
        <v>1207</v>
      </c>
      <c r="B540" s="82">
        <v>45243</v>
      </c>
      <c r="C540" s="59">
        <f t="shared" si="56"/>
        <v>2023</v>
      </c>
      <c r="D540" s="59">
        <f t="shared" si="57"/>
        <v>11</v>
      </c>
      <c r="E540" s="59">
        <f t="shared" si="58"/>
        <v>46</v>
      </c>
      <c r="F540" s="57" t="s">
        <v>52</v>
      </c>
      <c r="G540" s="57" t="s">
        <v>46</v>
      </c>
      <c r="H540" s="57" t="s">
        <v>1208</v>
      </c>
      <c r="I540" s="57" t="s">
        <v>66</v>
      </c>
      <c r="J540" s="57" t="s">
        <v>143</v>
      </c>
      <c r="K540" s="57" t="s">
        <v>72</v>
      </c>
      <c r="L540" s="57" t="s">
        <v>146</v>
      </c>
      <c r="M540" s="60">
        <v>308</v>
      </c>
      <c r="N540" s="57" t="s">
        <v>163</v>
      </c>
      <c r="O540" s="61">
        <v>64.72</v>
      </c>
      <c r="P540" s="61">
        <v>19933.759999999998</v>
      </c>
      <c r="Q540" s="61">
        <v>622.05999999999995</v>
      </c>
      <c r="R540" s="62">
        <f t="shared" si="59"/>
        <v>3.1206355449247908E-2</v>
      </c>
      <c r="S540" s="60">
        <v>16</v>
      </c>
      <c r="T540" s="58">
        <v>45259</v>
      </c>
      <c r="U540" s="58">
        <v>45259</v>
      </c>
      <c r="V540" s="63">
        <f t="shared" si="60"/>
        <v>0</v>
      </c>
      <c r="W540" s="57" t="s">
        <v>125</v>
      </c>
      <c r="X540" s="64" t="b">
        <f t="shared" si="61"/>
        <v>0</v>
      </c>
      <c r="Y540" s="60">
        <v>348</v>
      </c>
      <c r="Z540" s="60">
        <v>175</v>
      </c>
      <c r="AA540" s="57" t="s">
        <v>116</v>
      </c>
      <c r="AB540" s="64" t="b">
        <f t="shared" si="62"/>
        <v>0</v>
      </c>
    </row>
    <row r="541" spans="1:28" ht="15" customHeight="1" x14ac:dyDescent="0.3">
      <c r="A541" s="65" t="s">
        <v>1209</v>
      </c>
      <c r="B541" s="81">
        <v>45609</v>
      </c>
      <c r="C541" s="59">
        <f t="shared" si="56"/>
        <v>2024</v>
      </c>
      <c r="D541" s="59">
        <f t="shared" si="57"/>
        <v>11</v>
      </c>
      <c r="E541" s="59">
        <f t="shared" si="58"/>
        <v>46</v>
      </c>
      <c r="F541" s="65" t="s">
        <v>59</v>
      </c>
      <c r="G541" s="65" t="s">
        <v>43</v>
      </c>
      <c r="H541" s="65" t="s">
        <v>1210</v>
      </c>
      <c r="I541" s="65" t="s">
        <v>66</v>
      </c>
      <c r="J541" s="65" t="s">
        <v>151</v>
      </c>
      <c r="K541" s="65" t="s">
        <v>73</v>
      </c>
      <c r="L541" s="65" t="s">
        <v>124</v>
      </c>
      <c r="M541" s="67">
        <v>685</v>
      </c>
      <c r="N541" s="65" t="s">
        <v>163</v>
      </c>
      <c r="O541" s="68">
        <v>276.73</v>
      </c>
      <c r="P541" s="68">
        <v>189560.05</v>
      </c>
      <c r="Q541" s="68">
        <v>13245.46</v>
      </c>
      <c r="R541" s="62">
        <f t="shared" si="59"/>
        <v>6.9874744177372813E-2</v>
      </c>
      <c r="S541" s="67">
        <v>13</v>
      </c>
      <c r="T541" s="66">
        <v>45622</v>
      </c>
      <c r="U541" s="66">
        <v>45622</v>
      </c>
      <c r="V541" s="63">
        <f t="shared" si="60"/>
        <v>0</v>
      </c>
      <c r="W541" s="65" t="s">
        <v>115</v>
      </c>
      <c r="X541" s="64" t="b">
        <f t="shared" si="61"/>
        <v>1</v>
      </c>
      <c r="Y541" s="67">
        <v>48</v>
      </c>
      <c r="Z541" s="67">
        <v>27</v>
      </c>
      <c r="AA541" s="65" t="s">
        <v>84</v>
      </c>
      <c r="AB541" s="64" t="b">
        <f t="shared" si="62"/>
        <v>1</v>
      </c>
    </row>
    <row r="542" spans="1:28" ht="15" customHeight="1" x14ac:dyDescent="0.3">
      <c r="A542" s="57" t="s">
        <v>1211</v>
      </c>
      <c r="B542" s="82">
        <v>45345</v>
      </c>
      <c r="C542" s="59">
        <f t="shared" si="56"/>
        <v>2024</v>
      </c>
      <c r="D542" s="59">
        <f t="shared" si="57"/>
        <v>2</v>
      </c>
      <c r="E542" s="59">
        <f t="shared" si="58"/>
        <v>8</v>
      </c>
      <c r="F542" s="57" t="s">
        <v>59</v>
      </c>
      <c r="G542" s="57" t="s">
        <v>44</v>
      </c>
      <c r="H542" s="57" t="s">
        <v>1212</v>
      </c>
      <c r="I542" s="57" t="s">
        <v>69</v>
      </c>
      <c r="J542" s="57" t="s">
        <v>151</v>
      </c>
      <c r="K542" s="57" t="s">
        <v>72</v>
      </c>
      <c r="L542" s="57" t="s">
        <v>119</v>
      </c>
      <c r="M542" s="60">
        <v>67</v>
      </c>
      <c r="N542" s="57" t="s">
        <v>163</v>
      </c>
      <c r="O542" s="61">
        <v>116.64</v>
      </c>
      <c r="P542" s="61">
        <v>7814.88</v>
      </c>
      <c r="Q542" s="61">
        <v>515.83000000000004</v>
      </c>
      <c r="R542" s="62">
        <f t="shared" si="59"/>
        <v>6.600613189198043E-2</v>
      </c>
      <c r="S542" s="60">
        <v>18</v>
      </c>
      <c r="T542" s="58">
        <v>45363</v>
      </c>
      <c r="U542" s="58">
        <v>45362</v>
      </c>
      <c r="V542" s="63">
        <f t="shared" si="60"/>
        <v>-1</v>
      </c>
      <c r="W542" s="57" t="s">
        <v>115</v>
      </c>
      <c r="X542" s="64" t="b">
        <f t="shared" si="61"/>
        <v>1</v>
      </c>
      <c r="Y542" s="60">
        <v>227</v>
      </c>
      <c r="Z542" s="60">
        <v>405</v>
      </c>
      <c r="AA542" s="57" t="s">
        <v>116</v>
      </c>
      <c r="AB542" s="64" t="b">
        <f t="shared" si="62"/>
        <v>0</v>
      </c>
    </row>
    <row r="543" spans="1:28" ht="15" customHeight="1" x14ac:dyDescent="0.3">
      <c r="A543" s="65" t="s">
        <v>1213</v>
      </c>
      <c r="B543" s="81">
        <v>45261</v>
      </c>
      <c r="C543" s="59">
        <f t="shared" si="56"/>
        <v>2023</v>
      </c>
      <c r="D543" s="59">
        <f t="shared" si="57"/>
        <v>12</v>
      </c>
      <c r="E543" s="59">
        <f t="shared" si="58"/>
        <v>48</v>
      </c>
      <c r="F543" s="65" t="s">
        <v>55</v>
      </c>
      <c r="G543" s="65" t="s">
        <v>39</v>
      </c>
      <c r="H543" s="65" t="s">
        <v>1214</v>
      </c>
      <c r="I543" s="65" t="s">
        <v>68</v>
      </c>
      <c r="J543" s="65" t="s">
        <v>131</v>
      </c>
      <c r="K543" s="65" t="s">
        <v>72</v>
      </c>
      <c r="L543" s="65" t="s">
        <v>146</v>
      </c>
      <c r="M543" s="67">
        <v>278</v>
      </c>
      <c r="N543" s="65" t="s">
        <v>132</v>
      </c>
      <c r="O543" s="68">
        <v>2093.58</v>
      </c>
      <c r="P543" s="68">
        <v>582015.24</v>
      </c>
      <c r="Q543" s="68">
        <v>23885.07</v>
      </c>
      <c r="R543" s="62">
        <f t="shared" si="59"/>
        <v>4.1038564557175514E-2</v>
      </c>
      <c r="S543" s="67">
        <v>28</v>
      </c>
      <c r="T543" s="66">
        <v>45289</v>
      </c>
      <c r="U543" s="66">
        <v>45289</v>
      </c>
      <c r="V543" s="63">
        <f t="shared" si="60"/>
        <v>0</v>
      </c>
      <c r="W543" s="65" t="s">
        <v>115</v>
      </c>
      <c r="X543" s="64" t="b">
        <f t="shared" si="61"/>
        <v>1</v>
      </c>
      <c r="Y543" s="67">
        <v>289</v>
      </c>
      <c r="Z543" s="67">
        <v>466</v>
      </c>
      <c r="AA543" s="65" t="s">
        <v>116</v>
      </c>
      <c r="AB543" s="64" t="b">
        <f t="shared" si="62"/>
        <v>0</v>
      </c>
    </row>
    <row r="544" spans="1:28" ht="15" customHeight="1" x14ac:dyDescent="0.3">
      <c r="A544" s="57" t="s">
        <v>1215</v>
      </c>
      <c r="B544" s="82">
        <v>45339</v>
      </c>
      <c r="C544" s="59">
        <f t="shared" si="56"/>
        <v>2024</v>
      </c>
      <c r="D544" s="59">
        <f t="shared" si="57"/>
        <v>2</v>
      </c>
      <c r="E544" s="59">
        <f t="shared" si="58"/>
        <v>7</v>
      </c>
      <c r="F544" s="57" t="s">
        <v>56</v>
      </c>
      <c r="G544" s="57" t="s">
        <v>42</v>
      </c>
      <c r="H544" s="57" t="s">
        <v>1216</v>
      </c>
      <c r="I544" s="57" t="s">
        <v>69</v>
      </c>
      <c r="J544" s="57" t="s">
        <v>131</v>
      </c>
      <c r="K544" s="57" t="s">
        <v>75</v>
      </c>
      <c r="L544" s="57" t="s">
        <v>146</v>
      </c>
      <c r="M544" s="60">
        <v>317</v>
      </c>
      <c r="N544" s="57" t="s">
        <v>120</v>
      </c>
      <c r="O544" s="61">
        <v>61.64</v>
      </c>
      <c r="P544" s="61">
        <v>19539.88</v>
      </c>
      <c r="Q544" s="61">
        <v>832.57</v>
      </c>
      <c r="R544" s="62">
        <f t="shared" si="59"/>
        <v>4.260875706503827E-2</v>
      </c>
      <c r="S544" s="60">
        <v>10</v>
      </c>
      <c r="T544" s="58">
        <v>45349</v>
      </c>
      <c r="U544" s="58">
        <v>45346</v>
      </c>
      <c r="V544" s="63">
        <f t="shared" si="60"/>
        <v>-3</v>
      </c>
      <c r="W544" s="57" t="s">
        <v>115</v>
      </c>
      <c r="X544" s="64" t="b">
        <f t="shared" si="61"/>
        <v>1</v>
      </c>
      <c r="Y544" s="60">
        <v>292</v>
      </c>
      <c r="Z544" s="60">
        <v>367</v>
      </c>
      <c r="AA544" s="57" t="s">
        <v>116</v>
      </c>
      <c r="AB544" s="64" t="b">
        <f t="shared" si="62"/>
        <v>0</v>
      </c>
    </row>
    <row r="545" spans="1:28" ht="15" customHeight="1" x14ac:dyDescent="0.3">
      <c r="A545" s="65" t="s">
        <v>1217</v>
      </c>
      <c r="B545" s="81">
        <v>45640</v>
      </c>
      <c r="C545" s="59">
        <f t="shared" si="56"/>
        <v>2024</v>
      </c>
      <c r="D545" s="59">
        <f t="shared" si="57"/>
        <v>12</v>
      </c>
      <c r="E545" s="59">
        <f t="shared" si="58"/>
        <v>50</v>
      </c>
      <c r="F545" s="65" t="s">
        <v>56</v>
      </c>
      <c r="G545" s="65" t="s">
        <v>43</v>
      </c>
      <c r="H545" s="65" t="s">
        <v>1218</v>
      </c>
      <c r="I545" s="65" t="s">
        <v>69</v>
      </c>
      <c r="J545" s="65" t="s">
        <v>139</v>
      </c>
      <c r="K545" s="65" t="s">
        <v>74</v>
      </c>
      <c r="L545" s="65" t="s">
        <v>113</v>
      </c>
      <c r="M545" s="67">
        <v>579</v>
      </c>
      <c r="N545" s="65" t="s">
        <v>163</v>
      </c>
      <c r="O545" s="68">
        <v>264.29000000000002</v>
      </c>
      <c r="P545" s="68">
        <v>153023.91</v>
      </c>
      <c r="Q545" s="68">
        <v>7959.27</v>
      </c>
      <c r="R545" s="62">
        <f t="shared" si="59"/>
        <v>5.2013244204778195E-2</v>
      </c>
      <c r="S545" s="67">
        <v>19</v>
      </c>
      <c r="T545" s="66">
        <v>45659</v>
      </c>
      <c r="U545" s="66">
        <v>45656</v>
      </c>
      <c r="V545" s="63">
        <f t="shared" si="60"/>
        <v>-3</v>
      </c>
      <c r="W545" s="65" t="s">
        <v>115</v>
      </c>
      <c r="X545" s="64" t="b">
        <f t="shared" si="61"/>
        <v>1</v>
      </c>
      <c r="Y545" s="67">
        <v>297</v>
      </c>
      <c r="Z545" s="67">
        <v>128</v>
      </c>
      <c r="AA545" s="65" t="s">
        <v>116</v>
      </c>
      <c r="AB545" s="64" t="b">
        <f t="shared" si="62"/>
        <v>0</v>
      </c>
    </row>
    <row r="546" spans="1:28" ht="15" customHeight="1" x14ac:dyDescent="0.3">
      <c r="A546" s="57" t="s">
        <v>1219</v>
      </c>
      <c r="B546" s="82">
        <v>45229</v>
      </c>
      <c r="C546" s="59">
        <f t="shared" si="56"/>
        <v>2023</v>
      </c>
      <c r="D546" s="59">
        <f t="shared" si="57"/>
        <v>10</v>
      </c>
      <c r="E546" s="59">
        <f t="shared" si="58"/>
        <v>44</v>
      </c>
      <c r="F546" s="57" t="s">
        <v>60</v>
      </c>
      <c r="G546" s="57" t="s">
        <v>40</v>
      </c>
      <c r="H546" s="57" t="s">
        <v>1220</v>
      </c>
      <c r="I546" s="57" t="s">
        <v>68</v>
      </c>
      <c r="J546" s="57" t="s">
        <v>112</v>
      </c>
      <c r="K546" s="57" t="s">
        <v>73</v>
      </c>
      <c r="L546" s="57" t="s">
        <v>113</v>
      </c>
      <c r="M546" s="60">
        <v>297</v>
      </c>
      <c r="N546" s="57" t="s">
        <v>140</v>
      </c>
      <c r="O546" s="61">
        <v>1102.43</v>
      </c>
      <c r="P546" s="61">
        <v>327421.71000000002</v>
      </c>
      <c r="Q546" s="61">
        <v>6553.17</v>
      </c>
      <c r="R546" s="62">
        <f t="shared" si="59"/>
        <v>2.0014463915663992E-2</v>
      </c>
      <c r="S546" s="60">
        <v>17</v>
      </c>
      <c r="T546" s="58">
        <v>45246</v>
      </c>
      <c r="U546" s="58">
        <v>45249</v>
      </c>
      <c r="V546" s="63">
        <f t="shared" si="60"/>
        <v>3</v>
      </c>
      <c r="W546" s="57" t="s">
        <v>125</v>
      </c>
      <c r="X546" s="64" t="b">
        <f t="shared" si="61"/>
        <v>0</v>
      </c>
      <c r="Y546" s="60">
        <v>192</v>
      </c>
      <c r="Z546" s="60">
        <v>222</v>
      </c>
      <c r="AA546" s="57" t="s">
        <v>116</v>
      </c>
      <c r="AB546" s="64" t="b">
        <f t="shared" si="62"/>
        <v>0</v>
      </c>
    </row>
    <row r="547" spans="1:28" ht="15" customHeight="1" x14ac:dyDescent="0.3">
      <c r="A547" s="65" t="s">
        <v>1221</v>
      </c>
      <c r="B547" s="81">
        <v>45494</v>
      </c>
      <c r="C547" s="59">
        <f t="shared" si="56"/>
        <v>2024</v>
      </c>
      <c r="D547" s="59">
        <f t="shared" si="57"/>
        <v>7</v>
      </c>
      <c r="E547" s="59">
        <f t="shared" si="58"/>
        <v>30</v>
      </c>
      <c r="F547" s="65" t="s">
        <v>52</v>
      </c>
      <c r="G547" s="65" t="s">
        <v>44</v>
      </c>
      <c r="H547" s="65" t="s">
        <v>1222</v>
      </c>
      <c r="I547" s="65" t="s">
        <v>65</v>
      </c>
      <c r="J547" s="65" t="s">
        <v>112</v>
      </c>
      <c r="K547" s="65" t="s">
        <v>73</v>
      </c>
      <c r="L547" s="65" t="s">
        <v>119</v>
      </c>
      <c r="M547" s="67">
        <v>986</v>
      </c>
      <c r="N547" s="65" t="s">
        <v>140</v>
      </c>
      <c r="O547" s="68">
        <v>101.45</v>
      </c>
      <c r="P547" s="68">
        <v>100029.7</v>
      </c>
      <c r="Q547" s="68">
        <v>3448.49</v>
      </c>
      <c r="R547" s="62">
        <f t="shared" si="59"/>
        <v>3.4474661025675375E-2</v>
      </c>
      <c r="S547" s="67">
        <v>24</v>
      </c>
      <c r="T547" s="66">
        <v>45518</v>
      </c>
      <c r="U547" s="66">
        <v>45519</v>
      </c>
      <c r="V547" s="63">
        <f t="shared" si="60"/>
        <v>1</v>
      </c>
      <c r="W547" s="65" t="s">
        <v>125</v>
      </c>
      <c r="X547" s="64" t="b">
        <f t="shared" si="61"/>
        <v>0</v>
      </c>
      <c r="Y547" s="67">
        <v>443</v>
      </c>
      <c r="Z547" s="67">
        <v>371</v>
      </c>
      <c r="AA547" s="65" t="s">
        <v>116</v>
      </c>
      <c r="AB547" s="64" t="b">
        <f t="shared" si="62"/>
        <v>0</v>
      </c>
    </row>
    <row r="548" spans="1:28" ht="15" customHeight="1" x14ac:dyDescent="0.3">
      <c r="A548" s="57" t="s">
        <v>1223</v>
      </c>
      <c r="B548" s="82">
        <v>45057</v>
      </c>
      <c r="C548" s="59">
        <f t="shared" si="56"/>
        <v>2023</v>
      </c>
      <c r="D548" s="59">
        <f t="shared" si="57"/>
        <v>5</v>
      </c>
      <c r="E548" s="59">
        <f t="shared" si="58"/>
        <v>19</v>
      </c>
      <c r="F548" s="57" t="s">
        <v>56</v>
      </c>
      <c r="G548" s="57" t="s">
        <v>41</v>
      </c>
      <c r="H548" s="57" t="s">
        <v>1224</v>
      </c>
      <c r="I548" s="57" t="s">
        <v>64</v>
      </c>
      <c r="J548" s="57" t="s">
        <v>123</v>
      </c>
      <c r="K548" s="57" t="s">
        <v>73</v>
      </c>
      <c r="L548" s="57" t="s">
        <v>113</v>
      </c>
      <c r="M548" s="60">
        <v>114</v>
      </c>
      <c r="N548" s="57" t="s">
        <v>140</v>
      </c>
      <c r="O548" s="61">
        <v>522.14</v>
      </c>
      <c r="P548" s="61">
        <v>59523.96</v>
      </c>
      <c r="Q548" s="61">
        <v>1934.17</v>
      </c>
      <c r="R548" s="62">
        <f t="shared" si="59"/>
        <v>3.2493973855234094E-2</v>
      </c>
      <c r="S548" s="60">
        <v>19</v>
      </c>
      <c r="T548" s="58">
        <v>45076</v>
      </c>
      <c r="U548" s="58">
        <v>45075</v>
      </c>
      <c r="V548" s="63">
        <f t="shared" si="60"/>
        <v>-1</v>
      </c>
      <c r="W548" s="57" t="s">
        <v>125</v>
      </c>
      <c r="X548" s="64" t="b">
        <f t="shared" si="61"/>
        <v>0</v>
      </c>
      <c r="Y548" s="60">
        <v>473</v>
      </c>
      <c r="Z548" s="60">
        <v>243</v>
      </c>
      <c r="AA548" s="57" t="s">
        <v>83</v>
      </c>
      <c r="AB548" s="64" t="b">
        <f t="shared" si="62"/>
        <v>1</v>
      </c>
    </row>
    <row r="549" spans="1:28" ht="15" customHeight="1" x14ac:dyDescent="0.3">
      <c r="A549" s="65" t="s">
        <v>1225</v>
      </c>
      <c r="B549" s="81">
        <v>45123</v>
      </c>
      <c r="C549" s="59">
        <f t="shared" si="56"/>
        <v>2023</v>
      </c>
      <c r="D549" s="59">
        <f t="shared" si="57"/>
        <v>7</v>
      </c>
      <c r="E549" s="59">
        <f t="shared" si="58"/>
        <v>29</v>
      </c>
      <c r="F549" s="65" t="s">
        <v>53</v>
      </c>
      <c r="G549" s="65" t="s">
        <v>42</v>
      </c>
      <c r="H549" s="65" t="s">
        <v>1226</v>
      </c>
      <c r="I549" s="65" t="s">
        <v>66</v>
      </c>
      <c r="J549" s="65" t="s">
        <v>131</v>
      </c>
      <c r="K549" s="65" t="s">
        <v>75</v>
      </c>
      <c r="L549" s="65" t="s">
        <v>113</v>
      </c>
      <c r="M549" s="67">
        <v>237</v>
      </c>
      <c r="N549" s="65" t="s">
        <v>136</v>
      </c>
      <c r="O549" s="68">
        <v>66.59</v>
      </c>
      <c r="P549" s="68">
        <v>15781.83</v>
      </c>
      <c r="Q549" s="68">
        <v>552.82000000000005</v>
      </c>
      <c r="R549" s="62">
        <f t="shared" si="59"/>
        <v>3.5028890819378995E-2</v>
      </c>
      <c r="S549" s="67">
        <v>28</v>
      </c>
      <c r="T549" s="66">
        <v>45151</v>
      </c>
      <c r="U549" s="66">
        <v>45159</v>
      </c>
      <c r="V549" s="63">
        <f t="shared" si="60"/>
        <v>8</v>
      </c>
      <c r="W549" s="65" t="s">
        <v>125</v>
      </c>
      <c r="X549" s="64" t="b">
        <f t="shared" si="61"/>
        <v>0</v>
      </c>
      <c r="Y549" s="67">
        <v>256</v>
      </c>
      <c r="Z549" s="67">
        <v>425</v>
      </c>
      <c r="AA549" s="65" t="s">
        <v>82</v>
      </c>
      <c r="AB549" s="64" t="b">
        <f t="shared" si="62"/>
        <v>1</v>
      </c>
    </row>
    <row r="550" spans="1:28" ht="15" customHeight="1" x14ac:dyDescent="0.3">
      <c r="A550" s="57" t="s">
        <v>1227</v>
      </c>
      <c r="B550" s="82">
        <v>45357</v>
      </c>
      <c r="C550" s="59">
        <f t="shared" si="56"/>
        <v>2024</v>
      </c>
      <c r="D550" s="59">
        <f t="shared" si="57"/>
        <v>3</v>
      </c>
      <c r="E550" s="59">
        <f t="shared" si="58"/>
        <v>10</v>
      </c>
      <c r="F550" s="57" t="s">
        <v>61</v>
      </c>
      <c r="G550" s="57" t="s">
        <v>39</v>
      </c>
      <c r="H550" s="57" t="s">
        <v>1228</v>
      </c>
      <c r="I550" s="57" t="s">
        <v>67</v>
      </c>
      <c r="J550" s="57" t="s">
        <v>143</v>
      </c>
      <c r="K550" s="57" t="s">
        <v>75</v>
      </c>
      <c r="L550" s="57" t="s">
        <v>124</v>
      </c>
      <c r="M550" s="60">
        <v>256</v>
      </c>
      <c r="N550" s="57" t="s">
        <v>120</v>
      </c>
      <c r="O550" s="61">
        <v>1897.92</v>
      </c>
      <c r="P550" s="61">
        <v>485867.52000000002</v>
      </c>
      <c r="Q550" s="61">
        <v>33211.160000000003</v>
      </c>
      <c r="R550" s="62">
        <f t="shared" si="59"/>
        <v>6.8354353054923295E-2</v>
      </c>
      <c r="S550" s="60">
        <v>26</v>
      </c>
      <c r="T550" s="58">
        <v>45383</v>
      </c>
      <c r="U550" s="58">
        <v>45378</v>
      </c>
      <c r="V550" s="63">
        <f t="shared" si="60"/>
        <v>-5</v>
      </c>
      <c r="W550" s="57" t="s">
        <v>115</v>
      </c>
      <c r="X550" s="64" t="b">
        <f t="shared" si="61"/>
        <v>1</v>
      </c>
      <c r="Y550" s="60">
        <v>442</v>
      </c>
      <c r="Z550" s="60">
        <v>353</v>
      </c>
      <c r="AA550" s="57" t="s">
        <v>116</v>
      </c>
      <c r="AB550" s="64" t="b">
        <f t="shared" si="62"/>
        <v>0</v>
      </c>
    </row>
    <row r="551" spans="1:28" ht="15" customHeight="1" x14ac:dyDescent="0.3">
      <c r="A551" s="65" t="s">
        <v>1229</v>
      </c>
      <c r="B551" s="81">
        <v>45607</v>
      </c>
      <c r="C551" s="59">
        <f t="shared" si="56"/>
        <v>2024</v>
      </c>
      <c r="D551" s="59">
        <f t="shared" si="57"/>
        <v>11</v>
      </c>
      <c r="E551" s="59">
        <f t="shared" si="58"/>
        <v>46</v>
      </c>
      <c r="F551" s="65" t="s">
        <v>53</v>
      </c>
      <c r="G551" s="65" t="s">
        <v>44</v>
      </c>
      <c r="H551" s="65" t="s">
        <v>1230</v>
      </c>
      <c r="I551" s="65" t="s">
        <v>69</v>
      </c>
      <c r="J551" s="65" t="s">
        <v>151</v>
      </c>
      <c r="K551" s="65" t="s">
        <v>71</v>
      </c>
      <c r="L551" s="65" t="s">
        <v>135</v>
      </c>
      <c r="M551" s="67">
        <v>709</v>
      </c>
      <c r="N551" s="65" t="s">
        <v>132</v>
      </c>
      <c r="O551" s="68">
        <v>135.38999999999999</v>
      </c>
      <c r="P551" s="68">
        <v>95991.51</v>
      </c>
      <c r="Q551" s="68">
        <v>3530.61</v>
      </c>
      <c r="R551" s="62">
        <f t="shared" si="59"/>
        <v>3.6780440270186399E-2</v>
      </c>
      <c r="S551" s="67">
        <v>23</v>
      </c>
      <c r="T551" s="66">
        <v>45630</v>
      </c>
      <c r="U551" s="66">
        <v>45632</v>
      </c>
      <c r="V551" s="63">
        <f t="shared" si="60"/>
        <v>2</v>
      </c>
      <c r="W551" s="65" t="s">
        <v>125</v>
      </c>
      <c r="X551" s="64" t="b">
        <f t="shared" si="61"/>
        <v>0</v>
      </c>
      <c r="Y551" s="67">
        <v>387</v>
      </c>
      <c r="Z551" s="67">
        <v>237</v>
      </c>
      <c r="AA551" s="65" t="s">
        <v>81</v>
      </c>
      <c r="AB551" s="64" t="b">
        <f t="shared" si="62"/>
        <v>1</v>
      </c>
    </row>
    <row r="552" spans="1:28" ht="15" customHeight="1" x14ac:dyDescent="0.3">
      <c r="A552" s="57" t="s">
        <v>1231</v>
      </c>
      <c r="B552" s="82">
        <v>45315</v>
      </c>
      <c r="C552" s="59">
        <f t="shared" si="56"/>
        <v>2024</v>
      </c>
      <c r="D552" s="59">
        <f t="shared" si="57"/>
        <v>1</v>
      </c>
      <c r="E552" s="59">
        <f t="shared" si="58"/>
        <v>4</v>
      </c>
      <c r="F552" s="57" t="s">
        <v>58</v>
      </c>
      <c r="G552" s="57" t="s">
        <v>40</v>
      </c>
      <c r="H552" s="57" t="s">
        <v>1232</v>
      </c>
      <c r="I552" s="57" t="s">
        <v>65</v>
      </c>
      <c r="J552" s="57" t="s">
        <v>143</v>
      </c>
      <c r="K552" s="57" t="s">
        <v>75</v>
      </c>
      <c r="L552" s="57" t="s">
        <v>119</v>
      </c>
      <c r="M552" s="60">
        <v>503</v>
      </c>
      <c r="N552" s="57" t="s">
        <v>132</v>
      </c>
      <c r="O552" s="61">
        <v>966.61</v>
      </c>
      <c r="P552" s="61">
        <v>486204.83</v>
      </c>
      <c r="Q552" s="61">
        <v>15311.21</v>
      </c>
      <c r="R552" s="62">
        <f t="shared" si="59"/>
        <v>3.1491274983837574E-2</v>
      </c>
      <c r="S552" s="60">
        <v>26</v>
      </c>
      <c r="T552" s="58">
        <v>45341</v>
      </c>
      <c r="U552" s="58">
        <v>45341</v>
      </c>
      <c r="V552" s="63">
        <f t="shared" si="60"/>
        <v>0</v>
      </c>
      <c r="W552" s="57" t="s">
        <v>115</v>
      </c>
      <c r="X552" s="64" t="b">
        <f t="shared" si="61"/>
        <v>1</v>
      </c>
      <c r="Y552" s="60">
        <v>102</v>
      </c>
      <c r="Z552" s="60">
        <v>231</v>
      </c>
      <c r="AA552" s="57" t="s">
        <v>116</v>
      </c>
      <c r="AB552" s="64" t="b">
        <f t="shared" si="62"/>
        <v>0</v>
      </c>
    </row>
    <row r="553" spans="1:28" ht="15" customHeight="1" x14ac:dyDescent="0.3">
      <c r="A553" s="65" t="s">
        <v>1233</v>
      </c>
      <c r="B553" s="81">
        <v>45620</v>
      </c>
      <c r="C553" s="59">
        <f t="shared" si="56"/>
        <v>2024</v>
      </c>
      <c r="D553" s="59">
        <f t="shared" si="57"/>
        <v>11</v>
      </c>
      <c r="E553" s="59">
        <f t="shared" si="58"/>
        <v>48</v>
      </c>
      <c r="F553" s="65" t="s">
        <v>61</v>
      </c>
      <c r="G553" s="65" t="s">
        <v>45</v>
      </c>
      <c r="H553" s="65" t="s">
        <v>1234</v>
      </c>
      <c r="I553" s="65" t="s">
        <v>68</v>
      </c>
      <c r="J553" s="65" t="s">
        <v>151</v>
      </c>
      <c r="K553" s="65" t="s">
        <v>73</v>
      </c>
      <c r="L553" s="65" t="s">
        <v>119</v>
      </c>
      <c r="M553" s="67">
        <v>92</v>
      </c>
      <c r="N553" s="65" t="s">
        <v>120</v>
      </c>
      <c r="O553" s="68">
        <v>171.44</v>
      </c>
      <c r="P553" s="68">
        <v>15772.48</v>
      </c>
      <c r="Q553" s="68">
        <v>792.66</v>
      </c>
      <c r="R553" s="62">
        <f t="shared" si="59"/>
        <v>5.0255888737852257E-2</v>
      </c>
      <c r="S553" s="67">
        <v>5</v>
      </c>
      <c r="T553" s="66">
        <v>45625</v>
      </c>
      <c r="U553" s="66">
        <v>45626</v>
      </c>
      <c r="V553" s="63">
        <f t="shared" si="60"/>
        <v>1</v>
      </c>
      <c r="W553" s="65" t="s">
        <v>125</v>
      </c>
      <c r="X553" s="64" t="b">
        <f t="shared" si="61"/>
        <v>0</v>
      </c>
      <c r="Y553" s="67">
        <v>397</v>
      </c>
      <c r="Z553" s="67">
        <v>325</v>
      </c>
      <c r="AA553" s="65" t="s">
        <v>84</v>
      </c>
      <c r="AB553" s="64" t="b">
        <f t="shared" si="62"/>
        <v>1</v>
      </c>
    </row>
    <row r="554" spans="1:28" ht="15" customHeight="1" x14ac:dyDescent="0.3">
      <c r="A554" s="57" t="s">
        <v>1235</v>
      </c>
      <c r="B554" s="82">
        <v>45105</v>
      </c>
      <c r="C554" s="59">
        <f t="shared" si="56"/>
        <v>2023</v>
      </c>
      <c r="D554" s="59">
        <f t="shared" si="57"/>
        <v>6</v>
      </c>
      <c r="E554" s="59">
        <f t="shared" si="58"/>
        <v>26</v>
      </c>
      <c r="F554" s="57" t="s">
        <v>54</v>
      </c>
      <c r="G554" s="57" t="s">
        <v>45</v>
      </c>
      <c r="H554" s="57" t="s">
        <v>1236</v>
      </c>
      <c r="I554" s="57" t="s">
        <v>65</v>
      </c>
      <c r="J554" s="57" t="s">
        <v>139</v>
      </c>
      <c r="K554" s="57" t="s">
        <v>71</v>
      </c>
      <c r="L554" s="57" t="s">
        <v>119</v>
      </c>
      <c r="M554" s="60">
        <v>195</v>
      </c>
      <c r="N554" s="57" t="s">
        <v>114</v>
      </c>
      <c r="O554" s="61">
        <v>173.88</v>
      </c>
      <c r="P554" s="61">
        <v>33906.6</v>
      </c>
      <c r="Q554" s="61">
        <v>2439.1999999999998</v>
      </c>
      <c r="R554" s="62">
        <f t="shared" si="59"/>
        <v>7.193879657647774E-2</v>
      </c>
      <c r="S554" s="60">
        <v>26</v>
      </c>
      <c r="T554" s="58">
        <v>45131</v>
      </c>
      <c r="U554" s="58">
        <v>45134</v>
      </c>
      <c r="V554" s="63">
        <f t="shared" si="60"/>
        <v>3</v>
      </c>
      <c r="W554" s="57" t="s">
        <v>128</v>
      </c>
      <c r="X554" s="64" t="b">
        <f t="shared" si="61"/>
        <v>0</v>
      </c>
      <c r="Y554" s="60">
        <v>365</v>
      </c>
      <c r="Z554" s="60">
        <v>91</v>
      </c>
      <c r="AA554" s="57" t="s">
        <v>116</v>
      </c>
      <c r="AB554" s="64" t="b">
        <f t="shared" si="62"/>
        <v>0</v>
      </c>
    </row>
    <row r="555" spans="1:28" ht="15" customHeight="1" x14ac:dyDescent="0.3">
      <c r="A555" s="65" t="s">
        <v>1237</v>
      </c>
      <c r="B555" s="81">
        <v>45557</v>
      </c>
      <c r="C555" s="59">
        <f t="shared" si="56"/>
        <v>2024</v>
      </c>
      <c r="D555" s="59">
        <f t="shared" si="57"/>
        <v>9</v>
      </c>
      <c r="E555" s="59">
        <f t="shared" si="58"/>
        <v>39</v>
      </c>
      <c r="F555" s="65" t="s">
        <v>61</v>
      </c>
      <c r="G555" s="65" t="s">
        <v>39</v>
      </c>
      <c r="H555" s="65" t="s">
        <v>1238</v>
      </c>
      <c r="I555" s="65" t="s">
        <v>65</v>
      </c>
      <c r="J555" s="65" t="s">
        <v>151</v>
      </c>
      <c r="K555" s="65" t="s">
        <v>74</v>
      </c>
      <c r="L555" s="65" t="s">
        <v>113</v>
      </c>
      <c r="M555" s="67">
        <v>261</v>
      </c>
      <c r="N555" s="65" t="s">
        <v>114</v>
      </c>
      <c r="O555" s="68">
        <v>1099.8</v>
      </c>
      <c r="P555" s="68">
        <v>287047.8</v>
      </c>
      <c r="Q555" s="68">
        <v>9897.69</v>
      </c>
      <c r="R555" s="62">
        <f t="shared" si="59"/>
        <v>3.4480981913116909E-2</v>
      </c>
      <c r="S555" s="67">
        <v>21</v>
      </c>
      <c r="T555" s="66">
        <v>45578</v>
      </c>
      <c r="U555" s="66">
        <v>45578</v>
      </c>
      <c r="V555" s="63">
        <f t="shared" si="60"/>
        <v>0</v>
      </c>
      <c r="W555" s="65" t="s">
        <v>115</v>
      </c>
      <c r="X555" s="64" t="b">
        <f t="shared" si="61"/>
        <v>1</v>
      </c>
      <c r="Y555" s="67">
        <v>145</v>
      </c>
      <c r="Z555" s="67">
        <v>2</v>
      </c>
      <c r="AA555" s="65" t="s">
        <v>82</v>
      </c>
      <c r="AB555" s="64" t="b">
        <f t="shared" si="62"/>
        <v>1</v>
      </c>
    </row>
    <row r="556" spans="1:28" ht="15" customHeight="1" x14ac:dyDescent="0.3">
      <c r="A556" s="57" t="s">
        <v>1239</v>
      </c>
      <c r="B556" s="82">
        <v>45509</v>
      </c>
      <c r="C556" s="59">
        <f t="shared" si="56"/>
        <v>2024</v>
      </c>
      <c r="D556" s="59">
        <f t="shared" si="57"/>
        <v>8</v>
      </c>
      <c r="E556" s="59">
        <f t="shared" si="58"/>
        <v>32</v>
      </c>
      <c r="F556" s="57" t="s">
        <v>61</v>
      </c>
      <c r="G556" s="57" t="s">
        <v>41</v>
      </c>
      <c r="H556" s="57" t="s">
        <v>1240</v>
      </c>
      <c r="I556" s="57" t="s">
        <v>68</v>
      </c>
      <c r="J556" s="57" t="s">
        <v>143</v>
      </c>
      <c r="K556" s="57" t="s">
        <v>72</v>
      </c>
      <c r="L556" s="57" t="s">
        <v>124</v>
      </c>
      <c r="M556" s="60">
        <v>364</v>
      </c>
      <c r="N556" s="57" t="s">
        <v>136</v>
      </c>
      <c r="O556" s="61">
        <v>478.83</v>
      </c>
      <c r="P556" s="61">
        <v>174294.12</v>
      </c>
      <c r="Q556" s="61">
        <v>4307.1899999999996</v>
      </c>
      <c r="R556" s="62">
        <f t="shared" si="59"/>
        <v>2.4712193388968025E-2</v>
      </c>
      <c r="S556" s="60">
        <v>23</v>
      </c>
      <c r="T556" s="58">
        <v>45532</v>
      </c>
      <c r="U556" s="58">
        <v>45527</v>
      </c>
      <c r="V556" s="63">
        <f t="shared" si="60"/>
        <v>-5</v>
      </c>
      <c r="W556" s="57" t="s">
        <v>115</v>
      </c>
      <c r="X556" s="64" t="b">
        <f t="shared" si="61"/>
        <v>1</v>
      </c>
      <c r="Y556" s="60">
        <v>289</v>
      </c>
      <c r="Z556" s="60">
        <v>478</v>
      </c>
      <c r="AA556" s="57" t="s">
        <v>116</v>
      </c>
      <c r="AB556" s="64" t="b">
        <f t="shared" si="62"/>
        <v>0</v>
      </c>
    </row>
    <row r="557" spans="1:28" ht="15" customHeight="1" x14ac:dyDescent="0.3">
      <c r="A557" s="65" t="s">
        <v>1241</v>
      </c>
      <c r="B557" s="81">
        <v>45235</v>
      </c>
      <c r="C557" s="59">
        <f t="shared" si="56"/>
        <v>2023</v>
      </c>
      <c r="D557" s="59">
        <f t="shared" si="57"/>
        <v>11</v>
      </c>
      <c r="E557" s="59">
        <f t="shared" si="58"/>
        <v>45</v>
      </c>
      <c r="F557" s="65" t="s">
        <v>60</v>
      </c>
      <c r="G557" s="65" t="s">
        <v>41</v>
      </c>
      <c r="H557" s="65" t="s">
        <v>1242</v>
      </c>
      <c r="I557" s="65" t="s">
        <v>67</v>
      </c>
      <c r="J557" s="65" t="s">
        <v>143</v>
      </c>
      <c r="K557" s="65" t="s">
        <v>72</v>
      </c>
      <c r="L557" s="65" t="s">
        <v>113</v>
      </c>
      <c r="M557" s="67">
        <v>759</v>
      </c>
      <c r="N557" s="65" t="s">
        <v>120</v>
      </c>
      <c r="O557" s="68">
        <v>573.9</v>
      </c>
      <c r="P557" s="68">
        <v>435590.1</v>
      </c>
      <c r="Q557" s="68">
        <v>18026.580000000002</v>
      </c>
      <c r="R557" s="62">
        <f t="shared" si="59"/>
        <v>4.1384273885012542E-2</v>
      </c>
      <c r="S557" s="67">
        <v>9</v>
      </c>
      <c r="T557" s="66">
        <v>45244</v>
      </c>
      <c r="U557" s="66">
        <v>45256</v>
      </c>
      <c r="V557" s="63">
        <f t="shared" si="60"/>
        <v>12</v>
      </c>
      <c r="W557" s="65" t="s">
        <v>128</v>
      </c>
      <c r="X557" s="64" t="b">
        <f t="shared" si="61"/>
        <v>0</v>
      </c>
      <c r="Y557" s="67">
        <v>256</v>
      </c>
      <c r="Z557" s="67">
        <v>463</v>
      </c>
      <c r="AA557" s="65" t="s">
        <v>84</v>
      </c>
      <c r="AB557" s="64" t="b">
        <f t="shared" si="62"/>
        <v>1</v>
      </c>
    </row>
    <row r="558" spans="1:28" ht="15" customHeight="1" x14ac:dyDescent="0.3">
      <c r="A558" s="57" t="s">
        <v>1243</v>
      </c>
      <c r="B558" s="82">
        <v>45342</v>
      </c>
      <c r="C558" s="59">
        <f t="shared" si="56"/>
        <v>2024</v>
      </c>
      <c r="D558" s="59">
        <f t="shared" si="57"/>
        <v>2</v>
      </c>
      <c r="E558" s="59">
        <f t="shared" si="58"/>
        <v>8</v>
      </c>
      <c r="F558" s="57" t="s">
        <v>53</v>
      </c>
      <c r="G558" s="57" t="s">
        <v>40</v>
      </c>
      <c r="H558" s="57" t="s">
        <v>1244</v>
      </c>
      <c r="I558" s="57" t="s">
        <v>68</v>
      </c>
      <c r="J558" s="57" t="s">
        <v>112</v>
      </c>
      <c r="K558" s="57" t="s">
        <v>71</v>
      </c>
      <c r="L558" s="57" t="s">
        <v>146</v>
      </c>
      <c r="M558" s="60">
        <v>881</v>
      </c>
      <c r="N558" s="57" t="s">
        <v>114</v>
      </c>
      <c r="O558" s="61">
        <v>1109.08</v>
      </c>
      <c r="P558" s="61">
        <v>977099.48</v>
      </c>
      <c r="Q558" s="61">
        <v>63373.8</v>
      </c>
      <c r="R558" s="62">
        <f t="shared" si="59"/>
        <v>6.4859107283528603E-2</v>
      </c>
      <c r="S558" s="60">
        <v>12</v>
      </c>
      <c r="T558" s="58">
        <v>45354</v>
      </c>
      <c r="U558" s="58">
        <v>45359</v>
      </c>
      <c r="V558" s="63">
        <f t="shared" si="60"/>
        <v>5</v>
      </c>
      <c r="W558" s="57" t="s">
        <v>128</v>
      </c>
      <c r="X558" s="64" t="b">
        <f t="shared" si="61"/>
        <v>0</v>
      </c>
      <c r="Y558" s="60">
        <v>308</v>
      </c>
      <c r="Z558" s="60">
        <v>80</v>
      </c>
      <c r="AA558" s="57" t="s">
        <v>116</v>
      </c>
      <c r="AB558" s="64" t="b">
        <f t="shared" si="62"/>
        <v>0</v>
      </c>
    </row>
    <row r="559" spans="1:28" ht="15" customHeight="1" x14ac:dyDescent="0.3">
      <c r="A559" s="65" t="s">
        <v>1245</v>
      </c>
      <c r="B559" s="81">
        <v>45488</v>
      </c>
      <c r="C559" s="59">
        <f t="shared" si="56"/>
        <v>2024</v>
      </c>
      <c r="D559" s="59">
        <f t="shared" si="57"/>
        <v>7</v>
      </c>
      <c r="E559" s="59">
        <f t="shared" si="58"/>
        <v>29</v>
      </c>
      <c r="F559" s="65" t="s">
        <v>52</v>
      </c>
      <c r="G559" s="65" t="s">
        <v>42</v>
      </c>
      <c r="H559" s="65" t="s">
        <v>1246</v>
      </c>
      <c r="I559" s="65" t="s">
        <v>67</v>
      </c>
      <c r="J559" s="65" t="s">
        <v>112</v>
      </c>
      <c r="K559" s="65" t="s">
        <v>74</v>
      </c>
      <c r="L559" s="65" t="s">
        <v>156</v>
      </c>
      <c r="M559" s="67">
        <v>705</v>
      </c>
      <c r="N559" s="65" t="s">
        <v>136</v>
      </c>
      <c r="O559" s="68">
        <v>98.68</v>
      </c>
      <c r="P559" s="68">
        <v>69569.399999999994</v>
      </c>
      <c r="Q559" s="68">
        <v>3690.06</v>
      </c>
      <c r="R559" s="62">
        <f t="shared" si="59"/>
        <v>5.3041423384419015E-2</v>
      </c>
      <c r="S559" s="67">
        <v>21</v>
      </c>
      <c r="T559" s="66">
        <v>45509</v>
      </c>
      <c r="U559" s="66">
        <v>45510</v>
      </c>
      <c r="V559" s="63">
        <f t="shared" si="60"/>
        <v>1</v>
      </c>
      <c r="W559" s="65" t="s">
        <v>125</v>
      </c>
      <c r="X559" s="64" t="b">
        <f t="shared" si="61"/>
        <v>0</v>
      </c>
      <c r="Y559" s="67">
        <v>277</v>
      </c>
      <c r="Z559" s="67">
        <v>43</v>
      </c>
      <c r="AA559" s="65" t="s">
        <v>116</v>
      </c>
      <c r="AB559" s="64" t="b">
        <f t="shared" si="62"/>
        <v>0</v>
      </c>
    </row>
    <row r="560" spans="1:28" ht="15" customHeight="1" x14ac:dyDescent="0.3">
      <c r="A560" s="57" t="s">
        <v>1247</v>
      </c>
      <c r="B560" s="82">
        <v>44927</v>
      </c>
      <c r="C560" s="59">
        <f t="shared" si="56"/>
        <v>2023</v>
      </c>
      <c r="D560" s="59">
        <f t="shared" si="57"/>
        <v>1</v>
      </c>
      <c r="E560" s="59">
        <f t="shared" si="58"/>
        <v>1</v>
      </c>
      <c r="F560" s="57" t="s">
        <v>55</v>
      </c>
      <c r="G560" s="57" t="s">
        <v>40</v>
      </c>
      <c r="H560" s="57" t="s">
        <v>1248</v>
      </c>
      <c r="I560" s="57" t="s">
        <v>68</v>
      </c>
      <c r="J560" s="57" t="s">
        <v>131</v>
      </c>
      <c r="K560" s="57" t="s">
        <v>72</v>
      </c>
      <c r="L560" s="57" t="s">
        <v>156</v>
      </c>
      <c r="M560" s="60">
        <v>805</v>
      </c>
      <c r="N560" s="57" t="s">
        <v>163</v>
      </c>
      <c r="O560" s="61">
        <v>838.65</v>
      </c>
      <c r="P560" s="61">
        <v>675113.25</v>
      </c>
      <c r="Q560" s="61">
        <v>46587.95</v>
      </c>
      <c r="R560" s="62">
        <f t="shared" si="59"/>
        <v>6.900760724219232E-2</v>
      </c>
      <c r="S560" s="60">
        <v>1</v>
      </c>
      <c r="T560" s="58">
        <v>44928</v>
      </c>
      <c r="U560" s="58">
        <v>44928</v>
      </c>
      <c r="V560" s="63">
        <f t="shared" si="60"/>
        <v>0</v>
      </c>
      <c r="W560" s="57" t="s">
        <v>115</v>
      </c>
      <c r="X560" s="64" t="b">
        <f t="shared" si="61"/>
        <v>1</v>
      </c>
      <c r="Y560" s="60">
        <v>463</v>
      </c>
      <c r="Z560" s="60">
        <v>154</v>
      </c>
      <c r="AA560" s="57" t="s">
        <v>116</v>
      </c>
      <c r="AB560" s="64" t="b">
        <f t="shared" si="62"/>
        <v>0</v>
      </c>
    </row>
    <row r="561" spans="1:28" ht="15" customHeight="1" x14ac:dyDescent="0.3">
      <c r="A561" s="65" t="s">
        <v>1249</v>
      </c>
      <c r="B561" s="81">
        <v>45238</v>
      </c>
      <c r="C561" s="59">
        <f t="shared" si="56"/>
        <v>2023</v>
      </c>
      <c r="D561" s="59">
        <f t="shared" si="57"/>
        <v>11</v>
      </c>
      <c r="E561" s="59">
        <f t="shared" si="58"/>
        <v>45</v>
      </c>
      <c r="F561" s="65" t="s">
        <v>60</v>
      </c>
      <c r="G561" s="65" t="s">
        <v>46</v>
      </c>
      <c r="H561" s="65" t="s">
        <v>1250</v>
      </c>
      <c r="I561" s="65" t="s">
        <v>69</v>
      </c>
      <c r="J561" s="65" t="s">
        <v>143</v>
      </c>
      <c r="K561" s="65" t="s">
        <v>71</v>
      </c>
      <c r="L561" s="65" t="s">
        <v>156</v>
      </c>
      <c r="M561" s="67">
        <v>906</v>
      </c>
      <c r="N561" s="65" t="s">
        <v>163</v>
      </c>
      <c r="O561" s="68">
        <v>87.75</v>
      </c>
      <c r="P561" s="68">
        <v>79501.5</v>
      </c>
      <c r="Q561" s="68">
        <v>6167.37</v>
      </c>
      <c r="R561" s="62">
        <f t="shared" si="59"/>
        <v>7.7575517443067107E-2</v>
      </c>
      <c r="S561" s="67">
        <v>26</v>
      </c>
      <c r="T561" s="66">
        <v>45264</v>
      </c>
      <c r="U561" s="66">
        <v>45263</v>
      </c>
      <c r="V561" s="63">
        <f t="shared" si="60"/>
        <v>-1</v>
      </c>
      <c r="W561" s="65" t="s">
        <v>125</v>
      </c>
      <c r="X561" s="64" t="b">
        <f t="shared" si="61"/>
        <v>0</v>
      </c>
      <c r="Y561" s="67">
        <v>188</v>
      </c>
      <c r="Z561" s="67">
        <v>434</v>
      </c>
      <c r="AA561" s="65" t="s">
        <v>83</v>
      </c>
      <c r="AB561" s="64" t="b">
        <f t="shared" si="62"/>
        <v>1</v>
      </c>
    </row>
    <row r="562" spans="1:28" ht="15" customHeight="1" x14ac:dyDescent="0.3">
      <c r="A562" s="57" t="s">
        <v>1251</v>
      </c>
      <c r="B562" s="82">
        <v>45220</v>
      </c>
      <c r="C562" s="59">
        <f t="shared" si="56"/>
        <v>2023</v>
      </c>
      <c r="D562" s="59">
        <f t="shared" si="57"/>
        <v>10</v>
      </c>
      <c r="E562" s="59">
        <f t="shared" si="58"/>
        <v>42</v>
      </c>
      <c r="F562" s="57" t="s">
        <v>61</v>
      </c>
      <c r="G562" s="57" t="s">
        <v>41</v>
      </c>
      <c r="H562" s="57" t="s">
        <v>1252</v>
      </c>
      <c r="I562" s="57" t="s">
        <v>67</v>
      </c>
      <c r="J562" s="57" t="s">
        <v>139</v>
      </c>
      <c r="K562" s="57" t="s">
        <v>75</v>
      </c>
      <c r="L562" s="57" t="s">
        <v>135</v>
      </c>
      <c r="M562" s="60">
        <v>947</v>
      </c>
      <c r="N562" s="57" t="s">
        <v>136</v>
      </c>
      <c r="O562" s="61">
        <v>637.70000000000005</v>
      </c>
      <c r="P562" s="61">
        <v>603901.9</v>
      </c>
      <c r="Q562" s="61">
        <v>40799.46</v>
      </c>
      <c r="R562" s="62">
        <f t="shared" si="59"/>
        <v>6.7559747700744105E-2</v>
      </c>
      <c r="S562" s="60">
        <v>26</v>
      </c>
      <c r="T562" s="58">
        <v>45246</v>
      </c>
      <c r="U562" s="58">
        <v>45258</v>
      </c>
      <c r="V562" s="63">
        <f t="shared" si="60"/>
        <v>12</v>
      </c>
      <c r="W562" s="57" t="s">
        <v>125</v>
      </c>
      <c r="X562" s="64" t="b">
        <f t="shared" si="61"/>
        <v>0</v>
      </c>
      <c r="Y562" s="60">
        <v>405</v>
      </c>
      <c r="Z562" s="60">
        <v>23</v>
      </c>
      <c r="AA562" s="57" t="s">
        <v>83</v>
      </c>
      <c r="AB562" s="64" t="b">
        <f t="shared" si="62"/>
        <v>1</v>
      </c>
    </row>
    <row r="563" spans="1:28" ht="15" customHeight="1" x14ac:dyDescent="0.3">
      <c r="A563" s="65" t="s">
        <v>1253</v>
      </c>
      <c r="B563" s="81">
        <v>45142</v>
      </c>
      <c r="C563" s="59">
        <f t="shared" si="56"/>
        <v>2023</v>
      </c>
      <c r="D563" s="59">
        <f t="shared" si="57"/>
        <v>8</v>
      </c>
      <c r="E563" s="59">
        <f t="shared" si="58"/>
        <v>31</v>
      </c>
      <c r="F563" s="65" t="s">
        <v>55</v>
      </c>
      <c r="G563" s="65" t="s">
        <v>44</v>
      </c>
      <c r="H563" s="65" t="s">
        <v>1254</v>
      </c>
      <c r="I563" s="65" t="s">
        <v>69</v>
      </c>
      <c r="J563" s="65" t="s">
        <v>151</v>
      </c>
      <c r="K563" s="65" t="s">
        <v>73</v>
      </c>
      <c r="L563" s="65" t="s">
        <v>113</v>
      </c>
      <c r="M563" s="67">
        <v>219</v>
      </c>
      <c r="N563" s="65" t="s">
        <v>120</v>
      </c>
      <c r="O563" s="68">
        <v>173.3</v>
      </c>
      <c r="P563" s="68">
        <v>37952.699999999997</v>
      </c>
      <c r="Q563" s="68">
        <v>2134.0100000000002</v>
      </c>
      <c r="R563" s="62">
        <f t="shared" si="59"/>
        <v>5.6228147141046632E-2</v>
      </c>
      <c r="S563" s="67">
        <v>1</v>
      </c>
      <c r="T563" s="66">
        <v>45143</v>
      </c>
      <c r="U563" s="66">
        <v>45146</v>
      </c>
      <c r="V563" s="63">
        <f t="shared" si="60"/>
        <v>3</v>
      </c>
      <c r="W563" s="65" t="s">
        <v>128</v>
      </c>
      <c r="X563" s="64" t="b">
        <f t="shared" si="61"/>
        <v>0</v>
      </c>
      <c r="Y563" s="67">
        <v>177</v>
      </c>
      <c r="Z563" s="67">
        <v>403</v>
      </c>
      <c r="AA563" s="65" t="s">
        <v>81</v>
      </c>
      <c r="AB563" s="64" t="b">
        <f t="shared" si="62"/>
        <v>1</v>
      </c>
    </row>
    <row r="564" spans="1:28" ht="15" customHeight="1" x14ac:dyDescent="0.3">
      <c r="A564" s="57" t="s">
        <v>1255</v>
      </c>
      <c r="B564" s="82">
        <v>45367</v>
      </c>
      <c r="C564" s="59">
        <f t="shared" si="56"/>
        <v>2024</v>
      </c>
      <c r="D564" s="59">
        <f t="shared" si="57"/>
        <v>3</v>
      </c>
      <c r="E564" s="59">
        <f t="shared" si="58"/>
        <v>11</v>
      </c>
      <c r="F564" s="57" t="s">
        <v>57</v>
      </c>
      <c r="G564" s="57" t="s">
        <v>46</v>
      </c>
      <c r="H564" s="57" t="s">
        <v>1256</v>
      </c>
      <c r="I564" s="57" t="s">
        <v>67</v>
      </c>
      <c r="J564" s="57" t="s">
        <v>131</v>
      </c>
      <c r="K564" s="57" t="s">
        <v>74</v>
      </c>
      <c r="L564" s="57" t="s">
        <v>146</v>
      </c>
      <c r="M564" s="60">
        <v>825</v>
      </c>
      <c r="N564" s="57" t="s">
        <v>163</v>
      </c>
      <c r="O564" s="61">
        <v>67.319999999999993</v>
      </c>
      <c r="P564" s="61">
        <v>55539</v>
      </c>
      <c r="Q564" s="61">
        <v>2754.76</v>
      </c>
      <c r="R564" s="62">
        <f t="shared" si="59"/>
        <v>4.9600460937359335E-2</v>
      </c>
      <c r="S564" s="60">
        <v>15</v>
      </c>
      <c r="T564" s="58">
        <v>45382</v>
      </c>
      <c r="U564" s="58">
        <v>45377</v>
      </c>
      <c r="V564" s="63">
        <f t="shared" si="60"/>
        <v>-5</v>
      </c>
      <c r="W564" s="57" t="s">
        <v>115</v>
      </c>
      <c r="X564" s="64" t="b">
        <f t="shared" si="61"/>
        <v>1</v>
      </c>
      <c r="Y564" s="60">
        <v>15</v>
      </c>
      <c r="Z564" s="60">
        <v>415</v>
      </c>
      <c r="AA564" s="57" t="s">
        <v>84</v>
      </c>
      <c r="AB564" s="64" t="b">
        <f t="shared" si="62"/>
        <v>1</v>
      </c>
    </row>
    <row r="565" spans="1:28" ht="15" customHeight="1" x14ac:dyDescent="0.3">
      <c r="A565" s="65" t="s">
        <v>1257</v>
      </c>
      <c r="B565" s="81">
        <v>45520</v>
      </c>
      <c r="C565" s="59">
        <f t="shared" si="56"/>
        <v>2024</v>
      </c>
      <c r="D565" s="59">
        <f t="shared" si="57"/>
        <v>8</v>
      </c>
      <c r="E565" s="59">
        <f t="shared" si="58"/>
        <v>33</v>
      </c>
      <c r="F565" s="65" t="s">
        <v>55</v>
      </c>
      <c r="G565" s="65" t="s">
        <v>45</v>
      </c>
      <c r="H565" s="65" t="s">
        <v>1258</v>
      </c>
      <c r="I565" s="65" t="s">
        <v>67</v>
      </c>
      <c r="J565" s="65" t="s">
        <v>123</v>
      </c>
      <c r="K565" s="65" t="s">
        <v>72</v>
      </c>
      <c r="L565" s="65" t="s">
        <v>146</v>
      </c>
      <c r="M565" s="67">
        <v>817</v>
      </c>
      <c r="N565" s="65" t="s">
        <v>120</v>
      </c>
      <c r="O565" s="68">
        <v>181.42</v>
      </c>
      <c r="P565" s="68">
        <v>148220.14000000001</v>
      </c>
      <c r="Q565" s="68">
        <v>3320.75</v>
      </c>
      <c r="R565" s="62">
        <f t="shared" si="59"/>
        <v>2.2404175303032365E-2</v>
      </c>
      <c r="S565" s="67">
        <v>2</v>
      </c>
      <c r="T565" s="66">
        <v>45522</v>
      </c>
      <c r="U565" s="66">
        <v>45522</v>
      </c>
      <c r="V565" s="63">
        <f t="shared" si="60"/>
        <v>0</v>
      </c>
      <c r="W565" s="65" t="s">
        <v>115</v>
      </c>
      <c r="X565" s="64" t="b">
        <f t="shared" si="61"/>
        <v>1</v>
      </c>
      <c r="Y565" s="67">
        <v>411</v>
      </c>
      <c r="Z565" s="67">
        <v>98</v>
      </c>
      <c r="AA565" s="65" t="s">
        <v>82</v>
      </c>
      <c r="AB565" s="64" t="b">
        <f t="shared" si="62"/>
        <v>1</v>
      </c>
    </row>
    <row r="566" spans="1:28" ht="15" customHeight="1" x14ac:dyDescent="0.3">
      <c r="A566" s="57" t="s">
        <v>1259</v>
      </c>
      <c r="B566" s="82">
        <v>45548</v>
      </c>
      <c r="C566" s="59">
        <f t="shared" si="56"/>
        <v>2024</v>
      </c>
      <c r="D566" s="59">
        <f t="shared" si="57"/>
        <v>9</v>
      </c>
      <c r="E566" s="59">
        <f t="shared" si="58"/>
        <v>37</v>
      </c>
      <c r="F566" s="57" t="s">
        <v>59</v>
      </c>
      <c r="G566" s="57" t="s">
        <v>45</v>
      </c>
      <c r="H566" s="57" t="s">
        <v>1260</v>
      </c>
      <c r="I566" s="57" t="s">
        <v>68</v>
      </c>
      <c r="J566" s="57" t="s">
        <v>123</v>
      </c>
      <c r="K566" s="57" t="s">
        <v>73</v>
      </c>
      <c r="L566" s="57" t="s">
        <v>156</v>
      </c>
      <c r="M566" s="60">
        <v>618</v>
      </c>
      <c r="N566" s="57" t="s">
        <v>114</v>
      </c>
      <c r="O566" s="61">
        <v>148.44999999999999</v>
      </c>
      <c r="P566" s="61">
        <v>91742.1</v>
      </c>
      <c r="Q566" s="61">
        <v>7253.07</v>
      </c>
      <c r="R566" s="62">
        <f t="shared" si="59"/>
        <v>7.9059341349282386E-2</v>
      </c>
      <c r="S566" s="60">
        <v>22</v>
      </c>
      <c r="T566" s="58">
        <v>45570</v>
      </c>
      <c r="U566" s="58">
        <v>45565</v>
      </c>
      <c r="V566" s="63">
        <f t="shared" si="60"/>
        <v>-5</v>
      </c>
      <c r="W566" s="57" t="s">
        <v>115</v>
      </c>
      <c r="X566" s="64" t="b">
        <f t="shared" si="61"/>
        <v>1</v>
      </c>
      <c r="Y566" s="60">
        <v>475</v>
      </c>
      <c r="Z566" s="60">
        <v>396</v>
      </c>
      <c r="AA566" s="57" t="s">
        <v>83</v>
      </c>
      <c r="AB566" s="64" t="b">
        <f t="shared" si="62"/>
        <v>1</v>
      </c>
    </row>
    <row r="567" spans="1:28" ht="15" customHeight="1" x14ac:dyDescent="0.3">
      <c r="A567" s="65" t="s">
        <v>1261</v>
      </c>
      <c r="B567" s="81">
        <v>45597</v>
      </c>
      <c r="C567" s="59">
        <f t="shared" si="56"/>
        <v>2024</v>
      </c>
      <c r="D567" s="59">
        <f t="shared" si="57"/>
        <v>11</v>
      </c>
      <c r="E567" s="59">
        <f t="shared" si="58"/>
        <v>44</v>
      </c>
      <c r="F567" s="65" t="s">
        <v>60</v>
      </c>
      <c r="G567" s="65" t="s">
        <v>43</v>
      </c>
      <c r="H567" s="65" t="s">
        <v>1262</v>
      </c>
      <c r="I567" s="65" t="s">
        <v>67</v>
      </c>
      <c r="J567" s="65" t="s">
        <v>151</v>
      </c>
      <c r="K567" s="65" t="s">
        <v>71</v>
      </c>
      <c r="L567" s="65" t="s">
        <v>124</v>
      </c>
      <c r="M567" s="67">
        <v>456</v>
      </c>
      <c r="N567" s="65" t="s">
        <v>163</v>
      </c>
      <c r="O567" s="68">
        <v>256.17</v>
      </c>
      <c r="P567" s="68">
        <v>116813.52</v>
      </c>
      <c r="Q567" s="68">
        <v>5024.0200000000004</v>
      </c>
      <c r="R567" s="62">
        <f t="shared" si="59"/>
        <v>4.3008891436539194E-2</v>
      </c>
      <c r="S567" s="67">
        <v>16</v>
      </c>
      <c r="T567" s="66">
        <v>45613</v>
      </c>
      <c r="U567" s="66">
        <v>45612</v>
      </c>
      <c r="V567" s="63">
        <f t="shared" si="60"/>
        <v>-1</v>
      </c>
      <c r="W567" s="65" t="s">
        <v>115</v>
      </c>
      <c r="X567" s="64" t="b">
        <f t="shared" si="61"/>
        <v>1</v>
      </c>
      <c r="Y567" s="67">
        <v>374</v>
      </c>
      <c r="Z567" s="67">
        <v>367</v>
      </c>
      <c r="AA567" s="65" t="s">
        <v>116</v>
      </c>
      <c r="AB567" s="64" t="b">
        <f t="shared" si="62"/>
        <v>0</v>
      </c>
    </row>
    <row r="568" spans="1:28" ht="15" customHeight="1" x14ac:dyDescent="0.3">
      <c r="A568" s="57" t="s">
        <v>1263</v>
      </c>
      <c r="B568" s="82">
        <v>45256</v>
      </c>
      <c r="C568" s="59">
        <f t="shared" si="56"/>
        <v>2023</v>
      </c>
      <c r="D568" s="59">
        <f t="shared" si="57"/>
        <v>11</v>
      </c>
      <c r="E568" s="59">
        <f t="shared" si="58"/>
        <v>48</v>
      </c>
      <c r="F568" s="57" t="s">
        <v>60</v>
      </c>
      <c r="G568" s="57" t="s">
        <v>39</v>
      </c>
      <c r="H568" s="57" t="s">
        <v>1264</v>
      </c>
      <c r="I568" s="57" t="s">
        <v>69</v>
      </c>
      <c r="J568" s="57" t="s">
        <v>151</v>
      </c>
      <c r="K568" s="57" t="s">
        <v>72</v>
      </c>
      <c r="L568" s="57" t="s">
        <v>135</v>
      </c>
      <c r="M568" s="60">
        <v>469</v>
      </c>
      <c r="N568" s="57" t="s">
        <v>114</v>
      </c>
      <c r="O568" s="61">
        <v>1195.56</v>
      </c>
      <c r="P568" s="61">
        <v>560717.64</v>
      </c>
      <c r="Q568" s="61">
        <v>16335.78</v>
      </c>
      <c r="R568" s="62">
        <f t="shared" si="59"/>
        <v>2.9133700876612337E-2</v>
      </c>
      <c r="S568" s="60">
        <v>25</v>
      </c>
      <c r="T568" s="58">
        <v>45281</v>
      </c>
      <c r="U568" s="58">
        <v>45293</v>
      </c>
      <c r="V568" s="63">
        <f t="shared" si="60"/>
        <v>12</v>
      </c>
      <c r="W568" s="57" t="s">
        <v>125</v>
      </c>
      <c r="X568" s="64" t="b">
        <f t="shared" si="61"/>
        <v>0</v>
      </c>
      <c r="Y568" s="60">
        <v>85</v>
      </c>
      <c r="Z568" s="60">
        <v>170</v>
      </c>
      <c r="AA568" s="57" t="s">
        <v>116</v>
      </c>
      <c r="AB568" s="64" t="b">
        <f t="shared" si="62"/>
        <v>0</v>
      </c>
    </row>
    <row r="569" spans="1:28" ht="15" customHeight="1" x14ac:dyDescent="0.3">
      <c r="A569" s="65" t="s">
        <v>1265</v>
      </c>
      <c r="B569" s="81">
        <v>45403</v>
      </c>
      <c r="C569" s="59">
        <f t="shared" si="56"/>
        <v>2024</v>
      </c>
      <c r="D569" s="59">
        <f t="shared" si="57"/>
        <v>4</v>
      </c>
      <c r="E569" s="59">
        <f t="shared" si="58"/>
        <v>17</v>
      </c>
      <c r="F569" s="65" t="s">
        <v>59</v>
      </c>
      <c r="G569" s="65" t="s">
        <v>46</v>
      </c>
      <c r="H569" s="65" t="s">
        <v>1266</v>
      </c>
      <c r="I569" s="65" t="s">
        <v>68</v>
      </c>
      <c r="J569" s="65" t="s">
        <v>151</v>
      </c>
      <c r="K569" s="65" t="s">
        <v>73</v>
      </c>
      <c r="L569" s="65" t="s">
        <v>135</v>
      </c>
      <c r="M569" s="67">
        <v>977</v>
      </c>
      <c r="N569" s="65" t="s">
        <v>120</v>
      </c>
      <c r="O569" s="68">
        <v>56.53</v>
      </c>
      <c r="P569" s="68">
        <v>55229.81</v>
      </c>
      <c r="Q569" s="68">
        <v>3313.93</v>
      </c>
      <c r="R569" s="62">
        <f t="shared" si="59"/>
        <v>6.0002560211595876E-2</v>
      </c>
      <c r="S569" s="67">
        <v>8</v>
      </c>
      <c r="T569" s="66">
        <v>45411</v>
      </c>
      <c r="U569" s="66">
        <v>45411</v>
      </c>
      <c r="V569" s="63">
        <f t="shared" si="60"/>
        <v>0</v>
      </c>
      <c r="W569" s="65" t="s">
        <v>115</v>
      </c>
      <c r="X569" s="64" t="b">
        <f t="shared" si="61"/>
        <v>1</v>
      </c>
      <c r="Y569" s="67">
        <v>247</v>
      </c>
      <c r="Z569" s="67">
        <v>147</v>
      </c>
      <c r="AA569" s="65" t="s">
        <v>82</v>
      </c>
      <c r="AB569" s="64" t="b">
        <f t="shared" si="62"/>
        <v>1</v>
      </c>
    </row>
    <row r="570" spans="1:28" ht="15" customHeight="1" x14ac:dyDescent="0.3">
      <c r="A570" s="57" t="s">
        <v>1267</v>
      </c>
      <c r="B570" s="82">
        <v>45379</v>
      </c>
      <c r="C570" s="59">
        <f t="shared" si="56"/>
        <v>2024</v>
      </c>
      <c r="D570" s="59">
        <f t="shared" si="57"/>
        <v>3</v>
      </c>
      <c r="E570" s="59">
        <f t="shared" si="58"/>
        <v>13</v>
      </c>
      <c r="F570" s="57" t="s">
        <v>57</v>
      </c>
      <c r="G570" s="57" t="s">
        <v>39</v>
      </c>
      <c r="H570" s="57" t="s">
        <v>1268</v>
      </c>
      <c r="I570" s="57" t="s">
        <v>66</v>
      </c>
      <c r="J570" s="57" t="s">
        <v>112</v>
      </c>
      <c r="K570" s="57" t="s">
        <v>75</v>
      </c>
      <c r="L570" s="57" t="s">
        <v>156</v>
      </c>
      <c r="M570" s="60">
        <v>481</v>
      </c>
      <c r="N570" s="57" t="s">
        <v>120</v>
      </c>
      <c r="O570" s="61">
        <v>1688.97</v>
      </c>
      <c r="P570" s="61">
        <v>812394.57</v>
      </c>
      <c r="Q570" s="61">
        <v>30105.15</v>
      </c>
      <c r="R570" s="62">
        <f t="shared" si="59"/>
        <v>3.7057300863052305E-2</v>
      </c>
      <c r="S570" s="60">
        <v>13</v>
      </c>
      <c r="T570" s="58">
        <v>45392</v>
      </c>
      <c r="U570" s="58">
        <v>45397</v>
      </c>
      <c r="V570" s="63">
        <f t="shared" si="60"/>
        <v>5</v>
      </c>
      <c r="W570" s="57" t="s">
        <v>128</v>
      </c>
      <c r="X570" s="64" t="b">
        <f t="shared" si="61"/>
        <v>0</v>
      </c>
      <c r="Y570" s="60">
        <v>453</v>
      </c>
      <c r="Z570" s="60">
        <v>122</v>
      </c>
      <c r="AA570" s="57" t="s">
        <v>116</v>
      </c>
      <c r="AB570" s="64" t="b">
        <f t="shared" si="62"/>
        <v>0</v>
      </c>
    </row>
    <row r="571" spans="1:28" ht="15" customHeight="1" x14ac:dyDescent="0.3">
      <c r="A571" s="65" t="s">
        <v>1269</v>
      </c>
      <c r="B571" s="81">
        <v>45379</v>
      </c>
      <c r="C571" s="59">
        <f t="shared" si="56"/>
        <v>2024</v>
      </c>
      <c r="D571" s="59">
        <f t="shared" si="57"/>
        <v>3</v>
      </c>
      <c r="E571" s="59">
        <f t="shared" si="58"/>
        <v>13</v>
      </c>
      <c r="F571" s="65" t="s">
        <v>56</v>
      </c>
      <c r="G571" s="65" t="s">
        <v>40</v>
      </c>
      <c r="H571" s="65" t="s">
        <v>1270</v>
      </c>
      <c r="I571" s="65" t="s">
        <v>69</v>
      </c>
      <c r="J571" s="65" t="s">
        <v>151</v>
      </c>
      <c r="K571" s="65" t="s">
        <v>74</v>
      </c>
      <c r="L571" s="65" t="s">
        <v>156</v>
      </c>
      <c r="M571" s="67">
        <v>729</v>
      </c>
      <c r="N571" s="65" t="s">
        <v>140</v>
      </c>
      <c r="O571" s="68">
        <v>921.23</v>
      </c>
      <c r="P571" s="68">
        <v>671576.67</v>
      </c>
      <c r="Q571" s="68">
        <v>37035.230000000003</v>
      </c>
      <c r="R571" s="62">
        <f t="shared" si="59"/>
        <v>5.5146689357151134E-2</v>
      </c>
      <c r="S571" s="67">
        <v>21</v>
      </c>
      <c r="T571" s="66">
        <v>45400</v>
      </c>
      <c r="U571" s="66">
        <v>45408</v>
      </c>
      <c r="V571" s="63">
        <f t="shared" si="60"/>
        <v>8</v>
      </c>
      <c r="W571" s="65" t="s">
        <v>125</v>
      </c>
      <c r="X571" s="64" t="b">
        <f t="shared" si="61"/>
        <v>0</v>
      </c>
      <c r="Y571" s="67">
        <v>216</v>
      </c>
      <c r="Z571" s="67">
        <v>111</v>
      </c>
      <c r="AA571" s="65" t="s">
        <v>116</v>
      </c>
      <c r="AB571" s="64" t="b">
        <f t="shared" si="62"/>
        <v>0</v>
      </c>
    </row>
    <row r="572" spans="1:28" ht="15" customHeight="1" x14ac:dyDescent="0.3">
      <c r="A572" s="57" t="s">
        <v>1271</v>
      </c>
      <c r="B572" s="82">
        <v>45618</v>
      </c>
      <c r="C572" s="59">
        <f t="shared" si="56"/>
        <v>2024</v>
      </c>
      <c r="D572" s="59">
        <f t="shared" si="57"/>
        <v>11</v>
      </c>
      <c r="E572" s="59">
        <f t="shared" si="58"/>
        <v>47</v>
      </c>
      <c r="F572" s="57" t="s">
        <v>56</v>
      </c>
      <c r="G572" s="57" t="s">
        <v>46</v>
      </c>
      <c r="H572" s="57" t="s">
        <v>1272</v>
      </c>
      <c r="I572" s="57" t="s">
        <v>66</v>
      </c>
      <c r="J572" s="57" t="s">
        <v>123</v>
      </c>
      <c r="K572" s="57" t="s">
        <v>71</v>
      </c>
      <c r="L572" s="57" t="s">
        <v>113</v>
      </c>
      <c r="M572" s="60">
        <v>379</v>
      </c>
      <c r="N572" s="57" t="s">
        <v>136</v>
      </c>
      <c r="O572" s="61">
        <v>70.83</v>
      </c>
      <c r="P572" s="61">
        <v>26844.57</v>
      </c>
      <c r="Q572" s="61">
        <v>1481.98</v>
      </c>
      <c r="R572" s="62">
        <f t="shared" si="59"/>
        <v>5.5205950402632639E-2</v>
      </c>
      <c r="S572" s="60">
        <v>1</v>
      </c>
      <c r="T572" s="58">
        <v>45619</v>
      </c>
      <c r="U572" s="58">
        <v>45618</v>
      </c>
      <c r="V572" s="63">
        <f t="shared" si="60"/>
        <v>-1</v>
      </c>
      <c r="W572" s="57" t="s">
        <v>115</v>
      </c>
      <c r="X572" s="64" t="b">
        <f t="shared" si="61"/>
        <v>1</v>
      </c>
      <c r="Y572" s="60">
        <v>41</v>
      </c>
      <c r="Z572" s="60">
        <v>499</v>
      </c>
      <c r="AA572" s="57" t="s">
        <v>116</v>
      </c>
      <c r="AB572" s="64" t="b">
        <f t="shared" si="62"/>
        <v>0</v>
      </c>
    </row>
    <row r="573" spans="1:28" ht="15" customHeight="1" x14ac:dyDescent="0.3">
      <c r="A573" s="65" t="s">
        <v>1273</v>
      </c>
      <c r="B573" s="81">
        <v>45145</v>
      </c>
      <c r="C573" s="59">
        <f t="shared" si="56"/>
        <v>2023</v>
      </c>
      <c r="D573" s="59">
        <f t="shared" si="57"/>
        <v>8</v>
      </c>
      <c r="E573" s="59">
        <f t="shared" si="58"/>
        <v>32</v>
      </c>
      <c r="F573" s="65" t="s">
        <v>56</v>
      </c>
      <c r="G573" s="65" t="s">
        <v>40</v>
      </c>
      <c r="H573" s="65" t="s">
        <v>1274</v>
      </c>
      <c r="I573" s="65" t="s">
        <v>65</v>
      </c>
      <c r="J573" s="65" t="s">
        <v>151</v>
      </c>
      <c r="K573" s="65" t="s">
        <v>72</v>
      </c>
      <c r="L573" s="65" t="s">
        <v>124</v>
      </c>
      <c r="M573" s="67">
        <v>909</v>
      </c>
      <c r="N573" s="65" t="s">
        <v>132</v>
      </c>
      <c r="O573" s="68">
        <v>666.4</v>
      </c>
      <c r="P573" s="68">
        <v>605757.6</v>
      </c>
      <c r="Q573" s="68">
        <v>28315.41</v>
      </c>
      <c r="R573" s="62">
        <f t="shared" si="59"/>
        <v>4.6743796528512398E-2</v>
      </c>
      <c r="S573" s="67">
        <v>16</v>
      </c>
      <c r="T573" s="66">
        <v>45161</v>
      </c>
      <c r="U573" s="66">
        <v>45163</v>
      </c>
      <c r="V573" s="63">
        <f t="shared" si="60"/>
        <v>2</v>
      </c>
      <c r="W573" s="65" t="s">
        <v>128</v>
      </c>
      <c r="X573" s="64" t="b">
        <f t="shared" si="61"/>
        <v>0</v>
      </c>
      <c r="Y573" s="67">
        <v>193</v>
      </c>
      <c r="Z573" s="67">
        <v>129</v>
      </c>
      <c r="AA573" s="65" t="s">
        <v>116</v>
      </c>
      <c r="AB573" s="64" t="b">
        <f t="shared" si="62"/>
        <v>0</v>
      </c>
    </row>
    <row r="574" spans="1:28" ht="15" customHeight="1" x14ac:dyDescent="0.3">
      <c r="A574" s="57" t="s">
        <v>1275</v>
      </c>
      <c r="B574" s="82">
        <v>45450</v>
      </c>
      <c r="C574" s="59">
        <f t="shared" si="56"/>
        <v>2024</v>
      </c>
      <c r="D574" s="59">
        <f t="shared" si="57"/>
        <v>6</v>
      </c>
      <c r="E574" s="59">
        <f t="shared" si="58"/>
        <v>23</v>
      </c>
      <c r="F574" s="57" t="s">
        <v>56</v>
      </c>
      <c r="G574" s="57" t="s">
        <v>43</v>
      </c>
      <c r="H574" s="57" t="s">
        <v>1276</v>
      </c>
      <c r="I574" s="57" t="s">
        <v>68</v>
      </c>
      <c r="J574" s="57" t="s">
        <v>143</v>
      </c>
      <c r="K574" s="57" t="s">
        <v>75</v>
      </c>
      <c r="L574" s="57" t="s">
        <v>135</v>
      </c>
      <c r="M574" s="60">
        <v>943</v>
      </c>
      <c r="N574" s="57" t="s">
        <v>136</v>
      </c>
      <c r="O574" s="61">
        <v>200.76</v>
      </c>
      <c r="P574" s="61">
        <v>189316.68</v>
      </c>
      <c r="Q574" s="61">
        <v>13283.81</v>
      </c>
      <c r="R574" s="62">
        <f t="shared" si="59"/>
        <v>7.0167140053375113E-2</v>
      </c>
      <c r="S574" s="60">
        <v>29</v>
      </c>
      <c r="T574" s="58">
        <v>45479</v>
      </c>
      <c r="U574" s="58">
        <v>45484</v>
      </c>
      <c r="V574" s="63">
        <f t="shared" si="60"/>
        <v>5</v>
      </c>
      <c r="W574" s="57" t="s">
        <v>128</v>
      </c>
      <c r="X574" s="64" t="b">
        <f t="shared" si="61"/>
        <v>0</v>
      </c>
      <c r="Y574" s="60">
        <v>326</v>
      </c>
      <c r="Z574" s="60">
        <v>67</v>
      </c>
      <c r="AA574" s="57" t="s">
        <v>116</v>
      </c>
      <c r="AB574" s="64" t="b">
        <f t="shared" si="62"/>
        <v>0</v>
      </c>
    </row>
    <row r="575" spans="1:28" ht="15" customHeight="1" x14ac:dyDescent="0.3">
      <c r="A575" s="65" t="s">
        <v>1277</v>
      </c>
      <c r="B575" s="81">
        <v>45411</v>
      </c>
      <c r="C575" s="59">
        <f t="shared" si="56"/>
        <v>2024</v>
      </c>
      <c r="D575" s="59">
        <f t="shared" si="57"/>
        <v>4</v>
      </c>
      <c r="E575" s="59">
        <f t="shared" si="58"/>
        <v>18</v>
      </c>
      <c r="F575" s="65" t="s">
        <v>53</v>
      </c>
      <c r="G575" s="65" t="s">
        <v>41</v>
      </c>
      <c r="H575" s="65" t="s">
        <v>1278</v>
      </c>
      <c r="I575" s="65" t="s">
        <v>65</v>
      </c>
      <c r="J575" s="65" t="s">
        <v>139</v>
      </c>
      <c r="K575" s="65" t="s">
        <v>74</v>
      </c>
      <c r="L575" s="65" t="s">
        <v>146</v>
      </c>
      <c r="M575" s="67">
        <v>501</v>
      </c>
      <c r="N575" s="65" t="s">
        <v>120</v>
      </c>
      <c r="O575" s="68">
        <v>596.88</v>
      </c>
      <c r="P575" s="68">
        <v>299036.88</v>
      </c>
      <c r="Q575" s="68">
        <v>10734.83</v>
      </c>
      <c r="R575" s="62">
        <f t="shared" si="59"/>
        <v>3.5898013649687623E-2</v>
      </c>
      <c r="S575" s="67">
        <v>7</v>
      </c>
      <c r="T575" s="66">
        <v>45418</v>
      </c>
      <c r="U575" s="66">
        <v>45415</v>
      </c>
      <c r="V575" s="63">
        <f t="shared" si="60"/>
        <v>-3</v>
      </c>
      <c r="W575" s="65" t="s">
        <v>115</v>
      </c>
      <c r="X575" s="64" t="b">
        <f t="shared" si="61"/>
        <v>1</v>
      </c>
      <c r="Y575" s="67">
        <v>372</v>
      </c>
      <c r="Z575" s="67">
        <v>346</v>
      </c>
      <c r="AA575" s="65" t="s">
        <v>81</v>
      </c>
      <c r="AB575" s="64" t="b">
        <f t="shared" si="62"/>
        <v>1</v>
      </c>
    </row>
    <row r="576" spans="1:28" ht="15" customHeight="1" x14ac:dyDescent="0.3">
      <c r="A576" s="57" t="s">
        <v>1279</v>
      </c>
      <c r="B576" s="82">
        <v>45100</v>
      </c>
      <c r="C576" s="59">
        <f t="shared" si="56"/>
        <v>2023</v>
      </c>
      <c r="D576" s="59">
        <f t="shared" si="57"/>
        <v>6</v>
      </c>
      <c r="E576" s="59">
        <f t="shared" si="58"/>
        <v>25</v>
      </c>
      <c r="F576" s="57" t="s">
        <v>59</v>
      </c>
      <c r="G576" s="57" t="s">
        <v>45</v>
      </c>
      <c r="H576" s="57" t="s">
        <v>1280</v>
      </c>
      <c r="I576" s="57" t="s">
        <v>68</v>
      </c>
      <c r="J576" s="57" t="s">
        <v>123</v>
      </c>
      <c r="K576" s="57" t="s">
        <v>74</v>
      </c>
      <c r="L576" s="57" t="s">
        <v>156</v>
      </c>
      <c r="M576" s="60">
        <v>932</v>
      </c>
      <c r="N576" s="57" t="s">
        <v>120</v>
      </c>
      <c r="O576" s="61">
        <v>295.17</v>
      </c>
      <c r="P576" s="61">
        <v>275098.44</v>
      </c>
      <c r="Q576" s="61">
        <v>12907.06</v>
      </c>
      <c r="R576" s="62">
        <f t="shared" si="59"/>
        <v>4.6917968709673526E-2</v>
      </c>
      <c r="S576" s="60">
        <v>5</v>
      </c>
      <c r="T576" s="58">
        <v>45105</v>
      </c>
      <c r="U576" s="58">
        <v>45108</v>
      </c>
      <c r="V576" s="63">
        <f t="shared" si="60"/>
        <v>3</v>
      </c>
      <c r="W576" s="57" t="s">
        <v>128</v>
      </c>
      <c r="X576" s="64" t="b">
        <f t="shared" si="61"/>
        <v>0</v>
      </c>
      <c r="Y576" s="60">
        <v>464</v>
      </c>
      <c r="Z576" s="60">
        <v>315</v>
      </c>
      <c r="AA576" s="57" t="s">
        <v>81</v>
      </c>
      <c r="AB576" s="64" t="b">
        <f t="shared" si="62"/>
        <v>1</v>
      </c>
    </row>
    <row r="577" spans="1:28" ht="15" customHeight="1" x14ac:dyDescent="0.3">
      <c r="A577" s="65" t="s">
        <v>1281</v>
      </c>
      <c r="B577" s="81">
        <v>45601</v>
      </c>
      <c r="C577" s="59">
        <f t="shared" si="56"/>
        <v>2024</v>
      </c>
      <c r="D577" s="59">
        <f t="shared" si="57"/>
        <v>11</v>
      </c>
      <c r="E577" s="59">
        <f t="shared" si="58"/>
        <v>45</v>
      </c>
      <c r="F577" s="65" t="s">
        <v>57</v>
      </c>
      <c r="G577" s="65" t="s">
        <v>43</v>
      </c>
      <c r="H577" s="65" t="s">
        <v>1282</v>
      </c>
      <c r="I577" s="65" t="s">
        <v>68</v>
      </c>
      <c r="J577" s="65" t="s">
        <v>139</v>
      </c>
      <c r="K577" s="65" t="s">
        <v>75</v>
      </c>
      <c r="L577" s="65" t="s">
        <v>113</v>
      </c>
      <c r="M577" s="67">
        <v>146</v>
      </c>
      <c r="N577" s="65" t="s">
        <v>136</v>
      </c>
      <c r="O577" s="68">
        <v>256.42</v>
      </c>
      <c r="P577" s="68">
        <v>37437.32</v>
      </c>
      <c r="Q577" s="68">
        <v>1956.53</v>
      </c>
      <c r="R577" s="62">
        <f t="shared" si="59"/>
        <v>5.2261486666246408E-2</v>
      </c>
      <c r="S577" s="67">
        <v>22</v>
      </c>
      <c r="T577" s="66">
        <v>45623</v>
      </c>
      <c r="U577" s="66">
        <v>45622</v>
      </c>
      <c r="V577" s="63">
        <f t="shared" si="60"/>
        <v>-1</v>
      </c>
      <c r="W577" s="65" t="s">
        <v>115</v>
      </c>
      <c r="X577" s="64" t="b">
        <f t="shared" si="61"/>
        <v>1</v>
      </c>
      <c r="Y577" s="67">
        <v>162</v>
      </c>
      <c r="Z577" s="67">
        <v>216</v>
      </c>
      <c r="AA577" s="65" t="s">
        <v>84</v>
      </c>
      <c r="AB577" s="64" t="b">
        <f t="shared" si="62"/>
        <v>1</v>
      </c>
    </row>
    <row r="578" spans="1:28" ht="15" customHeight="1" x14ac:dyDescent="0.3">
      <c r="A578" s="57" t="s">
        <v>1283</v>
      </c>
      <c r="B578" s="82">
        <v>45013</v>
      </c>
      <c r="C578" s="59">
        <f t="shared" ref="C578:C641" si="63">YEAR(B578)</f>
        <v>2023</v>
      </c>
      <c r="D578" s="59">
        <f t="shared" ref="D578:D641" si="64">MONTH(B578)</f>
        <v>3</v>
      </c>
      <c r="E578" s="59">
        <f t="shared" ref="E578:E641" si="65">WEEKNUM(B578,1)</f>
        <v>13</v>
      </c>
      <c r="F578" s="57" t="s">
        <v>61</v>
      </c>
      <c r="G578" s="57" t="s">
        <v>45</v>
      </c>
      <c r="H578" s="57" t="s">
        <v>1284</v>
      </c>
      <c r="I578" s="57" t="s">
        <v>69</v>
      </c>
      <c r="J578" s="57" t="s">
        <v>123</v>
      </c>
      <c r="K578" s="57" t="s">
        <v>72</v>
      </c>
      <c r="L578" s="57" t="s">
        <v>146</v>
      </c>
      <c r="M578" s="60">
        <v>376</v>
      </c>
      <c r="N578" s="57" t="s">
        <v>120</v>
      </c>
      <c r="O578" s="61">
        <v>287.62</v>
      </c>
      <c r="P578" s="61">
        <v>108145.12</v>
      </c>
      <c r="Q578" s="61">
        <v>6468.97</v>
      </c>
      <c r="R578" s="62">
        <f t="shared" ref="R578:R641" si="66">Q578/P578</f>
        <v>5.9817493382965416E-2</v>
      </c>
      <c r="S578" s="60">
        <v>29</v>
      </c>
      <c r="T578" s="58">
        <v>45042</v>
      </c>
      <c r="U578" s="58">
        <v>45042</v>
      </c>
      <c r="V578" s="63">
        <f t="shared" ref="V578:V641" si="67">U578-T578</f>
        <v>0</v>
      </c>
      <c r="W578" s="57" t="s">
        <v>115</v>
      </c>
      <c r="X578" s="64" t="b">
        <f t="shared" ref="X578:X641" si="68">IF(W578="Entregado", TRUE(), FALSE())</f>
        <v>1</v>
      </c>
      <c r="Y578" s="60">
        <v>275</v>
      </c>
      <c r="Z578" s="60">
        <v>387</v>
      </c>
      <c r="AA578" s="57" t="s">
        <v>116</v>
      </c>
      <c r="AB578" s="64" t="b">
        <f t="shared" ref="AB578:AB641" si="69">IF(AA578="Ninguna",FALSE(),TRUE())</f>
        <v>0</v>
      </c>
    </row>
    <row r="579" spans="1:28" ht="15" customHeight="1" x14ac:dyDescent="0.3">
      <c r="A579" s="65" t="s">
        <v>1285</v>
      </c>
      <c r="B579" s="81">
        <v>45217</v>
      </c>
      <c r="C579" s="59">
        <f t="shared" si="63"/>
        <v>2023</v>
      </c>
      <c r="D579" s="59">
        <f t="shared" si="64"/>
        <v>10</v>
      </c>
      <c r="E579" s="59">
        <f t="shared" si="65"/>
        <v>42</v>
      </c>
      <c r="F579" s="65" t="s">
        <v>58</v>
      </c>
      <c r="G579" s="65" t="s">
        <v>41</v>
      </c>
      <c r="H579" s="65" t="s">
        <v>1286</v>
      </c>
      <c r="I579" s="65" t="s">
        <v>66</v>
      </c>
      <c r="J579" s="65" t="s">
        <v>131</v>
      </c>
      <c r="K579" s="65" t="s">
        <v>74</v>
      </c>
      <c r="L579" s="65" t="s">
        <v>135</v>
      </c>
      <c r="M579" s="67">
        <v>921</v>
      </c>
      <c r="N579" s="65" t="s">
        <v>114</v>
      </c>
      <c r="O579" s="68">
        <v>654.88</v>
      </c>
      <c r="P579" s="68">
        <v>603144.48</v>
      </c>
      <c r="Q579" s="68">
        <v>40433.79</v>
      </c>
      <c r="R579" s="62">
        <f t="shared" si="66"/>
        <v>6.7038315595626438E-2</v>
      </c>
      <c r="S579" s="67">
        <v>23</v>
      </c>
      <c r="T579" s="66">
        <v>45240</v>
      </c>
      <c r="U579" s="66">
        <v>45245</v>
      </c>
      <c r="V579" s="63">
        <f t="shared" si="67"/>
        <v>5</v>
      </c>
      <c r="W579" s="65" t="s">
        <v>125</v>
      </c>
      <c r="X579" s="64" t="b">
        <f t="shared" si="68"/>
        <v>0</v>
      </c>
      <c r="Y579" s="67">
        <v>363</v>
      </c>
      <c r="Z579" s="67">
        <v>379</v>
      </c>
      <c r="AA579" s="65" t="s">
        <v>82</v>
      </c>
      <c r="AB579" s="64" t="b">
        <f t="shared" si="69"/>
        <v>1</v>
      </c>
    </row>
    <row r="580" spans="1:28" ht="15" customHeight="1" x14ac:dyDescent="0.3">
      <c r="A580" s="57" t="s">
        <v>1287</v>
      </c>
      <c r="B580" s="82">
        <v>45454</v>
      </c>
      <c r="C580" s="59">
        <f t="shared" si="63"/>
        <v>2024</v>
      </c>
      <c r="D580" s="59">
        <f t="shared" si="64"/>
        <v>6</v>
      </c>
      <c r="E580" s="59">
        <f t="shared" si="65"/>
        <v>24</v>
      </c>
      <c r="F580" s="57" t="s">
        <v>60</v>
      </c>
      <c r="G580" s="57" t="s">
        <v>40</v>
      </c>
      <c r="H580" s="57" t="s">
        <v>1288</v>
      </c>
      <c r="I580" s="57" t="s">
        <v>68</v>
      </c>
      <c r="J580" s="57" t="s">
        <v>143</v>
      </c>
      <c r="K580" s="57" t="s">
        <v>71</v>
      </c>
      <c r="L580" s="57" t="s">
        <v>156</v>
      </c>
      <c r="M580" s="60">
        <v>193</v>
      </c>
      <c r="N580" s="57" t="s">
        <v>163</v>
      </c>
      <c r="O580" s="61">
        <v>938.7</v>
      </c>
      <c r="P580" s="61">
        <v>181169.1</v>
      </c>
      <c r="Q580" s="61">
        <v>7914.99</v>
      </c>
      <c r="R580" s="62">
        <f t="shared" si="66"/>
        <v>4.3688410440853323E-2</v>
      </c>
      <c r="S580" s="60">
        <v>3</v>
      </c>
      <c r="T580" s="58">
        <v>45457</v>
      </c>
      <c r="U580" s="58">
        <v>45459</v>
      </c>
      <c r="V580" s="63">
        <f t="shared" si="67"/>
        <v>2</v>
      </c>
      <c r="W580" s="57" t="s">
        <v>128</v>
      </c>
      <c r="X580" s="64" t="b">
        <f t="shared" si="68"/>
        <v>0</v>
      </c>
      <c r="Y580" s="60">
        <v>129</v>
      </c>
      <c r="Z580" s="60">
        <v>95</v>
      </c>
      <c r="AA580" s="57" t="s">
        <v>81</v>
      </c>
      <c r="AB580" s="64" t="b">
        <f t="shared" si="69"/>
        <v>1</v>
      </c>
    </row>
    <row r="581" spans="1:28" ht="15" customHeight="1" x14ac:dyDescent="0.3">
      <c r="A581" s="65" t="s">
        <v>1289</v>
      </c>
      <c r="B581" s="81">
        <v>45606</v>
      </c>
      <c r="C581" s="59">
        <f t="shared" si="63"/>
        <v>2024</v>
      </c>
      <c r="D581" s="59">
        <f t="shared" si="64"/>
        <v>11</v>
      </c>
      <c r="E581" s="59">
        <f t="shared" si="65"/>
        <v>46</v>
      </c>
      <c r="F581" s="65" t="s">
        <v>55</v>
      </c>
      <c r="G581" s="65" t="s">
        <v>41</v>
      </c>
      <c r="H581" s="65" t="s">
        <v>1290</v>
      </c>
      <c r="I581" s="65" t="s">
        <v>66</v>
      </c>
      <c r="J581" s="65" t="s">
        <v>123</v>
      </c>
      <c r="K581" s="65" t="s">
        <v>73</v>
      </c>
      <c r="L581" s="65" t="s">
        <v>124</v>
      </c>
      <c r="M581" s="67">
        <v>597</v>
      </c>
      <c r="N581" s="65" t="s">
        <v>120</v>
      </c>
      <c r="O581" s="68">
        <v>426.81</v>
      </c>
      <c r="P581" s="68">
        <v>254805.57</v>
      </c>
      <c r="Q581" s="68">
        <v>14973.09</v>
      </c>
      <c r="R581" s="62">
        <f t="shared" si="66"/>
        <v>5.876280491042641E-2</v>
      </c>
      <c r="S581" s="67">
        <v>12</v>
      </c>
      <c r="T581" s="66">
        <v>45618</v>
      </c>
      <c r="U581" s="66">
        <v>45615</v>
      </c>
      <c r="V581" s="63">
        <f t="shared" si="67"/>
        <v>-3</v>
      </c>
      <c r="W581" s="65" t="s">
        <v>115</v>
      </c>
      <c r="X581" s="64" t="b">
        <f t="shared" si="68"/>
        <v>1</v>
      </c>
      <c r="Y581" s="67">
        <v>262</v>
      </c>
      <c r="Z581" s="67">
        <v>144</v>
      </c>
      <c r="AA581" s="65" t="s">
        <v>83</v>
      </c>
      <c r="AB581" s="64" t="b">
        <f t="shared" si="69"/>
        <v>1</v>
      </c>
    </row>
    <row r="582" spans="1:28" ht="15" customHeight="1" x14ac:dyDescent="0.3">
      <c r="A582" s="57" t="s">
        <v>1291</v>
      </c>
      <c r="B582" s="82">
        <v>45575</v>
      </c>
      <c r="C582" s="59">
        <f t="shared" si="63"/>
        <v>2024</v>
      </c>
      <c r="D582" s="59">
        <f t="shared" si="64"/>
        <v>10</v>
      </c>
      <c r="E582" s="59">
        <f t="shared" si="65"/>
        <v>41</v>
      </c>
      <c r="F582" s="57" t="s">
        <v>56</v>
      </c>
      <c r="G582" s="57" t="s">
        <v>45</v>
      </c>
      <c r="H582" s="57" t="s">
        <v>579</v>
      </c>
      <c r="I582" s="57" t="s">
        <v>68</v>
      </c>
      <c r="J582" s="57" t="s">
        <v>143</v>
      </c>
      <c r="K582" s="57" t="s">
        <v>71</v>
      </c>
      <c r="L582" s="57" t="s">
        <v>156</v>
      </c>
      <c r="M582" s="60">
        <v>296</v>
      </c>
      <c r="N582" s="57" t="s">
        <v>136</v>
      </c>
      <c r="O582" s="61">
        <v>246.67</v>
      </c>
      <c r="P582" s="61">
        <v>73014.320000000007</v>
      </c>
      <c r="Q582" s="61">
        <v>2120.09</v>
      </c>
      <c r="R582" s="62">
        <f t="shared" si="66"/>
        <v>2.9036632813946632E-2</v>
      </c>
      <c r="S582" s="60">
        <v>26</v>
      </c>
      <c r="T582" s="58">
        <v>45601</v>
      </c>
      <c r="U582" s="58">
        <v>45601</v>
      </c>
      <c r="V582" s="63">
        <f t="shared" si="67"/>
        <v>0</v>
      </c>
      <c r="W582" s="57" t="s">
        <v>115</v>
      </c>
      <c r="X582" s="64" t="b">
        <f t="shared" si="68"/>
        <v>1</v>
      </c>
      <c r="Y582" s="60">
        <v>479</v>
      </c>
      <c r="Z582" s="60">
        <v>384</v>
      </c>
      <c r="AA582" s="57" t="s">
        <v>83</v>
      </c>
      <c r="AB582" s="64" t="b">
        <f t="shared" si="69"/>
        <v>1</v>
      </c>
    </row>
    <row r="583" spans="1:28" ht="15" customHeight="1" x14ac:dyDescent="0.3">
      <c r="A583" s="65" t="s">
        <v>1292</v>
      </c>
      <c r="B583" s="81">
        <v>45561</v>
      </c>
      <c r="C583" s="59">
        <f t="shared" si="63"/>
        <v>2024</v>
      </c>
      <c r="D583" s="59">
        <f t="shared" si="64"/>
        <v>9</v>
      </c>
      <c r="E583" s="59">
        <f t="shared" si="65"/>
        <v>39</v>
      </c>
      <c r="F583" s="65" t="s">
        <v>55</v>
      </c>
      <c r="G583" s="65" t="s">
        <v>45</v>
      </c>
      <c r="H583" s="65" t="s">
        <v>1293</v>
      </c>
      <c r="I583" s="65" t="s">
        <v>66</v>
      </c>
      <c r="J583" s="65" t="s">
        <v>123</v>
      </c>
      <c r="K583" s="65" t="s">
        <v>74</v>
      </c>
      <c r="L583" s="65" t="s">
        <v>124</v>
      </c>
      <c r="M583" s="67">
        <v>481</v>
      </c>
      <c r="N583" s="65" t="s">
        <v>136</v>
      </c>
      <c r="O583" s="68">
        <v>239.74</v>
      </c>
      <c r="P583" s="68">
        <v>115314.94</v>
      </c>
      <c r="Q583" s="68">
        <v>8759.19</v>
      </c>
      <c r="R583" s="62">
        <f t="shared" si="66"/>
        <v>7.5958848003563118E-2</v>
      </c>
      <c r="S583" s="67">
        <v>16</v>
      </c>
      <c r="T583" s="66">
        <v>45577</v>
      </c>
      <c r="U583" s="66">
        <v>45589</v>
      </c>
      <c r="V583" s="63">
        <f t="shared" si="67"/>
        <v>12</v>
      </c>
      <c r="W583" s="65" t="s">
        <v>125</v>
      </c>
      <c r="X583" s="64" t="b">
        <f t="shared" si="68"/>
        <v>0</v>
      </c>
      <c r="Y583" s="67">
        <v>176</v>
      </c>
      <c r="Z583" s="67">
        <v>32</v>
      </c>
      <c r="AA583" s="65" t="s">
        <v>83</v>
      </c>
      <c r="AB583" s="64" t="b">
        <f t="shared" si="69"/>
        <v>1</v>
      </c>
    </row>
    <row r="584" spans="1:28" ht="15" customHeight="1" x14ac:dyDescent="0.3">
      <c r="A584" s="57" t="s">
        <v>1294</v>
      </c>
      <c r="B584" s="82">
        <v>45270</v>
      </c>
      <c r="C584" s="59">
        <f t="shared" si="63"/>
        <v>2023</v>
      </c>
      <c r="D584" s="59">
        <f t="shared" si="64"/>
        <v>12</v>
      </c>
      <c r="E584" s="59">
        <f t="shared" si="65"/>
        <v>50</v>
      </c>
      <c r="F584" s="57" t="s">
        <v>58</v>
      </c>
      <c r="G584" s="57" t="s">
        <v>39</v>
      </c>
      <c r="H584" s="57" t="s">
        <v>1295</v>
      </c>
      <c r="I584" s="57" t="s">
        <v>65</v>
      </c>
      <c r="J584" s="57" t="s">
        <v>139</v>
      </c>
      <c r="K584" s="57" t="s">
        <v>73</v>
      </c>
      <c r="L584" s="57" t="s">
        <v>113</v>
      </c>
      <c r="M584" s="60">
        <v>384</v>
      </c>
      <c r="N584" s="57" t="s">
        <v>136</v>
      </c>
      <c r="O584" s="61">
        <v>1772.96</v>
      </c>
      <c r="P584" s="61">
        <v>680816.64000000001</v>
      </c>
      <c r="Q584" s="61">
        <v>29263.9</v>
      </c>
      <c r="R584" s="62">
        <f t="shared" si="66"/>
        <v>4.2983526372093371E-2</v>
      </c>
      <c r="S584" s="60">
        <v>19</v>
      </c>
      <c r="T584" s="58">
        <v>45289</v>
      </c>
      <c r="U584" s="58">
        <v>45289</v>
      </c>
      <c r="V584" s="63">
        <f t="shared" si="67"/>
        <v>0</v>
      </c>
      <c r="W584" s="57" t="s">
        <v>115</v>
      </c>
      <c r="X584" s="64" t="b">
        <f t="shared" si="68"/>
        <v>1</v>
      </c>
      <c r="Y584" s="60">
        <v>466</v>
      </c>
      <c r="Z584" s="60">
        <v>285</v>
      </c>
      <c r="AA584" s="57" t="s">
        <v>82</v>
      </c>
      <c r="AB584" s="64" t="b">
        <f t="shared" si="69"/>
        <v>1</v>
      </c>
    </row>
    <row r="585" spans="1:28" ht="15" customHeight="1" x14ac:dyDescent="0.3">
      <c r="A585" s="65" t="s">
        <v>1296</v>
      </c>
      <c r="B585" s="81">
        <v>45022</v>
      </c>
      <c r="C585" s="59">
        <f t="shared" si="63"/>
        <v>2023</v>
      </c>
      <c r="D585" s="59">
        <f t="shared" si="64"/>
        <v>4</v>
      </c>
      <c r="E585" s="59">
        <f t="shared" si="65"/>
        <v>14</v>
      </c>
      <c r="F585" s="65" t="s">
        <v>60</v>
      </c>
      <c r="G585" s="65" t="s">
        <v>44</v>
      </c>
      <c r="H585" s="65" t="s">
        <v>1297</v>
      </c>
      <c r="I585" s="65" t="s">
        <v>69</v>
      </c>
      <c r="J585" s="65" t="s">
        <v>139</v>
      </c>
      <c r="K585" s="65" t="s">
        <v>75</v>
      </c>
      <c r="L585" s="65" t="s">
        <v>113</v>
      </c>
      <c r="M585" s="67">
        <v>663</v>
      </c>
      <c r="N585" s="65" t="s">
        <v>140</v>
      </c>
      <c r="O585" s="68">
        <v>131.02000000000001</v>
      </c>
      <c r="P585" s="68">
        <v>86866.26</v>
      </c>
      <c r="Q585" s="68">
        <v>5539.57</v>
      </c>
      <c r="R585" s="62">
        <f t="shared" si="66"/>
        <v>6.3771250195415338E-2</v>
      </c>
      <c r="S585" s="67">
        <v>5</v>
      </c>
      <c r="T585" s="66">
        <v>45027</v>
      </c>
      <c r="U585" s="66">
        <v>45032</v>
      </c>
      <c r="V585" s="63">
        <f t="shared" si="67"/>
        <v>5</v>
      </c>
      <c r="W585" s="65" t="s">
        <v>125</v>
      </c>
      <c r="X585" s="64" t="b">
        <f t="shared" si="68"/>
        <v>0</v>
      </c>
      <c r="Y585" s="67">
        <v>459</v>
      </c>
      <c r="Z585" s="67">
        <v>4</v>
      </c>
      <c r="AA585" s="65" t="s">
        <v>81</v>
      </c>
      <c r="AB585" s="64" t="b">
        <f t="shared" si="69"/>
        <v>1</v>
      </c>
    </row>
    <row r="586" spans="1:28" ht="15" customHeight="1" x14ac:dyDescent="0.3">
      <c r="A586" s="57" t="s">
        <v>1298</v>
      </c>
      <c r="B586" s="82">
        <v>45167</v>
      </c>
      <c r="C586" s="59">
        <f t="shared" si="63"/>
        <v>2023</v>
      </c>
      <c r="D586" s="59">
        <f t="shared" si="64"/>
        <v>8</v>
      </c>
      <c r="E586" s="59">
        <f t="shared" si="65"/>
        <v>35</v>
      </c>
      <c r="F586" s="57" t="s">
        <v>54</v>
      </c>
      <c r="G586" s="57" t="s">
        <v>43</v>
      </c>
      <c r="H586" s="57" t="s">
        <v>1299</v>
      </c>
      <c r="I586" s="57" t="s">
        <v>68</v>
      </c>
      <c r="J586" s="57" t="s">
        <v>123</v>
      </c>
      <c r="K586" s="57" t="s">
        <v>73</v>
      </c>
      <c r="L586" s="57" t="s">
        <v>135</v>
      </c>
      <c r="M586" s="60">
        <v>758</v>
      </c>
      <c r="N586" s="57" t="s">
        <v>114</v>
      </c>
      <c r="O586" s="61">
        <v>224.59</v>
      </c>
      <c r="P586" s="61">
        <v>170239.22</v>
      </c>
      <c r="Q586" s="61">
        <v>3612.56</v>
      </c>
      <c r="R586" s="62">
        <f t="shared" si="66"/>
        <v>2.1220491964190156E-2</v>
      </c>
      <c r="S586" s="60">
        <v>22</v>
      </c>
      <c r="T586" s="58">
        <v>45189</v>
      </c>
      <c r="U586" s="58">
        <v>45192</v>
      </c>
      <c r="V586" s="63">
        <f t="shared" si="67"/>
        <v>3</v>
      </c>
      <c r="W586" s="57" t="s">
        <v>125</v>
      </c>
      <c r="X586" s="64" t="b">
        <f t="shared" si="68"/>
        <v>0</v>
      </c>
      <c r="Y586" s="60">
        <v>264</v>
      </c>
      <c r="Z586" s="60">
        <v>117</v>
      </c>
      <c r="AA586" s="57" t="s">
        <v>116</v>
      </c>
      <c r="AB586" s="64" t="b">
        <f t="shared" si="69"/>
        <v>0</v>
      </c>
    </row>
    <row r="587" spans="1:28" ht="15" customHeight="1" x14ac:dyDescent="0.3">
      <c r="A587" s="65" t="s">
        <v>1300</v>
      </c>
      <c r="B587" s="81">
        <v>45615</v>
      </c>
      <c r="C587" s="59">
        <f t="shared" si="63"/>
        <v>2024</v>
      </c>
      <c r="D587" s="59">
        <f t="shared" si="64"/>
        <v>11</v>
      </c>
      <c r="E587" s="59">
        <f t="shared" si="65"/>
        <v>47</v>
      </c>
      <c r="F587" s="65" t="s">
        <v>52</v>
      </c>
      <c r="G587" s="65" t="s">
        <v>46</v>
      </c>
      <c r="H587" s="65" t="s">
        <v>1301</v>
      </c>
      <c r="I587" s="65" t="s">
        <v>64</v>
      </c>
      <c r="J587" s="65" t="s">
        <v>123</v>
      </c>
      <c r="K587" s="65" t="s">
        <v>73</v>
      </c>
      <c r="L587" s="65" t="s">
        <v>124</v>
      </c>
      <c r="M587" s="67">
        <v>546</v>
      </c>
      <c r="N587" s="65" t="s">
        <v>114</v>
      </c>
      <c r="O587" s="68">
        <v>58.05</v>
      </c>
      <c r="P587" s="68">
        <v>31695.3</v>
      </c>
      <c r="Q587" s="68">
        <v>1024.1099999999999</v>
      </c>
      <c r="R587" s="62">
        <f t="shared" si="66"/>
        <v>3.2311099752960218E-2</v>
      </c>
      <c r="S587" s="67">
        <v>25</v>
      </c>
      <c r="T587" s="66">
        <v>45640</v>
      </c>
      <c r="U587" s="66">
        <v>45652</v>
      </c>
      <c r="V587" s="63">
        <f t="shared" si="67"/>
        <v>12</v>
      </c>
      <c r="W587" s="65" t="s">
        <v>125</v>
      </c>
      <c r="X587" s="64" t="b">
        <f t="shared" si="68"/>
        <v>0</v>
      </c>
      <c r="Y587" s="67">
        <v>26</v>
      </c>
      <c r="Z587" s="67">
        <v>139</v>
      </c>
      <c r="AA587" s="65" t="s">
        <v>116</v>
      </c>
      <c r="AB587" s="64" t="b">
        <f t="shared" si="69"/>
        <v>0</v>
      </c>
    </row>
    <row r="588" spans="1:28" ht="15" customHeight="1" x14ac:dyDescent="0.3">
      <c r="A588" s="57" t="s">
        <v>1302</v>
      </c>
      <c r="B588" s="82">
        <v>45244</v>
      </c>
      <c r="C588" s="59">
        <f t="shared" si="63"/>
        <v>2023</v>
      </c>
      <c r="D588" s="59">
        <f t="shared" si="64"/>
        <v>11</v>
      </c>
      <c r="E588" s="59">
        <f t="shared" si="65"/>
        <v>46</v>
      </c>
      <c r="F588" s="57" t="s">
        <v>57</v>
      </c>
      <c r="G588" s="57" t="s">
        <v>45</v>
      </c>
      <c r="H588" s="57" t="s">
        <v>1303</v>
      </c>
      <c r="I588" s="57" t="s">
        <v>66</v>
      </c>
      <c r="J588" s="57" t="s">
        <v>112</v>
      </c>
      <c r="K588" s="57" t="s">
        <v>73</v>
      </c>
      <c r="L588" s="57" t="s">
        <v>156</v>
      </c>
      <c r="M588" s="60">
        <v>520</v>
      </c>
      <c r="N588" s="57" t="s">
        <v>140</v>
      </c>
      <c r="O588" s="61">
        <v>223.09</v>
      </c>
      <c r="P588" s="61">
        <v>116006.8</v>
      </c>
      <c r="Q588" s="61">
        <v>5710.43</v>
      </c>
      <c r="R588" s="62">
        <f t="shared" si="66"/>
        <v>4.9224959226528101E-2</v>
      </c>
      <c r="S588" s="60">
        <v>29</v>
      </c>
      <c r="T588" s="58">
        <v>45273</v>
      </c>
      <c r="U588" s="58">
        <v>45273</v>
      </c>
      <c r="V588" s="63">
        <f t="shared" si="67"/>
        <v>0</v>
      </c>
      <c r="W588" s="57" t="s">
        <v>115</v>
      </c>
      <c r="X588" s="64" t="b">
        <f t="shared" si="68"/>
        <v>1</v>
      </c>
      <c r="Y588" s="60">
        <v>461</v>
      </c>
      <c r="Z588" s="60">
        <v>229</v>
      </c>
      <c r="AA588" s="57" t="s">
        <v>116</v>
      </c>
      <c r="AB588" s="64" t="b">
        <f t="shared" si="69"/>
        <v>0</v>
      </c>
    </row>
    <row r="589" spans="1:28" ht="15" customHeight="1" x14ac:dyDescent="0.3">
      <c r="A589" s="65" t="s">
        <v>1304</v>
      </c>
      <c r="B589" s="81">
        <v>45157</v>
      </c>
      <c r="C589" s="59">
        <f t="shared" si="63"/>
        <v>2023</v>
      </c>
      <c r="D589" s="59">
        <f t="shared" si="64"/>
        <v>8</v>
      </c>
      <c r="E589" s="59">
        <f t="shared" si="65"/>
        <v>33</v>
      </c>
      <c r="F589" s="65" t="s">
        <v>53</v>
      </c>
      <c r="G589" s="65" t="s">
        <v>43</v>
      </c>
      <c r="H589" s="65" t="s">
        <v>1305</v>
      </c>
      <c r="I589" s="65" t="s">
        <v>66</v>
      </c>
      <c r="J589" s="65" t="s">
        <v>143</v>
      </c>
      <c r="K589" s="65" t="s">
        <v>74</v>
      </c>
      <c r="L589" s="65" t="s">
        <v>113</v>
      </c>
      <c r="M589" s="67">
        <v>811</v>
      </c>
      <c r="N589" s="65" t="s">
        <v>114</v>
      </c>
      <c r="O589" s="68">
        <v>171.61</v>
      </c>
      <c r="P589" s="68">
        <v>139175.71</v>
      </c>
      <c r="Q589" s="68">
        <v>10117.4</v>
      </c>
      <c r="R589" s="62">
        <f t="shared" si="66"/>
        <v>7.2695156360258556E-2</v>
      </c>
      <c r="S589" s="67">
        <v>14</v>
      </c>
      <c r="T589" s="66">
        <v>45171</v>
      </c>
      <c r="U589" s="66">
        <v>45168</v>
      </c>
      <c r="V589" s="63">
        <f t="shared" si="67"/>
        <v>-3</v>
      </c>
      <c r="W589" s="65" t="s">
        <v>115</v>
      </c>
      <c r="X589" s="64" t="b">
        <f t="shared" si="68"/>
        <v>1</v>
      </c>
      <c r="Y589" s="67">
        <v>385</v>
      </c>
      <c r="Z589" s="67">
        <v>159</v>
      </c>
      <c r="AA589" s="65" t="s">
        <v>81</v>
      </c>
      <c r="AB589" s="64" t="b">
        <f t="shared" si="69"/>
        <v>1</v>
      </c>
    </row>
    <row r="590" spans="1:28" ht="15" customHeight="1" x14ac:dyDescent="0.3">
      <c r="A590" s="57" t="s">
        <v>1306</v>
      </c>
      <c r="B590" s="82">
        <v>45130</v>
      </c>
      <c r="C590" s="59">
        <f t="shared" si="63"/>
        <v>2023</v>
      </c>
      <c r="D590" s="59">
        <f t="shared" si="64"/>
        <v>7</v>
      </c>
      <c r="E590" s="59">
        <f t="shared" si="65"/>
        <v>30</v>
      </c>
      <c r="F590" s="57" t="s">
        <v>55</v>
      </c>
      <c r="G590" s="57" t="s">
        <v>39</v>
      </c>
      <c r="H590" s="57" t="s">
        <v>1307</v>
      </c>
      <c r="I590" s="57" t="s">
        <v>64</v>
      </c>
      <c r="J590" s="57" t="s">
        <v>143</v>
      </c>
      <c r="K590" s="57" t="s">
        <v>72</v>
      </c>
      <c r="L590" s="57" t="s">
        <v>156</v>
      </c>
      <c r="M590" s="60">
        <v>588</v>
      </c>
      <c r="N590" s="57" t="s">
        <v>140</v>
      </c>
      <c r="O590" s="61">
        <v>2016.21</v>
      </c>
      <c r="P590" s="61">
        <v>1185531.48</v>
      </c>
      <c r="Q590" s="61">
        <v>61215.28</v>
      </c>
      <c r="R590" s="62">
        <f t="shared" si="66"/>
        <v>5.1635305373755234E-2</v>
      </c>
      <c r="S590" s="60">
        <v>28</v>
      </c>
      <c r="T590" s="58">
        <v>45158</v>
      </c>
      <c r="U590" s="58">
        <v>45158</v>
      </c>
      <c r="V590" s="63">
        <f t="shared" si="67"/>
        <v>0</v>
      </c>
      <c r="W590" s="57" t="s">
        <v>115</v>
      </c>
      <c r="X590" s="64" t="b">
        <f t="shared" si="68"/>
        <v>1</v>
      </c>
      <c r="Y590" s="60">
        <v>84</v>
      </c>
      <c r="Z590" s="60">
        <v>293</v>
      </c>
      <c r="AA590" s="57" t="s">
        <v>116</v>
      </c>
      <c r="AB590" s="64" t="b">
        <f t="shared" si="69"/>
        <v>0</v>
      </c>
    </row>
    <row r="591" spans="1:28" ht="15" customHeight="1" x14ac:dyDescent="0.3">
      <c r="A591" s="65" t="s">
        <v>1308</v>
      </c>
      <c r="B591" s="81">
        <v>45077</v>
      </c>
      <c r="C591" s="59">
        <f t="shared" si="63"/>
        <v>2023</v>
      </c>
      <c r="D591" s="59">
        <f t="shared" si="64"/>
        <v>5</v>
      </c>
      <c r="E591" s="59">
        <f t="shared" si="65"/>
        <v>22</v>
      </c>
      <c r="F591" s="65" t="s">
        <v>56</v>
      </c>
      <c r="G591" s="65" t="s">
        <v>41</v>
      </c>
      <c r="H591" s="65" t="s">
        <v>1309</v>
      </c>
      <c r="I591" s="65" t="s">
        <v>69</v>
      </c>
      <c r="J591" s="65" t="s">
        <v>143</v>
      </c>
      <c r="K591" s="65" t="s">
        <v>74</v>
      </c>
      <c r="L591" s="65" t="s">
        <v>135</v>
      </c>
      <c r="M591" s="67">
        <v>259</v>
      </c>
      <c r="N591" s="65" t="s">
        <v>114</v>
      </c>
      <c r="O591" s="68">
        <v>424.31</v>
      </c>
      <c r="P591" s="68">
        <v>109896.29</v>
      </c>
      <c r="Q591" s="68">
        <v>8329.2800000000007</v>
      </c>
      <c r="R591" s="62">
        <f t="shared" si="66"/>
        <v>7.5792185523278363E-2</v>
      </c>
      <c r="S591" s="67">
        <v>5</v>
      </c>
      <c r="T591" s="66">
        <v>45082</v>
      </c>
      <c r="U591" s="66">
        <v>45094</v>
      </c>
      <c r="V591" s="63">
        <f t="shared" si="67"/>
        <v>12</v>
      </c>
      <c r="W591" s="65" t="s">
        <v>125</v>
      </c>
      <c r="X591" s="64" t="b">
        <f t="shared" si="68"/>
        <v>0</v>
      </c>
      <c r="Y591" s="67">
        <v>195</v>
      </c>
      <c r="Z591" s="67">
        <v>248</v>
      </c>
      <c r="AA591" s="65" t="s">
        <v>84</v>
      </c>
      <c r="AB591" s="64" t="b">
        <f t="shared" si="69"/>
        <v>1</v>
      </c>
    </row>
    <row r="592" spans="1:28" ht="15" customHeight="1" x14ac:dyDescent="0.3">
      <c r="A592" s="57" t="s">
        <v>1310</v>
      </c>
      <c r="B592" s="82">
        <v>44952</v>
      </c>
      <c r="C592" s="59">
        <f t="shared" si="63"/>
        <v>2023</v>
      </c>
      <c r="D592" s="59">
        <f t="shared" si="64"/>
        <v>1</v>
      </c>
      <c r="E592" s="59">
        <f t="shared" si="65"/>
        <v>4</v>
      </c>
      <c r="F592" s="57" t="s">
        <v>59</v>
      </c>
      <c r="G592" s="57" t="s">
        <v>39</v>
      </c>
      <c r="H592" s="57" t="s">
        <v>1311</v>
      </c>
      <c r="I592" s="57" t="s">
        <v>66</v>
      </c>
      <c r="J592" s="57" t="s">
        <v>143</v>
      </c>
      <c r="K592" s="57" t="s">
        <v>72</v>
      </c>
      <c r="L592" s="57" t="s">
        <v>124</v>
      </c>
      <c r="M592" s="60">
        <v>929</v>
      </c>
      <c r="N592" s="57" t="s">
        <v>140</v>
      </c>
      <c r="O592" s="61">
        <v>1151.96</v>
      </c>
      <c r="P592" s="61">
        <v>1070170.8400000001</v>
      </c>
      <c r="Q592" s="61">
        <v>52468.14</v>
      </c>
      <c r="R592" s="62">
        <f t="shared" si="66"/>
        <v>4.9027816904448636E-2</v>
      </c>
      <c r="S592" s="60">
        <v>15</v>
      </c>
      <c r="T592" s="58">
        <v>44967</v>
      </c>
      <c r="U592" s="58">
        <v>44967</v>
      </c>
      <c r="V592" s="63">
        <f t="shared" si="67"/>
        <v>0</v>
      </c>
      <c r="W592" s="57" t="s">
        <v>115</v>
      </c>
      <c r="X592" s="64" t="b">
        <f t="shared" si="68"/>
        <v>1</v>
      </c>
      <c r="Y592" s="60">
        <v>315</v>
      </c>
      <c r="Z592" s="60">
        <v>272</v>
      </c>
      <c r="AA592" s="57" t="s">
        <v>82</v>
      </c>
      <c r="AB592" s="64" t="b">
        <f t="shared" si="69"/>
        <v>1</v>
      </c>
    </row>
    <row r="593" spans="1:28" ht="15" customHeight="1" x14ac:dyDescent="0.3">
      <c r="A593" s="65" t="s">
        <v>1312</v>
      </c>
      <c r="B593" s="81">
        <v>44974</v>
      </c>
      <c r="C593" s="59">
        <f t="shared" si="63"/>
        <v>2023</v>
      </c>
      <c r="D593" s="59">
        <f t="shared" si="64"/>
        <v>2</v>
      </c>
      <c r="E593" s="59">
        <f t="shared" si="65"/>
        <v>7</v>
      </c>
      <c r="F593" s="65" t="s">
        <v>55</v>
      </c>
      <c r="G593" s="65" t="s">
        <v>42</v>
      </c>
      <c r="H593" s="65" t="s">
        <v>1313</v>
      </c>
      <c r="I593" s="65" t="s">
        <v>69</v>
      </c>
      <c r="J593" s="65" t="s">
        <v>131</v>
      </c>
      <c r="K593" s="65" t="s">
        <v>75</v>
      </c>
      <c r="L593" s="65" t="s">
        <v>156</v>
      </c>
      <c r="M593" s="67">
        <v>519</v>
      </c>
      <c r="N593" s="65" t="s">
        <v>140</v>
      </c>
      <c r="O593" s="68">
        <v>83.92</v>
      </c>
      <c r="P593" s="68">
        <v>43554.48</v>
      </c>
      <c r="Q593" s="68">
        <v>2152.7600000000002</v>
      </c>
      <c r="R593" s="62">
        <f t="shared" si="66"/>
        <v>4.9426832785054491E-2</v>
      </c>
      <c r="S593" s="67">
        <v>17</v>
      </c>
      <c r="T593" s="66">
        <v>44991</v>
      </c>
      <c r="U593" s="66">
        <v>44999</v>
      </c>
      <c r="V593" s="63">
        <f t="shared" si="67"/>
        <v>8</v>
      </c>
      <c r="W593" s="65" t="s">
        <v>128</v>
      </c>
      <c r="X593" s="64" t="b">
        <f t="shared" si="68"/>
        <v>0</v>
      </c>
      <c r="Y593" s="67">
        <v>242</v>
      </c>
      <c r="Z593" s="67">
        <v>185</v>
      </c>
      <c r="AA593" s="65" t="s">
        <v>82</v>
      </c>
      <c r="AB593" s="64" t="b">
        <f t="shared" si="69"/>
        <v>1</v>
      </c>
    </row>
    <row r="594" spans="1:28" ht="15" customHeight="1" x14ac:dyDescent="0.3">
      <c r="A594" s="57" t="s">
        <v>1314</v>
      </c>
      <c r="B594" s="82">
        <v>45177</v>
      </c>
      <c r="C594" s="59">
        <f t="shared" si="63"/>
        <v>2023</v>
      </c>
      <c r="D594" s="59">
        <f t="shared" si="64"/>
        <v>9</v>
      </c>
      <c r="E594" s="59">
        <f t="shared" si="65"/>
        <v>36</v>
      </c>
      <c r="F594" s="57" t="s">
        <v>60</v>
      </c>
      <c r="G594" s="57" t="s">
        <v>42</v>
      </c>
      <c r="H594" s="57" t="s">
        <v>1315</v>
      </c>
      <c r="I594" s="57" t="s">
        <v>66</v>
      </c>
      <c r="J594" s="57" t="s">
        <v>131</v>
      </c>
      <c r="K594" s="57" t="s">
        <v>75</v>
      </c>
      <c r="L594" s="57" t="s">
        <v>146</v>
      </c>
      <c r="M594" s="60">
        <v>639</v>
      </c>
      <c r="N594" s="57" t="s">
        <v>114</v>
      </c>
      <c r="O594" s="61">
        <v>98.13</v>
      </c>
      <c r="P594" s="61">
        <v>62705.07</v>
      </c>
      <c r="Q594" s="61">
        <v>1704.63</v>
      </c>
      <c r="R594" s="62">
        <f t="shared" si="66"/>
        <v>2.7184883136244009E-2</v>
      </c>
      <c r="S594" s="60">
        <v>14</v>
      </c>
      <c r="T594" s="58">
        <v>45191</v>
      </c>
      <c r="U594" s="58">
        <v>45192</v>
      </c>
      <c r="V594" s="63">
        <f t="shared" si="67"/>
        <v>1</v>
      </c>
      <c r="W594" s="57" t="s">
        <v>125</v>
      </c>
      <c r="X594" s="64" t="b">
        <f t="shared" si="68"/>
        <v>0</v>
      </c>
      <c r="Y594" s="60">
        <v>468</v>
      </c>
      <c r="Z594" s="60">
        <v>364</v>
      </c>
      <c r="AA594" s="57" t="s">
        <v>116</v>
      </c>
      <c r="AB594" s="64" t="b">
        <f t="shared" si="69"/>
        <v>0</v>
      </c>
    </row>
    <row r="595" spans="1:28" ht="15" customHeight="1" x14ac:dyDescent="0.3">
      <c r="A595" s="65" t="s">
        <v>1316</v>
      </c>
      <c r="B595" s="81">
        <v>45413</v>
      </c>
      <c r="C595" s="59">
        <f t="shared" si="63"/>
        <v>2024</v>
      </c>
      <c r="D595" s="59">
        <f t="shared" si="64"/>
        <v>5</v>
      </c>
      <c r="E595" s="59">
        <f t="shared" si="65"/>
        <v>18</v>
      </c>
      <c r="F595" s="65" t="s">
        <v>54</v>
      </c>
      <c r="G595" s="65" t="s">
        <v>46</v>
      </c>
      <c r="H595" s="65" t="s">
        <v>1317</v>
      </c>
      <c r="I595" s="65" t="s">
        <v>67</v>
      </c>
      <c r="J595" s="65" t="s">
        <v>151</v>
      </c>
      <c r="K595" s="65" t="s">
        <v>75</v>
      </c>
      <c r="L595" s="65" t="s">
        <v>156</v>
      </c>
      <c r="M595" s="67">
        <v>82</v>
      </c>
      <c r="N595" s="65" t="s">
        <v>140</v>
      </c>
      <c r="O595" s="68">
        <v>63.01</v>
      </c>
      <c r="P595" s="68">
        <v>5166.82</v>
      </c>
      <c r="Q595" s="68">
        <v>352.17</v>
      </c>
      <c r="R595" s="62">
        <f t="shared" si="66"/>
        <v>6.8159912673559378E-2</v>
      </c>
      <c r="S595" s="67">
        <v>20</v>
      </c>
      <c r="T595" s="66">
        <v>45433</v>
      </c>
      <c r="U595" s="66">
        <v>45433</v>
      </c>
      <c r="V595" s="63">
        <f t="shared" si="67"/>
        <v>0</v>
      </c>
      <c r="W595" s="65" t="s">
        <v>115</v>
      </c>
      <c r="X595" s="64" t="b">
        <f t="shared" si="68"/>
        <v>1</v>
      </c>
      <c r="Y595" s="67">
        <v>367</v>
      </c>
      <c r="Z595" s="67">
        <v>39</v>
      </c>
      <c r="AA595" s="65" t="s">
        <v>116</v>
      </c>
      <c r="AB595" s="64" t="b">
        <f t="shared" si="69"/>
        <v>0</v>
      </c>
    </row>
    <row r="596" spans="1:28" ht="15" customHeight="1" x14ac:dyDescent="0.3">
      <c r="A596" s="57" t="s">
        <v>1318</v>
      </c>
      <c r="B596" s="82">
        <v>45552</v>
      </c>
      <c r="C596" s="59">
        <f t="shared" si="63"/>
        <v>2024</v>
      </c>
      <c r="D596" s="59">
        <f t="shared" si="64"/>
        <v>9</v>
      </c>
      <c r="E596" s="59">
        <f t="shared" si="65"/>
        <v>38</v>
      </c>
      <c r="F596" s="57" t="s">
        <v>57</v>
      </c>
      <c r="G596" s="57" t="s">
        <v>39</v>
      </c>
      <c r="H596" s="57" t="s">
        <v>1319</v>
      </c>
      <c r="I596" s="57" t="s">
        <v>66</v>
      </c>
      <c r="J596" s="57" t="s">
        <v>123</v>
      </c>
      <c r="K596" s="57" t="s">
        <v>75</v>
      </c>
      <c r="L596" s="57" t="s">
        <v>119</v>
      </c>
      <c r="M596" s="60">
        <v>291</v>
      </c>
      <c r="N596" s="57" t="s">
        <v>114</v>
      </c>
      <c r="O596" s="61">
        <v>1382.1</v>
      </c>
      <c r="P596" s="61">
        <v>402191.1</v>
      </c>
      <c r="Q596" s="61">
        <v>14003.46</v>
      </c>
      <c r="R596" s="62">
        <f t="shared" si="66"/>
        <v>3.4817926105276821E-2</v>
      </c>
      <c r="S596" s="60">
        <v>5</v>
      </c>
      <c r="T596" s="58">
        <v>45557</v>
      </c>
      <c r="U596" s="58">
        <v>45554</v>
      </c>
      <c r="V596" s="63">
        <f t="shared" si="67"/>
        <v>-3</v>
      </c>
      <c r="W596" s="57" t="s">
        <v>115</v>
      </c>
      <c r="X596" s="64" t="b">
        <f t="shared" si="68"/>
        <v>1</v>
      </c>
      <c r="Y596" s="60">
        <v>341</v>
      </c>
      <c r="Z596" s="60">
        <v>223</v>
      </c>
      <c r="AA596" s="57" t="s">
        <v>84</v>
      </c>
      <c r="AB596" s="64" t="b">
        <f t="shared" si="69"/>
        <v>1</v>
      </c>
    </row>
    <row r="597" spans="1:28" ht="15" customHeight="1" x14ac:dyDescent="0.3">
      <c r="A597" s="65" t="s">
        <v>1320</v>
      </c>
      <c r="B597" s="81">
        <v>45001</v>
      </c>
      <c r="C597" s="59">
        <f t="shared" si="63"/>
        <v>2023</v>
      </c>
      <c r="D597" s="59">
        <f t="shared" si="64"/>
        <v>3</v>
      </c>
      <c r="E597" s="59">
        <f t="shared" si="65"/>
        <v>11</v>
      </c>
      <c r="F597" s="65" t="s">
        <v>59</v>
      </c>
      <c r="G597" s="65" t="s">
        <v>40</v>
      </c>
      <c r="H597" s="65" t="s">
        <v>1321</v>
      </c>
      <c r="I597" s="65" t="s">
        <v>67</v>
      </c>
      <c r="J597" s="65" t="s">
        <v>123</v>
      </c>
      <c r="K597" s="65" t="s">
        <v>75</v>
      </c>
      <c r="L597" s="65" t="s">
        <v>119</v>
      </c>
      <c r="M597" s="67">
        <v>925</v>
      </c>
      <c r="N597" s="65" t="s">
        <v>140</v>
      </c>
      <c r="O597" s="68">
        <v>917.23</v>
      </c>
      <c r="P597" s="68">
        <v>848437.75</v>
      </c>
      <c r="Q597" s="68">
        <v>62764.67</v>
      </c>
      <c r="R597" s="62">
        <f t="shared" si="66"/>
        <v>7.3976753156021161E-2</v>
      </c>
      <c r="S597" s="67">
        <v>12</v>
      </c>
      <c r="T597" s="66">
        <v>45013</v>
      </c>
      <c r="U597" s="66">
        <v>45025</v>
      </c>
      <c r="V597" s="63">
        <f t="shared" si="67"/>
        <v>12</v>
      </c>
      <c r="W597" s="65" t="s">
        <v>128</v>
      </c>
      <c r="X597" s="64" t="b">
        <f t="shared" si="68"/>
        <v>0</v>
      </c>
      <c r="Y597" s="67">
        <v>176</v>
      </c>
      <c r="Z597" s="67">
        <v>151</v>
      </c>
      <c r="AA597" s="65" t="s">
        <v>81</v>
      </c>
      <c r="AB597" s="64" t="b">
        <f t="shared" si="69"/>
        <v>1</v>
      </c>
    </row>
    <row r="598" spans="1:28" ht="15" customHeight="1" x14ac:dyDescent="0.3">
      <c r="A598" s="57" t="s">
        <v>1322</v>
      </c>
      <c r="B598" s="82">
        <v>45393</v>
      </c>
      <c r="C598" s="59">
        <f t="shared" si="63"/>
        <v>2024</v>
      </c>
      <c r="D598" s="59">
        <f t="shared" si="64"/>
        <v>4</v>
      </c>
      <c r="E598" s="59">
        <f t="shared" si="65"/>
        <v>15</v>
      </c>
      <c r="F598" s="57" t="s">
        <v>52</v>
      </c>
      <c r="G598" s="57" t="s">
        <v>46</v>
      </c>
      <c r="H598" s="57" t="s">
        <v>1323</v>
      </c>
      <c r="I598" s="57" t="s">
        <v>68</v>
      </c>
      <c r="J598" s="57" t="s">
        <v>123</v>
      </c>
      <c r="K598" s="57" t="s">
        <v>71</v>
      </c>
      <c r="L598" s="57" t="s">
        <v>135</v>
      </c>
      <c r="M598" s="60">
        <v>969</v>
      </c>
      <c r="N598" s="57" t="s">
        <v>136</v>
      </c>
      <c r="O598" s="61">
        <v>58.66</v>
      </c>
      <c r="P598" s="61">
        <v>56841.54</v>
      </c>
      <c r="Q598" s="61">
        <v>4243.1899999999996</v>
      </c>
      <c r="R598" s="62">
        <f t="shared" si="66"/>
        <v>7.4649455310324103E-2</v>
      </c>
      <c r="S598" s="60">
        <v>16</v>
      </c>
      <c r="T598" s="58">
        <v>45409</v>
      </c>
      <c r="U598" s="58">
        <v>45417</v>
      </c>
      <c r="V598" s="63">
        <f t="shared" si="67"/>
        <v>8</v>
      </c>
      <c r="W598" s="57" t="s">
        <v>128</v>
      </c>
      <c r="X598" s="64" t="b">
        <f t="shared" si="68"/>
        <v>0</v>
      </c>
      <c r="Y598" s="60">
        <v>129</v>
      </c>
      <c r="Z598" s="60">
        <v>139</v>
      </c>
      <c r="AA598" s="57" t="s">
        <v>116</v>
      </c>
      <c r="AB598" s="64" t="b">
        <f t="shared" si="69"/>
        <v>0</v>
      </c>
    </row>
    <row r="599" spans="1:28" ht="15" customHeight="1" x14ac:dyDescent="0.3">
      <c r="A599" s="65" t="s">
        <v>1324</v>
      </c>
      <c r="B599" s="81">
        <v>45351</v>
      </c>
      <c r="C599" s="59">
        <f t="shared" si="63"/>
        <v>2024</v>
      </c>
      <c r="D599" s="59">
        <f t="shared" si="64"/>
        <v>2</v>
      </c>
      <c r="E599" s="59">
        <f t="shared" si="65"/>
        <v>9</v>
      </c>
      <c r="F599" s="65" t="s">
        <v>60</v>
      </c>
      <c r="G599" s="65" t="s">
        <v>40</v>
      </c>
      <c r="H599" s="65" t="s">
        <v>1325</v>
      </c>
      <c r="I599" s="65" t="s">
        <v>69</v>
      </c>
      <c r="J599" s="65" t="s">
        <v>123</v>
      </c>
      <c r="K599" s="65" t="s">
        <v>74</v>
      </c>
      <c r="L599" s="65" t="s">
        <v>135</v>
      </c>
      <c r="M599" s="67">
        <v>369</v>
      </c>
      <c r="N599" s="65" t="s">
        <v>132</v>
      </c>
      <c r="O599" s="68">
        <v>1157.04</v>
      </c>
      <c r="P599" s="68">
        <v>426947.76</v>
      </c>
      <c r="Q599" s="68">
        <v>32703.599999999999</v>
      </c>
      <c r="R599" s="62">
        <f t="shared" si="66"/>
        <v>7.6598598385900885E-2</v>
      </c>
      <c r="S599" s="67">
        <v>26</v>
      </c>
      <c r="T599" s="66">
        <v>45377</v>
      </c>
      <c r="U599" s="66">
        <v>45385</v>
      </c>
      <c r="V599" s="63">
        <f t="shared" si="67"/>
        <v>8</v>
      </c>
      <c r="W599" s="65" t="s">
        <v>128</v>
      </c>
      <c r="X599" s="64" t="b">
        <f t="shared" si="68"/>
        <v>0</v>
      </c>
      <c r="Y599" s="67">
        <v>144</v>
      </c>
      <c r="Z599" s="67">
        <v>366</v>
      </c>
      <c r="AA599" s="65" t="s">
        <v>84</v>
      </c>
      <c r="AB599" s="64" t="b">
        <f t="shared" si="69"/>
        <v>1</v>
      </c>
    </row>
    <row r="600" spans="1:28" ht="15" customHeight="1" x14ac:dyDescent="0.3">
      <c r="A600" s="57" t="s">
        <v>1326</v>
      </c>
      <c r="B600" s="82">
        <v>45571</v>
      </c>
      <c r="C600" s="59">
        <f t="shared" si="63"/>
        <v>2024</v>
      </c>
      <c r="D600" s="59">
        <f t="shared" si="64"/>
        <v>10</v>
      </c>
      <c r="E600" s="59">
        <f t="shared" si="65"/>
        <v>41</v>
      </c>
      <c r="F600" s="57" t="s">
        <v>54</v>
      </c>
      <c r="G600" s="57" t="s">
        <v>46</v>
      </c>
      <c r="H600" s="57" t="s">
        <v>1327</v>
      </c>
      <c r="I600" s="57" t="s">
        <v>66</v>
      </c>
      <c r="J600" s="57" t="s">
        <v>143</v>
      </c>
      <c r="K600" s="57" t="s">
        <v>72</v>
      </c>
      <c r="L600" s="57" t="s">
        <v>135</v>
      </c>
      <c r="M600" s="60">
        <v>19</v>
      </c>
      <c r="N600" s="57" t="s">
        <v>114</v>
      </c>
      <c r="O600" s="61">
        <v>86.29</v>
      </c>
      <c r="P600" s="61">
        <v>3302.8089</v>
      </c>
      <c r="Q600" s="61">
        <v>142.36009999999999</v>
      </c>
      <c r="R600" s="62">
        <f t="shared" si="66"/>
        <v>4.3102735977246516E-2</v>
      </c>
      <c r="S600" s="60">
        <v>26</v>
      </c>
      <c r="T600" s="58">
        <v>45597</v>
      </c>
      <c r="U600" s="58">
        <v>45597</v>
      </c>
      <c r="V600" s="63">
        <f t="shared" si="67"/>
        <v>0</v>
      </c>
      <c r="W600" s="57" t="s">
        <v>115</v>
      </c>
      <c r="X600" s="64" t="b">
        <f t="shared" si="68"/>
        <v>1</v>
      </c>
      <c r="Y600" s="60">
        <v>82</v>
      </c>
      <c r="Z600" s="60">
        <v>127</v>
      </c>
      <c r="AA600" s="57" t="s">
        <v>116</v>
      </c>
      <c r="AB600" s="64" t="b">
        <f t="shared" si="69"/>
        <v>0</v>
      </c>
    </row>
    <row r="601" spans="1:28" ht="15" customHeight="1" x14ac:dyDescent="0.3">
      <c r="A601" s="65" t="s">
        <v>1328</v>
      </c>
      <c r="B601" s="81">
        <v>45516</v>
      </c>
      <c r="C601" s="59">
        <f t="shared" si="63"/>
        <v>2024</v>
      </c>
      <c r="D601" s="59">
        <f t="shared" si="64"/>
        <v>8</v>
      </c>
      <c r="E601" s="59">
        <f t="shared" si="65"/>
        <v>33</v>
      </c>
      <c r="F601" s="65" t="s">
        <v>59</v>
      </c>
      <c r="G601" s="65" t="s">
        <v>42</v>
      </c>
      <c r="H601" s="65" t="s">
        <v>1329</v>
      </c>
      <c r="I601" s="65" t="s">
        <v>65</v>
      </c>
      <c r="J601" s="65" t="s">
        <v>143</v>
      </c>
      <c r="K601" s="65" t="s">
        <v>75</v>
      </c>
      <c r="L601" s="65" t="s">
        <v>146</v>
      </c>
      <c r="M601" s="67">
        <v>220</v>
      </c>
      <c r="N601" s="65" t="s">
        <v>140</v>
      </c>
      <c r="O601" s="68">
        <v>88.15</v>
      </c>
      <c r="P601" s="68">
        <v>19393</v>
      </c>
      <c r="Q601" s="68">
        <v>1175.71</v>
      </c>
      <c r="R601" s="62">
        <f t="shared" si="66"/>
        <v>6.0625483421853248E-2</v>
      </c>
      <c r="S601" s="67">
        <v>16</v>
      </c>
      <c r="T601" s="66">
        <v>45532</v>
      </c>
      <c r="U601" s="66">
        <v>45533</v>
      </c>
      <c r="V601" s="63">
        <f t="shared" si="67"/>
        <v>1</v>
      </c>
      <c r="W601" s="65" t="s">
        <v>128</v>
      </c>
      <c r="X601" s="64" t="b">
        <f t="shared" si="68"/>
        <v>0</v>
      </c>
      <c r="Y601" s="67">
        <v>359</v>
      </c>
      <c r="Z601" s="67">
        <v>350</v>
      </c>
      <c r="AA601" s="65" t="s">
        <v>81</v>
      </c>
      <c r="AB601" s="64" t="b">
        <f t="shared" si="69"/>
        <v>1</v>
      </c>
    </row>
    <row r="602" spans="1:28" ht="15" customHeight="1" x14ac:dyDescent="0.3">
      <c r="A602" s="57" t="s">
        <v>1330</v>
      </c>
      <c r="B602" s="82">
        <v>45126</v>
      </c>
      <c r="C602" s="59">
        <f t="shared" si="63"/>
        <v>2023</v>
      </c>
      <c r="D602" s="59">
        <f t="shared" si="64"/>
        <v>7</v>
      </c>
      <c r="E602" s="59">
        <f t="shared" si="65"/>
        <v>29</v>
      </c>
      <c r="F602" s="57" t="s">
        <v>52</v>
      </c>
      <c r="G602" s="57" t="s">
        <v>46</v>
      </c>
      <c r="H602" s="57" t="s">
        <v>1331</v>
      </c>
      <c r="I602" s="57" t="s">
        <v>65</v>
      </c>
      <c r="J602" s="57" t="s">
        <v>131</v>
      </c>
      <c r="K602" s="57" t="s">
        <v>71</v>
      </c>
      <c r="L602" s="57" t="s">
        <v>124</v>
      </c>
      <c r="M602" s="60">
        <v>844</v>
      </c>
      <c r="N602" s="57" t="s">
        <v>136</v>
      </c>
      <c r="O602" s="61">
        <v>57.74</v>
      </c>
      <c r="P602" s="61">
        <v>48732.56</v>
      </c>
      <c r="Q602" s="61">
        <v>3251</v>
      </c>
      <c r="R602" s="62">
        <f t="shared" si="66"/>
        <v>6.6711044935870392E-2</v>
      </c>
      <c r="S602" s="60">
        <v>21</v>
      </c>
      <c r="T602" s="58">
        <v>45147</v>
      </c>
      <c r="U602" s="58">
        <v>45155</v>
      </c>
      <c r="V602" s="63">
        <f t="shared" si="67"/>
        <v>8</v>
      </c>
      <c r="W602" s="57" t="s">
        <v>125</v>
      </c>
      <c r="X602" s="64" t="b">
        <f t="shared" si="68"/>
        <v>0</v>
      </c>
      <c r="Y602" s="60">
        <v>87</v>
      </c>
      <c r="Z602" s="60">
        <v>146</v>
      </c>
      <c r="AA602" s="57" t="s">
        <v>82</v>
      </c>
      <c r="AB602" s="64" t="b">
        <f t="shared" si="69"/>
        <v>1</v>
      </c>
    </row>
    <row r="603" spans="1:28" ht="15" customHeight="1" x14ac:dyDescent="0.3">
      <c r="A603" s="65" t="s">
        <v>1332</v>
      </c>
      <c r="B603" s="81">
        <v>45640</v>
      </c>
      <c r="C603" s="59">
        <f t="shared" si="63"/>
        <v>2024</v>
      </c>
      <c r="D603" s="59">
        <f t="shared" si="64"/>
        <v>12</v>
      </c>
      <c r="E603" s="59">
        <f t="shared" si="65"/>
        <v>50</v>
      </c>
      <c r="F603" s="65" t="s">
        <v>55</v>
      </c>
      <c r="G603" s="65" t="s">
        <v>42</v>
      </c>
      <c r="H603" s="65" t="s">
        <v>1333</v>
      </c>
      <c r="I603" s="65" t="s">
        <v>64</v>
      </c>
      <c r="J603" s="65" t="s">
        <v>139</v>
      </c>
      <c r="K603" s="65" t="s">
        <v>71</v>
      </c>
      <c r="L603" s="65" t="s">
        <v>146</v>
      </c>
      <c r="M603" s="67">
        <v>161</v>
      </c>
      <c r="N603" s="65" t="s">
        <v>132</v>
      </c>
      <c r="O603" s="68">
        <v>103.18</v>
      </c>
      <c r="P603" s="68">
        <v>16611.98</v>
      </c>
      <c r="Q603" s="68">
        <v>462.82</v>
      </c>
      <c r="R603" s="62">
        <f t="shared" si="66"/>
        <v>2.7860616254052797E-2</v>
      </c>
      <c r="S603" s="67">
        <v>7</v>
      </c>
      <c r="T603" s="66">
        <v>45647</v>
      </c>
      <c r="U603" s="66">
        <v>45648</v>
      </c>
      <c r="V603" s="63">
        <f t="shared" si="67"/>
        <v>1</v>
      </c>
      <c r="W603" s="65" t="s">
        <v>128</v>
      </c>
      <c r="X603" s="64" t="b">
        <f t="shared" si="68"/>
        <v>0</v>
      </c>
      <c r="Y603" s="67">
        <v>19</v>
      </c>
      <c r="Z603" s="67">
        <v>284</v>
      </c>
      <c r="AA603" s="65" t="s">
        <v>84</v>
      </c>
      <c r="AB603" s="64" t="b">
        <f t="shared" si="69"/>
        <v>1</v>
      </c>
    </row>
    <row r="604" spans="1:28" ht="15" customHeight="1" x14ac:dyDescent="0.3">
      <c r="A604" s="57" t="s">
        <v>1334</v>
      </c>
      <c r="B604" s="82">
        <v>45320</v>
      </c>
      <c r="C604" s="59">
        <f t="shared" si="63"/>
        <v>2024</v>
      </c>
      <c r="D604" s="59">
        <f t="shared" si="64"/>
        <v>1</v>
      </c>
      <c r="E604" s="59">
        <f t="shared" si="65"/>
        <v>5</v>
      </c>
      <c r="F604" s="57" t="s">
        <v>60</v>
      </c>
      <c r="G604" s="57" t="s">
        <v>45</v>
      </c>
      <c r="H604" s="57" t="s">
        <v>1335</v>
      </c>
      <c r="I604" s="57" t="s">
        <v>65</v>
      </c>
      <c r="J604" s="57" t="s">
        <v>112</v>
      </c>
      <c r="K604" s="57" t="s">
        <v>71</v>
      </c>
      <c r="L604" s="57" t="s">
        <v>156</v>
      </c>
      <c r="M604" s="60">
        <v>14</v>
      </c>
      <c r="N604" s="57" t="s">
        <v>140</v>
      </c>
      <c r="O604" s="61">
        <v>145.87</v>
      </c>
      <c r="P604" s="61">
        <v>3302.8089</v>
      </c>
      <c r="Q604" s="61">
        <v>142.36009999999999</v>
      </c>
      <c r="R604" s="62">
        <f t="shared" si="66"/>
        <v>4.3102735977246516E-2</v>
      </c>
      <c r="S604" s="60">
        <v>4</v>
      </c>
      <c r="T604" s="58">
        <v>45324</v>
      </c>
      <c r="U604" s="58">
        <v>45324</v>
      </c>
      <c r="V604" s="63">
        <f t="shared" si="67"/>
        <v>0</v>
      </c>
      <c r="W604" s="57" t="s">
        <v>125</v>
      </c>
      <c r="X604" s="64" t="b">
        <f t="shared" si="68"/>
        <v>0</v>
      </c>
      <c r="Y604" s="60">
        <v>229</v>
      </c>
      <c r="Z604" s="60">
        <v>468</v>
      </c>
      <c r="AA604" s="57" t="s">
        <v>116</v>
      </c>
      <c r="AB604" s="64" t="b">
        <f t="shared" si="69"/>
        <v>0</v>
      </c>
    </row>
    <row r="605" spans="1:28" ht="15" customHeight="1" x14ac:dyDescent="0.3">
      <c r="A605" s="65" t="s">
        <v>1336</v>
      </c>
      <c r="B605" s="81">
        <v>45433</v>
      </c>
      <c r="C605" s="59">
        <f t="shared" si="63"/>
        <v>2024</v>
      </c>
      <c r="D605" s="59">
        <f t="shared" si="64"/>
        <v>5</v>
      </c>
      <c r="E605" s="59">
        <f t="shared" si="65"/>
        <v>21</v>
      </c>
      <c r="F605" s="65" t="s">
        <v>61</v>
      </c>
      <c r="G605" s="65" t="s">
        <v>41</v>
      </c>
      <c r="H605" s="65" t="s">
        <v>1337</v>
      </c>
      <c r="I605" s="65" t="s">
        <v>67</v>
      </c>
      <c r="J605" s="65" t="s">
        <v>143</v>
      </c>
      <c r="K605" s="65" t="s">
        <v>74</v>
      </c>
      <c r="L605" s="65" t="s">
        <v>113</v>
      </c>
      <c r="M605" s="67">
        <v>204</v>
      </c>
      <c r="N605" s="65" t="s">
        <v>132</v>
      </c>
      <c r="O605" s="68">
        <v>539.91</v>
      </c>
      <c r="P605" s="68">
        <v>110141.64</v>
      </c>
      <c r="Q605" s="68">
        <v>2429.4899999999998</v>
      </c>
      <c r="R605" s="62">
        <f t="shared" si="66"/>
        <v>2.2057870211484046E-2</v>
      </c>
      <c r="S605" s="67">
        <v>1</v>
      </c>
      <c r="T605" s="66">
        <v>45434</v>
      </c>
      <c r="U605" s="66">
        <v>45446</v>
      </c>
      <c r="V605" s="63">
        <f t="shared" si="67"/>
        <v>12</v>
      </c>
      <c r="W605" s="65" t="s">
        <v>128</v>
      </c>
      <c r="X605" s="64" t="b">
        <f t="shared" si="68"/>
        <v>0</v>
      </c>
      <c r="Y605" s="67">
        <v>459</v>
      </c>
      <c r="Z605" s="67">
        <v>217</v>
      </c>
      <c r="AA605" s="65" t="s">
        <v>81</v>
      </c>
      <c r="AB605" s="64" t="b">
        <f t="shared" si="69"/>
        <v>1</v>
      </c>
    </row>
    <row r="606" spans="1:28" ht="15" customHeight="1" x14ac:dyDescent="0.3">
      <c r="A606" s="57" t="s">
        <v>1338</v>
      </c>
      <c r="B606" s="82">
        <v>45336</v>
      </c>
      <c r="C606" s="59">
        <f t="shared" si="63"/>
        <v>2024</v>
      </c>
      <c r="D606" s="59">
        <f t="shared" si="64"/>
        <v>2</v>
      </c>
      <c r="E606" s="59">
        <f t="shared" si="65"/>
        <v>7</v>
      </c>
      <c r="F606" s="57" t="s">
        <v>52</v>
      </c>
      <c r="G606" s="57" t="s">
        <v>40</v>
      </c>
      <c r="H606" s="57" t="s">
        <v>1339</v>
      </c>
      <c r="I606" s="57" t="s">
        <v>65</v>
      </c>
      <c r="J606" s="57" t="s">
        <v>143</v>
      </c>
      <c r="K606" s="57" t="s">
        <v>75</v>
      </c>
      <c r="L606" s="57" t="s">
        <v>124</v>
      </c>
      <c r="M606" s="60">
        <v>963</v>
      </c>
      <c r="N606" s="57" t="s">
        <v>114</v>
      </c>
      <c r="O606" s="61">
        <v>775.25</v>
      </c>
      <c r="P606" s="61">
        <v>746565.75</v>
      </c>
      <c r="Q606" s="61">
        <v>37219.26</v>
      </c>
      <c r="R606" s="62">
        <f t="shared" si="66"/>
        <v>4.9853961288741151E-2</v>
      </c>
      <c r="S606" s="60">
        <v>5</v>
      </c>
      <c r="T606" s="58">
        <v>45341</v>
      </c>
      <c r="U606" s="58">
        <v>45344</v>
      </c>
      <c r="V606" s="63">
        <f t="shared" si="67"/>
        <v>3</v>
      </c>
      <c r="W606" s="57" t="s">
        <v>125</v>
      </c>
      <c r="X606" s="64" t="b">
        <f t="shared" si="68"/>
        <v>0</v>
      </c>
      <c r="Y606" s="60">
        <v>472</v>
      </c>
      <c r="Z606" s="60">
        <v>435</v>
      </c>
      <c r="AA606" s="57" t="s">
        <v>83</v>
      </c>
      <c r="AB606" s="64" t="b">
        <f t="shared" si="69"/>
        <v>1</v>
      </c>
    </row>
    <row r="607" spans="1:28" ht="15" customHeight="1" x14ac:dyDescent="0.3">
      <c r="A607" s="65" t="s">
        <v>1340</v>
      </c>
      <c r="B607" s="81">
        <v>45176</v>
      </c>
      <c r="C607" s="59">
        <f t="shared" si="63"/>
        <v>2023</v>
      </c>
      <c r="D607" s="59">
        <f t="shared" si="64"/>
        <v>9</v>
      </c>
      <c r="E607" s="59">
        <f t="shared" si="65"/>
        <v>36</v>
      </c>
      <c r="F607" s="65" t="s">
        <v>54</v>
      </c>
      <c r="G607" s="65" t="s">
        <v>39</v>
      </c>
      <c r="H607" s="65" t="s">
        <v>1341</v>
      </c>
      <c r="I607" s="65" t="s">
        <v>65</v>
      </c>
      <c r="J607" s="65" t="s">
        <v>143</v>
      </c>
      <c r="K607" s="65" t="s">
        <v>71</v>
      </c>
      <c r="L607" s="65" t="s">
        <v>119</v>
      </c>
      <c r="M607" s="67">
        <v>292</v>
      </c>
      <c r="N607" s="65" t="s">
        <v>132</v>
      </c>
      <c r="O607" s="68">
        <v>2154.64</v>
      </c>
      <c r="P607" s="68">
        <v>629154.88</v>
      </c>
      <c r="Q607" s="68">
        <v>18428.3</v>
      </c>
      <c r="R607" s="62">
        <f t="shared" si="66"/>
        <v>2.9290561967825791E-2</v>
      </c>
      <c r="S607" s="67">
        <v>23</v>
      </c>
      <c r="T607" s="66">
        <v>45199</v>
      </c>
      <c r="U607" s="66">
        <v>45199</v>
      </c>
      <c r="V607" s="63">
        <f t="shared" si="67"/>
        <v>0</v>
      </c>
      <c r="W607" s="65" t="s">
        <v>128</v>
      </c>
      <c r="X607" s="64" t="b">
        <f t="shared" si="68"/>
        <v>0</v>
      </c>
      <c r="Y607" s="67">
        <v>125</v>
      </c>
      <c r="Z607" s="67">
        <v>219</v>
      </c>
      <c r="AA607" s="65" t="s">
        <v>83</v>
      </c>
      <c r="AB607" s="64" t="b">
        <f t="shared" si="69"/>
        <v>1</v>
      </c>
    </row>
    <row r="608" spans="1:28" ht="15" customHeight="1" x14ac:dyDescent="0.3">
      <c r="A608" s="57" t="s">
        <v>1342</v>
      </c>
      <c r="B608" s="82">
        <v>45078</v>
      </c>
      <c r="C608" s="59">
        <f t="shared" si="63"/>
        <v>2023</v>
      </c>
      <c r="D608" s="59">
        <f t="shared" si="64"/>
        <v>6</v>
      </c>
      <c r="E608" s="59">
        <f t="shared" si="65"/>
        <v>22</v>
      </c>
      <c r="F608" s="57" t="s">
        <v>61</v>
      </c>
      <c r="G608" s="57" t="s">
        <v>45</v>
      </c>
      <c r="H608" s="57" t="s">
        <v>1343</v>
      </c>
      <c r="I608" s="57" t="s">
        <v>65</v>
      </c>
      <c r="J608" s="57" t="s">
        <v>139</v>
      </c>
      <c r="K608" s="57" t="s">
        <v>71</v>
      </c>
      <c r="L608" s="57" t="s">
        <v>119</v>
      </c>
      <c r="M608" s="60">
        <v>473</v>
      </c>
      <c r="N608" s="57" t="s">
        <v>163</v>
      </c>
      <c r="O608" s="61">
        <v>141.91999999999999</v>
      </c>
      <c r="P608" s="61">
        <v>67128.160000000003</v>
      </c>
      <c r="Q608" s="61">
        <v>2079.3200000000002</v>
      </c>
      <c r="R608" s="62">
        <f t="shared" si="66"/>
        <v>3.0975376056784517E-2</v>
      </c>
      <c r="S608" s="60">
        <v>26</v>
      </c>
      <c r="T608" s="58">
        <v>45104</v>
      </c>
      <c r="U608" s="58">
        <v>45112</v>
      </c>
      <c r="V608" s="63">
        <f t="shared" si="67"/>
        <v>8</v>
      </c>
      <c r="W608" s="57" t="s">
        <v>128</v>
      </c>
      <c r="X608" s="64" t="b">
        <f t="shared" si="68"/>
        <v>0</v>
      </c>
      <c r="Y608" s="60">
        <v>470</v>
      </c>
      <c r="Z608" s="60">
        <v>144</v>
      </c>
      <c r="AA608" s="57" t="s">
        <v>116</v>
      </c>
      <c r="AB608" s="64" t="b">
        <f t="shared" si="69"/>
        <v>0</v>
      </c>
    </row>
    <row r="609" spans="1:28" ht="15" customHeight="1" x14ac:dyDescent="0.3">
      <c r="A609" s="65" t="s">
        <v>1344</v>
      </c>
      <c r="B609" s="81">
        <v>45598</v>
      </c>
      <c r="C609" s="59">
        <f t="shared" si="63"/>
        <v>2024</v>
      </c>
      <c r="D609" s="59">
        <f t="shared" si="64"/>
        <v>11</v>
      </c>
      <c r="E609" s="59">
        <f t="shared" si="65"/>
        <v>44</v>
      </c>
      <c r="F609" s="65" t="s">
        <v>61</v>
      </c>
      <c r="G609" s="65" t="s">
        <v>45</v>
      </c>
      <c r="H609" s="65" t="s">
        <v>1345</v>
      </c>
      <c r="I609" s="65" t="s">
        <v>66</v>
      </c>
      <c r="J609" s="65" t="s">
        <v>139</v>
      </c>
      <c r="K609" s="65" t="s">
        <v>75</v>
      </c>
      <c r="L609" s="65" t="s">
        <v>119</v>
      </c>
      <c r="M609" s="67">
        <v>122</v>
      </c>
      <c r="N609" s="65" t="s">
        <v>120</v>
      </c>
      <c r="O609" s="68">
        <v>228.45</v>
      </c>
      <c r="P609" s="68">
        <v>27870.9</v>
      </c>
      <c r="Q609" s="68">
        <v>1167.8699999999999</v>
      </c>
      <c r="R609" s="62">
        <f t="shared" si="66"/>
        <v>4.1902844902748024E-2</v>
      </c>
      <c r="S609" s="67">
        <v>10</v>
      </c>
      <c r="T609" s="66">
        <v>45608</v>
      </c>
      <c r="U609" s="66">
        <v>45607</v>
      </c>
      <c r="V609" s="63">
        <f t="shared" si="67"/>
        <v>-1</v>
      </c>
      <c r="W609" s="65" t="s">
        <v>115</v>
      </c>
      <c r="X609" s="64" t="b">
        <f t="shared" si="68"/>
        <v>1</v>
      </c>
      <c r="Y609" s="67">
        <v>497</v>
      </c>
      <c r="Z609" s="67">
        <v>328</v>
      </c>
      <c r="AA609" s="65" t="s">
        <v>116</v>
      </c>
      <c r="AB609" s="64" t="b">
        <f t="shared" si="69"/>
        <v>0</v>
      </c>
    </row>
    <row r="610" spans="1:28" ht="15" customHeight="1" x14ac:dyDescent="0.3">
      <c r="A610" s="57" t="s">
        <v>1346</v>
      </c>
      <c r="B610" s="82">
        <v>45631</v>
      </c>
      <c r="C610" s="59">
        <f t="shared" si="63"/>
        <v>2024</v>
      </c>
      <c r="D610" s="59">
        <f t="shared" si="64"/>
        <v>12</v>
      </c>
      <c r="E610" s="59">
        <f t="shared" si="65"/>
        <v>49</v>
      </c>
      <c r="F610" s="57" t="s">
        <v>53</v>
      </c>
      <c r="G610" s="57" t="s">
        <v>46</v>
      </c>
      <c r="H610" s="57" t="s">
        <v>1347</v>
      </c>
      <c r="I610" s="57" t="s">
        <v>64</v>
      </c>
      <c r="J610" s="57" t="s">
        <v>131</v>
      </c>
      <c r="K610" s="57" t="s">
        <v>74</v>
      </c>
      <c r="L610" s="57" t="s">
        <v>156</v>
      </c>
      <c r="M610" s="60">
        <v>280</v>
      </c>
      <c r="N610" s="57" t="s">
        <v>163</v>
      </c>
      <c r="O610" s="61">
        <v>77.55</v>
      </c>
      <c r="P610" s="61">
        <v>21714</v>
      </c>
      <c r="Q610" s="61">
        <v>997.68</v>
      </c>
      <c r="R610" s="62">
        <f t="shared" si="66"/>
        <v>4.5946394031500415E-2</v>
      </c>
      <c r="S610" s="60">
        <v>22</v>
      </c>
      <c r="T610" s="58">
        <v>45653</v>
      </c>
      <c r="U610" s="58">
        <v>45653</v>
      </c>
      <c r="V610" s="63">
        <f t="shared" si="67"/>
        <v>0</v>
      </c>
      <c r="W610" s="57" t="s">
        <v>115</v>
      </c>
      <c r="X610" s="64" t="b">
        <f t="shared" si="68"/>
        <v>1</v>
      </c>
      <c r="Y610" s="60">
        <v>353</v>
      </c>
      <c r="Z610" s="60">
        <v>276</v>
      </c>
      <c r="AA610" s="57" t="s">
        <v>82</v>
      </c>
      <c r="AB610" s="64" t="b">
        <f t="shared" si="69"/>
        <v>1</v>
      </c>
    </row>
    <row r="611" spans="1:28" ht="15" customHeight="1" x14ac:dyDescent="0.3">
      <c r="A611" s="65" t="s">
        <v>1348</v>
      </c>
      <c r="B611" s="81">
        <v>44932</v>
      </c>
      <c r="C611" s="59">
        <f t="shared" si="63"/>
        <v>2023</v>
      </c>
      <c r="D611" s="59">
        <f t="shared" si="64"/>
        <v>1</v>
      </c>
      <c r="E611" s="59">
        <f t="shared" si="65"/>
        <v>1</v>
      </c>
      <c r="F611" s="65" t="s">
        <v>54</v>
      </c>
      <c r="G611" s="65" t="s">
        <v>42</v>
      </c>
      <c r="H611" s="65" t="s">
        <v>1349</v>
      </c>
      <c r="I611" s="65" t="s">
        <v>69</v>
      </c>
      <c r="J611" s="65" t="s">
        <v>143</v>
      </c>
      <c r="K611" s="65" t="s">
        <v>71</v>
      </c>
      <c r="L611" s="65" t="s">
        <v>156</v>
      </c>
      <c r="M611" s="67">
        <v>172</v>
      </c>
      <c r="N611" s="65" t="s">
        <v>114</v>
      </c>
      <c r="O611" s="68">
        <v>87.04</v>
      </c>
      <c r="P611" s="68">
        <v>14970.88</v>
      </c>
      <c r="Q611" s="68">
        <v>859.18</v>
      </c>
      <c r="R611" s="62">
        <f t="shared" si="66"/>
        <v>5.7390079941860468E-2</v>
      </c>
      <c r="S611" s="67">
        <v>5</v>
      </c>
      <c r="T611" s="66">
        <v>44937</v>
      </c>
      <c r="U611" s="66">
        <v>44937</v>
      </c>
      <c r="V611" s="63">
        <f t="shared" si="67"/>
        <v>0</v>
      </c>
      <c r="W611" s="65" t="s">
        <v>115</v>
      </c>
      <c r="X611" s="64" t="b">
        <f t="shared" si="68"/>
        <v>1</v>
      </c>
      <c r="Y611" s="67">
        <v>415</v>
      </c>
      <c r="Z611" s="67">
        <v>241</v>
      </c>
      <c r="AA611" s="65" t="s">
        <v>116</v>
      </c>
      <c r="AB611" s="64" t="b">
        <f t="shared" si="69"/>
        <v>0</v>
      </c>
    </row>
    <row r="612" spans="1:28" ht="15" customHeight="1" x14ac:dyDescent="0.3">
      <c r="A612" s="57" t="s">
        <v>1350</v>
      </c>
      <c r="B612" s="82">
        <v>45036</v>
      </c>
      <c r="C612" s="59">
        <f t="shared" si="63"/>
        <v>2023</v>
      </c>
      <c r="D612" s="59">
        <f t="shared" si="64"/>
        <v>4</v>
      </c>
      <c r="E612" s="59">
        <f t="shared" si="65"/>
        <v>16</v>
      </c>
      <c r="F612" s="57" t="s">
        <v>61</v>
      </c>
      <c r="G612" s="57" t="s">
        <v>43</v>
      </c>
      <c r="H612" s="57" t="s">
        <v>1351</v>
      </c>
      <c r="I612" s="57" t="s">
        <v>64</v>
      </c>
      <c r="J612" s="57" t="s">
        <v>112</v>
      </c>
      <c r="K612" s="57" t="s">
        <v>72</v>
      </c>
      <c r="L612" s="57" t="s">
        <v>135</v>
      </c>
      <c r="M612" s="60">
        <v>469</v>
      </c>
      <c r="N612" s="57" t="s">
        <v>114</v>
      </c>
      <c r="O612" s="61">
        <v>153.66</v>
      </c>
      <c r="P612" s="61">
        <v>72066.539999999994</v>
      </c>
      <c r="Q612" s="61">
        <v>1763.16</v>
      </c>
      <c r="R612" s="62">
        <f t="shared" si="66"/>
        <v>2.446572292772763E-2</v>
      </c>
      <c r="S612" s="60">
        <v>4</v>
      </c>
      <c r="T612" s="58">
        <v>45040</v>
      </c>
      <c r="U612" s="58">
        <v>45040</v>
      </c>
      <c r="V612" s="63">
        <f t="shared" si="67"/>
        <v>0</v>
      </c>
      <c r="W612" s="57" t="s">
        <v>115</v>
      </c>
      <c r="X612" s="64" t="b">
        <f t="shared" si="68"/>
        <v>1</v>
      </c>
      <c r="Y612" s="60">
        <v>50</v>
      </c>
      <c r="Z612" s="60">
        <v>59</v>
      </c>
      <c r="AA612" s="57" t="s">
        <v>84</v>
      </c>
      <c r="AB612" s="64" t="b">
        <f t="shared" si="69"/>
        <v>1</v>
      </c>
    </row>
    <row r="613" spans="1:28" ht="15" customHeight="1" x14ac:dyDescent="0.3">
      <c r="A613" s="65" t="s">
        <v>1352</v>
      </c>
      <c r="B613" s="81">
        <v>45362</v>
      </c>
      <c r="C613" s="59">
        <f t="shared" si="63"/>
        <v>2024</v>
      </c>
      <c r="D613" s="59">
        <f t="shared" si="64"/>
        <v>3</v>
      </c>
      <c r="E613" s="59">
        <f t="shared" si="65"/>
        <v>11</v>
      </c>
      <c r="F613" s="65" t="s">
        <v>55</v>
      </c>
      <c r="G613" s="65" t="s">
        <v>40</v>
      </c>
      <c r="H613" s="65" t="s">
        <v>1353</v>
      </c>
      <c r="I613" s="65" t="s">
        <v>67</v>
      </c>
      <c r="J613" s="65" t="s">
        <v>123</v>
      </c>
      <c r="K613" s="65" t="s">
        <v>73</v>
      </c>
      <c r="L613" s="65" t="s">
        <v>113</v>
      </c>
      <c r="M613" s="67">
        <v>114</v>
      </c>
      <c r="N613" s="65" t="s">
        <v>132</v>
      </c>
      <c r="O613" s="68">
        <v>1182.3800000000001</v>
      </c>
      <c r="P613" s="68">
        <v>134791.32</v>
      </c>
      <c r="Q613" s="68">
        <v>6769.42</v>
      </c>
      <c r="R613" s="62">
        <f t="shared" si="66"/>
        <v>5.0221483104401679E-2</v>
      </c>
      <c r="S613" s="67">
        <v>2</v>
      </c>
      <c r="T613" s="66">
        <v>45364</v>
      </c>
      <c r="U613" s="66">
        <v>45363</v>
      </c>
      <c r="V613" s="63">
        <f t="shared" si="67"/>
        <v>-1</v>
      </c>
      <c r="W613" s="65" t="s">
        <v>115</v>
      </c>
      <c r="X613" s="64" t="b">
        <f t="shared" si="68"/>
        <v>1</v>
      </c>
      <c r="Y613" s="67">
        <v>87</v>
      </c>
      <c r="Z613" s="67">
        <v>97</v>
      </c>
      <c r="AA613" s="65" t="s">
        <v>116</v>
      </c>
      <c r="AB613" s="64" t="b">
        <f t="shared" si="69"/>
        <v>0</v>
      </c>
    </row>
    <row r="614" spans="1:28" ht="15" customHeight="1" x14ac:dyDescent="0.3">
      <c r="A614" s="57" t="s">
        <v>1354</v>
      </c>
      <c r="B614" s="82">
        <v>45151</v>
      </c>
      <c r="C614" s="59">
        <f t="shared" si="63"/>
        <v>2023</v>
      </c>
      <c r="D614" s="59">
        <f t="shared" si="64"/>
        <v>8</v>
      </c>
      <c r="E614" s="59">
        <f t="shared" si="65"/>
        <v>33</v>
      </c>
      <c r="F614" s="57" t="s">
        <v>60</v>
      </c>
      <c r="G614" s="57" t="s">
        <v>45</v>
      </c>
      <c r="H614" s="57" t="s">
        <v>1355</v>
      </c>
      <c r="I614" s="57" t="s">
        <v>66</v>
      </c>
      <c r="J614" s="57" t="s">
        <v>143</v>
      </c>
      <c r="K614" s="57" t="s">
        <v>73</v>
      </c>
      <c r="L614" s="57" t="s">
        <v>135</v>
      </c>
      <c r="M614" s="60">
        <v>702</v>
      </c>
      <c r="N614" s="57" t="s">
        <v>136</v>
      </c>
      <c r="O614" s="61">
        <v>222.88</v>
      </c>
      <c r="P614" s="61">
        <v>156461.76000000001</v>
      </c>
      <c r="Q614" s="61">
        <v>4843.67</v>
      </c>
      <c r="R614" s="62">
        <f t="shared" si="66"/>
        <v>3.0957532370848952E-2</v>
      </c>
      <c r="S614" s="60">
        <v>20</v>
      </c>
      <c r="T614" s="58">
        <v>45171</v>
      </c>
      <c r="U614" s="58">
        <v>45168</v>
      </c>
      <c r="V614" s="63">
        <f t="shared" si="67"/>
        <v>-3</v>
      </c>
      <c r="W614" s="57" t="s">
        <v>115</v>
      </c>
      <c r="X614" s="64" t="b">
        <f t="shared" si="68"/>
        <v>1</v>
      </c>
      <c r="Y614" s="60">
        <v>169</v>
      </c>
      <c r="Z614" s="60">
        <v>330</v>
      </c>
      <c r="AA614" s="57" t="s">
        <v>116</v>
      </c>
      <c r="AB614" s="64" t="b">
        <f t="shared" si="69"/>
        <v>0</v>
      </c>
    </row>
    <row r="615" spans="1:28" ht="15" customHeight="1" x14ac:dyDescent="0.3">
      <c r="A615" s="65" t="s">
        <v>1356</v>
      </c>
      <c r="B615" s="81">
        <v>45107</v>
      </c>
      <c r="C615" s="59">
        <f t="shared" si="63"/>
        <v>2023</v>
      </c>
      <c r="D615" s="59">
        <f t="shared" si="64"/>
        <v>6</v>
      </c>
      <c r="E615" s="59">
        <f t="shared" si="65"/>
        <v>26</v>
      </c>
      <c r="F615" s="65" t="s">
        <v>60</v>
      </c>
      <c r="G615" s="65" t="s">
        <v>46</v>
      </c>
      <c r="H615" s="65" t="s">
        <v>1357</v>
      </c>
      <c r="I615" s="65" t="s">
        <v>68</v>
      </c>
      <c r="J615" s="65" t="s">
        <v>131</v>
      </c>
      <c r="K615" s="65" t="s">
        <v>73</v>
      </c>
      <c r="L615" s="65" t="s">
        <v>156</v>
      </c>
      <c r="M615" s="67">
        <v>565</v>
      </c>
      <c r="N615" s="65" t="s">
        <v>140</v>
      </c>
      <c r="O615" s="68">
        <v>71.48</v>
      </c>
      <c r="P615" s="68">
        <v>40386.199999999997</v>
      </c>
      <c r="Q615" s="68">
        <v>2198.56</v>
      </c>
      <c r="R615" s="62">
        <f t="shared" si="66"/>
        <v>5.4438397274316479E-2</v>
      </c>
      <c r="S615" s="67">
        <v>10</v>
      </c>
      <c r="T615" s="66">
        <v>45117</v>
      </c>
      <c r="U615" s="66">
        <v>45117</v>
      </c>
      <c r="V615" s="63">
        <f t="shared" si="67"/>
        <v>0</v>
      </c>
      <c r="W615" s="65" t="s">
        <v>115</v>
      </c>
      <c r="X615" s="64" t="b">
        <f t="shared" si="68"/>
        <v>1</v>
      </c>
      <c r="Y615" s="67">
        <v>62</v>
      </c>
      <c r="Z615" s="67">
        <v>374</v>
      </c>
      <c r="AA615" s="65" t="s">
        <v>116</v>
      </c>
      <c r="AB615" s="64" t="b">
        <f t="shared" si="69"/>
        <v>0</v>
      </c>
    </row>
    <row r="616" spans="1:28" ht="15" customHeight="1" x14ac:dyDescent="0.3">
      <c r="A616" s="57" t="s">
        <v>1358</v>
      </c>
      <c r="B616" s="82">
        <v>45639</v>
      </c>
      <c r="C616" s="59">
        <f t="shared" si="63"/>
        <v>2024</v>
      </c>
      <c r="D616" s="59">
        <f t="shared" si="64"/>
        <v>12</v>
      </c>
      <c r="E616" s="59">
        <f t="shared" si="65"/>
        <v>50</v>
      </c>
      <c r="F616" s="57" t="s">
        <v>55</v>
      </c>
      <c r="G616" s="57" t="s">
        <v>44</v>
      </c>
      <c r="H616" s="57" t="s">
        <v>1359</v>
      </c>
      <c r="I616" s="57" t="s">
        <v>66</v>
      </c>
      <c r="J616" s="57" t="s">
        <v>131</v>
      </c>
      <c r="K616" s="57" t="s">
        <v>74</v>
      </c>
      <c r="L616" s="57" t="s">
        <v>146</v>
      </c>
      <c r="M616" s="60">
        <v>291</v>
      </c>
      <c r="N616" s="57" t="s">
        <v>120</v>
      </c>
      <c r="O616" s="61">
        <v>106.71</v>
      </c>
      <c r="P616" s="61">
        <v>31052.61</v>
      </c>
      <c r="Q616" s="61">
        <v>1808.64</v>
      </c>
      <c r="R616" s="62">
        <f t="shared" si="66"/>
        <v>5.8244379457958607E-2</v>
      </c>
      <c r="S616" s="60">
        <v>26</v>
      </c>
      <c r="T616" s="58">
        <v>45665</v>
      </c>
      <c r="U616" s="58">
        <v>45665</v>
      </c>
      <c r="V616" s="63">
        <f t="shared" si="67"/>
        <v>0</v>
      </c>
      <c r="W616" s="57" t="s">
        <v>115</v>
      </c>
      <c r="X616" s="64" t="b">
        <f t="shared" si="68"/>
        <v>1</v>
      </c>
      <c r="Y616" s="60">
        <v>88</v>
      </c>
      <c r="Z616" s="60">
        <v>403</v>
      </c>
      <c r="AA616" s="57" t="s">
        <v>84</v>
      </c>
      <c r="AB616" s="64" t="b">
        <f t="shared" si="69"/>
        <v>1</v>
      </c>
    </row>
    <row r="617" spans="1:28" ht="15" customHeight="1" x14ac:dyDescent="0.3">
      <c r="A617" s="65" t="s">
        <v>1360</v>
      </c>
      <c r="B617" s="81">
        <v>45457</v>
      </c>
      <c r="C617" s="59">
        <f t="shared" si="63"/>
        <v>2024</v>
      </c>
      <c r="D617" s="59">
        <f t="shared" si="64"/>
        <v>6</v>
      </c>
      <c r="E617" s="59">
        <f t="shared" si="65"/>
        <v>24</v>
      </c>
      <c r="F617" s="65" t="s">
        <v>53</v>
      </c>
      <c r="G617" s="65" t="s">
        <v>41</v>
      </c>
      <c r="H617" s="65" t="s">
        <v>1361</v>
      </c>
      <c r="I617" s="65" t="s">
        <v>65</v>
      </c>
      <c r="J617" s="65" t="s">
        <v>112</v>
      </c>
      <c r="K617" s="65" t="s">
        <v>71</v>
      </c>
      <c r="L617" s="65" t="s">
        <v>135</v>
      </c>
      <c r="M617" s="67">
        <v>696</v>
      </c>
      <c r="N617" s="65" t="s">
        <v>140</v>
      </c>
      <c r="O617" s="68">
        <v>543.4</v>
      </c>
      <c r="P617" s="68">
        <v>378206.4</v>
      </c>
      <c r="Q617" s="68">
        <v>20197.189999999999</v>
      </c>
      <c r="R617" s="62">
        <f t="shared" si="66"/>
        <v>5.3402560083594557E-2</v>
      </c>
      <c r="S617" s="67">
        <v>19</v>
      </c>
      <c r="T617" s="66">
        <v>45476</v>
      </c>
      <c r="U617" s="66">
        <v>45476</v>
      </c>
      <c r="V617" s="63">
        <f t="shared" si="67"/>
        <v>0</v>
      </c>
      <c r="W617" s="65" t="s">
        <v>115</v>
      </c>
      <c r="X617" s="64" t="b">
        <f t="shared" si="68"/>
        <v>1</v>
      </c>
      <c r="Y617" s="67">
        <v>188</v>
      </c>
      <c r="Z617" s="67">
        <v>368</v>
      </c>
      <c r="AA617" s="65" t="s">
        <v>116</v>
      </c>
      <c r="AB617" s="64" t="b">
        <f t="shared" si="69"/>
        <v>0</v>
      </c>
    </row>
    <row r="618" spans="1:28" ht="15" customHeight="1" x14ac:dyDescent="0.3">
      <c r="A618" s="57" t="s">
        <v>1362</v>
      </c>
      <c r="B618" s="82">
        <v>45402</v>
      </c>
      <c r="C618" s="59">
        <f t="shared" si="63"/>
        <v>2024</v>
      </c>
      <c r="D618" s="59">
        <f t="shared" si="64"/>
        <v>4</v>
      </c>
      <c r="E618" s="59">
        <f t="shared" si="65"/>
        <v>16</v>
      </c>
      <c r="F618" s="57" t="s">
        <v>57</v>
      </c>
      <c r="G618" s="57" t="s">
        <v>41</v>
      </c>
      <c r="H618" s="57" t="s">
        <v>1363</v>
      </c>
      <c r="I618" s="57" t="s">
        <v>65</v>
      </c>
      <c r="J618" s="57" t="s">
        <v>151</v>
      </c>
      <c r="K618" s="57" t="s">
        <v>73</v>
      </c>
      <c r="L618" s="57" t="s">
        <v>124</v>
      </c>
      <c r="M618" s="60">
        <v>171</v>
      </c>
      <c r="N618" s="57" t="s">
        <v>136</v>
      </c>
      <c r="O618" s="61">
        <v>521.66</v>
      </c>
      <c r="P618" s="61">
        <v>89203.86</v>
      </c>
      <c r="Q618" s="61">
        <v>5735.61</v>
      </c>
      <c r="R618" s="62">
        <f t="shared" si="66"/>
        <v>6.4297778145474868E-2</v>
      </c>
      <c r="S618" s="60">
        <v>26</v>
      </c>
      <c r="T618" s="58">
        <v>45428</v>
      </c>
      <c r="U618" s="58">
        <v>45436</v>
      </c>
      <c r="V618" s="63">
        <f t="shared" si="67"/>
        <v>8</v>
      </c>
      <c r="W618" s="57" t="s">
        <v>125</v>
      </c>
      <c r="X618" s="64" t="b">
        <f t="shared" si="68"/>
        <v>0</v>
      </c>
      <c r="Y618" s="60">
        <v>189</v>
      </c>
      <c r="Z618" s="60">
        <v>180</v>
      </c>
      <c r="AA618" s="57" t="s">
        <v>84</v>
      </c>
      <c r="AB618" s="64" t="b">
        <f t="shared" si="69"/>
        <v>1</v>
      </c>
    </row>
    <row r="619" spans="1:28" ht="15" customHeight="1" x14ac:dyDescent="0.3">
      <c r="A619" s="65" t="s">
        <v>1364</v>
      </c>
      <c r="B619" s="81">
        <v>44978</v>
      </c>
      <c r="C619" s="59">
        <f t="shared" si="63"/>
        <v>2023</v>
      </c>
      <c r="D619" s="59">
        <f t="shared" si="64"/>
        <v>2</v>
      </c>
      <c r="E619" s="59">
        <f t="shared" si="65"/>
        <v>8</v>
      </c>
      <c r="F619" s="65" t="s">
        <v>53</v>
      </c>
      <c r="G619" s="65" t="s">
        <v>43</v>
      </c>
      <c r="H619" s="65" t="s">
        <v>1365</v>
      </c>
      <c r="I619" s="65" t="s">
        <v>67</v>
      </c>
      <c r="J619" s="65" t="s">
        <v>131</v>
      </c>
      <c r="K619" s="65" t="s">
        <v>73</v>
      </c>
      <c r="L619" s="65" t="s">
        <v>156</v>
      </c>
      <c r="M619" s="67">
        <v>992</v>
      </c>
      <c r="N619" s="65" t="s">
        <v>114</v>
      </c>
      <c r="O619" s="68">
        <v>151.97999999999999</v>
      </c>
      <c r="P619" s="68">
        <v>150764.16</v>
      </c>
      <c r="Q619" s="68">
        <v>6051.15</v>
      </c>
      <c r="R619" s="62">
        <f t="shared" si="66"/>
        <v>4.0136528469365662E-2</v>
      </c>
      <c r="S619" s="67">
        <v>1</v>
      </c>
      <c r="T619" s="66">
        <v>44979</v>
      </c>
      <c r="U619" s="66">
        <v>44991</v>
      </c>
      <c r="V619" s="63">
        <f t="shared" si="67"/>
        <v>12</v>
      </c>
      <c r="W619" s="65" t="s">
        <v>128</v>
      </c>
      <c r="X619" s="64" t="b">
        <f t="shared" si="68"/>
        <v>0</v>
      </c>
      <c r="Y619" s="67">
        <v>386</v>
      </c>
      <c r="Z619" s="67">
        <v>113</v>
      </c>
      <c r="AA619" s="65" t="s">
        <v>116</v>
      </c>
      <c r="AB619" s="64" t="b">
        <f t="shared" si="69"/>
        <v>0</v>
      </c>
    </row>
    <row r="620" spans="1:28" ht="15" customHeight="1" x14ac:dyDescent="0.3">
      <c r="A620" s="57" t="s">
        <v>1366</v>
      </c>
      <c r="B620" s="82">
        <v>45497</v>
      </c>
      <c r="C620" s="59">
        <f t="shared" si="63"/>
        <v>2024</v>
      </c>
      <c r="D620" s="59">
        <f t="shared" si="64"/>
        <v>7</v>
      </c>
      <c r="E620" s="59">
        <f t="shared" si="65"/>
        <v>30</v>
      </c>
      <c r="F620" s="57" t="s">
        <v>60</v>
      </c>
      <c r="G620" s="57" t="s">
        <v>42</v>
      </c>
      <c r="H620" s="57" t="s">
        <v>1367</v>
      </c>
      <c r="I620" s="57" t="s">
        <v>68</v>
      </c>
      <c r="J620" s="57" t="s">
        <v>139</v>
      </c>
      <c r="K620" s="57" t="s">
        <v>75</v>
      </c>
      <c r="L620" s="57" t="s">
        <v>156</v>
      </c>
      <c r="M620" s="60">
        <v>360</v>
      </c>
      <c r="N620" s="57" t="s">
        <v>120</v>
      </c>
      <c r="O620" s="61">
        <v>62.79</v>
      </c>
      <c r="P620" s="61">
        <v>22604.400000000001</v>
      </c>
      <c r="Q620" s="61">
        <v>1489.77</v>
      </c>
      <c r="R620" s="62">
        <f t="shared" si="66"/>
        <v>6.5906195254021332E-2</v>
      </c>
      <c r="S620" s="60">
        <v>24</v>
      </c>
      <c r="T620" s="58">
        <v>45521</v>
      </c>
      <c r="U620" s="58">
        <v>45520</v>
      </c>
      <c r="V620" s="63">
        <f t="shared" si="67"/>
        <v>-1</v>
      </c>
      <c r="W620" s="57" t="s">
        <v>115</v>
      </c>
      <c r="X620" s="64" t="b">
        <f t="shared" si="68"/>
        <v>1</v>
      </c>
      <c r="Y620" s="60">
        <v>88</v>
      </c>
      <c r="Z620" s="60">
        <v>494</v>
      </c>
      <c r="AA620" s="57" t="s">
        <v>83</v>
      </c>
      <c r="AB620" s="64" t="b">
        <f t="shared" si="69"/>
        <v>1</v>
      </c>
    </row>
    <row r="621" spans="1:28" ht="15" customHeight="1" x14ac:dyDescent="0.3">
      <c r="A621" s="65" t="s">
        <v>1368</v>
      </c>
      <c r="B621" s="81">
        <v>45182</v>
      </c>
      <c r="C621" s="59">
        <f t="shared" si="63"/>
        <v>2023</v>
      </c>
      <c r="D621" s="59">
        <f t="shared" si="64"/>
        <v>9</v>
      </c>
      <c r="E621" s="59">
        <f t="shared" si="65"/>
        <v>37</v>
      </c>
      <c r="F621" s="65" t="s">
        <v>57</v>
      </c>
      <c r="G621" s="65" t="s">
        <v>46</v>
      </c>
      <c r="H621" s="65" t="s">
        <v>1369</v>
      </c>
      <c r="I621" s="65" t="s">
        <v>66</v>
      </c>
      <c r="J621" s="65" t="s">
        <v>139</v>
      </c>
      <c r="K621" s="65" t="s">
        <v>71</v>
      </c>
      <c r="L621" s="65" t="s">
        <v>146</v>
      </c>
      <c r="M621" s="67">
        <v>443</v>
      </c>
      <c r="N621" s="65" t="s">
        <v>163</v>
      </c>
      <c r="O621" s="68">
        <v>82.2</v>
      </c>
      <c r="P621" s="68">
        <v>36414.6</v>
      </c>
      <c r="Q621" s="68">
        <v>1673.83</v>
      </c>
      <c r="R621" s="62">
        <f t="shared" si="66"/>
        <v>4.5965903785844142E-2</v>
      </c>
      <c r="S621" s="67">
        <v>5</v>
      </c>
      <c r="T621" s="66">
        <v>45187</v>
      </c>
      <c r="U621" s="66">
        <v>45189</v>
      </c>
      <c r="V621" s="63">
        <f t="shared" si="67"/>
        <v>2</v>
      </c>
      <c r="W621" s="65" t="s">
        <v>128</v>
      </c>
      <c r="X621" s="64" t="b">
        <f t="shared" si="68"/>
        <v>0</v>
      </c>
      <c r="Y621" s="67">
        <v>347</v>
      </c>
      <c r="Z621" s="67">
        <v>102</v>
      </c>
      <c r="AA621" s="65" t="s">
        <v>83</v>
      </c>
      <c r="AB621" s="64" t="b">
        <f t="shared" si="69"/>
        <v>1</v>
      </c>
    </row>
    <row r="622" spans="1:28" ht="15" customHeight="1" x14ac:dyDescent="0.3">
      <c r="A622" s="57" t="s">
        <v>1370</v>
      </c>
      <c r="B622" s="82">
        <v>45051</v>
      </c>
      <c r="C622" s="59">
        <f t="shared" si="63"/>
        <v>2023</v>
      </c>
      <c r="D622" s="59">
        <f t="shared" si="64"/>
        <v>5</v>
      </c>
      <c r="E622" s="59">
        <f t="shared" si="65"/>
        <v>18</v>
      </c>
      <c r="F622" s="57" t="s">
        <v>53</v>
      </c>
      <c r="G622" s="57" t="s">
        <v>40</v>
      </c>
      <c r="H622" s="57" t="s">
        <v>1371</v>
      </c>
      <c r="I622" s="57" t="s">
        <v>68</v>
      </c>
      <c r="J622" s="57" t="s">
        <v>123</v>
      </c>
      <c r="K622" s="57" t="s">
        <v>71</v>
      </c>
      <c r="L622" s="57" t="s">
        <v>146</v>
      </c>
      <c r="M622" s="60">
        <v>861</v>
      </c>
      <c r="N622" s="57" t="s">
        <v>114</v>
      </c>
      <c r="O622" s="61">
        <v>713.48</v>
      </c>
      <c r="P622" s="61">
        <v>614306.28</v>
      </c>
      <c r="Q622" s="61">
        <v>30132.38</v>
      </c>
      <c r="R622" s="62">
        <f t="shared" si="66"/>
        <v>4.9051069443730902E-2</v>
      </c>
      <c r="S622" s="60">
        <v>13</v>
      </c>
      <c r="T622" s="58">
        <v>45064</v>
      </c>
      <c r="U622" s="58">
        <v>45069</v>
      </c>
      <c r="V622" s="63">
        <f t="shared" si="67"/>
        <v>5</v>
      </c>
      <c r="W622" s="57" t="s">
        <v>128</v>
      </c>
      <c r="X622" s="64" t="b">
        <f t="shared" si="68"/>
        <v>0</v>
      </c>
      <c r="Y622" s="60">
        <v>331</v>
      </c>
      <c r="Z622" s="60">
        <v>335</v>
      </c>
      <c r="AA622" s="57" t="s">
        <v>84</v>
      </c>
      <c r="AB622" s="64" t="b">
        <f t="shared" si="69"/>
        <v>1</v>
      </c>
    </row>
    <row r="623" spans="1:28" ht="15" customHeight="1" x14ac:dyDescent="0.3">
      <c r="A623" s="65" t="s">
        <v>1372</v>
      </c>
      <c r="B623" s="81">
        <v>45394</v>
      </c>
      <c r="C623" s="59">
        <f t="shared" si="63"/>
        <v>2024</v>
      </c>
      <c r="D623" s="59">
        <f t="shared" si="64"/>
        <v>4</v>
      </c>
      <c r="E623" s="59">
        <f t="shared" si="65"/>
        <v>15</v>
      </c>
      <c r="F623" s="65" t="s">
        <v>61</v>
      </c>
      <c r="G623" s="65" t="s">
        <v>42</v>
      </c>
      <c r="H623" s="65" t="s">
        <v>1373</v>
      </c>
      <c r="I623" s="65" t="s">
        <v>69</v>
      </c>
      <c r="J623" s="65" t="s">
        <v>131</v>
      </c>
      <c r="K623" s="65" t="s">
        <v>75</v>
      </c>
      <c r="L623" s="65" t="s">
        <v>146</v>
      </c>
      <c r="M623" s="67">
        <v>149</v>
      </c>
      <c r="N623" s="65" t="s">
        <v>114</v>
      </c>
      <c r="O623" s="68">
        <v>68.48</v>
      </c>
      <c r="P623" s="68">
        <v>10203.52</v>
      </c>
      <c r="Q623" s="68">
        <v>600.85</v>
      </c>
      <c r="R623" s="62">
        <f t="shared" si="66"/>
        <v>5.8886541115222985E-2</v>
      </c>
      <c r="S623" s="67">
        <v>4</v>
      </c>
      <c r="T623" s="66">
        <v>45398</v>
      </c>
      <c r="U623" s="66">
        <v>45398</v>
      </c>
      <c r="V623" s="63">
        <f t="shared" si="67"/>
        <v>0</v>
      </c>
      <c r="W623" s="65" t="s">
        <v>115</v>
      </c>
      <c r="X623" s="64" t="b">
        <f t="shared" si="68"/>
        <v>1</v>
      </c>
      <c r="Y623" s="67">
        <v>25</v>
      </c>
      <c r="Z623" s="67">
        <v>318</v>
      </c>
      <c r="AA623" s="65" t="s">
        <v>84</v>
      </c>
      <c r="AB623" s="64" t="b">
        <f t="shared" si="69"/>
        <v>1</v>
      </c>
    </row>
    <row r="624" spans="1:28" ht="15" customHeight="1" x14ac:dyDescent="0.3">
      <c r="A624" s="57" t="s">
        <v>1374</v>
      </c>
      <c r="B624" s="82">
        <v>45063</v>
      </c>
      <c r="C624" s="59">
        <f t="shared" si="63"/>
        <v>2023</v>
      </c>
      <c r="D624" s="59">
        <f t="shared" si="64"/>
        <v>5</v>
      </c>
      <c r="E624" s="59">
        <f t="shared" si="65"/>
        <v>20</v>
      </c>
      <c r="F624" s="57" t="s">
        <v>57</v>
      </c>
      <c r="G624" s="57" t="s">
        <v>41</v>
      </c>
      <c r="H624" s="57" t="s">
        <v>1375</v>
      </c>
      <c r="I624" s="57" t="s">
        <v>64</v>
      </c>
      <c r="J624" s="57" t="s">
        <v>123</v>
      </c>
      <c r="K624" s="57" t="s">
        <v>71</v>
      </c>
      <c r="L624" s="57" t="s">
        <v>113</v>
      </c>
      <c r="M624" s="60">
        <v>480</v>
      </c>
      <c r="N624" s="57" t="s">
        <v>132</v>
      </c>
      <c r="O624" s="61">
        <v>551.96</v>
      </c>
      <c r="P624" s="61">
        <v>264940.79999999999</v>
      </c>
      <c r="Q624" s="61">
        <v>5590.65</v>
      </c>
      <c r="R624" s="62">
        <f t="shared" si="66"/>
        <v>2.1101506449742735E-2</v>
      </c>
      <c r="S624" s="60">
        <v>16</v>
      </c>
      <c r="T624" s="58">
        <v>45079</v>
      </c>
      <c r="U624" s="58">
        <v>45076</v>
      </c>
      <c r="V624" s="63">
        <f t="shared" si="67"/>
        <v>-3</v>
      </c>
      <c r="W624" s="57" t="s">
        <v>115</v>
      </c>
      <c r="X624" s="64" t="b">
        <f t="shared" si="68"/>
        <v>1</v>
      </c>
      <c r="Y624" s="60">
        <v>175</v>
      </c>
      <c r="Z624" s="60">
        <v>56</v>
      </c>
      <c r="AA624" s="57" t="s">
        <v>116</v>
      </c>
      <c r="AB624" s="64" t="b">
        <f t="shared" si="69"/>
        <v>0</v>
      </c>
    </row>
    <row r="625" spans="1:28" ht="15" customHeight="1" x14ac:dyDescent="0.3">
      <c r="A625" s="65" t="s">
        <v>1376</v>
      </c>
      <c r="B625" s="81">
        <v>45402</v>
      </c>
      <c r="C625" s="59">
        <f t="shared" si="63"/>
        <v>2024</v>
      </c>
      <c r="D625" s="59">
        <f t="shared" si="64"/>
        <v>4</v>
      </c>
      <c r="E625" s="59">
        <f t="shared" si="65"/>
        <v>16</v>
      </c>
      <c r="F625" s="65" t="s">
        <v>60</v>
      </c>
      <c r="G625" s="65" t="s">
        <v>42</v>
      </c>
      <c r="H625" s="65" t="s">
        <v>1377</v>
      </c>
      <c r="I625" s="65" t="s">
        <v>66</v>
      </c>
      <c r="J625" s="65" t="s">
        <v>131</v>
      </c>
      <c r="K625" s="65" t="s">
        <v>72</v>
      </c>
      <c r="L625" s="65" t="s">
        <v>124</v>
      </c>
      <c r="M625" s="67">
        <v>141</v>
      </c>
      <c r="N625" s="65" t="s">
        <v>136</v>
      </c>
      <c r="O625" s="68">
        <v>105.2</v>
      </c>
      <c r="P625" s="68">
        <v>14833.2</v>
      </c>
      <c r="Q625" s="68">
        <v>878.71</v>
      </c>
      <c r="R625" s="62">
        <f t="shared" si="66"/>
        <v>5.9239408893563085E-2</v>
      </c>
      <c r="S625" s="67">
        <v>24</v>
      </c>
      <c r="T625" s="66">
        <v>45426</v>
      </c>
      <c r="U625" s="66">
        <v>45423</v>
      </c>
      <c r="V625" s="63">
        <f t="shared" si="67"/>
        <v>-3</v>
      </c>
      <c r="W625" s="65" t="s">
        <v>115</v>
      </c>
      <c r="X625" s="64" t="b">
        <f t="shared" si="68"/>
        <v>1</v>
      </c>
      <c r="Y625" s="67">
        <v>363</v>
      </c>
      <c r="Z625" s="67">
        <v>284</v>
      </c>
      <c r="AA625" s="65" t="s">
        <v>82</v>
      </c>
      <c r="AB625" s="64" t="b">
        <f t="shared" si="69"/>
        <v>1</v>
      </c>
    </row>
    <row r="626" spans="1:28" ht="15" customHeight="1" x14ac:dyDescent="0.3">
      <c r="A626" s="57" t="s">
        <v>1378</v>
      </c>
      <c r="B626" s="82">
        <v>45610</v>
      </c>
      <c r="C626" s="59">
        <f t="shared" si="63"/>
        <v>2024</v>
      </c>
      <c r="D626" s="59">
        <f t="shared" si="64"/>
        <v>11</v>
      </c>
      <c r="E626" s="59">
        <f t="shared" si="65"/>
        <v>46</v>
      </c>
      <c r="F626" s="57" t="s">
        <v>55</v>
      </c>
      <c r="G626" s="57" t="s">
        <v>41</v>
      </c>
      <c r="H626" s="57" t="s">
        <v>1379</v>
      </c>
      <c r="I626" s="57" t="s">
        <v>68</v>
      </c>
      <c r="J626" s="57" t="s">
        <v>112</v>
      </c>
      <c r="K626" s="57" t="s">
        <v>74</v>
      </c>
      <c r="L626" s="57" t="s">
        <v>156</v>
      </c>
      <c r="M626" s="60">
        <v>96</v>
      </c>
      <c r="N626" s="57" t="s">
        <v>132</v>
      </c>
      <c r="O626" s="61">
        <v>374.78</v>
      </c>
      <c r="P626" s="61">
        <v>35978.879999999997</v>
      </c>
      <c r="Q626" s="61">
        <v>2054.94</v>
      </c>
      <c r="R626" s="62">
        <f t="shared" si="66"/>
        <v>5.7115174235551527E-2</v>
      </c>
      <c r="S626" s="60">
        <v>16</v>
      </c>
      <c r="T626" s="58">
        <v>45626</v>
      </c>
      <c r="U626" s="58">
        <v>45621</v>
      </c>
      <c r="V626" s="63">
        <f t="shared" si="67"/>
        <v>-5</v>
      </c>
      <c r="W626" s="57" t="s">
        <v>115</v>
      </c>
      <c r="X626" s="64" t="b">
        <f t="shared" si="68"/>
        <v>1</v>
      </c>
      <c r="Y626" s="60">
        <v>263</v>
      </c>
      <c r="Z626" s="60">
        <v>128</v>
      </c>
      <c r="AA626" s="57" t="s">
        <v>83</v>
      </c>
      <c r="AB626" s="64" t="b">
        <f t="shared" si="69"/>
        <v>1</v>
      </c>
    </row>
    <row r="627" spans="1:28" ht="15" customHeight="1" x14ac:dyDescent="0.3">
      <c r="A627" s="65" t="s">
        <v>1380</v>
      </c>
      <c r="B627" s="81">
        <v>45470</v>
      </c>
      <c r="C627" s="59">
        <f t="shared" si="63"/>
        <v>2024</v>
      </c>
      <c r="D627" s="59">
        <f t="shared" si="64"/>
        <v>6</v>
      </c>
      <c r="E627" s="59">
        <f t="shared" si="65"/>
        <v>26</v>
      </c>
      <c r="F627" s="65" t="s">
        <v>56</v>
      </c>
      <c r="G627" s="65" t="s">
        <v>42</v>
      </c>
      <c r="H627" s="65" t="s">
        <v>1381</v>
      </c>
      <c r="I627" s="65" t="s">
        <v>69</v>
      </c>
      <c r="J627" s="65" t="s">
        <v>143</v>
      </c>
      <c r="K627" s="65" t="s">
        <v>75</v>
      </c>
      <c r="L627" s="65" t="s">
        <v>146</v>
      </c>
      <c r="M627" s="67">
        <v>697</v>
      </c>
      <c r="N627" s="65" t="s">
        <v>132</v>
      </c>
      <c r="O627" s="68">
        <v>92.92</v>
      </c>
      <c r="P627" s="68">
        <v>64765.24</v>
      </c>
      <c r="Q627" s="68">
        <v>2499.34</v>
      </c>
      <c r="R627" s="62">
        <f t="shared" si="66"/>
        <v>3.8590762575727355E-2</v>
      </c>
      <c r="S627" s="67">
        <v>23</v>
      </c>
      <c r="T627" s="66">
        <v>45493</v>
      </c>
      <c r="U627" s="66">
        <v>45493</v>
      </c>
      <c r="V627" s="63">
        <f t="shared" si="67"/>
        <v>0</v>
      </c>
      <c r="W627" s="65" t="s">
        <v>115</v>
      </c>
      <c r="X627" s="64" t="b">
        <f t="shared" si="68"/>
        <v>1</v>
      </c>
      <c r="Y627" s="67">
        <v>388</v>
      </c>
      <c r="Z627" s="67">
        <v>379</v>
      </c>
      <c r="AA627" s="65" t="s">
        <v>81</v>
      </c>
      <c r="AB627" s="64" t="b">
        <f t="shared" si="69"/>
        <v>1</v>
      </c>
    </row>
    <row r="628" spans="1:28" ht="15" customHeight="1" x14ac:dyDescent="0.3">
      <c r="A628" s="57" t="s">
        <v>1382</v>
      </c>
      <c r="B628" s="82">
        <v>45499</v>
      </c>
      <c r="C628" s="59">
        <f t="shared" si="63"/>
        <v>2024</v>
      </c>
      <c r="D628" s="59">
        <f t="shared" si="64"/>
        <v>7</v>
      </c>
      <c r="E628" s="59">
        <f t="shared" si="65"/>
        <v>30</v>
      </c>
      <c r="F628" s="57" t="s">
        <v>61</v>
      </c>
      <c r="G628" s="57" t="s">
        <v>43</v>
      </c>
      <c r="H628" s="57" t="s">
        <v>1383</v>
      </c>
      <c r="I628" s="57" t="s">
        <v>69</v>
      </c>
      <c r="J628" s="57" t="s">
        <v>131</v>
      </c>
      <c r="K628" s="57" t="s">
        <v>73</v>
      </c>
      <c r="L628" s="57" t="s">
        <v>113</v>
      </c>
      <c r="M628" s="60">
        <v>192</v>
      </c>
      <c r="N628" s="57" t="s">
        <v>140</v>
      </c>
      <c r="O628" s="61">
        <v>159.07</v>
      </c>
      <c r="P628" s="61">
        <v>30541.439999999999</v>
      </c>
      <c r="Q628" s="61">
        <v>768.05</v>
      </c>
      <c r="R628" s="62">
        <f t="shared" si="66"/>
        <v>2.514779918694076E-2</v>
      </c>
      <c r="S628" s="60">
        <v>2</v>
      </c>
      <c r="T628" s="58">
        <v>45501</v>
      </c>
      <c r="U628" s="58">
        <v>45506</v>
      </c>
      <c r="V628" s="63">
        <f t="shared" si="67"/>
        <v>5</v>
      </c>
      <c r="W628" s="57" t="s">
        <v>125</v>
      </c>
      <c r="X628" s="64" t="b">
        <f t="shared" si="68"/>
        <v>0</v>
      </c>
      <c r="Y628" s="60">
        <v>394</v>
      </c>
      <c r="Z628" s="60">
        <v>465</v>
      </c>
      <c r="AA628" s="57" t="s">
        <v>81</v>
      </c>
      <c r="AB628" s="64" t="b">
        <f t="shared" si="69"/>
        <v>1</v>
      </c>
    </row>
    <row r="629" spans="1:28" ht="15" customHeight="1" x14ac:dyDescent="0.3">
      <c r="A629" s="65" t="s">
        <v>1384</v>
      </c>
      <c r="B629" s="81">
        <v>45536</v>
      </c>
      <c r="C629" s="59">
        <f t="shared" si="63"/>
        <v>2024</v>
      </c>
      <c r="D629" s="59">
        <f t="shared" si="64"/>
        <v>9</v>
      </c>
      <c r="E629" s="59">
        <f t="shared" si="65"/>
        <v>36</v>
      </c>
      <c r="F629" s="65" t="s">
        <v>61</v>
      </c>
      <c r="G629" s="65" t="s">
        <v>39</v>
      </c>
      <c r="H629" s="65" t="s">
        <v>1385</v>
      </c>
      <c r="I629" s="65" t="s">
        <v>64</v>
      </c>
      <c r="J629" s="65" t="s">
        <v>151</v>
      </c>
      <c r="K629" s="65" t="s">
        <v>71</v>
      </c>
      <c r="L629" s="65" t="s">
        <v>119</v>
      </c>
      <c r="M629" s="67">
        <v>377</v>
      </c>
      <c r="N629" s="65" t="s">
        <v>114</v>
      </c>
      <c r="O629" s="68">
        <v>1093.75</v>
      </c>
      <c r="P629" s="68">
        <v>412343.75</v>
      </c>
      <c r="Q629" s="68">
        <v>10496.67</v>
      </c>
      <c r="R629" s="62">
        <f t="shared" si="66"/>
        <v>2.5456115195149679E-2</v>
      </c>
      <c r="S629" s="67">
        <v>17</v>
      </c>
      <c r="T629" s="66">
        <v>45553</v>
      </c>
      <c r="U629" s="66">
        <v>45556</v>
      </c>
      <c r="V629" s="63">
        <f t="shared" si="67"/>
        <v>3</v>
      </c>
      <c r="W629" s="65" t="s">
        <v>125</v>
      </c>
      <c r="X629" s="64" t="b">
        <f t="shared" si="68"/>
        <v>0</v>
      </c>
      <c r="Y629" s="67">
        <v>41</v>
      </c>
      <c r="Z629" s="67">
        <v>314</v>
      </c>
      <c r="AA629" s="65" t="s">
        <v>116</v>
      </c>
      <c r="AB629" s="64" t="b">
        <f t="shared" si="69"/>
        <v>0</v>
      </c>
    </row>
    <row r="630" spans="1:28" ht="15" customHeight="1" x14ac:dyDescent="0.3">
      <c r="A630" s="57" t="s">
        <v>1386</v>
      </c>
      <c r="B630" s="82">
        <v>45251</v>
      </c>
      <c r="C630" s="59">
        <f t="shared" si="63"/>
        <v>2023</v>
      </c>
      <c r="D630" s="59">
        <f t="shared" si="64"/>
        <v>11</v>
      </c>
      <c r="E630" s="59">
        <f t="shared" si="65"/>
        <v>47</v>
      </c>
      <c r="F630" s="57" t="s">
        <v>56</v>
      </c>
      <c r="G630" s="57" t="s">
        <v>43</v>
      </c>
      <c r="H630" s="57" t="s">
        <v>1387</v>
      </c>
      <c r="I630" s="57" t="s">
        <v>69</v>
      </c>
      <c r="J630" s="57" t="s">
        <v>139</v>
      </c>
      <c r="K630" s="57" t="s">
        <v>72</v>
      </c>
      <c r="L630" s="57" t="s">
        <v>124</v>
      </c>
      <c r="M630" s="60">
        <v>138</v>
      </c>
      <c r="N630" s="57" t="s">
        <v>136</v>
      </c>
      <c r="O630" s="61">
        <v>148.44</v>
      </c>
      <c r="P630" s="61">
        <v>20484.72</v>
      </c>
      <c r="Q630" s="61">
        <v>1544.41</v>
      </c>
      <c r="R630" s="62">
        <f t="shared" si="66"/>
        <v>7.5393268738845345E-2</v>
      </c>
      <c r="S630" s="60">
        <v>28</v>
      </c>
      <c r="T630" s="58">
        <v>45279</v>
      </c>
      <c r="U630" s="58">
        <v>45287</v>
      </c>
      <c r="V630" s="63">
        <f t="shared" si="67"/>
        <v>8</v>
      </c>
      <c r="W630" s="57" t="s">
        <v>125</v>
      </c>
      <c r="X630" s="64" t="b">
        <f t="shared" si="68"/>
        <v>0</v>
      </c>
      <c r="Y630" s="60">
        <v>482</v>
      </c>
      <c r="Z630" s="60">
        <v>447</v>
      </c>
      <c r="AA630" s="57" t="s">
        <v>116</v>
      </c>
      <c r="AB630" s="64" t="b">
        <f t="shared" si="69"/>
        <v>0</v>
      </c>
    </row>
    <row r="631" spans="1:28" ht="15" customHeight="1" x14ac:dyDescent="0.3">
      <c r="A631" s="65" t="s">
        <v>1388</v>
      </c>
      <c r="B631" s="81">
        <v>45380</v>
      </c>
      <c r="C631" s="59">
        <f t="shared" si="63"/>
        <v>2024</v>
      </c>
      <c r="D631" s="59">
        <f t="shared" si="64"/>
        <v>3</v>
      </c>
      <c r="E631" s="59">
        <f t="shared" si="65"/>
        <v>13</v>
      </c>
      <c r="F631" s="65" t="s">
        <v>52</v>
      </c>
      <c r="G631" s="65" t="s">
        <v>43</v>
      </c>
      <c r="H631" s="65" t="s">
        <v>1389</v>
      </c>
      <c r="I631" s="65" t="s">
        <v>67</v>
      </c>
      <c r="J631" s="65" t="s">
        <v>112</v>
      </c>
      <c r="K631" s="65" t="s">
        <v>72</v>
      </c>
      <c r="L631" s="65" t="s">
        <v>119</v>
      </c>
      <c r="M631" s="67">
        <v>255</v>
      </c>
      <c r="N631" s="65" t="s">
        <v>132</v>
      </c>
      <c r="O631" s="68">
        <v>273.47000000000003</v>
      </c>
      <c r="P631" s="68">
        <v>69734.850000000006</v>
      </c>
      <c r="Q631" s="68">
        <v>4278.7</v>
      </c>
      <c r="R631" s="62">
        <f t="shared" si="66"/>
        <v>6.1356696113922943E-2</v>
      </c>
      <c r="S631" s="67">
        <v>27</v>
      </c>
      <c r="T631" s="66">
        <v>45407</v>
      </c>
      <c r="U631" s="66">
        <v>45408</v>
      </c>
      <c r="V631" s="63">
        <f t="shared" si="67"/>
        <v>1</v>
      </c>
      <c r="W631" s="65" t="s">
        <v>125</v>
      </c>
      <c r="X631" s="64" t="b">
        <f t="shared" si="68"/>
        <v>0</v>
      </c>
      <c r="Y631" s="67">
        <v>474</v>
      </c>
      <c r="Z631" s="67">
        <v>85</v>
      </c>
      <c r="AA631" s="65" t="s">
        <v>116</v>
      </c>
      <c r="AB631" s="64" t="b">
        <f t="shared" si="69"/>
        <v>0</v>
      </c>
    </row>
    <row r="632" spans="1:28" ht="15" customHeight="1" x14ac:dyDescent="0.3">
      <c r="A632" s="57" t="s">
        <v>1390</v>
      </c>
      <c r="B632" s="82">
        <v>45554</v>
      </c>
      <c r="C632" s="59">
        <f t="shared" si="63"/>
        <v>2024</v>
      </c>
      <c r="D632" s="59">
        <f t="shared" si="64"/>
        <v>9</v>
      </c>
      <c r="E632" s="59">
        <f t="shared" si="65"/>
        <v>38</v>
      </c>
      <c r="F632" s="57" t="s">
        <v>58</v>
      </c>
      <c r="G632" s="57" t="s">
        <v>39</v>
      </c>
      <c r="H632" s="57" t="s">
        <v>1391</v>
      </c>
      <c r="I632" s="57" t="s">
        <v>69</v>
      </c>
      <c r="J632" s="57" t="s">
        <v>143</v>
      </c>
      <c r="K632" s="57" t="s">
        <v>74</v>
      </c>
      <c r="L632" s="57" t="s">
        <v>119</v>
      </c>
      <c r="M632" s="60">
        <v>610</v>
      </c>
      <c r="N632" s="57" t="s">
        <v>163</v>
      </c>
      <c r="O632" s="61">
        <v>1191.57</v>
      </c>
      <c r="P632" s="61">
        <v>726857.7</v>
      </c>
      <c r="Q632" s="61">
        <v>20080.28</v>
      </c>
      <c r="R632" s="62">
        <f t="shared" si="66"/>
        <v>2.762615020794304E-2</v>
      </c>
      <c r="S632" s="60">
        <v>20</v>
      </c>
      <c r="T632" s="58">
        <v>45574</v>
      </c>
      <c r="U632" s="58">
        <v>45586</v>
      </c>
      <c r="V632" s="63">
        <f t="shared" si="67"/>
        <v>12</v>
      </c>
      <c r="W632" s="57" t="s">
        <v>128</v>
      </c>
      <c r="X632" s="64" t="b">
        <f t="shared" si="68"/>
        <v>0</v>
      </c>
      <c r="Y632" s="60">
        <v>118</v>
      </c>
      <c r="Z632" s="60">
        <v>199</v>
      </c>
      <c r="AA632" s="57" t="s">
        <v>116</v>
      </c>
      <c r="AB632" s="64" t="b">
        <f t="shared" si="69"/>
        <v>0</v>
      </c>
    </row>
    <row r="633" spans="1:28" ht="15" customHeight="1" x14ac:dyDescent="0.3">
      <c r="A633" s="65" t="s">
        <v>1392</v>
      </c>
      <c r="B633" s="81">
        <v>45443</v>
      </c>
      <c r="C633" s="59">
        <f t="shared" si="63"/>
        <v>2024</v>
      </c>
      <c r="D633" s="59">
        <f t="shared" si="64"/>
        <v>5</v>
      </c>
      <c r="E633" s="59">
        <f t="shared" si="65"/>
        <v>22</v>
      </c>
      <c r="F633" s="65" t="s">
        <v>59</v>
      </c>
      <c r="G633" s="65" t="s">
        <v>39</v>
      </c>
      <c r="H633" s="65" t="s">
        <v>1393</v>
      </c>
      <c r="I633" s="65" t="s">
        <v>68</v>
      </c>
      <c r="J633" s="65" t="s">
        <v>143</v>
      </c>
      <c r="K633" s="65" t="s">
        <v>72</v>
      </c>
      <c r="L633" s="65" t="s">
        <v>156</v>
      </c>
      <c r="M633" s="67">
        <v>587</v>
      </c>
      <c r="N633" s="65" t="s">
        <v>120</v>
      </c>
      <c r="O633" s="68">
        <v>1104.18</v>
      </c>
      <c r="P633" s="68">
        <v>648153.66</v>
      </c>
      <c r="Q633" s="68">
        <v>26835.759999999998</v>
      </c>
      <c r="R633" s="62">
        <f t="shared" si="66"/>
        <v>4.1403391905555233E-2</v>
      </c>
      <c r="S633" s="67">
        <v>24</v>
      </c>
      <c r="T633" s="66">
        <v>45467</v>
      </c>
      <c r="U633" s="66">
        <v>45472</v>
      </c>
      <c r="V633" s="63">
        <f t="shared" si="67"/>
        <v>5</v>
      </c>
      <c r="W633" s="65" t="s">
        <v>125</v>
      </c>
      <c r="X633" s="64" t="b">
        <f t="shared" si="68"/>
        <v>0</v>
      </c>
      <c r="Y633" s="67">
        <v>168</v>
      </c>
      <c r="Z633" s="67">
        <v>70</v>
      </c>
      <c r="AA633" s="65" t="s">
        <v>116</v>
      </c>
      <c r="AB633" s="64" t="b">
        <f t="shared" si="69"/>
        <v>0</v>
      </c>
    </row>
    <row r="634" spans="1:28" ht="15" customHeight="1" x14ac:dyDescent="0.3">
      <c r="A634" s="57" t="s">
        <v>1394</v>
      </c>
      <c r="B634" s="82">
        <v>45363</v>
      </c>
      <c r="C634" s="59">
        <f t="shared" si="63"/>
        <v>2024</v>
      </c>
      <c r="D634" s="59">
        <f t="shared" si="64"/>
        <v>3</v>
      </c>
      <c r="E634" s="59">
        <f t="shared" si="65"/>
        <v>11</v>
      </c>
      <c r="F634" s="57" t="s">
        <v>54</v>
      </c>
      <c r="G634" s="57" t="s">
        <v>45</v>
      </c>
      <c r="H634" s="57" t="s">
        <v>1395</v>
      </c>
      <c r="I634" s="57" t="s">
        <v>67</v>
      </c>
      <c r="J634" s="57" t="s">
        <v>139</v>
      </c>
      <c r="K634" s="57" t="s">
        <v>71</v>
      </c>
      <c r="L634" s="57" t="s">
        <v>113</v>
      </c>
      <c r="M634" s="60">
        <v>679</v>
      </c>
      <c r="N634" s="57" t="s">
        <v>136</v>
      </c>
      <c r="O634" s="61">
        <v>210.06</v>
      </c>
      <c r="P634" s="61">
        <v>142630.74</v>
      </c>
      <c r="Q634" s="61">
        <v>7922.99</v>
      </c>
      <c r="R634" s="62">
        <f t="shared" si="66"/>
        <v>5.5548965110887041E-2</v>
      </c>
      <c r="S634" s="60">
        <v>12</v>
      </c>
      <c r="T634" s="58">
        <v>45375</v>
      </c>
      <c r="U634" s="58">
        <v>45376</v>
      </c>
      <c r="V634" s="63">
        <f t="shared" si="67"/>
        <v>1</v>
      </c>
      <c r="W634" s="57" t="s">
        <v>125</v>
      </c>
      <c r="X634" s="64" t="b">
        <f t="shared" si="68"/>
        <v>0</v>
      </c>
      <c r="Y634" s="60">
        <v>107</v>
      </c>
      <c r="Z634" s="60">
        <v>344</v>
      </c>
      <c r="AA634" s="57" t="s">
        <v>83</v>
      </c>
      <c r="AB634" s="64" t="b">
        <f t="shared" si="69"/>
        <v>1</v>
      </c>
    </row>
    <row r="635" spans="1:28" ht="15" customHeight="1" x14ac:dyDescent="0.3">
      <c r="A635" s="65" t="s">
        <v>1396</v>
      </c>
      <c r="B635" s="81">
        <v>45488</v>
      </c>
      <c r="C635" s="59">
        <f t="shared" si="63"/>
        <v>2024</v>
      </c>
      <c r="D635" s="59">
        <f t="shared" si="64"/>
        <v>7</v>
      </c>
      <c r="E635" s="59">
        <f t="shared" si="65"/>
        <v>29</v>
      </c>
      <c r="F635" s="65" t="s">
        <v>53</v>
      </c>
      <c r="G635" s="65" t="s">
        <v>45</v>
      </c>
      <c r="H635" s="65" t="s">
        <v>1397</v>
      </c>
      <c r="I635" s="65" t="s">
        <v>69</v>
      </c>
      <c r="J635" s="65" t="s">
        <v>143</v>
      </c>
      <c r="K635" s="65" t="s">
        <v>71</v>
      </c>
      <c r="L635" s="65" t="s">
        <v>113</v>
      </c>
      <c r="M635" s="67">
        <v>908</v>
      </c>
      <c r="N635" s="65" t="s">
        <v>140</v>
      </c>
      <c r="O635" s="68">
        <v>275.04000000000002</v>
      </c>
      <c r="P635" s="68">
        <v>249736.32000000001</v>
      </c>
      <c r="Q635" s="68">
        <v>17515.080000000002</v>
      </c>
      <c r="R635" s="62">
        <f t="shared" si="66"/>
        <v>7.0134292040500965E-2</v>
      </c>
      <c r="S635" s="67">
        <v>18</v>
      </c>
      <c r="T635" s="66">
        <v>45506</v>
      </c>
      <c r="U635" s="66">
        <v>45507</v>
      </c>
      <c r="V635" s="63">
        <f t="shared" si="67"/>
        <v>1</v>
      </c>
      <c r="W635" s="65" t="s">
        <v>128</v>
      </c>
      <c r="X635" s="64" t="b">
        <f t="shared" si="68"/>
        <v>0</v>
      </c>
      <c r="Y635" s="67">
        <v>485</v>
      </c>
      <c r="Z635" s="67">
        <v>477</v>
      </c>
      <c r="AA635" s="65" t="s">
        <v>116</v>
      </c>
      <c r="AB635" s="64" t="b">
        <f t="shared" si="69"/>
        <v>0</v>
      </c>
    </row>
    <row r="636" spans="1:28" ht="15" customHeight="1" x14ac:dyDescent="0.3">
      <c r="A636" s="57" t="s">
        <v>1398</v>
      </c>
      <c r="B636" s="82">
        <v>45383</v>
      </c>
      <c r="C636" s="59">
        <f t="shared" si="63"/>
        <v>2024</v>
      </c>
      <c r="D636" s="59">
        <f t="shared" si="64"/>
        <v>4</v>
      </c>
      <c r="E636" s="59">
        <f t="shared" si="65"/>
        <v>14</v>
      </c>
      <c r="F636" s="57" t="s">
        <v>58</v>
      </c>
      <c r="G636" s="57" t="s">
        <v>46</v>
      </c>
      <c r="H636" s="57" t="s">
        <v>1399</v>
      </c>
      <c r="I636" s="57" t="s">
        <v>65</v>
      </c>
      <c r="J636" s="57" t="s">
        <v>123</v>
      </c>
      <c r="K636" s="57" t="s">
        <v>72</v>
      </c>
      <c r="L636" s="57" t="s">
        <v>119</v>
      </c>
      <c r="M636" s="60">
        <v>387</v>
      </c>
      <c r="N636" s="57" t="s">
        <v>136</v>
      </c>
      <c r="O636" s="61">
        <v>54.6</v>
      </c>
      <c r="P636" s="61">
        <v>21130.2</v>
      </c>
      <c r="Q636" s="61">
        <v>477.96</v>
      </c>
      <c r="R636" s="62">
        <f t="shared" si="66"/>
        <v>2.2619757503478433E-2</v>
      </c>
      <c r="S636" s="60">
        <v>3</v>
      </c>
      <c r="T636" s="58">
        <v>45386</v>
      </c>
      <c r="U636" s="58">
        <v>45388</v>
      </c>
      <c r="V636" s="63">
        <f t="shared" si="67"/>
        <v>2</v>
      </c>
      <c r="W636" s="57" t="s">
        <v>125</v>
      </c>
      <c r="X636" s="64" t="b">
        <f t="shared" si="68"/>
        <v>0</v>
      </c>
      <c r="Y636" s="60">
        <v>146</v>
      </c>
      <c r="Z636" s="60">
        <v>97</v>
      </c>
      <c r="AA636" s="57" t="s">
        <v>81</v>
      </c>
      <c r="AB636" s="64" t="b">
        <f t="shared" si="69"/>
        <v>1</v>
      </c>
    </row>
    <row r="637" spans="1:28" ht="15" customHeight="1" x14ac:dyDescent="0.3">
      <c r="A637" s="65" t="s">
        <v>1400</v>
      </c>
      <c r="B637" s="81">
        <v>45089</v>
      </c>
      <c r="C637" s="59">
        <f t="shared" si="63"/>
        <v>2023</v>
      </c>
      <c r="D637" s="59">
        <f t="shared" si="64"/>
        <v>6</v>
      </c>
      <c r="E637" s="59">
        <f t="shared" si="65"/>
        <v>24</v>
      </c>
      <c r="F637" s="65" t="s">
        <v>53</v>
      </c>
      <c r="G637" s="65" t="s">
        <v>40</v>
      </c>
      <c r="H637" s="65" t="s">
        <v>1401</v>
      </c>
      <c r="I637" s="65" t="s">
        <v>69</v>
      </c>
      <c r="J637" s="65" t="s">
        <v>112</v>
      </c>
      <c r="K637" s="65" t="s">
        <v>71</v>
      </c>
      <c r="L637" s="65" t="s">
        <v>124</v>
      </c>
      <c r="M637" s="67">
        <v>158</v>
      </c>
      <c r="N637" s="65" t="s">
        <v>114</v>
      </c>
      <c r="O637" s="68">
        <v>829.9</v>
      </c>
      <c r="P637" s="68">
        <v>131124.20000000001</v>
      </c>
      <c r="Q637" s="68">
        <v>4484.18</v>
      </c>
      <c r="R637" s="62">
        <f t="shared" si="66"/>
        <v>3.4197958881731973E-2</v>
      </c>
      <c r="S637" s="67">
        <v>28</v>
      </c>
      <c r="T637" s="66">
        <v>45117</v>
      </c>
      <c r="U637" s="66">
        <v>45112</v>
      </c>
      <c r="V637" s="63">
        <f t="shared" si="67"/>
        <v>-5</v>
      </c>
      <c r="W637" s="65" t="s">
        <v>115</v>
      </c>
      <c r="X637" s="64" t="b">
        <f t="shared" si="68"/>
        <v>1</v>
      </c>
      <c r="Y637" s="67">
        <v>175</v>
      </c>
      <c r="Z637" s="67">
        <v>299</v>
      </c>
      <c r="AA637" s="65" t="s">
        <v>83</v>
      </c>
      <c r="AB637" s="64" t="b">
        <f t="shared" si="69"/>
        <v>1</v>
      </c>
    </row>
    <row r="638" spans="1:28" ht="15" customHeight="1" x14ac:dyDescent="0.3">
      <c r="A638" s="57" t="s">
        <v>1402</v>
      </c>
      <c r="B638" s="82">
        <v>45413</v>
      </c>
      <c r="C638" s="59">
        <f t="shared" si="63"/>
        <v>2024</v>
      </c>
      <c r="D638" s="59">
        <f t="shared" si="64"/>
        <v>5</v>
      </c>
      <c r="E638" s="59">
        <f t="shared" si="65"/>
        <v>18</v>
      </c>
      <c r="F638" s="57" t="s">
        <v>58</v>
      </c>
      <c r="G638" s="57" t="s">
        <v>40</v>
      </c>
      <c r="H638" s="57" t="s">
        <v>1403</v>
      </c>
      <c r="I638" s="57" t="s">
        <v>67</v>
      </c>
      <c r="J638" s="57" t="s">
        <v>151</v>
      </c>
      <c r="K638" s="57" t="s">
        <v>71</v>
      </c>
      <c r="L638" s="57" t="s">
        <v>135</v>
      </c>
      <c r="M638" s="60">
        <v>994</v>
      </c>
      <c r="N638" s="57" t="s">
        <v>140</v>
      </c>
      <c r="O638" s="61">
        <v>585.54999999999995</v>
      </c>
      <c r="P638" s="61">
        <v>582036.69999999995</v>
      </c>
      <c r="Q638" s="61">
        <v>42712.73</v>
      </c>
      <c r="R638" s="62">
        <f t="shared" si="66"/>
        <v>7.3384942908239298E-2</v>
      </c>
      <c r="S638" s="60">
        <v>1</v>
      </c>
      <c r="T638" s="58">
        <v>45414</v>
      </c>
      <c r="U638" s="58">
        <v>45419</v>
      </c>
      <c r="V638" s="63">
        <f t="shared" si="67"/>
        <v>5</v>
      </c>
      <c r="W638" s="57" t="s">
        <v>128</v>
      </c>
      <c r="X638" s="64" t="b">
        <f t="shared" si="68"/>
        <v>0</v>
      </c>
      <c r="Y638" s="60">
        <v>436</v>
      </c>
      <c r="Z638" s="60">
        <v>175</v>
      </c>
      <c r="AA638" s="57" t="s">
        <v>82</v>
      </c>
      <c r="AB638" s="64" t="b">
        <f t="shared" si="69"/>
        <v>1</v>
      </c>
    </row>
    <row r="639" spans="1:28" ht="15" customHeight="1" x14ac:dyDescent="0.3">
      <c r="A639" s="65" t="s">
        <v>1404</v>
      </c>
      <c r="B639" s="81">
        <v>45387</v>
      </c>
      <c r="C639" s="59">
        <f t="shared" si="63"/>
        <v>2024</v>
      </c>
      <c r="D639" s="59">
        <f t="shared" si="64"/>
        <v>4</v>
      </c>
      <c r="E639" s="59">
        <f t="shared" si="65"/>
        <v>14</v>
      </c>
      <c r="F639" s="65" t="s">
        <v>57</v>
      </c>
      <c r="G639" s="65" t="s">
        <v>46</v>
      </c>
      <c r="H639" s="65" t="s">
        <v>1405</v>
      </c>
      <c r="I639" s="65" t="s">
        <v>69</v>
      </c>
      <c r="J639" s="65" t="s">
        <v>139</v>
      </c>
      <c r="K639" s="65" t="s">
        <v>73</v>
      </c>
      <c r="L639" s="65" t="s">
        <v>119</v>
      </c>
      <c r="M639" s="67">
        <v>861</v>
      </c>
      <c r="N639" s="65" t="s">
        <v>120</v>
      </c>
      <c r="O639" s="68">
        <v>63.56</v>
      </c>
      <c r="P639" s="68">
        <v>54725.16</v>
      </c>
      <c r="Q639" s="68">
        <v>1124.5999999999999</v>
      </c>
      <c r="R639" s="62">
        <f t="shared" si="66"/>
        <v>2.0549962759359677E-2</v>
      </c>
      <c r="S639" s="67">
        <v>1</v>
      </c>
      <c r="T639" s="66">
        <v>45388</v>
      </c>
      <c r="U639" s="66">
        <v>45393</v>
      </c>
      <c r="V639" s="63">
        <f t="shared" si="67"/>
        <v>5</v>
      </c>
      <c r="W639" s="65" t="s">
        <v>125</v>
      </c>
      <c r="X639" s="64" t="b">
        <f t="shared" si="68"/>
        <v>0</v>
      </c>
      <c r="Y639" s="67">
        <v>438</v>
      </c>
      <c r="Z639" s="67">
        <v>232</v>
      </c>
      <c r="AA639" s="65" t="s">
        <v>82</v>
      </c>
      <c r="AB639" s="64" t="b">
        <f t="shared" si="69"/>
        <v>1</v>
      </c>
    </row>
    <row r="640" spans="1:28" ht="15" customHeight="1" x14ac:dyDescent="0.3">
      <c r="A640" s="57" t="s">
        <v>1406</v>
      </c>
      <c r="B640" s="82">
        <v>45192</v>
      </c>
      <c r="C640" s="59">
        <f t="shared" si="63"/>
        <v>2023</v>
      </c>
      <c r="D640" s="59">
        <f t="shared" si="64"/>
        <v>9</v>
      </c>
      <c r="E640" s="59">
        <f t="shared" si="65"/>
        <v>38</v>
      </c>
      <c r="F640" s="57" t="s">
        <v>55</v>
      </c>
      <c r="G640" s="57" t="s">
        <v>43</v>
      </c>
      <c r="H640" s="57" t="s">
        <v>1407</v>
      </c>
      <c r="I640" s="57" t="s">
        <v>69</v>
      </c>
      <c r="J640" s="57" t="s">
        <v>131</v>
      </c>
      <c r="K640" s="57" t="s">
        <v>75</v>
      </c>
      <c r="L640" s="57" t="s">
        <v>156</v>
      </c>
      <c r="M640" s="60">
        <v>442</v>
      </c>
      <c r="N640" s="57" t="s">
        <v>163</v>
      </c>
      <c r="O640" s="61">
        <v>232.42</v>
      </c>
      <c r="P640" s="61">
        <v>102729.64</v>
      </c>
      <c r="Q640" s="61">
        <v>3295.97</v>
      </c>
      <c r="R640" s="62">
        <f t="shared" si="66"/>
        <v>3.208392436691105E-2</v>
      </c>
      <c r="S640" s="60">
        <v>29</v>
      </c>
      <c r="T640" s="58">
        <v>45221</v>
      </c>
      <c r="U640" s="58">
        <v>45223</v>
      </c>
      <c r="V640" s="63">
        <f t="shared" si="67"/>
        <v>2</v>
      </c>
      <c r="W640" s="57" t="s">
        <v>128</v>
      </c>
      <c r="X640" s="64" t="b">
        <f t="shared" si="68"/>
        <v>0</v>
      </c>
      <c r="Y640" s="60">
        <v>375</v>
      </c>
      <c r="Z640" s="60">
        <v>371</v>
      </c>
      <c r="AA640" s="57" t="s">
        <v>116</v>
      </c>
      <c r="AB640" s="64" t="b">
        <f t="shared" si="69"/>
        <v>0</v>
      </c>
    </row>
    <row r="641" spans="1:28" ht="15" customHeight="1" x14ac:dyDescent="0.3">
      <c r="A641" s="65" t="s">
        <v>1408</v>
      </c>
      <c r="B641" s="81">
        <v>45180</v>
      </c>
      <c r="C641" s="59">
        <f t="shared" si="63"/>
        <v>2023</v>
      </c>
      <c r="D641" s="59">
        <f t="shared" si="64"/>
        <v>9</v>
      </c>
      <c r="E641" s="59">
        <f t="shared" si="65"/>
        <v>37</v>
      </c>
      <c r="F641" s="65" t="s">
        <v>54</v>
      </c>
      <c r="G641" s="65" t="s">
        <v>43</v>
      </c>
      <c r="H641" s="65" t="s">
        <v>1409</v>
      </c>
      <c r="I641" s="65" t="s">
        <v>69</v>
      </c>
      <c r="J641" s="65" t="s">
        <v>131</v>
      </c>
      <c r="K641" s="65" t="s">
        <v>71</v>
      </c>
      <c r="L641" s="65" t="s">
        <v>119</v>
      </c>
      <c r="M641" s="67">
        <v>637</v>
      </c>
      <c r="N641" s="65" t="s">
        <v>132</v>
      </c>
      <c r="O641" s="68">
        <v>231.35</v>
      </c>
      <c r="P641" s="68">
        <v>147369.95000000001</v>
      </c>
      <c r="Q641" s="68">
        <v>11427.28</v>
      </c>
      <c r="R641" s="62">
        <f t="shared" si="66"/>
        <v>7.7541452650285891E-2</v>
      </c>
      <c r="S641" s="67">
        <v>19</v>
      </c>
      <c r="T641" s="66">
        <v>45199</v>
      </c>
      <c r="U641" s="66">
        <v>45199</v>
      </c>
      <c r="V641" s="63">
        <f t="shared" si="67"/>
        <v>0</v>
      </c>
      <c r="W641" s="65" t="s">
        <v>115</v>
      </c>
      <c r="X641" s="64" t="b">
        <f t="shared" si="68"/>
        <v>1</v>
      </c>
      <c r="Y641" s="67">
        <v>188</v>
      </c>
      <c r="Z641" s="67">
        <v>74</v>
      </c>
      <c r="AA641" s="65" t="s">
        <v>116</v>
      </c>
      <c r="AB641" s="64" t="b">
        <f t="shared" si="69"/>
        <v>0</v>
      </c>
    </row>
    <row r="642" spans="1:28" ht="15" customHeight="1" x14ac:dyDescent="0.3">
      <c r="A642" s="57" t="s">
        <v>1410</v>
      </c>
      <c r="B642" s="82">
        <v>45579</v>
      </c>
      <c r="C642" s="59">
        <f t="shared" ref="C642:C705" si="70">YEAR(B642)</f>
        <v>2024</v>
      </c>
      <c r="D642" s="59">
        <f t="shared" ref="D642:D705" si="71">MONTH(B642)</f>
        <v>10</v>
      </c>
      <c r="E642" s="59">
        <f t="shared" ref="E642:E705" si="72">WEEKNUM(B642,1)</f>
        <v>42</v>
      </c>
      <c r="F642" s="57" t="s">
        <v>54</v>
      </c>
      <c r="G642" s="57" t="s">
        <v>41</v>
      </c>
      <c r="H642" s="57" t="s">
        <v>1411</v>
      </c>
      <c r="I642" s="57" t="s">
        <v>67</v>
      </c>
      <c r="J642" s="57" t="s">
        <v>131</v>
      </c>
      <c r="K642" s="57" t="s">
        <v>71</v>
      </c>
      <c r="L642" s="57" t="s">
        <v>124</v>
      </c>
      <c r="M642" s="60">
        <v>735</v>
      </c>
      <c r="N642" s="57" t="s">
        <v>136</v>
      </c>
      <c r="O642" s="61">
        <v>482.97</v>
      </c>
      <c r="P642" s="61">
        <v>354982.95</v>
      </c>
      <c r="Q642" s="61">
        <v>20164.490000000002</v>
      </c>
      <c r="R642" s="62">
        <f t="shared" ref="R642:R705" si="73">Q642/P642</f>
        <v>5.680410847901287E-2</v>
      </c>
      <c r="S642" s="60">
        <v>11</v>
      </c>
      <c r="T642" s="58">
        <v>45590</v>
      </c>
      <c r="U642" s="58">
        <v>45590</v>
      </c>
      <c r="V642" s="63">
        <f t="shared" ref="V642:V705" si="74">U642-T642</f>
        <v>0</v>
      </c>
      <c r="W642" s="57" t="s">
        <v>128</v>
      </c>
      <c r="X642" s="64" t="b">
        <f t="shared" ref="X642:X705" si="75">IF(W642="Entregado", TRUE(), FALSE())</f>
        <v>0</v>
      </c>
      <c r="Y642" s="60">
        <v>159</v>
      </c>
      <c r="Z642" s="60">
        <v>142</v>
      </c>
      <c r="AA642" s="57" t="s">
        <v>81</v>
      </c>
      <c r="AB642" s="64" t="b">
        <f t="shared" ref="AB642:AB705" si="76">IF(AA642="Ninguna",FALSE(),TRUE())</f>
        <v>1</v>
      </c>
    </row>
    <row r="643" spans="1:28" ht="15" customHeight="1" x14ac:dyDescent="0.3">
      <c r="A643" s="65" t="s">
        <v>1412</v>
      </c>
      <c r="B643" s="81">
        <v>45210</v>
      </c>
      <c r="C643" s="59">
        <f t="shared" si="70"/>
        <v>2023</v>
      </c>
      <c r="D643" s="59">
        <f t="shared" si="71"/>
        <v>10</v>
      </c>
      <c r="E643" s="59">
        <f t="shared" si="72"/>
        <v>41</v>
      </c>
      <c r="F643" s="65" t="s">
        <v>53</v>
      </c>
      <c r="G643" s="65" t="s">
        <v>41</v>
      </c>
      <c r="H643" s="65" t="s">
        <v>1413</v>
      </c>
      <c r="I643" s="65" t="s">
        <v>69</v>
      </c>
      <c r="J643" s="65" t="s">
        <v>112</v>
      </c>
      <c r="K643" s="65" t="s">
        <v>74</v>
      </c>
      <c r="L643" s="65" t="s">
        <v>124</v>
      </c>
      <c r="M643" s="67">
        <v>478</v>
      </c>
      <c r="N643" s="65" t="s">
        <v>140</v>
      </c>
      <c r="O643" s="68">
        <v>476.21</v>
      </c>
      <c r="P643" s="68">
        <v>227628.38</v>
      </c>
      <c r="Q643" s="68">
        <v>8126.4</v>
      </c>
      <c r="R643" s="62">
        <f t="shared" si="73"/>
        <v>3.5700293610137712E-2</v>
      </c>
      <c r="S643" s="67">
        <v>5</v>
      </c>
      <c r="T643" s="66">
        <v>45215</v>
      </c>
      <c r="U643" s="66">
        <v>45215</v>
      </c>
      <c r="V643" s="63">
        <f t="shared" si="74"/>
        <v>0</v>
      </c>
      <c r="W643" s="65" t="s">
        <v>115</v>
      </c>
      <c r="X643" s="64" t="b">
        <f t="shared" si="75"/>
        <v>1</v>
      </c>
      <c r="Y643" s="67">
        <v>301</v>
      </c>
      <c r="Z643" s="67">
        <v>418</v>
      </c>
      <c r="AA643" s="65" t="s">
        <v>116</v>
      </c>
      <c r="AB643" s="64" t="b">
        <f t="shared" si="76"/>
        <v>0</v>
      </c>
    </row>
    <row r="644" spans="1:28" ht="15" customHeight="1" x14ac:dyDescent="0.3">
      <c r="A644" s="57" t="s">
        <v>1414</v>
      </c>
      <c r="B644" s="82">
        <v>45460</v>
      </c>
      <c r="C644" s="59">
        <f t="shared" si="70"/>
        <v>2024</v>
      </c>
      <c r="D644" s="59">
        <f t="shared" si="71"/>
        <v>6</v>
      </c>
      <c r="E644" s="59">
        <f t="shared" si="72"/>
        <v>25</v>
      </c>
      <c r="F644" s="57" t="s">
        <v>56</v>
      </c>
      <c r="G644" s="57" t="s">
        <v>40</v>
      </c>
      <c r="H644" s="57" t="s">
        <v>1415</v>
      </c>
      <c r="I644" s="57" t="s">
        <v>64</v>
      </c>
      <c r="J644" s="57" t="s">
        <v>151</v>
      </c>
      <c r="K644" s="57" t="s">
        <v>75</v>
      </c>
      <c r="L644" s="57" t="s">
        <v>119</v>
      </c>
      <c r="M644" s="60">
        <v>455</v>
      </c>
      <c r="N644" s="57" t="s">
        <v>120</v>
      </c>
      <c r="O644" s="61">
        <v>628.24</v>
      </c>
      <c r="P644" s="61">
        <v>285849.2</v>
      </c>
      <c r="Q644" s="61">
        <v>6865.95</v>
      </c>
      <c r="R644" s="62">
        <f t="shared" si="73"/>
        <v>2.4019483000127337E-2</v>
      </c>
      <c r="S644" s="60">
        <v>12</v>
      </c>
      <c r="T644" s="58">
        <v>45472</v>
      </c>
      <c r="U644" s="58">
        <v>45472</v>
      </c>
      <c r="V644" s="63">
        <f t="shared" si="74"/>
        <v>0</v>
      </c>
      <c r="W644" s="57" t="s">
        <v>115</v>
      </c>
      <c r="X644" s="64" t="b">
        <f t="shared" si="75"/>
        <v>1</v>
      </c>
      <c r="Y644" s="60">
        <v>347</v>
      </c>
      <c r="Z644" s="60">
        <v>22</v>
      </c>
      <c r="AA644" s="57" t="s">
        <v>116</v>
      </c>
      <c r="AB644" s="64" t="b">
        <f t="shared" si="76"/>
        <v>0</v>
      </c>
    </row>
    <row r="645" spans="1:28" ht="15" customHeight="1" x14ac:dyDescent="0.3">
      <c r="A645" s="65" t="s">
        <v>1416</v>
      </c>
      <c r="B645" s="81">
        <v>45423</v>
      </c>
      <c r="C645" s="59">
        <f t="shared" si="70"/>
        <v>2024</v>
      </c>
      <c r="D645" s="59">
        <f t="shared" si="71"/>
        <v>5</v>
      </c>
      <c r="E645" s="59">
        <f t="shared" si="72"/>
        <v>19</v>
      </c>
      <c r="F645" s="65" t="s">
        <v>57</v>
      </c>
      <c r="G645" s="65" t="s">
        <v>46</v>
      </c>
      <c r="H645" s="65" t="s">
        <v>1417</v>
      </c>
      <c r="I645" s="65" t="s">
        <v>68</v>
      </c>
      <c r="J645" s="65" t="s">
        <v>143</v>
      </c>
      <c r="K645" s="65" t="s">
        <v>75</v>
      </c>
      <c r="L645" s="65" t="s">
        <v>113</v>
      </c>
      <c r="M645" s="67">
        <v>490</v>
      </c>
      <c r="N645" s="65" t="s">
        <v>132</v>
      </c>
      <c r="O645" s="68">
        <v>59.61</v>
      </c>
      <c r="P645" s="68">
        <v>29208.9</v>
      </c>
      <c r="Q645" s="68">
        <v>633.58000000000004</v>
      </c>
      <c r="R645" s="62">
        <f t="shared" si="73"/>
        <v>2.1691333805792072E-2</v>
      </c>
      <c r="S645" s="67">
        <v>3</v>
      </c>
      <c r="T645" s="66">
        <v>45426</v>
      </c>
      <c r="U645" s="66">
        <v>45427</v>
      </c>
      <c r="V645" s="63">
        <f t="shared" si="74"/>
        <v>1</v>
      </c>
      <c r="W645" s="65" t="s">
        <v>125</v>
      </c>
      <c r="X645" s="64" t="b">
        <f t="shared" si="75"/>
        <v>0</v>
      </c>
      <c r="Y645" s="67">
        <v>419</v>
      </c>
      <c r="Z645" s="67">
        <v>180</v>
      </c>
      <c r="AA645" s="65" t="s">
        <v>81</v>
      </c>
      <c r="AB645" s="64" t="b">
        <f t="shared" si="76"/>
        <v>1</v>
      </c>
    </row>
    <row r="646" spans="1:28" ht="15" customHeight="1" x14ac:dyDescent="0.3">
      <c r="A646" s="57" t="s">
        <v>1418</v>
      </c>
      <c r="B646" s="82">
        <v>45568</v>
      </c>
      <c r="C646" s="59">
        <f t="shared" si="70"/>
        <v>2024</v>
      </c>
      <c r="D646" s="59">
        <f t="shared" si="71"/>
        <v>10</v>
      </c>
      <c r="E646" s="59">
        <f t="shared" si="72"/>
        <v>40</v>
      </c>
      <c r="F646" s="57" t="s">
        <v>52</v>
      </c>
      <c r="G646" s="57" t="s">
        <v>44</v>
      </c>
      <c r="H646" s="57" t="s">
        <v>1419</v>
      </c>
      <c r="I646" s="57" t="s">
        <v>64</v>
      </c>
      <c r="J646" s="57" t="s">
        <v>151</v>
      </c>
      <c r="K646" s="57" t="s">
        <v>75</v>
      </c>
      <c r="L646" s="57" t="s">
        <v>119</v>
      </c>
      <c r="M646" s="60">
        <v>893</v>
      </c>
      <c r="N646" s="57" t="s">
        <v>120</v>
      </c>
      <c r="O646" s="61">
        <v>93.55</v>
      </c>
      <c r="P646" s="61">
        <v>83540.149999999994</v>
      </c>
      <c r="Q646" s="61">
        <v>2897.57</v>
      </c>
      <c r="R646" s="62">
        <f t="shared" si="73"/>
        <v>3.4684759364209908E-2</v>
      </c>
      <c r="S646" s="60">
        <v>1</v>
      </c>
      <c r="T646" s="58">
        <v>45569</v>
      </c>
      <c r="U646" s="58">
        <v>45569</v>
      </c>
      <c r="V646" s="63">
        <f t="shared" si="74"/>
        <v>0</v>
      </c>
      <c r="W646" s="57" t="s">
        <v>115</v>
      </c>
      <c r="X646" s="64" t="b">
        <f t="shared" si="75"/>
        <v>1</v>
      </c>
      <c r="Y646" s="60">
        <v>401</v>
      </c>
      <c r="Z646" s="60">
        <v>44</v>
      </c>
      <c r="AA646" s="57" t="s">
        <v>116</v>
      </c>
      <c r="AB646" s="64" t="b">
        <f t="shared" si="76"/>
        <v>0</v>
      </c>
    </row>
    <row r="647" spans="1:28" ht="15" customHeight="1" x14ac:dyDescent="0.3">
      <c r="A647" s="65" t="s">
        <v>1420</v>
      </c>
      <c r="B647" s="81">
        <v>45171</v>
      </c>
      <c r="C647" s="59">
        <f t="shared" si="70"/>
        <v>2023</v>
      </c>
      <c r="D647" s="59">
        <f t="shared" si="71"/>
        <v>9</v>
      </c>
      <c r="E647" s="59">
        <f t="shared" si="72"/>
        <v>35</v>
      </c>
      <c r="F647" s="65" t="s">
        <v>54</v>
      </c>
      <c r="G647" s="65" t="s">
        <v>45</v>
      </c>
      <c r="H647" s="65" t="s">
        <v>1421</v>
      </c>
      <c r="I647" s="65" t="s">
        <v>67</v>
      </c>
      <c r="J647" s="65" t="s">
        <v>151</v>
      </c>
      <c r="K647" s="65" t="s">
        <v>72</v>
      </c>
      <c r="L647" s="65" t="s">
        <v>146</v>
      </c>
      <c r="M647" s="67">
        <v>303</v>
      </c>
      <c r="N647" s="65" t="s">
        <v>163</v>
      </c>
      <c r="O647" s="68">
        <v>262.66000000000003</v>
      </c>
      <c r="P647" s="68">
        <v>79585.98</v>
      </c>
      <c r="Q647" s="68">
        <v>5800.95</v>
      </c>
      <c r="R647" s="62">
        <f t="shared" si="73"/>
        <v>7.2889094285199477E-2</v>
      </c>
      <c r="S647" s="67">
        <v>1</v>
      </c>
      <c r="T647" s="66">
        <v>45172</v>
      </c>
      <c r="U647" s="66">
        <v>45172</v>
      </c>
      <c r="V647" s="63">
        <f t="shared" si="74"/>
        <v>0</v>
      </c>
      <c r="W647" s="65" t="s">
        <v>115</v>
      </c>
      <c r="X647" s="64" t="b">
        <f t="shared" si="75"/>
        <v>1</v>
      </c>
      <c r="Y647" s="67">
        <v>73</v>
      </c>
      <c r="Z647" s="67">
        <v>468</v>
      </c>
      <c r="AA647" s="65" t="s">
        <v>116</v>
      </c>
      <c r="AB647" s="64" t="b">
        <f t="shared" si="76"/>
        <v>0</v>
      </c>
    </row>
    <row r="648" spans="1:28" ht="15" customHeight="1" x14ac:dyDescent="0.3">
      <c r="A648" s="57" t="s">
        <v>1422</v>
      </c>
      <c r="B648" s="82">
        <v>45208</v>
      </c>
      <c r="C648" s="59">
        <f t="shared" si="70"/>
        <v>2023</v>
      </c>
      <c r="D648" s="59">
        <f t="shared" si="71"/>
        <v>10</v>
      </c>
      <c r="E648" s="59">
        <f t="shared" si="72"/>
        <v>41</v>
      </c>
      <c r="F648" s="57" t="s">
        <v>59</v>
      </c>
      <c r="G648" s="57" t="s">
        <v>44</v>
      </c>
      <c r="H648" s="57" t="s">
        <v>1423</v>
      </c>
      <c r="I648" s="57" t="s">
        <v>65</v>
      </c>
      <c r="J648" s="57" t="s">
        <v>139</v>
      </c>
      <c r="K648" s="57" t="s">
        <v>73</v>
      </c>
      <c r="L648" s="57" t="s">
        <v>146</v>
      </c>
      <c r="M648" s="60">
        <v>774</v>
      </c>
      <c r="N648" s="57" t="s">
        <v>132</v>
      </c>
      <c r="O648" s="61">
        <v>176.76</v>
      </c>
      <c r="P648" s="61">
        <v>136812.24</v>
      </c>
      <c r="Q648" s="61">
        <v>6150.37</v>
      </c>
      <c r="R648" s="62">
        <f t="shared" si="73"/>
        <v>4.495482275562479E-2</v>
      </c>
      <c r="S648" s="60">
        <v>8</v>
      </c>
      <c r="T648" s="58">
        <v>45216</v>
      </c>
      <c r="U648" s="58">
        <v>45228</v>
      </c>
      <c r="V648" s="63">
        <f t="shared" si="74"/>
        <v>12</v>
      </c>
      <c r="W648" s="57" t="s">
        <v>125</v>
      </c>
      <c r="X648" s="64" t="b">
        <f t="shared" si="75"/>
        <v>0</v>
      </c>
      <c r="Y648" s="60">
        <v>351</v>
      </c>
      <c r="Z648" s="60">
        <v>91</v>
      </c>
      <c r="AA648" s="57" t="s">
        <v>116</v>
      </c>
      <c r="AB648" s="64" t="b">
        <f t="shared" si="76"/>
        <v>0</v>
      </c>
    </row>
    <row r="649" spans="1:28" ht="15" customHeight="1" x14ac:dyDescent="0.3">
      <c r="A649" s="65" t="s">
        <v>1424</v>
      </c>
      <c r="B649" s="81">
        <v>45377</v>
      </c>
      <c r="C649" s="59">
        <f t="shared" si="70"/>
        <v>2024</v>
      </c>
      <c r="D649" s="59">
        <f t="shared" si="71"/>
        <v>3</v>
      </c>
      <c r="E649" s="59">
        <f t="shared" si="72"/>
        <v>13</v>
      </c>
      <c r="F649" s="65" t="s">
        <v>53</v>
      </c>
      <c r="G649" s="65" t="s">
        <v>46</v>
      </c>
      <c r="H649" s="65" t="s">
        <v>1425</v>
      </c>
      <c r="I649" s="65" t="s">
        <v>64</v>
      </c>
      <c r="J649" s="65" t="s">
        <v>112</v>
      </c>
      <c r="K649" s="65" t="s">
        <v>73</v>
      </c>
      <c r="L649" s="65" t="s">
        <v>135</v>
      </c>
      <c r="M649" s="67">
        <v>152</v>
      </c>
      <c r="N649" s="65" t="s">
        <v>132</v>
      </c>
      <c r="O649" s="68">
        <v>88.56</v>
      </c>
      <c r="P649" s="68">
        <v>13461.12</v>
      </c>
      <c r="Q649" s="68">
        <v>851.01</v>
      </c>
      <c r="R649" s="62">
        <f t="shared" si="73"/>
        <v>6.3219850948509487E-2</v>
      </c>
      <c r="S649" s="67">
        <v>10</v>
      </c>
      <c r="T649" s="66">
        <v>45387</v>
      </c>
      <c r="U649" s="66">
        <v>45389</v>
      </c>
      <c r="V649" s="63">
        <f t="shared" si="74"/>
        <v>2</v>
      </c>
      <c r="W649" s="65" t="s">
        <v>125</v>
      </c>
      <c r="X649" s="64" t="b">
        <f t="shared" si="75"/>
        <v>0</v>
      </c>
      <c r="Y649" s="67">
        <v>17</v>
      </c>
      <c r="Z649" s="67">
        <v>268</v>
      </c>
      <c r="AA649" s="65" t="s">
        <v>82</v>
      </c>
      <c r="AB649" s="64" t="b">
        <f t="shared" si="76"/>
        <v>1</v>
      </c>
    </row>
    <row r="650" spans="1:28" ht="15" customHeight="1" x14ac:dyDescent="0.3">
      <c r="A650" s="57" t="s">
        <v>1426</v>
      </c>
      <c r="B650" s="82">
        <v>45006</v>
      </c>
      <c r="C650" s="59">
        <f t="shared" si="70"/>
        <v>2023</v>
      </c>
      <c r="D650" s="59">
        <f t="shared" si="71"/>
        <v>3</v>
      </c>
      <c r="E650" s="59">
        <f t="shared" si="72"/>
        <v>12</v>
      </c>
      <c r="F650" s="57" t="s">
        <v>61</v>
      </c>
      <c r="G650" s="57" t="s">
        <v>41</v>
      </c>
      <c r="H650" s="57" t="s">
        <v>1427</v>
      </c>
      <c r="I650" s="57" t="s">
        <v>68</v>
      </c>
      <c r="J650" s="57" t="s">
        <v>131</v>
      </c>
      <c r="K650" s="57" t="s">
        <v>74</v>
      </c>
      <c r="L650" s="57" t="s">
        <v>156</v>
      </c>
      <c r="M650" s="60">
        <v>259</v>
      </c>
      <c r="N650" s="57" t="s">
        <v>132</v>
      </c>
      <c r="O650" s="61">
        <v>696.03</v>
      </c>
      <c r="P650" s="61">
        <v>180271.77</v>
      </c>
      <c r="Q650" s="61">
        <v>13537.89</v>
      </c>
      <c r="R650" s="62">
        <f t="shared" si="73"/>
        <v>7.5097115871220435E-2</v>
      </c>
      <c r="S650" s="60">
        <v>11</v>
      </c>
      <c r="T650" s="58">
        <v>45017</v>
      </c>
      <c r="U650" s="58">
        <v>45022</v>
      </c>
      <c r="V650" s="63">
        <f t="shared" si="74"/>
        <v>5</v>
      </c>
      <c r="W650" s="57" t="s">
        <v>128</v>
      </c>
      <c r="X650" s="64" t="b">
        <f t="shared" si="75"/>
        <v>0</v>
      </c>
      <c r="Y650" s="60">
        <v>139</v>
      </c>
      <c r="Z650" s="60">
        <v>33</v>
      </c>
      <c r="AA650" s="57" t="s">
        <v>116</v>
      </c>
      <c r="AB650" s="64" t="b">
        <f t="shared" si="76"/>
        <v>0</v>
      </c>
    </row>
    <row r="651" spans="1:28" ht="15" customHeight="1" x14ac:dyDescent="0.3">
      <c r="A651" s="65" t="s">
        <v>1428</v>
      </c>
      <c r="B651" s="81">
        <v>45657</v>
      </c>
      <c r="C651" s="59">
        <f t="shared" si="70"/>
        <v>2024</v>
      </c>
      <c r="D651" s="59">
        <f t="shared" si="71"/>
        <v>12</v>
      </c>
      <c r="E651" s="59">
        <f t="shared" si="72"/>
        <v>53</v>
      </c>
      <c r="F651" s="65" t="s">
        <v>59</v>
      </c>
      <c r="G651" s="65" t="s">
        <v>40</v>
      </c>
      <c r="H651" s="65" t="s">
        <v>1429</v>
      </c>
      <c r="I651" s="65" t="s">
        <v>66</v>
      </c>
      <c r="J651" s="65" t="s">
        <v>139</v>
      </c>
      <c r="K651" s="65" t="s">
        <v>75</v>
      </c>
      <c r="L651" s="65" t="s">
        <v>156</v>
      </c>
      <c r="M651" s="67">
        <v>887</v>
      </c>
      <c r="N651" s="65" t="s">
        <v>140</v>
      </c>
      <c r="O651" s="68">
        <v>944.51</v>
      </c>
      <c r="P651" s="68">
        <v>837780.37</v>
      </c>
      <c r="Q651" s="68">
        <v>37266.5</v>
      </c>
      <c r="R651" s="62">
        <f t="shared" si="73"/>
        <v>4.448242204576839E-2</v>
      </c>
      <c r="S651" s="67">
        <v>12</v>
      </c>
      <c r="T651" s="66">
        <v>45669</v>
      </c>
      <c r="U651" s="66">
        <v>45677</v>
      </c>
      <c r="V651" s="63">
        <f t="shared" si="74"/>
        <v>8</v>
      </c>
      <c r="W651" s="65" t="s">
        <v>128</v>
      </c>
      <c r="X651" s="64" t="b">
        <f t="shared" si="75"/>
        <v>0</v>
      </c>
      <c r="Y651" s="67">
        <v>114</v>
      </c>
      <c r="Z651" s="67">
        <v>165</v>
      </c>
      <c r="AA651" s="65" t="s">
        <v>116</v>
      </c>
      <c r="AB651" s="64" t="b">
        <f t="shared" si="76"/>
        <v>0</v>
      </c>
    </row>
    <row r="652" spans="1:28" ht="15" customHeight="1" x14ac:dyDescent="0.3">
      <c r="A652" s="57" t="s">
        <v>1430</v>
      </c>
      <c r="B652" s="82">
        <v>45219</v>
      </c>
      <c r="C652" s="59">
        <f t="shared" si="70"/>
        <v>2023</v>
      </c>
      <c r="D652" s="59">
        <f t="shared" si="71"/>
        <v>10</v>
      </c>
      <c r="E652" s="59">
        <f t="shared" si="72"/>
        <v>42</v>
      </c>
      <c r="F652" s="57" t="s">
        <v>60</v>
      </c>
      <c r="G652" s="57" t="s">
        <v>40</v>
      </c>
      <c r="H652" s="57" t="s">
        <v>1431</v>
      </c>
      <c r="I652" s="57" t="s">
        <v>68</v>
      </c>
      <c r="J652" s="57" t="s">
        <v>143</v>
      </c>
      <c r="K652" s="57" t="s">
        <v>75</v>
      </c>
      <c r="L652" s="57" t="s">
        <v>113</v>
      </c>
      <c r="M652" s="60">
        <v>957</v>
      </c>
      <c r="N652" s="57" t="s">
        <v>132</v>
      </c>
      <c r="O652" s="61">
        <v>1008.55</v>
      </c>
      <c r="P652" s="61">
        <v>965182.35</v>
      </c>
      <c r="Q652" s="61">
        <v>30380.7</v>
      </c>
      <c r="R652" s="62">
        <f t="shared" si="73"/>
        <v>3.1476642729739102E-2</v>
      </c>
      <c r="S652" s="60">
        <v>29</v>
      </c>
      <c r="T652" s="58">
        <v>45248</v>
      </c>
      <c r="U652" s="58">
        <v>45249</v>
      </c>
      <c r="V652" s="63">
        <f t="shared" si="74"/>
        <v>1</v>
      </c>
      <c r="W652" s="57" t="s">
        <v>125</v>
      </c>
      <c r="X652" s="64" t="b">
        <f t="shared" si="75"/>
        <v>0</v>
      </c>
      <c r="Y652" s="60">
        <v>327</v>
      </c>
      <c r="Z652" s="60">
        <v>69</v>
      </c>
      <c r="AA652" s="57" t="s">
        <v>84</v>
      </c>
      <c r="AB652" s="64" t="b">
        <f t="shared" si="76"/>
        <v>1</v>
      </c>
    </row>
    <row r="653" spans="1:28" ht="15" customHeight="1" x14ac:dyDescent="0.3">
      <c r="A653" s="65" t="s">
        <v>1432</v>
      </c>
      <c r="B653" s="81">
        <v>45167</v>
      </c>
      <c r="C653" s="59">
        <f t="shared" si="70"/>
        <v>2023</v>
      </c>
      <c r="D653" s="59">
        <f t="shared" si="71"/>
        <v>8</v>
      </c>
      <c r="E653" s="59">
        <f t="shared" si="72"/>
        <v>35</v>
      </c>
      <c r="F653" s="65" t="s">
        <v>53</v>
      </c>
      <c r="G653" s="65" t="s">
        <v>41</v>
      </c>
      <c r="H653" s="65" t="s">
        <v>1433</v>
      </c>
      <c r="I653" s="65" t="s">
        <v>64</v>
      </c>
      <c r="J653" s="65" t="s">
        <v>151</v>
      </c>
      <c r="K653" s="65" t="s">
        <v>71</v>
      </c>
      <c r="L653" s="65" t="s">
        <v>156</v>
      </c>
      <c r="M653" s="67">
        <v>984</v>
      </c>
      <c r="N653" s="65" t="s">
        <v>120</v>
      </c>
      <c r="O653" s="68">
        <v>464.08</v>
      </c>
      <c r="P653" s="68">
        <v>456654.72</v>
      </c>
      <c r="Q653" s="68">
        <v>23301.759999999998</v>
      </c>
      <c r="R653" s="62">
        <f t="shared" si="73"/>
        <v>5.1027086723203038E-2</v>
      </c>
      <c r="S653" s="67">
        <v>13</v>
      </c>
      <c r="T653" s="66">
        <v>45180</v>
      </c>
      <c r="U653" s="66">
        <v>45180</v>
      </c>
      <c r="V653" s="63">
        <f t="shared" si="74"/>
        <v>0</v>
      </c>
      <c r="W653" s="65" t="s">
        <v>115</v>
      </c>
      <c r="X653" s="64" t="b">
        <f t="shared" si="75"/>
        <v>1</v>
      </c>
      <c r="Y653" s="67">
        <v>224</v>
      </c>
      <c r="Z653" s="67">
        <v>363</v>
      </c>
      <c r="AA653" s="65" t="s">
        <v>83</v>
      </c>
      <c r="AB653" s="64" t="b">
        <f t="shared" si="76"/>
        <v>1</v>
      </c>
    </row>
    <row r="654" spans="1:28" ht="15" customHeight="1" x14ac:dyDescent="0.3">
      <c r="A654" s="57" t="s">
        <v>1434</v>
      </c>
      <c r="B654" s="82">
        <v>45205</v>
      </c>
      <c r="C654" s="59">
        <f t="shared" si="70"/>
        <v>2023</v>
      </c>
      <c r="D654" s="59">
        <f t="shared" si="71"/>
        <v>10</v>
      </c>
      <c r="E654" s="59">
        <f t="shared" si="72"/>
        <v>40</v>
      </c>
      <c r="F654" s="57" t="s">
        <v>53</v>
      </c>
      <c r="G654" s="57" t="s">
        <v>44</v>
      </c>
      <c r="H654" s="57" t="s">
        <v>1435</v>
      </c>
      <c r="I654" s="57" t="s">
        <v>66</v>
      </c>
      <c r="J654" s="57" t="s">
        <v>131</v>
      </c>
      <c r="K654" s="57" t="s">
        <v>72</v>
      </c>
      <c r="L654" s="57" t="s">
        <v>135</v>
      </c>
      <c r="M654" s="60">
        <v>311</v>
      </c>
      <c r="N654" s="57" t="s">
        <v>140</v>
      </c>
      <c r="O654" s="61">
        <v>144.55000000000001</v>
      </c>
      <c r="P654" s="61">
        <v>44955.05</v>
      </c>
      <c r="Q654" s="61">
        <v>3348.48</v>
      </c>
      <c r="R654" s="62">
        <f t="shared" si="73"/>
        <v>7.4485068974453367E-2</v>
      </c>
      <c r="S654" s="60">
        <v>12</v>
      </c>
      <c r="T654" s="58">
        <v>45217</v>
      </c>
      <c r="U654" s="58">
        <v>45217</v>
      </c>
      <c r="V654" s="63">
        <f t="shared" si="74"/>
        <v>0</v>
      </c>
      <c r="W654" s="57" t="s">
        <v>115</v>
      </c>
      <c r="X654" s="64" t="b">
        <f t="shared" si="75"/>
        <v>1</v>
      </c>
      <c r="Y654" s="60">
        <v>45</v>
      </c>
      <c r="Z654" s="60">
        <v>195</v>
      </c>
      <c r="AA654" s="57" t="s">
        <v>83</v>
      </c>
      <c r="AB654" s="64" t="b">
        <f t="shared" si="76"/>
        <v>1</v>
      </c>
    </row>
    <row r="655" spans="1:28" ht="15" customHeight="1" x14ac:dyDescent="0.3">
      <c r="A655" s="65" t="s">
        <v>1436</v>
      </c>
      <c r="B655" s="81">
        <v>45270</v>
      </c>
      <c r="C655" s="59">
        <f t="shared" si="70"/>
        <v>2023</v>
      </c>
      <c r="D655" s="59">
        <f t="shared" si="71"/>
        <v>12</v>
      </c>
      <c r="E655" s="59">
        <f t="shared" si="72"/>
        <v>50</v>
      </c>
      <c r="F655" s="65" t="s">
        <v>61</v>
      </c>
      <c r="G655" s="65" t="s">
        <v>42</v>
      </c>
      <c r="H655" s="65" t="s">
        <v>1437</v>
      </c>
      <c r="I655" s="65" t="s">
        <v>67</v>
      </c>
      <c r="J655" s="65" t="s">
        <v>112</v>
      </c>
      <c r="K655" s="65" t="s">
        <v>72</v>
      </c>
      <c r="L655" s="65" t="s">
        <v>146</v>
      </c>
      <c r="M655" s="67">
        <v>34</v>
      </c>
      <c r="N655" s="65" t="s">
        <v>132</v>
      </c>
      <c r="O655" s="68">
        <v>85.16</v>
      </c>
      <c r="P655" s="68">
        <v>3302.8089</v>
      </c>
      <c r="Q655" s="68">
        <v>197.65</v>
      </c>
      <c r="R655" s="62">
        <f t="shared" si="73"/>
        <v>5.9843002118590637E-2</v>
      </c>
      <c r="S655" s="67">
        <v>14</v>
      </c>
      <c r="T655" s="66">
        <v>45284</v>
      </c>
      <c r="U655" s="66">
        <v>45284</v>
      </c>
      <c r="V655" s="63">
        <f t="shared" si="74"/>
        <v>0</v>
      </c>
      <c r="W655" s="65" t="s">
        <v>115</v>
      </c>
      <c r="X655" s="64" t="b">
        <f t="shared" si="75"/>
        <v>1</v>
      </c>
      <c r="Y655" s="67">
        <v>438</v>
      </c>
      <c r="Z655" s="67">
        <v>132</v>
      </c>
      <c r="AA655" s="65" t="s">
        <v>82</v>
      </c>
      <c r="AB655" s="64" t="b">
        <f t="shared" si="76"/>
        <v>1</v>
      </c>
    </row>
    <row r="656" spans="1:28" ht="15" customHeight="1" x14ac:dyDescent="0.3">
      <c r="A656" s="57" t="s">
        <v>1438</v>
      </c>
      <c r="B656" s="82">
        <v>45254</v>
      </c>
      <c r="C656" s="59">
        <f t="shared" si="70"/>
        <v>2023</v>
      </c>
      <c r="D656" s="59">
        <f t="shared" si="71"/>
        <v>11</v>
      </c>
      <c r="E656" s="59">
        <f t="shared" si="72"/>
        <v>47</v>
      </c>
      <c r="F656" s="57" t="s">
        <v>57</v>
      </c>
      <c r="G656" s="57" t="s">
        <v>42</v>
      </c>
      <c r="H656" s="57" t="s">
        <v>1439</v>
      </c>
      <c r="I656" s="57" t="s">
        <v>68</v>
      </c>
      <c r="J656" s="57" t="s">
        <v>123</v>
      </c>
      <c r="K656" s="57" t="s">
        <v>74</v>
      </c>
      <c r="L656" s="57" t="s">
        <v>113</v>
      </c>
      <c r="M656" s="60">
        <v>798</v>
      </c>
      <c r="N656" s="57" t="s">
        <v>120</v>
      </c>
      <c r="O656" s="61">
        <v>86.85</v>
      </c>
      <c r="P656" s="61">
        <v>69306.3</v>
      </c>
      <c r="Q656" s="61">
        <v>1659.87</v>
      </c>
      <c r="R656" s="62">
        <f t="shared" si="73"/>
        <v>2.3949770800057134E-2</v>
      </c>
      <c r="S656" s="60">
        <v>2</v>
      </c>
      <c r="T656" s="58">
        <v>45256</v>
      </c>
      <c r="U656" s="58">
        <v>45256</v>
      </c>
      <c r="V656" s="63">
        <f t="shared" si="74"/>
        <v>0</v>
      </c>
      <c r="W656" s="57" t="s">
        <v>115</v>
      </c>
      <c r="X656" s="64" t="b">
        <f t="shared" si="75"/>
        <v>1</v>
      </c>
      <c r="Y656" s="60">
        <v>37</v>
      </c>
      <c r="Z656" s="60">
        <v>246</v>
      </c>
      <c r="AA656" s="57" t="s">
        <v>116</v>
      </c>
      <c r="AB656" s="64" t="b">
        <f t="shared" si="76"/>
        <v>0</v>
      </c>
    </row>
    <row r="657" spans="1:28" ht="15" customHeight="1" x14ac:dyDescent="0.3">
      <c r="A657" s="65" t="s">
        <v>1440</v>
      </c>
      <c r="B657" s="81">
        <v>45480</v>
      </c>
      <c r="C657" s="59">
        <f t="shared" si="70"/>
        <v>2024</v>
      </c>
      <c r="D657" s="59">
        <f t="shared" si="71"/>
        <v>7</v>
      </c>
      <c r="E657" s="59">
        <f t="shared" si="72"/>
        <v>28</v>
      </c>
      <c r="F657" s="65" t="s">
        <v>61</v>
      </c>
      <c r="G657" s="65" t="s">
        <v>41</v>
      </c>
      <c r="H657" s="65" t="s">
        <v>1441</v>
      </c>
      <c r="I657" s="65" t="s">
        <v>65</v>
      </c>
      <c r="J657" s="65" t="s">
        <v>151</v>
      </c>
      <c r="K657" s="65" t="s">
        <v>73</v>
      </c>
      <c r="L657" s="65" t="s">
        <v>124</v>
      </c>
      <c r="M657" s="67">
        <v>993</v>
      </c>
      <c r="N657" s="65" t="s">
        <v>120</v>
      </c>
      <c r="O657" s="68">
        <v>653.11</v>
      </c>
      <c r="P657" s="68">
        <v>648538.23</v>
      </c>
      <c r="Q657" s="68">
        <v>39920.36</v>
      </c>
      <c r="R657" s="62">
        <f t="shared" si="73"/>
        <v>6.1554366656226267E-2</v>
      </c>
      <c r="S657" s="67">
        <v>29</v>
      </c>
      <c r="T657" s="66">
        <v>45509</v>
      </c>
      <c r="U657" s="66">
        <v>45521</v>
      </c>
      <c r="V657" s="63">
        <f t="shared" si="74"/>
        <v>12</v>
      </c>
      <c r="W657" s="65" t="s">
        <v>125</v>
      </c>
      <c r="X657" s="64" t="b">
        <f t="shared" si="75"/>
        <v>0</v>
      </c>
      <c r="Y657" s="67">
        <v>205</v>
      </c>
      <c r="Z657" s="67">
        <v>381</v>
      </c>
      <c r="AA657" s="65" t="s">
        <v>116</v>
      </c>
      <c r="AB657" s="64" t="b">
        <f t="shared" si="76"/>
        <v>0</v>
      </c>
    </row>
    <row r="658" spans="1:28" ht="15" customHeight="1" x14ac:dyDescent="0.3">
      <c r="A658" s="57" t="s">
        <v>1442</v>
      </c>
      <c r="B658" s="82">
        <v>45009</v>
      </c>
      <c r="C658" s="59">
        <f t="shared" si="70"/>
        <v>2023</v>
      </c>
      <c r="D658" s="59">
        <f t="shared" si="71"/>
        <v>3</v>
      </c>
      <c r="E658" s="59">
        <f t="shared" si="72"/>
        <v>12</v>
      </c>
      <c r="F658" s="57" t="s">
        <v>54</v>
      </c>
      <c r="G658" s="57" t="s">
        <v>42</v>
      </c>
      <c r="H658" s="57" t="s">
        <v>1443</v>
      </c>
      <c r="I658" s="57" t="s">
        <v>66</v>
      </c>
      <c r="J658" s="57" t="s">
        <v>151</v>
      </c>
      <c r="K658" s="57" t="s">
        <v>75</v>
      </c>
      <c r="L658" s="57" t="s">
        <v>146</v>
      </c>
      <c r="M658" s="60">
        <v>898</v>
      </c>
      <c r="N658" s="57" t="s">
        <v>136</v>
      </c>
      <c r="O658" s="61">
        <v>74.040000000000006</v>
      </c>
      <c r="P658" s="61">
        <v>66487.92</v>
      </c>
      <c r="Q658" s="61">
        <v>3611.22</v>
      </c>
      <c r="R658" s="62">
        <f t="shared" si="73"/>
        <v>5.4313926499731074E-2</v>
      </c>
      <c r="S658" s="60">
        <v>19</v>
      </c>
      <c r="T658" s="58">
        <v>45028</v>
      </c>
      <c r="U658" s="58">
        <v>45031</v>
      </c>
      <c r="V658" s="63">
        <f t="shared" si="74"/>
        <v>3</v>
      </c>
      <c r="W658" s="57" t="s">
        <v>128</v>
      </c>
      <c r="X658" s="64" t="b">
        <f t="shared" si="75"/>
        <v>0</v>
      </c>
      <c r="Y658" s="60">
        <v>385</v>
      </c>
      <c r="Z658" s="60">
        <v>167</v>
      </c>
      <c r="AA658" s="57" t="s">
        <v>81</v>
      </c>
      <c r="AB658" s="64" t="b">
        <f t="shared" si="76"/>
        <v>1</v>
      </c>
    </row>
    <row r="659" spans="1:28" ht="15" customHeight="1" x14ac:dyDescent="0.3">
      <c r="A659" s="65" t="s">
        <v>1444</v>
      </c>
      <c r="B659" s="81">
        <v>45068</v>
      </c>
      <c r="C659" s="59">
        <f t="shared" si="70"/>
        <v>2023</v>
      </c>
      <c r="D659" s="59">
        <f t="shared" si="71"/>
        <v>5</v>
      </c>
      <c r="E659" s="59">
        <f t="shared" si="72"/>
        <v>21</v>
      </c>
      <c r="F659" s="65" t="s">
        <v>55</v>
      </c>
      <c r="G659" s="65" t="s">
        <v>39</v>
      </c>
      <c r="H659" s="65" t="s">
        <v>1445</v>
      </c>
      <c r="I659" s="65" t="s">
        <v>66</v>
      </c>
      <c r="J659" s="65" t="s">
        <v>151</v>
      </c>
      <c r="K659" s="65" t="s">
        <v>74</v>
      </c>
      <c r="L659" s="65" t="s">
        <v>135</v>
      </c>
      <c r="M659" s="67">
        <v>899</v>
      </c>
      <c r="N659" s="65" t="s">
        <v>120</v>
      </c>
      <c r="O659" s="68">
        <v>1431.65</v>
      </c>
      <c r="P659" s="68">
        <v>1287053.3500000001</v>
      </c>
      <c r="Q659" s="68">
        <v>95818.28</v>
      </c>
      <c r="R659" s="62">
        <f t="shared" si="73"/>
        <v>7.4447791927195556E-2</v>
      </c>
      <c r="S659" s="67">
        <v>18</v>
      </c>
      <c r="T659" s="66">
        <v>45086</v>
      </c>
      <c r="U659" s="66">
        <v>45091</v>
      </c>
      <c r="V659" s="63">
        <f t="shared" si="74"/>
        <v>5</v>
      </c>
      <c r="W659" s="65" t="s">
        <v>125</v>
      </c>
      <c r="X659" s="64" t="b">
        <f t="shared" si="75"/>
        <v>0</v>
      </c>
      <c r="Y659" s="67">
        <v>8</v>
      </c>
      <c r="Z659" s="67">
        <v>453</v>
      </c>
      <c r="AA659" s="65" t="s">
        <v>116</v>
      </c>
      <c r="AB659" s="64" t="b">
        <f t="shared" si="76"/>
        <v>0</v>
      </c>
    </row>
    <row r="660" spans="1:28" ht="15" customHeight="1" x14ac:dyDescent="0.3">
      <c r="A660" s="57" t="s">
        <v>1446</v>
      </c>
      <c r="B660" s="82">
        <v>45081</v>
      </c>
      <c r="C660" s="59">
        <f t="shared" si="70"/>
        <v>2023</v>
      </c>
      <c r="D660" s="59">
        <f t="shared" si="71"/>
        <v>6</v>
      </c>
      <c r="E660" s="59">
        <f t="shared" si="72"/>
        <v>23</v>
      </c>
      <c r="F660" s="57" t="s">
        <v>53</v>
      </c>
      <c r="G660" s="57" t="s">
        <v>46</v>
      </c>
      <c r="H660" s="57" t="s">
        <v>1447</v>
      </c>
      <c r="I660" s="57" t="s">
        <v>68</v>
      </c>
      <c r="J660" s="57" t="s">
        <v>151</v>
      </c>
      <c r="K660" s="57" t="s">
        <v>72</v>
      </c>
      <c r="L660" s="57" t="s">
        <v>113</v>
      </c>
      <c r="M660" s="60">
        <v>910</v>
      </c>
      <c r="N660" s="57" t="s">
        <v>114</v>
      </c>
      <c r="O660" s="61">
        <v>86.38</v>
      </c>
      <c r="P660" s="61">
        <v>78605.8</v>
      </c>
      <c r="Q660" s="61">
        <v>2149.7800000000002</v>
      </c>
      <c r="R660" s="62">
        <f t="shared" si="73"/>
        <v>2.7348872475059093E-2</v>
      </c>
      <c r="S660" s="60">
        <v>3</v>
      </c>
      <c r="T660" s="58">
        <v>45084</v>
      </c>
      <c r="U660" s="58">
        <v>45087</v>
      </c>
      <c r="V660" s="63">
        <f t="shared" si="74"/>
        <v>3</v>
      </c>
      <c r="W660" s="57" t="s">
        <v>125</v>
      </c>
      <c r="X660" s="64" t="b">
        <f t="shared" si="75"/>
        <v>0</v>
      </c>
      <c r="Y660" s="60">
        <v>252</v>
      </c>
      <c r="Z660" s="60">
        <v>276</v>
      </c>
      <c r="AA660" s="57" t="s">
        <v>84</v>
      </c>
      <c r="AB660" s="64" t="b">
        <f t="shared" si="76"/>
        <v>1</v>
      </c>
    </row>
    <row r="661" spans="1:28" ht="15" customHeight="1" x14ac:dyDescent="0.3">
      <c r="A661" s="65" t="s">
        <v>1448</v>
      </c>
      <c r="B661" s="81">
        <v>45163</v>
      </c>
      <c r="C661" s="59">
        <f t="shared" si="70"/>
        <v>2023</v>
      </c>
      <c r="D661" s="59">
        <f t="shared" si="71"/>
        <v>8</v>
      </c>
      <c r="E661" s="59">
        <f t="shared" si="72"/>
        <v>34</v>
      </c>
      <c r="F661" s="65" t="s">
        <v>60</v>
      </c>
      <c r="G661" s="65" t="s">
        <v>46</v>
      </c>
      <c r="H661" s="65" t="s">
        <v>1449</v>
      </c>
      <c r="I661" s="65" t="s">
        <v>64</v>
      </c>
      <c r="J661" s="65" t="s">
        <v>131</v>
      </c>
      <c r="K661" s="65" t="s">
        <v>72</v>
      </c>
      <c r="L661" s="65" t="s">
        <v>119</v>
      </c>
      <c r="M661" s="67">
        <v>79</v>
      </c>
      <c r="N661" s="65" t="s">
        <v>163</v>
      </c>
      <c r="O661" s="68">
        <v>44.7</v>
      </c>
      <c r="P661" s="68">
        <v>3531.3</v>
      </c>
      <c r="Q661" s="68">
        <v>183.78</v>
      </c>
      <c r="R661" s="62">
        <f t="shared" si="73"/>
        <v>5.2043156911052588E-2</v>
      </c>
      <c r="S661" s="67">
        <v>23</v>
      </c>
      <c r="T661" s="66">
        <v>45186</v>
      </c>
      <c r="U661" s="66">
        <v>45191</v>
      </c>
      <c r="V661" s="63">
        <f t="shared" si="74"/>
        <v>5</v>
      </c>
      <c r="W661" s="65" t="s">
        <v>125</v>
      </c>
      <c r="X661" s="64" t="b">
        <f t="shared" si="75"/>
        <v>0</v>
      </c>
      <c r="Y661" s="67">
        <v>107</v>
      </c>
      <c r="Z661" s="67">
        <v>155</v>
      </c>
      <c r="AA661" s="65" t="s">
        <v>116</v>
      </c>
      <c r="AB661" s="64" t="b">
        <f t="shared" si="76"/>
        <v>0</v>
      </c>
    </row>
    <row r="662" spans="1:28" ht="15" customHeight="1" x14ac:dyDescent="0.3">
      <c r="A662" s="57" t="s">
        <v>1450</v>
      </c>
      <c r="B662" s="82">
        <v>45319</v>
      </c>
      <c r="C662" s="59">
        <f t="shared" si="70"/>
        <v>2024</v>
      </c>
      <c r="D662" s="59">
        <f t="shared" si="71"/>
        <v>1</v>
      </c>
      <c r="E662" s="59">
        <f t="shared" si="72"/>
        <v>5</v>
      </c>
      <c r="F662" s="57" t="s">
        <v>56</v>
      </c>
      <c r="G662" s="57" t="s">
        <v>41</v>
      </c>
      <c r="H662" s="57" t="s">
        <v>501</v>
      </c>
      <c r="I662" s="57" t="s">
        <v>66</v>
      </c>
      <c r="J662" s="57" t="s">
        <v>112</v>
      </c>
      <c r="K662" s="57" t="s">
        <v>72</v>
      </c>
      <c r="L662" s="57" t="s">
        <v>156</v>
      </c>
      <c r="M662" s="60">
        <v>634</v>
      </c>
      <c r="N662" s="57" t="s">
        <v>132</v>
      </c>
      <c r="O662" s="61">
        <v>544.25</v>
      </c>
      <c r="P662" s="61">
        <v>345054.5</v>
      </c>
      <c r="Q662" s="61">
        <v>25108.84</v>
      </c>
      <c r="R662" s="62">
        <f t="shared" si="73"/>
        <v>7.2767751181335119E-2</v>
      </c>
      <c r="S662" s="60">
        <v>17</v>
      </c>
      <c r="T662" s="58">
        <v>45336</v>
      </c>
      <c r="U662" s="58">
        <v>45338</v>
      </c>
      <c r="V662" s="63">
        <f t="shared" si="74"/>
        <v>2</v>
      </c>
      <c r="W662" s="57" t="s">
        <v>128</v>
      </c>
      <c r="X662" s="64" t="b">
        <f t="shared" si="75"/>
        <v>0</v>
      </c>
      <c r="Y662" s="60">
        <v>388</v>
      </c>
      <c r="Z662" s="60">
        <v>386</v>
      </c>
      <c r="AA662" s="57" t="s">
        <v>116</v>
      </c>
      <c r="AB662" s="64" t="b">
        <f t="shared" si="76"/>
        <v>0</v>
      </c>
    </row>
    <row r="663" spans="1:28" ht="15" customHeight="1" x14ac:dyDescent="0.3">
      <c r="A663" s="65" t="s">
        <v>1451</v>
      </c>
      <c r="B663" s="81">
        <v>45637</v>
      </c>
      <c r="C663" s="59">
        <f t="shared" si="70"/>
        <v>2024</v>
      </c>
      <c r="D663" s="59">
        <f t="shared" si="71"/>
        <v>12</v>
      </c>
      <c r="E663" s="59">
        <f t="shared" si="72"/>
        <v>50</v>
      </c>
      <c r="F663" s="65" t="s">
        <v>53</v>
      </c>
      <c r="G663" s="65" t="s">
        <v>43</v>
      </c>
      <c r="H663" s="65" t="s">
        <v>1452</v>
      </c>
      <c r="I663" s="65" t="s">
        <v>67</v>
      </c>
      <c r="J663" s="65" t="s">
        <v>139</v>
      </c>
      <c r="K663" s="65" t="s">
        <v>75</v>
      </c>
      <c r="L663" s="65" t="s">
        <v>135</v>
      </c>
      <c r="M663" s="67">
        <v>884</v>
      </c>
      <c r="N663" s="65" t="s">
        <v>132</v>
      </c>
      <c r="O663" s="68">
        <v>286.05</v>
      </c>
      <c r="P663" s="68">
        <v>252868.2</v>
      </c>
      <c r="Q663" s="68">
        <v>11278.28</v>
      </c>
      <c r="R663" s="62">
        <f t="shared" si="73"/>
        <v>4.4601416864595865E-2</v>
      </c>
      <c r="S663" s="67">
        <v>26</v>
      </c>
      <c r="T663" s="66">
        <v>45663</v>
      </c>
      <c r="U663" s="66">
        <v>45668</v>
      </c>
      <c r="V663" s="63">
        <f t="shared" si="74"/>
        <v>5</v>
      </c>
      <c r="W663" s="65" t="s">
        <v>128</v>
      </c>
      <c r="X663" s="64" t="b">
        <f t="shared" si="75"/>
        <v>0</v>
      </c>
      <c r="Y663" s="67">
        <v>97</v>
      </c>
      <c r="Z663" s="67">
        <v>22</v>
      </c>
      <c r="AA663" s="65" t="s">
        <v>83</v>
      </c>
      <c r="AB663" s="64" t="b">
        <f t="shared" si="76"/>
        <v>1</v>
      </c>
    </row>
    <row r="664" spans="1:28" ht="15" customHeight="1" x14ac:dyDescent="0.3">
      <c r="A664" s="57" t="s">
        <v>1453</v>
      </c>
      <c r="B664" s="82">
        <v>45083</v>
      </c>
      <c r="C664" s="59">
        <f t="shared" si="70"/>
        <v>2023</v>
      </c>
      <c r="D664" s="59">
        <f t="shared" si="71"/>
        <v>6</v>
      </c>
      <c r="E664" s="59">
        <f t="shared" si="72"/>
        <v>23</v>
      </c>
      <c r="F664" s="57" t="s">
        <v>61</v>
      </c>
      <c r="G664" s="57" t="s">
        <v>45</v>
      </c>
      <c r="H664" s="57" t="s">
        <v>1454</v>
      </c>
      <c r="I664" s="57" t="s">
        <v>68</v>
      </c>
      <c r="J664" s="57" t="s">
        <v>131</v>
      </c>
      <c r="K664" s="57" t="s">
        <v>75</v>
      </c>
      <c r="L664" s="57" t="s">
        <v>113</v>
      </c>
      <c r="M664" s="60">
        <v>121</v>
      </c>
      <c r="N664" s="57" t="s">
        <v>132</v>
      </c>
      <c r="O664" s="61">
        <v>237.66</v>
      </c>
      <c r="P664" s="61">
        <v>28756.86</v>
      </c>
      <c r="Q664" s="61">
        <v>1406.78</v>
      </c>
      <c r="R664" s="62">
        <f t="shared" si="73"/>
        <v>4.891980556987098E-2</v>
      </c>
      <c r="S664" s="60">
        <v>8</v>
      </c>
      <c r="T664" s="58">
        <v>45091</v>
      </c>
      <c r="U664" s="58">
        <v>45094</v>
      </c>
      <c r="V664" s="63">
        <f t="shared" si="74"/>
        <v>3</v>
      </c>
      <c r="W664" s="57" t="s">
        <v>128</v>
      </c>
      <c r="X664" s="64" t="b">
        <f t="shared" si="75"/>
        <v>0</v>
      </c>
      <c r="Y664" s="60">
        <v>274</v>
      </c>
      <c r="Z664" s="60">
        <v>199</v>
      </c>
      <c r="AA664" s="57" t="s">
        <v>116</v>
      </c>
      <c r="AB664" s="64" t="b">
        <f t="shared" si="76"/>
        <v>0</v>
      </c>
    </row>
    <row r="665" spans="1:28" ht="15" customHeight="1" x14ac:dyDescent="0.3">
      <c r="A665" s="65" t="s">
        <v>1455</v>
      </c>
      <c r="B665" s="81">
        <v>45650</v>
      </c>
      <c r="C665" s="59">
        <f t="shared" si="70"/>
        <v>2024</v>
      </c>
      <c r="D665" s="59">
        <f t="shared" si="71"/>
        <v>12</v>
      </c>
      <c r="E665" s="59">
        <f t="shared" si="72"/>
        <v>52</v>
      </c>
      <c r="F665" s="65" t="s">
        <v>58</v>
      </c>
      <c r="G665" s="65" t="s">
        <v>44</v>
      </c>
      <c r="H665" s="65" t="s">
        <v>1456</v>
      </c>
      <c r="I665" s="65" t="s">
        <v>67</v>
      </c>
      <c r="J665" s="65" t="s">
        <v>112</v>
      </c>
      <c r="K665" s="65" t="s">
        <v>75</v>
      </c>
      <c r="L665" s="65" t="s">
        <v>146</v>
      </c>
      <c r="M665" s="67">
        <v>373</v>
      </c>
      <c r="N665" s="65" t="s">
        <v>120</v>
      </c>
      <c r="O665" s="68">
        <v>136.46</v>
      </c>
      <c r="P665" s="68">
        <v>50899.58</v>
      </c>
      <c r="Q665" s="68">
        <v>1233.18</v>
      </c>
      <c r="R665" s="62">
        <f t="shared" si="73"/>
        <v>2.4227704825855144E-2</v>
      </c>
      <c r="S665" s="67">
        <v>29</v>
      </c>
      <c r="T665" s="66">
        <v>45679</v>
      </c>
      <c r="U665" s="66">
        <v>45684</v>
      </c>
      <c r="V665" s="63">
        <f t="shared" si="74"/>
        <v>5</v>
      </c>
      <c r="W665" s="65" t="s">
        <v>125</v>
      </c>
      <c r="X665" s="64" t="b">
        <f t="shared" si="75"/>
        <v>0</v>
      </c>
      <c r="Y665" s="67">
        <v>70</v>
      </c>
      <c r="Z665" s="67">
        <v>274</v>
      </c>
      <c r="AA665" s="65" t="s">
        <v>82</v>
      </c>
      <c r="AB665" s="64" t="b">
        <f t="shared" si="76"/>
        <v>1</v>
      </c>
    </row>
    <row r="666" spans="1:28" ht="15" customHeight="1" x14ac:dyDescent="0.3">
      <c r="A666" s="57" t="s">
        <v>1457</v>
      </c>
      <c r="B666" s="82">
        <v>45146</v>
      </c>
      <c r="C666" s="59">
        <f t="shared" si="70"/>
        <v>2023</v>
      </c>
      <c r="D666" s="59">
        <f t="shared" si="71"/>
        <v>8</v>
      </c>
      <c r="E666" s="59">
        <f t="shared" si="72"/>
        <v>32</v>
      </c>
      <c r="F666" s="57" t="s">
        <v>53</v>
      </c>
      <c r="G666" s="57" t="s">
        <v>41</v>
      </c>
      <c r="H666" s="57" t="s">
        <v>1458</v>
      </c>
      <c r="I666" s="57" t="s">
        <v>68</v>
      </c>
      <c r="J666" s="57" t="s">
        <v>139</v>
      </c>
      <c r="K666" s="57" t="s">
        <v>71</v>
      </c>
      <c r="L666" s="57" t="s">
        <v>113</v>
      </c>
      <c r="M666" s="60">
        <v>312</v>
      </c>
      <c r="N666" s="57" t="s">
        <v>120</v>
      </c>
      <c r="O666" s="61">
        <v>449.9</v>
      </c>
      <c r="P666" s="61">
        <v>140368.79999999999</v>
      </c>
      <c r="Q666" s="61">
        <v>5149.9399999999996</v>
      </c>
      <c r="R666" s="62">
        <f t="shared" si="73"/>
        <v>3.6688637361008997E-2</v>
      </c>
      <c r="S666" s="60">
        <v>26</v>
      </c>
      <c r="T666" s="58">
        <v>45172</v>
      </c>
      <c r="U666" s="58">
        <v>45174</v>
      </c>
      <c r="V666" s="63">
        <f t="shared" si="74"/>
        <v>2</v>
      </c>
      <c r="W666" s="57" t="s">
        <v>125</v>
      </c>
      <c r="X666" s="64" t="b">
        <f t="shared" si="75"/>
        <v>0</v>
      </c>
      <c r="Y666" s="60">
        <v>38</v>
      </c>
      <c r="Z666" s="60">
        <v>458</v>
      </c>
      <c r="AA666" s="57" t="s">
        <v>84</v>
      </c>
      <c r="AB666" s="64" t="b">
        <f t="shared" si="76"/>
        <v>1</v>
      </c>
    </row>
    <row r="667" spans="1:28" ht="15" customHeight="1" x14ac:dyDescent="0.3">
      <c r="A667" s="65" t="s">
        <v>1459</v>
      </c>
      <c r="B667" s="81">
        <v>44992</v>
      </c>
      <c r="C667" s="59">
        <f t="shared" si="70"/>
        <v>2023</v>
      </c>
      <c r="D667" s="59">
        <f t="shared" si="71"/>
        <v>3</v>
      </c>
      <c r="E667" s="59">
        <f t="shared" si="72"/>
        <v>10</v>
      </c>
      <c r="F667" s="65" t="s">
        <v>53</v>
      </c>
      <c r="G667" s="65" t="s">
        <v>42</v>
      </c>
      <c r="H667" s="65" t="s">
        <v>1460</v>
      </c>
      <c r="I667" s="65" t="s">
        <v>67</v>
      </c>
      <c r="J667" s="65" t="s">
        <v>151</v>
      </c>
      <c r="K667" s="65" t="s">
        <v>73</v>
      </c>
      <c r="L667" s="65" t="s">
        <v>119</v>
      </c>
      <c r="M667" s="67">
        <v>480</v>
      </c>
      <c r="N667" s="65" t="s">
        <v>132</v>
      </c>
      <c r="O667" s="68">
        <v>77.97</v>
      </c>
      <c r="P667" s="68">
        <v>37425.599999999999</v>
      </c>
      <c r="Q667" s="68">
        <v>1477.2</v>
      </c>
      <c r="R667" s="62">
        <f t="shared" si="73"/>
        <v>3.9470309093240993E-2</v>
      </c>
      <c r="S667" s="67">
        <v>10</v>
      </c>
      <c r="T667" s="66">
        <v>45002</v>
      </c>
      <c r="U667" s="66">
        <v>45004</v>
      </c>
      <c r="V667" s="63">
        <f t="shared" si="74"/>
        <v>2</v>
      </c>
      <c r="W667" s="65" t="s">
        <v>125</v>
      </c>
      <c r="X667" s="64" t="b">
        <f t="shared" si="75"/>
        <v>0</v>
      </c>
      <c r="Y667" s="67">
        <v>297</v>
      </c>
      <c r="Z667" s="67">
        <v>49</v>
      </c>
      <c r="AA667" s="65" t="s">
        <v>116</v>
      </c>
      <c r="AB667" s="64" t="b">
        <f t="shared" si="76"/>
        <v>0</v>
      </c>
    </row>
    <row r="668" spans="1:28" ht="15" customHeight="1" x14ac:dyDescent="0.3">
      <c r="A668" s="57" t="s">
        <v>1461</v>
      </c>
      <c r="B668" s="82">
        <v>45351</v>
      </c>
      <c r="C668" s="59">
        <f t="shared" si="70"/>
        <v>2024</v>
      </c>
      <c r="D668" s="59">
        <f t="shared" si="71"/>
        <v>2</v>
      </c>
      <c r="E668" s="59">
        <f t="shared" si="72"/>
        <v>9</v>
      </c>
      <c r="F668" s="57" t="s">
        <v>60</v>
      </c>
      <c r="G668" s="57" t="s">
        <v>44</v>
      </c>
      <c r="H668" s="57" t="s">
        <v>1462</v>
      </c>
      <c r="I668" s="57" t="s">
        <v>64</v>
      </c>
      <c r="J668" s="57" t="s">
        <v>112</v>
      </c>
      <c r="K668" s="57" t="s">
        <v>72</v>
      </c>
      <c r="L668" s="57" t="s">
        <v>135</v>
      </c>
      <c r="M668" s="60">
        <v>973</v>
      </c>
      <c r="N668" s="57" t="s">
        <v>114</v>
      </c>
      <c r="O668" s="61">
        <v>165.8</v>
      </c>
      <c r="P668" s="61">
        <v>161323.4</v>
      </c>
      <c r="Q668" s="61">
        <v>12374.69</v>
      </c>
      <c r="R668" s="62">
        <f t="shared" si="73"/>
        <v>7.6707346857306513E-2</v>
      </c>
      <c r="S668" s="60">
        <v>26</v>
      </c>
      <c r="T668" s="58">
        <v>45377</v>
      </c>
      <c r="U668" s="58">
        <v>45372</v>
      </c>
      <c r="V668" s="63">
        <f t="shared" si="74"/>
        <v>-5</v>
      </c>
      <c r="W668" s="57" t="s">
        <v>115</v>
      </c>
      <c r="X668" s="64" t="b">
        <f t="shared" si="75"/>
        <v>1</v>
      </c>
      <c r="Y668" s="60">
        <v>400</v>
      </c>
      <c r="Z668" s="60">
        <v>457</v>
      </c>
      <c r="AA668" s="57" t="s">
        <v>116</v>
      </c>
      <c r="AB668" s="64" t="b">
        <f t="shared" si="76"/>
        <v>0</v>
      </c>
    </row>
    <row r="669" spans="1:28" ht="15" customHeight="1" x14ac:dyDescent="0.3">
      <c r="A669" s="65" t="s">
        <v>1463</v>
      </c>
      <c r="B669" s="81">
        <v>45344</v>
      </c>
      <c r="C669" s="59">
        <f t="shared" si="70"/>
        <v>2024</v>
      </c>
      <c r="D669" s="59">
        <f t="shared" si="71"/>
        <v>2</v>
      </c>
      <c r="E669" s="59">
        <f t="shared" si="72"/>
        <v>8</v>
      </c>
      <c r="F669" s="65" t="s">
        <v>60</v>
      </c>
      <c r="G669" s="65" t="s">
        <v>43</v>
      </c>
      <c r="H669" s="65" t="s">
        <v>1464</v>
      </c>
      <c r="I669" s="65" t="s">
        <v>68</v>
      </c>
      <c r="J669" s="65" t="s">
        <v>151</v>
      </c>
      <c r="K669" s="65" t="s">
        <v>72</v>
      </c>
      <c r="L669" s="65" t="s">
        <v>113</v>
      </c>
      <c r="M669" s="67">
        <v>100</v>
      </c>
      <c r="N669" s="65" t="s">
        <v>140</v>
      </c>
      <c r="O669" s="68">
        <v>229.47</v>
      </c>
      <c r="P669" s="68">
        <v>22947</v>
      </c>
      <c r="Q669" s="68">
        <v>848.12</v>
      </c>
      <c r="R669" s="62">
        <f t="shared" si="73"/>
        <v>3.6959951191876936E-2</v>
      </c>
      <c r="S669" s="67">
        <v>2</v>
      </c>
      <c r="T669" s="66">
        <v>45346</v>
      </c>
      <c r="U669" s="66">
        <v>45351</v>
      </c>
      <c r="V669" s="63">
        <f t="shared" si="74"/>
        <v>5</v>
      </c>
      <c r="W669" s="65" t="s">
        <v>128</v>
      </c>
      <c r="X669" s="64" t="b">
        <f t="shared" si="75"/>
        <v>0</v>
      </c>
      <c r="Y669" s="67">
        <v>446</v>
      </c>
      <c r="Z669" s="67">
        <v>185</v>
      </c>
      <c r="AA669" s="65" t="s">
        <v>116</v>
      </c>
      <c r="AB669" s="64" t="b">
        <f t="shared" si="76"/>
        <v>0</v>
      </c>
    </row>
    <row r="670" spans="1:28" ht="15" customHeight="1" x14ac:dyDescent="0.3">
      <c r="A670" s="57" t="s">
        <v>1465</v>
      </c>
      <c r="B670" s="82">
        <v>45265</v>
      </c>
      <c r="C670" s="59">
        <f t="shared" si="70"/>
        <v>2023</v>
      </c>
      <c r="D670" s="59">
        <f t="shared" si="71"/>
        <v>12</v>
      </c>
      <c r="E670" s="59">
        <f t="shared" si="72"/>
        <v>49</v>
      </c>
      <c r="F670" s="57" t="s">
        <v>53</v>
      </c>
      <c r="G670" s="57" t="s">
        <v>42</v>
      </c>
      <c r="H670" s="57" t="s">
        <v>1466</v>
      </c>
      <c r="I670" s="57" t="s">
        <v>65</v>
      </c>
      <c r="J670" s="57" t="s">
        <v>112</v>
      </c>
      <c r="K670" s="57" t="s">
        <v>71</v>
      </c>
      <c r="L670" s="57" t="s">
        <v>124</v>
      </c>
      <c r="M670" s="60">
        <v>539</v>
      </c>
      <c r="N670" s="57" t="s">
        <v>140</v>
      </c>
      <c r="O670" s="61">
        <v>88.94</v>
      </c>
      <c r="P670" s="61">
        <v>47938.66</v>
      </c>
      <c r="Q670" s="61">
        <v>2284.38</v>
      </c>
      <c r="R670" s="62">
        <f t="shared" si="73"/>
        <v>4.7652145470899687E-2</v>
      </c>
      <c r="S670" s="60">
        <v>19</v>
      </c>
      <c r="T670" s="58">
        <v>45284</v>
      </c>
      <c r="U670" s="58">
        <v>45292</v>
      </c>
      <c r="V670" s="63">
        <f t="shared" si="74"/>
        <v>8</v>
      </c>
      <c r="W670" s="57" t="s">
        <v>125</v>
      </c>
      <c r="X670" s="64" t="b">
        <f t="shared" si="75"/>
        <v>0</v>
      </c>
      <c r="Y670" s="60">
        <v>89</v>
      </c>
      <c r="Z670" s="60">
        <v>475</v>
      </c>
      <c r="AA670" s="57" t="s">
        <v>81</v>
      </c>
      <c r="AB670" s="64" t="b">
        <f t="shared" si="76"/>
        <v>1</v>
      </c>
    </row>
    <row r="671" spans="1:28" ht="15" customHeight="1" x14ac:dyDescent="0.3">
      <c r="A671" s="65" t="s">
        <v>1467</v>
      </c>
      <c r="B671" s="81">
        <v>45482</v>
      </c>
      <c r="C671" s="59">
        <f t="shared" si="70"/>
        <v>2024</v>
      </c>
      <c r="D671" s="59">
        <f t="shared" si="71"/>
        <v>7</v>
      </c>
      <c r="E671" s="59">
        <f t="shared" si="72"/>
        <v>28</v>
      </c>
      <c r="F671" s="65" t="s">
        <v>58</v>
      </c>
      <c r="G671" s="65" t="s">
        <v>40</v>
      </c>
      <c r="H671" s="65" t="s">
        <v>1468</v>
      </c>
      <c r="I671" s="65" t="s">
        <v>64</v>
      </c>
      <c r="J671" s="65" t="s">
        <v>143</v>
      </c>
      <c r="K671" s="65" t="s">
        <v>72</v>
      </c>
      <c r="L671" s="65" t="s">
        <v>135</v>
      </c>
      <c r="M671" s="67">
        <v>670</v>
      </c>
      <c r="N671" s="65" t="s">
        <v>163</v>
      </c>
      <c r="O671" s="68">
        <v>623.73</v>
      </c>
      <c r="P671" s="68">
        <v>417899.1</v>
      </c>
      <c r="Q671" s="68">
        <v>25190.23</v>
      </c>
      <c r="R671" s="62">
        <f t="shared" si="73"/>
        <v>6.0278258555713574E-2</v>
      </c>
      <c r="S671" s="67">
        <v>9</v>
      </c>
      <c r="T671" s="66">
        <v>45491</v>
      </c>
      <c r="U671" s="66">
        <v>45491</v>
      </c>
      <c r="V671" s="63">
        <f t="shared" si="74"/>
        <v>0</v>
      </c>
      <c r="W671" s="65" t="s">
        <v>115</v>
      </c>
      <c r="X671" s="64" t="b">
        <f t="shared" si="75"/>
        <v>1</v>
      </c>
      <c r="Y671" s="67">
        <v>429</v>
      </c>
      <c r="Z671" s="67">
        <v>19</v>
      </c>
      <c r="AA671" s="65" t="s">
        <v>82</v>
      </c>
      <c r="AB671" s="64" t="b">
        <f t="shared" si="76"/>
        <v>1</v>
      </c>
    </row>
    <row r="672" spans="1:28" ht="15" customHeight="1" x14ac:dyDescent="0.3">
      <c r="A672" s="57" t="s">
        <v>1469</v>
      </c>
      <c r="B672" s="82">
        <v>45404</v>
      </c>
      <c r="C672" s="59">
        <f t="shared" si="70"/>
        <v>2024</v>
      </c>
      <c r="D672" s="59">
        <f t="shared" si="71"/>
        <v>4</v>
      </c>
      <c r="E672" s="59">
        <f t="shared" si="72"/>
        <v>17</v>
      </c>
      <c r="F672" s="57" t="s">
        <v>55</v>
      </c>
      <c r="G672" s="57" t="s">
        <v>45</v>
      </c>
      <c r="H672" s="57" t="s">
        <v>1470</v>
      </c>
      <c r="I672" s="57" t="s">
        <v>67</v>
      </c>
      <c r="J672" s="57" t="s">
        <v>123</v>
      </c>
      <c r="K672" s="57" t="s">
        <v>72</v>
      </c>
      <c r="L672" s="57" t="s">
        <v>135</v>
      </c>
      <c r="M672" s="60">
        <v>997</v>
      </c>
      <c r="N672" s="57" t="s">
        <v>136</v>
      </c>
      <c r="O672" s="61">
        <v>142.56</v>
      </c>
      <c r="P672" s="61">
        <v>142132.32</v>
      </c>
      <c r="Q672" s="61">
        <v>4225.74</v>
      </c>
      <c r="R672" s="62">
        <f t="shared" si="73"/>
        <v>2.9731028101138431E-2</v>
      </c>
      <c r="S672" s="60">
        <v>7</v>
      </c>
      <c r="T672" s="58">
        <v>45411</v>
      </c>
      <c r="U672" s="58">
        <v>45411</v>
      </c>
      <c r="V672" s="63">
        <f t="shared" si="74"/>
        <v>0</v>
      </c>
      <c r="W672" s="57" t="s">
        <v>115</v>
      </c>
      <c r="X672" s="64" t="b">
        <f t="shared" si="75"/>
        <v>1</v>
      </c>
      <c r="Y672" s="60">
        <v>218</v>
      </c>
      <c r="Z672" s="60">
        <v>491</v>
      </c>
      <c r="AA672" s="57" t="s">
        <v>84</v>
      </c>
      <c r="AB672" s="64" t="b">
        <f t="shared" si="76"/>
        <v>1</v>
      </c>
    </row>
    <row r="673" spans="1:28" ht="15" customHeight="1" x14ac:dyDescent="0.3">
      <c r="A673" s="65" t="s">
        <v>1471</v>
      </c>
      <c r="B673" s="81">
        <v>45352</v>
      </c>
      <c r="C673" s="59">
        <f t="shared" si="70"/>
        <v>2024</v>
      </c>
      <c r="D673" s="59">
        <f t="shared" si="71"/>
        <v>3</v>
      </c>
      <c r="E673" s="59">
        <f t="shared" si="72"/>
        <v>9</v>
      </c>
      <c r="F673" s="65" t="s">
        <v>52</v>
      </c>
      <c r="G673" s="65" t="s">
        <v>39</v>
      </c>
      <c r="H673" s="65" t="s">
        <v>1472</v>
      </c>
      <c r="I673" s="65" t="s">
        <v>68</v>
      </c>
      <c r="J673" s="65" t="s">
        <v>151</v>
      </c>
      <c r="K673" s="65" t="s">
        <v>75</v>
      </c>
      <c r="L673" s="65" t="s">
        <v>146</v>
      </c>
      <c r="M673" s="67">
        <v>748</v>
      </c>
      <c r="N673" s="65" t="s">
        <v>163</v>
      </c>
      <c r="O673" s="68">
        <v>2206.42</v>
      </c>
      <c r="P673" s="68">
        <v>1639255.3774000001</v>
      </c>
      <c r="Q673" s="68">
        <v>81177.58</v>
      </c>
      <c r="R673" s="62">
        <f t="shared" si="73"/>
        <v>4.9521008818500641E-2</v>
      </c>
      <c r="S673" s="67">
        <v>4</v>
      </c>
      <c r="T673" s="66">
        <v>45356</v>
      </c>
      <c r="U673" s="66">
        <v>45353</v>
      </c>
      <c r="V673" s="63">
        <f t="shared" si="74"/>
        <v>-3</v>
      </c>
      <c r="W673" s="65" t="s">
        <v>115</v>
      </c>
      <c r="X673" s="64" t="b">
        <f t="shared" si="75"/>
        <v>1</v>
      </c>
      <c r="Y673" s="67">
        <v>106</v>
      </c>
      <c r="Z673" s="67">
        <v>115</v>
      </c>
      <c r="AA673" s="65" t="s">
        <v>84</v>
      </c>
      <c r="AB673" s="64" t="b">
        <f t="shared" si="76"/>
        <v>1</v>
      </c>
    </row>
    <row r="674" spans="1:28" ht="15" customHeight="1" x14ac:dyDescent="0.3">
      <c r="A674" s="57" t="s">
        <v>1473</v>
      </c>
      <c r="B674" s="82">
        <v>44990</v>
      </c>
      <c r="C674" s="59">
        <f t="shared" si="70"/>
        <v>2023</v>
      </c>
      <c r="D674" s="59">
        <f t="shared" si="71"/>
        <v>3</v>
      </c>
      <c r="E674" s="59">
        <f t="shared" si="72"/>
        <v>10</v>
      </c>
      <c r="F674" s="57" t="s">
        <v>58</v>
      </c>
      <c r="G674" s="57" t="s">
        <v>42</v>
      </c>
      <c r="H674" s="57" t="s">
        <v>1474</v>
      </c>
      <c r="I674" s="57" t="s">
        <v>64</v>
      </c>
      <c r="J674" s="57" t="s">
        <v>151</v>
      </c>
      <c r="K674" s="57" t="s">
        <v>75</v>
      </c>
      <c r="L674" s="57" t="s">
        <v>156</v>
      </c>
      <c r="M674" s="60">
        <v>735</v>
      </c>
      <c r="N674" s="57" t="s">
        <v>132</v>
      </c>
      <c r="O674" s="61">
        <v>80.13</v>
      </c>
      <c r="P674" s="61">
        <v>58895.55</v>
      </c>
      <c r="Q674" s="61">
        <v>3787.71</v>
      </c>
      <c r="R674" s="62">
        <f t="shared" si="73"/>
        <v>6.4312329199744292E-2</v>
      </c>
      <c r="S674" s="60">
        <v>26</v>
      </c>
      <c r="T674" s="58">
        <v>45016</v>
      </c>
      <c r="U674" s="58">
        <v>45018</v>
      </c>
      <c r="V674" s="63">
        <f t="shared" si="74"/>
        <v>2</v>
      </c>
      <c r="W674" s="57" t="s">
        <v>125</v>
      </c>
      <c r="X674" s="64" t="b">
        <f t="shared" si="75"/>
        <v>0</v>
      </c>
      <c r="Y674" s="60">
        <v>475</v>
      </c>
      <c r="Z674" s="60">
        <v>91</v>
      </c>
      <c r="AA674" s="57" t="s">
        <v>116</v>
      </c>
      <c r="AB674" s="64" t="b">
        <f t="shared" si="76"/>
        <v>0</v>
      </c>
    </row>
    <row r="675" spans="1:28" ht="15" customHeight="1" x14ac:dyDescent="0.3">
      <c r="A675" s="65" t="s">
        <v>1475</v>
      </c>
      <c r="B675" s="81">
        <v>45138</v>
      </c>
      <c r="C675" s="59">
        <f t="shared" si="70"/>
        <v>2023</v>
      </c>
      <c r="D675" s="59">
        <f t="shared" si="71"/>
        <v>7</v>
      </c>
      <c r="E675" s="59">
        <f t="shared" si="72"/>
        <v>31</v>
      </c>
      <c r="F675" s="65" t="s">
        <v>58</v>
      </c>
      <c r="G675" s="65" t="s">
        <v>39</v>
      </c>
      <c r="H675" s="65" t="s">
        <v>1476</v>
      </c>
      <c r="I675" s="65" t="s">
        <v>67</v>
      </c>
      <c r="J675" s="65" t="s">
        <v>151</v>
      </c>
      <c r="K675" s="65" t="s">
        <v>73</v>
      </c>
      <c r="L675" s="65" t="s">
        <v>124</v>
      </c>
      <c r="M675" s="67">
        <v>881</v>
      </c>
      <c r="N675" s="65" t="s">
        <v>132</v>
      </c>
      <c r="O675" s="68">
        <v>1773.86</v>
      </c>
      <c r="P675" s="68">
        <v>1562770.66</v>
      </c>
      <c r="Q675" s="68">
        <v>96548.6302</v>
      </c>
      <c r="R675" s="62">
        <f t="shared" si="73"/>
        <v>6.1780421575101753E-2</v>
      </c>
      <c r="S675" s="67">
        <v>21</v>
      </c>
      <c r="T675" s="66">
        <v>45159</v>
      </c>
      <c r="U675" s="66">
        <v>45158</v>
      </c>
      <c r="V675" s="63">
        <f t="shared" si="74"/>
        <v>-1</v>
      </c>
      <c r="W675" s="65" t="s">
        <v>115</v>
      </c>
      <c r="X675" s="64" t="b">
        <f t="shared" si="75"/>
        <v>1</v>
      </c>
      <c r="Y675" s="67">
        <v>403</v>
      </c>
      <c r="Z675" s="67">
        <v>348</v>
      </c>
      <c r="AA675" s="65" t="s">
        <v>82</v>
      </c>
      <c r="AB675" s="64" t="b">
        <f t="shared" si="76"/>
        <v>1</v>
      </c>
    </row>
    <row r="676" spans="1:28" ht="15" customHeight="1" x14ac:dyDescent="0.3">
      <c r="A676" s="57" t="s">
        <v>1477</v>
      </c>
      <c r="B676" s="82">
        <v>45357</v>
      </c>
      <c r="C676" s="59">
        <f t="shared" si="70"/>
        <v>2024</v>
      </c>
      <c r="D676" s="59">
        <f t="shared" si="71"/>
        <v>3</v>
      </c>
      <c r="E676" s="59">
        <f t="shared" si="72"/>
        <v>10</v>
      </c>
      <c r="F676" s="57" t="s">
        <v>58</v>
      </c>
      <c r="G676" s="57" t="s">
        <v>44</v>
      </c>
      <c r="H676" s="57" t="s">
        <v>1478</v>
      </c>
      <c r="I676" s="57" t="s">
        <v>69</v>
      </c>
      <c r="J676" s="57" t="s">
        <v>143</v>
      </c>
      <c r="K676" s="57" t="s">
        <v>72</v>
      </c>
      <c r="L676" s="57" t="s">
        <v>119</v>
      </c>
      <c r="M676" s="60">
        <v>672</v>
      </c>
      <c r="N676" s="57" t="s">
        <v>132</v>
      </c>
      <c r="O676" s="61">
        <v>91.65</v>
      </c>
      <c r="P676" s="61">
        <v>61588.800000000003</v>
      </c>
      <c r="Q676" s="61">
        <v>3546.01</v>
      </c>
      <c r="R676" s="62">
        <f t="shared" si="73"/>
        <v>5.7575565687267814E-2</v>
      </c>
      <c r="S676" s="60">
        <v>18</v>
      </c>
      <c r="T676" s="58">
        <v>45375</v>
      </c>
      <c r="U676" s="58">
        <v>45375</v>
      </c>
      <c r="V676" s="63">
        <f t="shared" si="74"/>
        <v>0</v>
      </c>
      <c r="W676" s="57" t="s">
        <v>115</v>
      </c>
      <c r="X676" s="64" t="b">
        <f t="shared" si="75"/>
        <v>1</v>
      </c>
      <c r="Y676" s="60">
        <v>453</v>
      </c>
      <c r="Z676" s="60">
        <v>455</v>
      </c>
      <c r="AA676" s="57" t="s">
        <v>116</v>
      </c>
      <c r="AB676" s="64" t="b">
        <f t="shared" si="76"/>
        <v>0</v>
      </c>
    </row>
    <row r="677" spans="1:28" ht="15" customHeight="1" x14ac:dyDescent="0.3">
      <c r="A677" s="65" t="s">
        <v>1479</v>
      </c>
      <c r="B677" s="81">
        <v>45325</v>
      </c>
      <c r="C677" s="59">
        <f t="shared" si="70"/>
        <v>2024</v>
      </c>
      <c r="D677" s="59">
        <f t="shared" si="71"/>
        <v>2</v>
      </c>
      <c r="E677" s="59">
        <f t="shared" si="72"/>
        <v>5</v>
      </c>
      <c r="F677" s="65" t="s">
        <v>55</v>
      </c>
      <c r="G677" s="65" t="s">
        <v>39</v>
      </c>
      <c r="H677" s="65" t="s">
        <v>1480</v>
      </c>
      <c r="I677" s="65" t="s">
        <v>69</v>
      </c>
      <c r="J677" s="65" t="s">
        <v>131</v>
      </c>
      <c r="K677" s="65" t="s">
        <v>74</v>
      </c>
      <c r="L677" s="65" t="s">
        <v>113</v>
      </c>
      <c r="M677" s="67">
        <v>201</v>
      </c>
      <c r="N677" s="65" t="s">
        <v>136</v>
      </c>
      <c r="O677" s="68">
        <v>1869.74</v>
      </c>
      <c r="P677" s="68">
        <v>375817.74</v>
      </c>
      <c r="Q677" s="68">
        <v>22602.89</v>
      </c>
      <c r="R677" s="62">
        <f t="shared" si="73"/>
        <v>6.0143222616367176E-2</v>
      </c>
      <c r="S677" s="67">
        <v>13</v>
      </c>
      <c r="T677" s="66">
        <v>45338</v>
      </c>
      <c r="U677" s="66">
        <v>45350</v>
      </c>
      <c r="V677" s="63">
        <f t="shared" si="74"/>
        <v>12</v>
      </c>
      <c r="W677" s="65" t="s">
        <v>128</v>
      </c>
      <c r="X677" s="64" t="b">
        <f t="shared" si="75"/>
        <v>0</v>
      </c>
      <c r="Y677" s="67">
        <v>391</v>
      </c>
      <c r="Z677" s="67">
        <v>338</v>
      </c>
      <c r="AA677" s="65" t="s">
        <v>81</v>
      </c>
      <c r="AB677" s="64" t="b">
        <f t="shared" si="76"/>
        <v>1</v>
      </c>
    </row>
    <row r="678" spans="1:28" ht="15" customHeight="1" x14ac:dyDescent="0.3">
      <c r="A678" s="57" t="s">
        <v>1481</v>
      </c>
      <c r="B678" s="82">
        <v>45525</v>
      </c>
      <c r="C678" s="59">
        <f t="shared" si="70"/>
        <v>2024</v>
      </c>
      <c r="D678" s="59">
        <f t="shared" si="71"/>
        <v>8</v>
      </c>
      <c r="E678" s="59">
        <f t="shared" si="72"/>
        <v>34</v>
      </c>
      <c r="F678" s="57" t="s">
        <v>57</v>
      </c>
      <c r="G678" s="57" t="s">
        <v>44</v>
      </c>
      <c r="H678" s="57" t="s">
        <v>1482</v>
      </c>
      <c r="I678" s="57" t="s">
        <v>66</v>
      </c>
      <c r="J678" s="57" t="s">
        <v>139</v>
      </c>
      <c r="K678" s="57" t="s">
        <v>72</v>
      </c>
      <c r="L678" s="57" t="s">
        <v>156</v>
      </c>
      <c r="M678" s="60">
        <v>972</v>
      </c>
      <c r="N678" s="57" t="s">
        <v>120</v>
      </c>
      <c r="O678" s="61">
        <v>173.53</v>
      </c>
      <c r="P678" s="61">
        <v>168671.16</v>
      </c>
      <c r="Q678" s="61">
        <v>4651.45</v>
      </c>
      <c r="R678" s="62">
        <f t="shared" si="73"/>
        <v>2.7577032137562817E-2</v>
      </c>
      <c r="S678" s="60">
        <v>11</v>
      </c>
      <c r="T678" s="58">
        <v>45536</v>
      </c>
      <c r="U678" s="58">
        <v>45537</v>
      </c>
      <c r="V678" s="63">
        <f t="shared" si="74"/>
        <v>1</v>
      </c>
      <c r="W678" s="57" t="s">
        <v>125</v>
      </c>
      <c r="X678" s="64" t="b">
        <f t="shared" si="75"/>
        <v>0</v>
      </c>
      <c r="Y678" s="60">
        <v>95</v>
      </c>
      <c r="Z678" s="60">
        <v>52</v>
      </c>
      <c r="AA678" s="57" t="s">
        <v>81</v>
      </c>
      <c r="AB678" s="64" t="b">
        <f t="shared" si="76"/>
        <v>1</v>
      </c>
    </row>
    <row r="679" spans="1:28" ht="15" customHeight="1" x14ac:dyDescent="0.3">
      <c r="A679" s="65" t="s">
        <v>1483</v>
      </c>
      <c r="B679" s="81">
        <v>45639</v>
      </c>
      <c r="C679" s="59">
        <f t="shared" si="70"/>
        <v>2024</v>
      </c>
      <c r="D679" s="59">
        <f t="shared" si="71"/>
        <v>12</v>
      </c>
      <c r="E679" s="59">
        <f t="shared" si="72"/>
        <v>50</v>
      </c>
      <c r="F679" s="65" t="s">
        <v>57</v>
      </c>
      <c r="G679" s="65" t="s">
        <v>44</v>
      </c>
      <c r="H679" s="65" t="s">
        <v>1484</v>
      </c>
      <c r="I679" s="65" t="s">
        <v>65</v>
      </c>
      <c r="J679" s="65" t="s">
        <v>151</v>
      </c>
      <c r="K679" s="65" t="s">
        <v>72</v>
      </c>
      <c r="L679" s="65" t="s">
        <v>146</v>
      </c>
      <c r="M679" s="67">
        <v>561</v>
      </c>
      <c r="N679" s="65" t="s">
        <v>136</v>
      </c>
      <c r="O679" s="68">
        <v>139.26</v>
      </c>
      <c r="P679" s="68">
        <v>78124.86</v>
      </c>
      <c r="Q679" s="68">
        <v>5995.82</v>
      </c>
      <c r="R679" s="62">
        <f t="shared" si="73"/>
        <v>7.6746633529967287E-2</v>
      </c>
      <c r="S679" s="67">
        <v>29</v>
      </c>
      <c r="T679" s="66">
        <v>45668</v>
      </c>
      <c r="U679" s="66">
        <v>45673</v>
      </c>
      <c r="V679" s="63">
        <f t="shared" si="74"/>
        <v>5</v>
      </c>
      <c r="W679" s="65" t="s">
        <v>125</v>
      </c>
      <c r="X679" s="64" t="b">
        <f t="shared" si="75"/>
        <v>0</v>
      </c>
      <c r="Y679" s="67">
        <v>402</v>
      </c>
      <c r="Z679" s="67">
        <v>495</v>
      </c>
      <c r="AA679" s="65" t="s">
        <v>116</v>
      </c>
      <c r="AB679" s="64" t="b">
        <f t="shared" si="76"/>
        <v>0</v>
      </c>
    </row>
    <row r="680" spans="1:28" ht="15" customHeight="1" x14ac:dyDescent="0.3">
      <c r="A680" s="57" t="s">
        <v>1485</v>
      </c>
      <c r="B680" s="82">
        <v>44947</v>
      </c>
      <c r="C680" s="59">
        <f t="shared" si="70"/>
        <v>2023</v>
      </c>
      <c r="D680" s="59">
        <f t="shared" si="71"/>
        <v>1</v>
      </c>
      <c r="E680" s="59">
        <f t="shared" si="72"/>
        <v>3</v>
      </c>
      <c r="F680" s="57" t="s">
        <v>58</v>
      </c>
      <c r="G680" s="57" t="s">
        <v>44</v>
      </c>
      <c r="H680" s="57" t="s">
        <v>1486</v>
      </c>
      <c r="I680" s="57" t="s">
        <v>69</v>
      </c>
      <c r="J680" s="57" t="s">
        <v>151</v>
      </c>
      <c r="K680" s="57" t="s">
        <v>73</v>
      </c>
      <c r="L680" s="57" t="s">
        <v>156</v>
      </c>
      <c r="M680" s="60">
        <v>251</v>
      </c>
      <c r="N680" s="57" t="s">
        <v>163</v>
      </c>
      <c r="O680" s="61">
        <v>96.11</v>
      </c>
      <c r="P680" s="61">
        <v>24123.61</v>
      </c>
      <c r="Q680" s="61">
        <v>674.36</v>
      </c>
      <c r="R680" s="62">
        <f t="shared" si="73"/>
        <v>2.7954356748430272E-2</v>
      </c>
      <c r="S680" s="60">
        <v>24</v>
      </c>
      <c r="T680" s="58">
        <v>44971</v>
      </c>
      <c r="U680" s="58">
        <v>44974</v>
      </c>
      <c r="V680" s="63">
        <f t="shared" si="74"/>
        <v>3</v>
      </c>
      <c r="W680" s="57" t="s">
        <v>128</v>
      </c>
      <c r="X680" s="64" t="b">
        <f t="shared" si="75"/>
        <v>0</v>
      </c>
      <c r="Y680" s="60">
        <v>31</v>
      </c>
      <c r="Z680" s="60">
        <v>122</v>
      </c>
      <c r="AA680" s="57" t="s">
        <v>116</v>
      </c>
      <c r="AB680" s="64" t="b">
        <f t="shared" si="76"/>
        <v>0</v>
      </c>
    </row>
    <row r="681" spans="1:28" ht="15" customHeight="1" x14ac:dyDescent="0.3">
      <c r="A681" s="65" t="s">
        <v>1487</v>
      </c>
      <c r="B681" s="81">
        <v>45516</v>
      </c>
      <c r="C681" s="59">
        <f t="shared" si="70"/>
        <v>2024</v>
      </c>
      <c r="D681" s="59">
        <f t="shared" si="71"/>
        <v>8</v>
      </c>
      <c r="E681" s="59">
        <f t="shared" si="72"/>
        <v>33</v>
      </c>
      <c r="F681" s="65" t="s">
        <v>52</v>
      </c>
      <c r="G681" s="65" t="s">
        <v>44</v>
      </c>
      <c r="H681" s="65" t="s">
        <v>1488</v>
      </c>
      <c r="I681" s="65" t="s">
        <v>67</v>
      </c>
      <c r="J681" s="65" t="s">
        <v>131</v>
      </c>
      <c r="K681" s="65" t="s">
        <v>74</v>
      </c>
      <c r="L681" s="65" t="s">
        <v>135</v>
      </c>
      <c r="M681" s="67">
        <v>147</v>
      </c>
      <c r="N681" s="65" t="s">
        <v>120</v>
      </c>
      <c r="O681" s="68">
        <v>139.85</v>
      </c>
      <c r="P681" s="68">
        <v>20557.95</v>
      </c>
      <c r="Q681" s="68">
        <v>1366.7</v>
      </c>
      <c r="R681" s="62">
        <f t="shared" si="73"/>
        <v>6.6480364044080267E-2</v>
      </c>
      <c r="S681" s="67">
        <v>4</v>
      </c>
      <c r="T681" s="66">
        <v>45520</v>
      </c>
      <c r="U681" s="66">
        <v>45517</v>
      </c>
      <c r="V681" s="63">
        <f t="shared" si="74"/>
        <v>-3</v>
      </c>
      <c r="W681" s="65" t="s">
        <v>115</v>
      </c>
      <c r="X681" s="64" t="b">
        <f t="shared" si="75"/>
        <v>1</v>
      </c>
      <c r="Y681" s="67">
        <v>125</v>
      </c>
      <c r="Z681" s="67">
        <v>340</v>
      </c>
      <c r="AA681" s="65" t="s">
        <v>83</v>
      </c>
      <c r="AB681" s="64" t="b">
        <f t="shared" si="76"/>
        <v>1</v>
      </c>
    </row>
    <row r="682" spans="1:28" ht="15" customHeight="1" x14ac:dyDescent="0.3">
      <c r="A682" s="57" t="s">
        <v>1489</v>
      </c>
      <c r="B682" s="82">
        <v>45316</v>
      </c>
      <c r="C682" s="59">
        <f t="shared" si="70"/>
        <v>2024</v>
      </c>
      <c r="D682" s="59">
        <f t="shared" si="71"/>
        <v>1</v>
      </c>
      <c r="E682" s="59">
        <f t="shared" si="72"/>
        <v>4</v>
      </c>
      <c r="F682" s="57" t="s">
        <v>61</v>
      </c>
      <c r="G682" s="57" t="s">
        <v>44</v>
      </c>
      <c r="H682" s="57" t="s">
        <v>1490</v>
      </c>
      <c r="I682" s="57" t="s">
        <v>64</v>
      </c>
      <c r="J682" s="57" t="s">
        <v>131</v>
      </c>
      <c r="K682" s="57" t="s">
        <v>72</v>
      </c>
      <c r="L682" s="57" t="s">
        <v>135</v>
      </c>
      <c r="M682" s="60">
        <v>354</v>
      </c>
      <c r="N682" s="57" t="s">
        <v>120</v>
      </c>
      <c r="O682" s="61">
        <v>157.57</v>
      </c>
      <c r="P682" s="61">
        <v>55779.78</v>
      </c>
      <c r="Q682" s="61">
        <v>2001.88</v>
      </c>
      <c r="R682" s="62">
        <f t="shared" si="73"/>
        <v>3.5888990598385295E-2</v>
      </c>
      <c r="S682" s="60">
        <v>25</v>
      </c>
      <c r="T682" s="58">
        <v>45341</v>
      </c>
      <c r="U682" s="58">
        <v>45340</v>
      </c>
      <c r="V682" s="63">
        <f t="shared" si="74"/>
        <v>-1</v>
      </c>
      <c r="W682" s="57" t="s">
        <v>115</v>
      </c>
      <c r="X682" s="64" t="b">
        <f t="shared" si="75"/>
        <v>1</v>
      </c>
      <c r="Y682" s="60">
        <v>146</v>
      </c>
      <c r="Z682" s="60">
        <v>337</v>
      </c>
      <c r="AA682" s="57" t="s">
        <v>116</v>
      </c>
      <c r="AB682" s="64" t="b">
        <f t="shared" si="76"/>
        <v>0</v>
      </c>
    </row>
    <row r="683" spans="1:28" ht="15" customHeight="1" x14ac:dyDescent="0.3">
      <c r="A683" s="65" t="s">
        <v>1491</v>
      </c>
      <c r="B683" s="81">
        <v>45415</v>
      </c>
      <c r="C683" s="59">
        <f t="shared" si="70"/>
        <v>2024</v>
      </c>
      <c r="D683" s="59">
        <f t="shared" si="71"/>
        <v>5</v>
      </c>
      <c r="E683" s="59">
        <f t="shared" si="72"/>
        <v>18</v>
      </c>
      <c r="F683" s="65" t="s">
        <v>59</v>
      </c>
      <c r="G683" s="65" t="s">
        <v>42</v>
      </c>
      <c r="H683" s="65" t="s">
        <v>1492</v>
      </c>
      <c r="I683" s="65" t="s">
        <v>68</v>
      </c>
      <c r="J683" s="65" t="s">
        <v>123</v>
      </c>
      <c r="K683" s="65" t="s">
        <v>74</v>
      </c>
      <c r="L683" s="65" t="s">
        <v>119</v>
      </c>
      <c r="M683" s="67">
        <v>189</v>
      </c>
      <c r="N683" s="65" t="s">
        <v>163</v>
      </c>
      <c r="O683" s="68">
        <v>82.01</v>
      </c>
      <c r="P683" s="68">
        <v>15499.89</v>
      </c>
      <c r="Q683" s="68">
        <v>1178.23</v>
      </c>
      <c r="R683" s="62">
        <f t="shared" si="73"/>
        <v>7.601537817365156E-2</v>
      </c>
      <c r="S683" s="67">
        <v>21</v>
      </c>
      <c r="T683" s="66">
        <v>45436</v>
      </c>
      <c r="U683" s="66">
        <v>45436</v>
      </c>
      <c r="V683" s="63">
        <f t="shared" si="74"/>
        <v>0</v>
      </c>
      <c r="W683" s="65" t="s">
        <v>115</v>
      </c>
      <c r="X683" s="64" t="b">
        <f t="shared" si="75"/>
        <v>1</v>
      </c>
      <c r="Y683" s="67">
        <v>279</v>
      </c>
      <c r="Z683" s="67">
        <v>264</v>
      </c>
      <c r="AA683" s="65" t="s">
        <v>116</v>
      </c>
      <c r="AB683" s="64" t="b">
        <f t="shared" si="76"/>
        <v>0</v>
      </c>
    </row>
    <row r="684" spans="1:28" ht="15" customHeight="1" x14ac:dyDescent="0.3">
      <c r="A684" s="57" t="s">
        <v>1493</v>
      </c>
      <c r="B684" s="82">
        <v>44933</v>
      </c>
      <c r="C684" s="59">
        <f t="shared" si="70"/>
        <v>2023</v>
      </c>
      <c r="D684" s="59">
        <f t="shared" si="71"/>
        <v>1</v>
      </c>
      <c r="E684" s="59">
        <f t="shared" si="72"/>
        <v>1</v>
      </c>
      <c r="F684" s="57" t="s">
        <v>57</v>
      </c>
      <c r="G684" s="57" t="s">
        <v>44</v>
      </c>
      <c r="H684" s="57" t="s">
        <v>1494</v>
      </c>
      <c r="I684" s="57" t="s">
        <v>64</v>
      </c>
      <c r="J684" s="57" t="s">
        <v>112</v>
      </c>
      <c r="K684" s="57" t="s">
        <v>75</v>
      </c>
      <c r="L684" s="57" t="s">
        <v>124</v>
      </c>
      <c r="M684" s="60">
        <v>721</v>
      </c>
      <c r="N684" s="57" t="s">
        <v>120</v>
      </c>
      <c r="O684" s="61">
        <v>168.46</v>
      </c>
      <c r="P684" s="61">
        <v>121459.66</v>
      </c>
      <c r="Q684" s="61">
        <v>7675.96</v>
      </c>
      <c r="R684" s="62">
        <f t="shared" si="73"/>
        <v>6.319760816060245E-2</v>
      </c>
      <c r="S684" s="60">
        <v>29</v>
      </c>
      <c r="T684" s="58">
        <v>44962</v>
      </c>
      <c r="U684" s="58">
        <v>44967</v>
      </c>
      <c r="V684" s="63">
        <f t="shared" si="74"/>
        <v>5</v>
      </c>
      <c r="W684" s="57" t="s">
        <v>128</v>
      </c>
      <c r="X684" s="64" t="b">
        <f t="shared" si="75"/>
        <v>0</v>
      </c>
      <c r="Y684" s="60">
        <v>23</v>
      </c>
      <c r="Z684" s="60">
        <v>3</v>
      </c>
      <c r="AA684" s="57" t="s">
        <v>116</v>
      </c>
      <c r="AB684" s="64" t="b">
        <f t="shared" si="76"/>
        <v>0</v>
      </c>
    </row>
    <row r="685" spans="1:28" ht="15" customHeight="1" x14ac:dyDescent="0.3">
      <c r="A685" s="65" t="s">
        <v>1495</v>
      </c>
      <c r="B685" s="81">
        <v>45287</v>
      </c>
      <c r="C685" s="59">
        <f t="shared" si="70"/>
        <v>2023</v>
      </c>
      <c r="D685" s="59">
        <f t="shared" si="71"/>
        <v>12</v>
      </c>
      <c r="E685" s="59">
        <f t="shared" si="72"/>
        <v>52</v>
      </c>
      <c r="F685" s="65" t="s">
        <v>56</v>
      </c>
      <c r="G685" s="65" t="s">
        <v>42</v>
      </c>
      <c r="H685" s="65" t="s">
        <v>1496</v>
      </c>
      <c r="I685" s="65" t="s">
        <v>66</v>
      </c>
      <c r="J685" s="65" t="s">
        <v>151</v>
      </c>
      <c r="K685" s="65" t="s">
        <v>75</v>
      </c>
      <c r="L685" s="65" t="s">
        <v>113</v>
      </c>
      <c r="M685" s="67">
        <v>512</v>
      </c>
      <c r="N685" s="65" t="s">
        <v>140</v>
      </c>
      <c r="O685" s="68">
        <v>97.52</v>
      </c>
      <c r="P685" s="68">
        <v>49930.239999999998</v>
      </c>
      <c r="Q685" s="68">
        <v>3256.89</v>
      </c>
      <c r="R685" s="62">
        <f t="shared" si="73"/>
        <v>6.5228807231849872E-2</v>
      </c>
      <c r="S685" s="67">
        <v>25</v>
      </c>
      <c r="T685" s="66">
        <v>45312</v>
      </c>
      <c r="U685" s="66">
        <v>45307</v>
      </c>
      <c r="V685" s="63">
        <f t="shared" si="74"/>
        <v>-5</v>
      </c>
      <c r="W685" s="65" t="s">
        <v>115</v>
      </c>
      <c r="X685" s="64" t="b">
        <f t="shared" si="75"/>
        <v>1</v>
      </c>
      <c r="Y685" s="67">
        <v>439</v>
      </c>
      <c r="Z685" s="67">
        <v>168</v>
      </c>
      <c r="AA685" s="65" t="s">
        <v>116</v>
      </c>
      <c r="AB685" s="64" t="b">
        <f t="shared" si="76"/>
        <v>0</v>
      </c>
    </row>
    <row r="686" spans="1:28" ht="15" customHeight="1" x14ac:dyDescent="0.3">
      <c r="A686" s="57" t="s">
        <v>1497</v>
      </c>
      <c r="B686" s="82">
        <v>45232</v>
      </c>
      <c r="C686" s="59">
        <f t="shared" si="70"/>
        <v>2023</v>
      </c>
      <c r="D686" s="59">
        <f t="shared" si="71"/>
        <v>11</v>
      </c>
      <c r="E686" s="59">
        <f t="shared" si="72"/>
        <v>44</v>
      </c>
      <c r="F686" s="57" t="s">
        <v>60</v>
      </c>
      <c r="G686" s="57" t="s">
        <v>44</v>
      </c>
      <c r="H686" s="57" t="s">
        <v>1498</v>
      </c>
      <c r="I686" s="57" t="s">
        <v>64</v>
      </c>
      <c r="J686" s="57" t="s">
        <v>112</v>
      </c>
      <c r="K686" s="57" t="s">
        <v>74</v>
      </c>
      <c r="L686" s="57" t="s">
        <v>113</v>
      </c>
      <c r="M686" s="60">
        <v>212</v>
      </c>
      <c r="N686" s="57" t="s">
        <v>163</v>
      </c>
      <c r="O686" s="61">
        <v>170.33</v>
      </c>
      <c r="P686" s="61">
        <v>36109.96</v>
      </c>
      <c r="Q686" s="61">
        <v>1196.81</v>
      </c>
      <c r="R686" s="62">
        <f t="shared" si="73"/>
        <v>3.3143487281625347E-2</v>
      </c>
      <c r="S686" s="60">
        <v>4</v>
      </c>
      <c r="T686" s="58">
        <v>45236</v>
      </c>
      <c r="U686" s="58">
        <v>45237</v>
      </c>
      <c r="V686" s="63">
        <f t="shared" si="74"/>
        <v>1</v>
      </c>
      <c r="W686" s="57" t="s">
        <v>128</v>
      </c>
      <c r="X686" s="64" t="b">
        <f t="shared" si="75"/>
        <v>0</v>
      </c>
      <c r="Y686" s="60">
        <v>208</v>
      </c>
      <c r="Z686" s="60">
        <v>280</v>
      </c>
      <c r="AA686" s="57" t="s">
        <v>116</v>
      </c>
      <c r="AB686" s="64" t="b">
        <f t="shared" si="76"/>
        <v>0</v>
      </c>
    </row>
    <row r="687" spans="1:28" ht="15" customHeight="1" x14ac:dyDescent="0.3">
      <c r="A687" s="65" t="s">
        <v>1499</v>
      </c>
      <c r="B687" s="81">
        <v>45326</v>
      </c>
      <c r="C687" s="59">
        <f t="shared" si="70"/>
        <v>2024</v>
      </c>
      <c r="D687" s="59">
        <f t="shared" si="71"/>
        <v>2</v>
      </c>
      <c r="E687" s="59">
        <f t="shared" si="72"/>
        <v>6</v>
      </c>
      <c r="F687" s="65" t="s">
        <v>55</v>
      </c>
      <c r="G687" s="65" t="s">
        <v>39</v>
      </c>
      <c r="H687" s="65" t="s">
        <v>1500</v>
      </c>
      <c r="I687" s="65" t="s">
        <v>69</v>
      </c>
      <c r="J687" s="65" t="s">
        <v>131</v>
      </c>
      <c r="K687" s="65" t="s">
        <v>72</v>
      </c>
      <c r="L687" s="65" t="s">
        <v>146</v>
      </c>
      <c r="M687" s="67">
        <v>582</v>
      </c>
      <c r="N687" s="65" t="s">
        <v>163</v>
      </c>
      <c r="O687" s="68">
        <v>1798.21</v>
      </c>
      <c r="P687" s="68">
        <v>1046558.22</v>
      </c>
      <c r="Q687" s="68">
        <v>48751.19</v>
      </c>
      <c r="R687" s="62">
        <f t="shared" si="73"/>
        <v>4.6582396534040893E-2</v>
      </c>
      <c r="S687" s="67">
        <v>10</v>
      </c>
      <c r="T687" s="66">
        <v>45336</v>
      </c>
      <c r="U687" s="66">
        <v>45333</v>
      </c>
      <c r="V687" s="63">
        <f t="shared" si="74"/>
        <v>-3</v>
      </c>
      <c r="W687" s="65" t="s">
        <v>115</v>
      </c>
      <c r="X687" s="64" t="b">
        <f t="shared" si="75"/>
        <v>1</v>
      </c>
      <c r="Y687" s="67">
        <v>119</v>
      </c>
      <c r="Z687" s="67">
        <v>289</v>
      </c>
      <c r="AA687" s="65" t="s">
        <v>81</v>
      </c>
      <c r="AB687" s="64" t="b">
        <f t="shared" si="76"/>
        <v>1</v>
      </c>
    </row>
    <row r="688" spans="1:28" ht="15" customHeight="1" x14ac:dyDescent="0.3">
      <c r="A688" s="57" t="s">
        <v>1501</v>
      </c>
      <c r="B688" s="82">
        <v>45356</v>
      </c>
      <c r="C688" s="59">
        <f t="shared" si="70"/>
        <v>2024</v>
      </c>
      <c r="D688" s="59">
        <f t="shared" si="71"/>
        <v>3</v>
      </c>
      <c r="E688" s="59">
        <f t="shared" si="72"/>
        <v>10</v>
      </c>
      <c r="F688" s="57" t="s">
        <v>55</v>
      </c>
      <c r="G688" s="57" t="s">
        <v>40</v>
      </c>
      <c r="H688" s="57" t="s">
        <v>1502</v>
      </c>
      <c r="I688" s="57" t="s">
        <v>64</v>
      </c>
      <c r="J688" s="57" t="s">
        <v>131</v>
      </c>
      <c r="K688" s="57" t="s">
        <v>74</v>
      </c>
      <c r="L688" s="57" t="s">
        <v>119</v>
      </c>
      <c r="M688" s="60">
        <v>201</v>
      </c>
      <c r="N688" s="57" t="s">
        <v>140</v>
      </c>
      <c r="O688" s="61">
        <v>644.02</v>
      </c>
      <c r="P688" s="61">
        <v>129448.02</v>
      </c>
      <c r="Q688" s="61">
        <v>7387.44</v>
      </c>
      <c r="R688" s="62">
        <f t="shared" si="73"/>
        <v>5.7068775559487118E-2</v>
      </c>
      <c r="S688" s="60">
        <v>5</v>
      </c>
      <c r="T688" s="58">
        <v>45361</v>
      </c>
      <c r="U688" s="58">
        <v>45361</v>
      </c>
      <c r="V688" s="63">
        <f t="shared" si="74"/>
        <v>0</v>
      </c>
      <c r="W688" s="57" t="s">
        <v>115</v>
      </c>
      <c r="X688" s="64" t="b">
        <f t="shared" si="75"/>
        <v>1</v>
      </c>
      <c r="Y688" s="60">
        <v>273</v>
      </c>
      <c r="Z688" s="60">
        <v>72</v>
      </c>
      <c r="AA688" s="57" t="s">
        <v>82</v>
      </c>
      <c r="AB688" s="64" t="b">
        <f t="shared" si="76"/>
        <v>1</v>
      </c>
    </row>
    <row r="689" spans="1:28" ht="15" customHeight="1" x14ac:dyDescent="0.3">
      <c r="A689" s="65" t="s">
        <v>1503</v>
      </c>
      <c r="B689" s="81">
        <v>45478</v>
      </c>
      <c r="C689" s="59">
        <f t="shared" si="70"/>
        <v>2024</v>
      </c>
      <c r="D689" s="59">
        <f t="shared" si="71"/>
        <v>7</v>
      </c>
      <c r="E689" s="59">
        <f t="shared" si="72"/>
        <v>27</v>
      </c>
      <c r="F689" s="65" t="s">
        <v>59</v>
      </c>
      <c r="G689" s="65" t="s">
        <v>44</v>
      </c>
      <c r="H689" s="65" t="s">
        <v>1504</v>
      </c>
      <c r="I689" s="65" t="s">
        <v>69</v>
      </c>
      <c r="J689" s="65" t="s">
        <v>123</v>
      </c>
      <c r="K689" s="65" t="s">
        <v>74</v>
      </c>
      <c r="L689" s="65" t="s">
        <v>113</v>
      </c>
      <c r="M689" s="67">
        <v>14</v>
      </c>
      <c r="N689" s="65" t="s">
        <v>136</v>
      </c>
      <c r="O689" s="68">
        <v>113.73</v>
      </c>
      <c r="P689" s="68">
        <v>3302.8089</v>
      </c>
      <c r="Q689" s="68">
        <v>142.36009999999999</v>
      </c>
      <c r="R689" s="62">
        <f t="shared" si="73"/>
        <v>4.3102735977246516E-2</v>
      </c>
      <c r="S689" s="67">
        <v>9</v>
      </c>
      <c r="T689" s="66">
        <v>45487</v>
      </c>
      <c r="U689" s="66">
        <v>45482</v>
      </c>
      <c r="V689" s="63">
        <f t="shared" si="74"/>
        <v>-5</v>
      </c>
      <c r="W689" s="65" t="s">
        <v>115</v>
      </c>
      <c r="X689" s="64" t="b">
        <f t="shared" si="75"/>
        <v>1</v>
      </c>
      <c r="Y689" s="67">
        <v>139</v>
      </c>
      <c r="Z689" s="67">
        <v>136</v>
      </c>
      <c r="AA689" s="65" t="s">
        <v>83</v>
      </c>
      <c r="AB689" s="64" t="b">
        <f t="shared" si="76"/>
        <v>1</v>
      </c>
    </row>
    <row r="690" spans="1:28" ht="15" customHeight="1" x14ac:dyDescent="0.3">
      <c r="A690" s="57" t="s">
        <v>1505</v>
      </c>
      <c r="B690" s="82">
        <v>45486</v>
      </c>
      <c r="C690" s="59">
        <f t="shared" si="70"/>
        <v>2024</v>
      </c>
      <c r="D690" s="59">
        <f t="shared" si="71"/>
        <v>7</v>
      </c>
      <c r="E690" s="59">
        <f t="shared" si="72"/>
        <v>28</v>
      </c>
      <c r="F690" s="57" t="s">
        <v>57</v>
      </c>
      <c r="G690" s="57" t="s">
        <v>43</v>
      </c>
      <c r="H690" s="57" t="s">
        <v>1506</v>
      </c>
      <c r="I690" s="57" t="s">
        <v>69</v>
      </c>
      <c r="J690" s="57" t="s">
        <v>139</v>
      </c>
      <c r="K690" s="57" t="s">
        <v>75</v>
      </c>
      <c r="L690" s="57" t="s">
        <v>124</v>
      </c>
      <c r="M690" s="60">
        <v>899</v>
      </c>
      <c r="N690" s="57" t="s">
        <v>136</v>
      </c>
      <c r="O690" s="61">
        <v>172.29</v>
      </c>
      <c r="P690" s="61">
        <v>154888.71</v>
      </c>
      <c r="Q690" s="61">
        <v>4063.9</v>
      </c>
      <c r="R690" s="62">
        <f t="shared" si="73"/>
        <v>2.623754823705356E-2</v>
      </c>
      <c r="S690" s="60">
        <v>24</v>
      </c>
      <c r="T690" s="58">
        <v>45510</v>
      </c>
      <c r="U690" s="58">
        <v>45509</v>
      </c>
      <c r="V690" s="63">
        <f t="shared" si="74"/>
        <v>-1</v>
      </c>
      <c r="W690" s="57" t="s">
        <v>115</v>
      </c>
      <c r="X690" s="64" t="b">
        <f t="shared" si="75"/>
        <v>1</v>
      </c>
      <c r="Y690" s="60">
        <v>296</v>
      </c>
      <c r="Z690" s="60">
        <v>337</v>
      </c>
      <c r="AA690" s="57" t="s">
        <v>116</v>
      </c>
      <c r="AB690" s="64" t="b">
        <f t="shared" si="76"/>
        <v>0</v>
      </c>
    </row>
    <row r="691" spans="1:28" ht="15" customHeight="1" x14ac:dyDescent="0.3">
      <c r="A691" s="65" t="s">
        <v>1507</v>
      </c>
      <c r="B691" s="81">
        <v>45544</v>
      </c>
      <c r="C691" s="59">
        <f t="shared" si="70"/>
        <v>2024</v>
      </c>
      <c r="D691" s="59">
        <f t="shared" si="71"/>
        <v>9</v>
      </c>
      <c r="E691" s="59">
        <f t="shared" si="72"/>
        <v>37</v>
      </c>
      <c r="F691" s="65" t="s">
        <v>52</v>
      </c>
      <c r="G691" s="65" t="s">
        <v>44</v>
      </c>
      <c r="H691" s="65" t="s">
        <v>1508</v>
      </c>
      <c r="I691" s="65" t="s">
        <v>65</v>
      </c>
      <c r="J691" s="65" t="s">
        <v>143</v>
      </c>
      <c r="K691" s="65" t="s">
        <v>74</v>
      </c>
      <c r="L691" s="65" t="s">
        <v>135</v>
      </c>
      <c r="M691" s="67">
        <v>246</v>
      </c>
      <c r="N691" s="65" t="s">
        <v>136</v>
      </c>
      <c r="O691" s="68">
        <v>171.25</v>
      </c>
      <c r="P691" s="68">
        <v>42127.5</v>
      </c>
      <c r="Q691" s="68">
        <v>3275.07</v>
      </c>
      <c r="R691" s="62">
        <f t="shared" si="73"/>
        <v>7.7741855082784403E-2</v>
      </c>
      <c r="S691" s="67">
        <v>3</v>
      </c>
      <c r="T691" s="66">
        <v>45547</v>
      </c>
      <c r="U691" s="66">
        <v>45559</v>
      </c>
      <c r="V691" s="63">
        <f t="shared" si="74"/>
        <v>12</v>
      </c>
      <c r="W691" s="65" t="s">
        <v>128</v>
      </c>
      <c r="X691" s="64" t="b">
        <f t="shared" si="75"/>
        <v>0</v>
      </c>
      <c r="Y691" s="67">
        <v>342</v>
      </c>
      <c r="Z691" s="67">
        <v>255</v>
      </c>
      <c r="AA691" s="65" t="s">
        <v>82</v>
      </c>
      <c r="AB691" s="64" t="b">
        <f t="shared" si="76"/>
        <v>1</v>
      </c>
    </row>
    <row r="692" spans="1:28" ht="15" customHeight="1" x14ac:dyDescent="0.3">
      <c r="A692" s="57" t="s">
        <v>1509</v>
      </c>
      <c r="B692" s="82">
        <v>45152</v>
      </c>
      <c r="C692" s="59">
        <f t="shared" si="70"/>
        <v>2023</v>
      </c>
      <c r="D692" s="59">
        <f t="shared" si="71"/>
        <v>8</v>
      </c>
      <c r="E692" s="59">
        <f t="shared" si="72"/>
        <v>33</v>
      </c>
      <c r="F692" s="57" t="s">
        <v>52</v>
      </c>
      <c r="G692" s="57" t="s">
        <v>44</v>
      </c>
      <c r="H692" s="57" t="s">
        <v>1510</v>
      </c>
      <c r="I692" s="57" t="s">
        <v>66</v>
      </c>
      <c r="J692" s="57" t="s">
        <v>143</v>
      </c>
      <c r="K692" s="57" t="s">
        <v>71</v>
      </c>
      <c r="L692" s="57" t="s">
        <v>119</v>
      </c>
      <c r="M692" s="60">
        <v>702</v>
      </c>
      <c r="N692" s="57" t="s">
        <v>120</v>
      </c>
      <c r="O692" s="61">
        <v>157</v>
      </c>
      <c r="P692" s="61">
        <v>110214</v>
      </c>
      <c r="Q692" s="61">
        <v>8091.17</v>
      </c>
      <c r="R692" s="62">
        <f t="shared" si="73"/>
        <v>7.3413268731740075E-2</v>
      </c>
      <c r="S692" s="60">
        <v>17</v>
      </c>
      <c r="T692" s="58">
        <v>45169</v>
      </c>
      <c r="U692" s="58">
        <v>45166</v>
      </c>
      <c r="V692" s="63">
        <f t="shared" si="74"/>
        <v>-3</v>
      </c>
      <c r="W692" s="57" t="s">
        <v>115</v>
      </c>
      <c r="X692" s="64" t="b">
        <f t="shared" si="75"/>
        <v>1</v>
      </c>
      <c r="Y692" s="60">
        <v>431</v>
      </c>
      <c r="Z692" s="60">
        <v>458</v>
      </c>
      <c r="AA692" s="57" t="s">
        <v>116</v>
      </c>
      <c r="AB692" s="64" t="b">
        <f t="shared" si="76"/>
        <v>0</v>
      </c>
    </row>
    <row r="693" spans="1:28" ht="15" customHeight="1" x14ac:dyDescent="0.3">
      <c r="A693" s="65" t="s">
        <v>1511</v>
      </c>
      <c r="B693" s="81">
        <v>45426</v>
      </c>
      <c r="C693" s="59">
        <f t="shared" si="70"/>
        <v>2024</v>
      </c>
      <c r="D693" s="59">
        <f t="shared" si="71"/>
        <v>5</v>
      </c>
      <c r="E693" s="59">
        <f t="shared" si="72"/>
        <v>20</v>
      </c>
      <c r="F693" s="65" t="s">
        <v>60</v>
      </c>
      <c r="G693" s="65" t="s">
        <v>39</v>
      </c>
      <c r="H693" s="65" t="s">
        <v>1512</v>
      </c>
      <c r="I693" s="65" t="s">
        <v>67</v>
      </c>
      <c r="J693" s="65" t="s">
        <v>143</v>
      </c>
      <c r="K693" s="65" t="s">
        <v>71</v>
      </c>
      <c r="L693" s="65" t="s">
        <v>156</v>
      </c>
      <c r="M693" s="67">
        <v>320</v>
      </c>
      <c r="N693" s="65" t="s">
        <v>140</v>
      </c>
      <c r="O693" s="68">
        <v>1861.68</v>
      </c>
      <c r="P693" s="68">
        <v>595737.59999999998</v>
      </c>
      <c r="Q693" s="68">
        <v>21578.16</v>
      </c>
      <c r="R693" s="62">
        <f t="shared" si="73"/>
        <v>3.6220913368570327E-2</v>
      </c>
      <c r="S693" s="67">
        <v>3</v>
      </c>
      <c r="T693" s="66">
        <v>45429</v>
      </c>
      <c r="U693" s="66">
        <v>45429</v>
      </c>
      <c r="V693" s="63">
        <f t="shared" si="74"/>
        <v>0</v>
      </c>
      <c r="W693" s="65" t="s">
        <v>115</v>
      </c>
      <c r="X693" s="64" t="b">
        <f t="shared" si="75"/>
        <v>1</v>
      </c>
      <c r="Y693" s="67">
        <v>81</v>
      </c>
      <c r="Z693" s="67">
        <v>140</v>
      </c>
      <c r="AA693" s="65" t="s">
        <v>116</v>
      </c>
      <c r="AB693" s="64" t="b">
        <f t="shared" si="76"/>
        <v>0</v>
      </c>
    </row>
    <row r="694" spans="1:28" ht="15" customHeight="1" x14ac:dyDescent="0.3">
      <c r="A694" s="57" t="s">
        <v>1513</v>
      </c>
      <c r="B694" s="82">
        <v>45151</v>
      </c>
      <c r="C694" s="59">
        <f t="shared" si="70"/>
        <v>2023</v>
      </c>
      <c r="D694" s="59">
        <f t="shared" si="71"/>
        <v>8</v>
      </c>
      <c r="E694" s="59">
        <f t="shared" si="72"/>
        <v>33</v>
      </c>
      <c r="F694" s="57" t="s">
        <v>58</v>
      </c>
      <c r="G694" s="57" t="s">
        <v>45</v>
      </c>
      <c r="H694" s="57" t="s">
        <v>1514</v>
      </c>
      <c r="I694" s="57" t="s">
        <v>69</v>
      </c>
      <c r="J694" s="57" t="s">
        <v>131</v>
      </c>
      <c r="K694" s="57" t="s">
        <v>75</v>
      </c>
      <c r="L694" s="57" t="s">
        <v>119</v>
      </c>
      <c r="M694" s="60">
        <v>558</v>
      </c>
      <c r="N694" s="57" t="s">
        <v>163</v>
      </c>
      <c r="O694" s="61">
        <v>188.15</v>
      </c>
      <c r="P694" s="61">
        <v>104987.7</v>
      </c>
      <c r="Q694" s="61">
        <v>7282.54</v>
      </c>
      <c r="R694" s="62">
        <f t="shared" si="73"/>
        <v>6.9365649499893794E-2</v>
      </c>
      <c r="S694" s="60">
        <v>16</v>
      </c>
      <c r="T694" s="58">
        <v>45167</v>
      </c>
      <c r="U694" s="58">
        <v>45168</v>
      </c>
      <c r="V694" s="63">
        <f t="shared" si="74"/>
        <v>1</v>
      </c>
      <c r="W694" s="57" t="s">
        <v>128</v>
      </c>
      <c r="X694" s="64" t="b">
        <f t="shared" si="75"/>
        <v>0</v>
      </c>
      <c r="Y694" s="60">
        <v>447</v>
      </c>
      <c r="Z694" s="60">
        <v>485</v>
      </c>
      <c r="AA694" s="57" t="s">
        <v>82</v>
      </c>
      <c r="AB694" s="64" t="b">
        <f t="shared" si="76"/>
        <v>1</v>
      </c>
    </row>
    <row r="695" spans="1:28" ht="15" customHeight="1" x14ac:dyDescent="0.3">
      <c r="A695" s="65" t="s">
        <v>1515</v>
      </c>
      <c r="B695" s="81">
        <v>45206</v>
      </c>
      <c r="C695" s="59">
        <f t="shared" si="70"/>
        <v>2023</v>
      </c>
      <c r="D695" s="59">
        <f t="shared" si="71"/>
        <v>10</v>
      </c>
      <c r="E695" s="59">
        <f t="shared" si="72"/>
        <v>40</v>
      </c>
      <c r="F695" s="65" t="s">
        <v>61</v>
      </c>
      <c r="G695" s="65" t="s">
        <v>46</v>
      </c>
      <c r="H695" s="65" t="s">
        <v>1516</v>
      </c>
      <c r="I695" s="65" t="s">
        <v>68</v>
      </c>
      <c r="J695" s="65" t="s">
        <v>151</v>
      </c>
      <c r="K695" s="65" t="s">
        <v>72</v>
      </c>
      <c r="L695" s="65" t="s">
        <v>119</v>
      </c>
      <c r="M695" s="67">
        <v>65</v>
      </c>
      <c r="N695" s="65" t="s">
        <v>163</v>
      </c>
      <c r="O695" s="68">
        <v>50.83</v>
      </c>
      <c r="P695" s="68">
        <v>3303.95</v>
      </c>
      <c r="Q695" s="68">
        <v>168.83</v>
      </c>
      <c r="R695" s="62">
        <f t="shared" si="73"/>
        <v>5.1099441577505719E-2</v>
      </c>
      <c r="S695" s="67">
        <v>4</v>
      </c>
      <c r="T695" s="66">
        <v>45210</v>
      </c>
      <c r="U695" s="66">
        <v>45210</v>
      </c>
      <c r="V695" s="63">
        <f t="shared" si="74"/>
        <v>0</v>
      </c>
      <c r="W695" s="65" t="s">
        <v>115</v>
      </c>
      <c r="X695" s="64" t="b">
        <f t="shared" si="75"/>
        <v>1</v>
      </c>
      <c r="Y695" s="67">
        <v>399</v>
      </c>
      <c r="Z695" s="67">
        <v>392</v>
      </c>
      <c r="AA695" s="65" t="s">
        <v>84</v>
      </c>
      <c r="AB695" s="64" t="b">
        <f t="shared" si="76"/>
        <v>1</v>
      </c>
    </row>
    <row r="696" spans="1:28" ht="15" customHeight="1" x14ac:dyDescent="0.3">
      <c r="A696" s="57" t="s">
        <v>1517</v>
      </c>
      <c r="B696" s="82">
        <v>45373</v>
      </c>
      <c r="C696" s="59">
        <f t="shared" si="70"/>
        <v>2024</v>
      </c>
      <c r="D696" s="59">
        <f t="shared" si="71"/>
        <v>3</v>
      </c>
      <c r="E696" s="59">
        <f t="shared" si="72"/>
        <v>12</v>
      </c>
      <c r="F696" s="57" t="s">
        <v>57</v>
      </c>
      <c r="G696" s="57" t="s">
        <v>39</v>
      </c>
      <c r="H696" s="57" t="s">
        <v>1518</v>
      </c>
      <c r="I696" s="57" t="s">
        <v>66</v>
      </c>
      <c r="J696" s="57" t="s">
        <v>123</v>
      </c>
      <c r="K696" s="57" t="s">
        <v>72</v>
      </c>
      <c r="L696" s="57" t="s">
        <v>124</v>
      </c>
      <c r="M696" s="60">
        <v>452</v>
      </c>
      <c r="N696" s="57" t="s">
        <v>163</v>
      </c>
      <c r="O696" s="61">
        <v>1957.74</v>
      </c>
      <c r="P696" s="61">
        <v>884898.48</v>
      </c>
      <c r="Q696" s="61">
        <v>42217.08</v>
      </c>
      <c r="R696" s="62">
        <f t="shared" si="73"/>
        <v>4.7708387972369447E-2</v>
      </c>
      <c r="S696" s="60">
        <v>18</v>
      </c>
      <c r="T696" s="58">
        <v>45391</v>
      </c>
      <c r="U696" s="58">
        <v>45386</v>
      </c>
      <c r="V696" s="63">
        <f t="shared" si="74"/>
        <v>-5</v>
      </c>
      <c r="W696" s="57" t="s">
        <v>115</v>
      </c>
      <c r="X696" s="64" t="b">
        <f t="shared" si="75"/>
        <v>1</v>
      </c>
      <c r="Y696" s="60">
        <v>207</v>
      </c>
      <c r="Z696" s="60">
        <v>207</v>
      </c>
      <c r="AA696" s="57" t="s">
        <v>82</v>
      </c>
      <c r="AB696" s="64" t="b">
        <f t="shared" si="76"/>
        <v>1</v>
      </c>
    </row>
    <row r="697" spans="1:28" ht="15" customHeight="1" x14ac:dyDescent="0.3">
      <c r="A697" s="65" t="s">
        <v>1519</v>
      </c>
      <c r="B697" s="81">
        <v>45424</v>
      </c>
      <c r="C697" s="59">
        <f t="shared" si="70"/>
        <v>2024</v>
      </c>
      <c r="D697" s="59">
        <f t="shared" si="71"/>
        <v>5</v>
      </c>
      <c r="E697" s="59">
        <f t="shared" si="72"/>
        <v>20</v>
      </c>
      <c r="F697" s="65" t="s">
        <v>52</v>
      </c>
      <c r="G697" s="65" t="s">
        <v>43</v>
      </c>
      <c r="H697" s="65" t="s">
        <v>1520</v>
      </c>
      <c r="I697" s="65" t="s">
        <v>67</v>
      </c>
      <c r="J697" s="65" t="s">
        <v>139</v>
      </c>
      <c r="K697" s="65" t="s">
        <v>75</v>
      </c>
      <c r="L697" s="65" t="s">
        <v>124</v>
      </c>
      <c r="M697" s="67">
        <v>246</v>
      </c>
      <c r="N697" s="65" t="s">
        <v>120</v>
      </c>
      <c r="O697" s="68">
        <v>215.87</v>
      </c>
      <c r="P697" s="68">
        <v>53104.02</v>
      </c>
      <c r="Q697" s="68">
        <v>2063.94</v>
      </c>
      <c r="R697" s="62">
        <f t="shared" si="73"/>
        <v>3.8865984157131613E-2</v>
      </c>
      <c r="S697" s="67">
        <v>17</v>
      </c>
      <c r="T697" s="66">
        <v>45441</v>
      </c>
      <c r="U697" s="66">
        <v>45441</v>
      </c>
      <c r="V697" s="63">
        <f t="shared" si="74"/>
        <v>0</v>
      </c>
      <c r="W697" s="65" t="s">
        <v>115</v>
      </c>
      <c r="X697" s="64" t="b">
        <f t="shared" si="75"/>
        <v>1</v>
      </c>
      <c r="Y697" s="67">
        <v>483</v>
      </c>
      <c r="Z697" s="67">
        <v>259</v>
      </c>
      <c r="AA697" s="65" t="s">
        <v>116</v>
      </c>
      <c r="AB697" s="64" t="b">
        <f t="shared" si="76"/>
        <v>0</v>
      </c>
    </row>
    <row r="698" spans="1:28" ht="15" customHeight="1" x14ac:dyDescent="0.3">
      <c r="A698" s="57" t="s">
        <v>1521</v>
      </c>
      <c r="B698" s="82">
        <v>44956</v>
      </c>
      <c r="C698" s="59">
        <f t="shared" si="70"/>
        <v>2023</v>
      </c>
      <c r="D698" s="59">
        <f t="shared" si="71"/>
        <v>1</v>
      </c>
      <c r="E698" s="59">
        <f t="shared" si="72"/>
        <v>5</v>
      </c>
      <c r="F698" s="57" t="s">
        <v>59</v>
      </c>
      <c r="G698" s="57" t="s">
        <v>46</v>
      </c>
      <c r="H698" s="57" t="s">
        <v>1522</v>
      </c>
      <c r="I698" s="57" t="s">
        <v>68</v>
      </c>
      <c r="J698" s="57" t="s">
        <v>143</v>
      </c>
      <c r="K698" s="57" t="s">
        <v>72</v>
      </c>
      <c r="L698" s="57" t="s">
        <v>113</v>
      </c>
      <c r="M698" s="60">
        <v>879</v>
      </c>
      <c r="N698" s="57" t="s">
        <v>120</v>
      </c>
      <c r="O698" s="61">
        <v>52.84</v>
      </c>
      <c r="P698" s="61">
        <v>46446.36</v>
      </c>
      <c r="Q698" s="61">
        <v>2547.96</v>
      </c>
      <c r="R698" s="62">
        <f t="shared" si="73"/>
        <v>5.4858120205759933E-2</v>
      </c>
      <c r="S698" s="60">
        <v>7</v>
      </c>
      <c r="T698" s="58">
        <v>44963</v>
      </c>
      <c r="U698" s="58">
        <v>44963</v>
      </c>
      <c r="V698" s="63">
        <f t="shared" si="74"/>
        <v>0</v>
      </c>
      <c r="W698" s="57" t="s">
        <v>115</v>
      </c>
      <c r="X698" s="64" t="b">
        <f t="shared" si="75"/>
        <v>1</v>
      </c>
      <c r="Y698" s="60">
        <v>406</v>
      </c>
      <c r="Z698" s="60">
        <v>417</v>
      </c>
      <c r="AA698" s="57" t="s">
        <v>82</v>
      </c>
      <c r="AB698" s="64" t="b">
        <f t="shared" si="76"/>
        <v>1</v>
      </c>
    </row>
    <row r="699" spans="1:28" ht="15" customHeight="1" x14ac:dyDescent="0.3">
      <c r="A699" s="65" t="s">
        <v>1523</v>
      </c>
      <c r="B699" s="81">
        <v>45325</v>
      </c>
      <c r="C699" s="59">
        <f t="shared" si="70"/>
        <v>2024</v>
      </c>
      <c r="D699" s="59">
        <f t="shared" si="71"/>
        <v>2</v>
      </c>
      <c r="E699" s="59">
        <f t="shared" si="72"/>
        <v>5</v>
      </c>
      <c r="F699" s="65" t="s">
        <v>60</v>
      </c>
      <c r="G699" s="65" t="s">
        <v>41</v>
      </c>
      <c r="H699" s="65" t="s">
        <v>1524</v>
      </c>
      <c r="I699" s="65" t="s">
        <v>64</v>
      </c>
      <c r="J699" s="65" t="s">
        <v>123</v>
      </c>
      <c r="K699" s="65" t="s">
        <v>73</v>
      </c>
      <c r="L699" s="65" t="s">
        <v>146</v>
      </c>
      <c r="M699" s="67">
        <v>870</v>
      </c>
      <c r="N699" s="65" t="s">
        <v>114</v>
      </c>
      <c r="O699" s="68">
        <v>596.65</v>
      </c>
      <c r="P699" s="68">
        <v>519085.5</v>
      </c>
      <c r="Q699" s="68">
        <v>33114.199999999997</v>
      </c>
      <c r="R699" s="62">
        <f t="shared" si="73"/>
        <v>6.3793344256389356E-2</v>
      </c>
      <c r="S699" s="67">
        <v>24</v>
      </c>
      <c r="T699" s="66">
        <v>45349</v>
      </c>
      <c r="U699" s="66">
        <v>45348</v>
      </c>
      <c r="V699" s="63">
        <f t="shared" si="74"/>
        <v>-1</v>
      </c>
      <c r="W699" s="65" t="s">
        <v>115</v>
      </c>
      <c r="X699" s="64" t="b">
        <f t="shared" si="75"/>
        <v>1</v>
      </c>
      <c r="Y699" s="67">
        <v>469</v>
      </c>
      <c r="Z699" s="67">
        <v>262</v>
      </c>
      <c r="AA699" s="65" t="s">
        <v>116</v>
      </c>
      <c r="AB699" s="64" t="b">
        <f t="shared" si="76"/>
        <v>0</v>
      </c>
    </row>
    <row r="700" spans="1:28" ht="15" customHeight="1" x14ac:dyDescent="0.3">
      <c r="A700" s="57" t="s">
        <v>1525</v>
      </c>
      <c r="B700" s="82">
        <v>45271</v>
      </c>
      <c r="C700" s="59">
        <f t="shared" si="70"/>
        <v>2023</v>
      </c>
      <c r="D700" s="59">
        <f t="shared" si="71"/>
        <v>12</v>
      </c>
      <c r="E700" s="59">
        <f t="shared" si="72"/>
        <v>50</v>
      </c>
      <c r="F700" s="57" t="s">
        <v>53</v>
      </c>
      <c r="G700" s="57" t="s">
        <v>41</v>
      </c>
      <c r="H700" s="57" t="s">
        <v>1526</v>
      </c>
      <c r="I700" s="57" t="s">
        <v>66</v>
      </c>
      <c r="J700" s="57" t="s">
        <v>131</v>
      </c>
      <c r="K700" s="57" t="s">
        <v>71</v>
      </c>
      <c r="L700" s="57" t="s">
        <v>146</v>
      </c>
      <c r="M700" s="60">
        <v>206</v>
      </c>
      <c r="N700" s="57" t="s">
        <v>136</v>
      </c>
      <c r="O700" s="61">
        <v>366.13</v>
      </c>
      <c r="P700" s="61">
        <v>75422.78</v>
      </c>
      <c r="Q700" s="61">
        <v>3368.08</v>
      </c>
      <c r="R700" s="62">
        <f t="shared" si="73"/>
        <v>4.4656004459130254E-2</v>
      </c>
      <c r="S700" s="60">
        <v>23</v>
      </c>
      <c r="T700" s="58">
        <v>45294</v>
      </c>
      <c r="U700" s="58">
        <v>45306</v>
      </c>
      <c r="V700" s="63">
        <f t="shared" si="74"/>
        <v>12</v>
      </c>
      <c r="W700" s="57" t="s">
        <v>128</v>
      </c>
      <c r="X700" s="64" t="b">
        <f t="shared" si="75"/>
        <v>0</v>
      </c>
      <c r="Y700" s="60">
        <v>422</v>
      </c>
      <c r="Z700" s="60">
        <v>270</v>
      </c>
      <c r="AA700" s="57" t="s">
        <v>116</v>
      </c>
      <c r="AB700" s="64" t="b">
        <f t="shared" si="76"/>
        <v>0</v>
      </c>
    </row>
    <row r="701" spans="1:28" ht="15" customHeight="1" x14ac:dyDescent="0.3">
      <c r="A701" s="65" t="s">
        <v>1527</v>
      </c>
      <c r="B701" s="81">
        <v>45611</v>
      </c>
      <c r="C701" s="59">
        <f t="shared" si="70"/>
        <v>2024</v>
      </c>
      <c r="D701" s="59">
        <f t="shared" si="71"/>
        <v>11</v>
      </c>
      <c r="E701" s="59">
        <f t="shared" si="72"/>
        <v>46</v>
      </c>
      <c r="F701" s="65" t="s">
        <v>60</v>
      </c>
      <c r="G701" s="65" t="s">
        <v>45</v>
      </c>
      <c r="H701" s="65" t="s">
        <v>1528</v>
      </c>
      <c r="I701" s="65" t="s">
        <v>68</v>
      </c>
      <c r="J701" s="65" t="s">
        <v>143</v>
      </c>
      <c r="K701" s="65" t="s">
        <v>73</v>
      </c>
      <c r="L701" s="65" t="s">
        <v>124</v>
      </c>
      <c r="M701" s="67">
        <v>594</v>
      </c>
      <c r="N701" s="65" t="s">
        <v>114</v>
      </c>
      <c r="O701" s="68">
        <v>192.19</v>
      </c>
      <c r="P701" s="68">
        <v>114160.86</v>
      </c>
      <c r="Q701" s="68">
        <v>6593.15</v>
      </c>
      <c r="R701" s="62">
        <f t="shared" si="73"/>
        <v>5.775315637951571E-2</v>
      </c>
      <c r="S701" s="67">
        <v>5</v>
      </c>
      <c r="T701" s="66">
        <v>45616</v>
      </c>
      <c r="U701" s="66">
        <v>45617</v>
      </c>
      <c r="V701" s="63">
        <f t="shared" si="74"/>
        <v>1</v>
      </c>
      <c r="W701" s="65" t="s">
        <v>128</v>
      </c>
      <c r="X701" s="64" t="b">
        <f t="shared" si="75"/>
        <v>0</v>
      </c>
      <c r="Y701" s="67">
        <v>32</v>
      </c>
      <c r="Z701" s="67">
        <v>37</v>
      </c>
      <c r="AA701" s="65" t="s">
        <v>84</v>
      </c>
      <c r="AB701" s="64" t="b">
        <f t="shared" si="76"/>
        <v>1</v>
      </c>
    </row>
    <row r="702" spans="1:28" ht="15" customHeight="1" x14ac:dyDescent="0.3">
      <c r="A702" s="57" t="s">
        <v>1529</v>
      </c>
      <c r="B702" s="82">
        <v>45622</v>
      </c>
      <c r="C702" s="59">
        <f t="shared" si="70"/>
        <v>2024</v>
      </c>
      <c r="D702" s="59">
        <f t="shared" si="71"/>
        <v>11</v>
      </c>
      <c r="E702" s="59">
        <f t="shared" si="72"/>
        <v>48</v>
      </c>
      <c r="F702" s="57" t="s">
        <v>52</v>
      </c>
      <c r="G702" s="57" t="s">
        <v>43</v>
      </c>
      <c r="H702" s="57" t="s">
        <v>1530</v>
      </c>
      <c r="I702" s="57" t="s">
        <v>66</v>
      </c>
      <c r="J702" s="57" t="s">
        <v>139</v>
      </c>
      <c r="K702" s="57" t="s">
        <v>73</v>
      </c>
      <c r="L702" s="57" t="s">
        <v>113</v>
      </c>
      <c r="M702" s="60">
        <v>580</v>
      </c>
      <c r="N702" s="57" t="s">
        <v>114</v>
      </c>
      <c r="O702" s="61">
        <v>214.97</v>
      </c>
      <c r="P702" s="61">
        <v>124682.6</v>
      </c>
      <c r="Q702" s="61">
        <v>7725.18</v>
      </c>
      <c r="R702" s="62">
        <f t="shared" si="73"/>
        <v>6.1958765697860005E-2</v>
      </c>
      <c r="S702" s="60">
        <v>12</v>
      </c>
      <c r="T702" s="58">
        <v>45634</v>
      </c>
      <c r="U702" s="58">
        <v>45642</v>
      </c>
      <c r="V702" s="63">
        <f t="shared" si="74"/>
        <v>8</v>
      </c>
      <c r="W702" s="57" t="s">
        <v>128</v>
      </c>
      <c r="X702" s="64" t="b">
        <f t="shared" si="75"/>
        <v>0</v>
      </c>
      <c r="Y702" s="60">
        <v>23</v>
      </c>
      <c r="Z702" s="60">
        <v>202</v>
      </c>
      <c r="AA702" s="57" t="s">
        <v>82</v>
      </c>
      <c r="AB702" s="64" t="b">
        <f t="shared" si="76"/>
        <v>1</v>
      </c>
    </row>
    <row r="703" spans="1:28" ht="15" customHeight="1" x14ac:dyDescent="0.3">
      <c r="A703" s="65" t="s">
        <v>1531</v>
      </c>
      <c r="B703" s="81">
        <v>45341</v>
      </c>
      <c r="C703" s="59">
        <f t="shared" si="70"/>
        <v>2024</v>
      </c>
      <c r="D703" s="59">
        <f t="shared" si="71"/>
        <v>2</v>
      </c>
      <c r="E703" s="59">
        <f t="shared" si="72"/>
        <v>8</v>
      </c>
      <c r="F703" s="65" t="s">
        <v>53</v>
      </c>
      <c r="G703" s="65" t="s">
        <v>39</v>
      </c>
      <c r="H703" s="65" t="s">
        <v>1532</v>
      </c>
      <c r="I703" s="65" t="s">
        <v>66</v>
      </c>
      <c r="J703" s="65" t="s">
        <v>112</v>
      </c>
      <c r="K703" s="65" t="s">
        <v>73</v>
      </c>
      <c r="L703" s="65" t="s">
        <v>113</v>
      </c>
      <c r="M703" s="67">
        <v>761</v>
      </c>
      <c r="N703" s="65" t="s">
        <v>120</v>
      </c>
      <c r="O703" s="68">
        <v>1227.55</v>
      </c>
      <c r="P703" s="68">
        <v>934165.55</v>
      </c>
      <c r="Q703" s="68">
        <v>58541.64</v>
      </c>
      <c r="R703" s="62">
        <f t="shared" si="73"/>
        <v>6.266730773790577E-2</v>
      </c>
      <c r="S703" s="67">
        <v>17</v>
      </c>
      <c r="T703" s="66">
        <v>45358</v>
      </c>
      <c r="U703" s="66">
        <v>45363</v>
      </c>
      <c r="V703" s="63">
        <f t="shared" si="74"/>
        <v>5</v>
      </c>
      <c r="W703" s="65" t="s">
        <v>125</v>
      </c>
      <c r="X703" s="64" t="b">
        <f t="shared" si="75"/>
        <v>0</v>
      </c>
      <c r="Y703" s="67">
        <v>60</v>
      </c>
      <c r="Z703" s="67">
        <v>223</v>
      </c>
      <c r="AA703" s="65" t="s">
        <v>116</v>
      </c>
      <c r="AB703" s="64" t="b">
        <f t="shared" si="76"/>
        <v>0</v>
      </c>
    </row>
    <row r="704" spans="1:28" ht="15" customHeight="1" x14ac:dyDescent="0.3">
      <c r="A704" s="57" t="s">
        <v>1533</v>
      </c>
      <c r="B704" s="82">
        <v>45096</v>
      </c>
      <c r="C704" s="59">
        <f t="shared" si="70"/>
        <v>2023</v>
      </c>
      <c r="D704" s="59">
        <f t="shared" si="71"/>
        <v>6</v>
      </c>
      <c r="E704" s="59">
        <f t="shared" si="72"/>
        <v>25</v>
      </c>
      <c r="F704" s="57" t="s">
        <v>56</v>
      </c>
      <c r="G704" s="57" t="s">
        <v>42</v>
      </c>
      <c r="H704" s="57" t="s">
        <v>1534</v>
      </c>
      <c r="I704" s="57" t="s">
        <v>64</v>
      </c>
      <c r="J704" s="57" t="s">
        <v>139</v>
      </c>
      <c r="K704" s="57" t="s">
        <v>75</v>
      </c>
      <c r="L704" s="57" t="s">
        <v>113</v>
      </c>
      <c r="M704" s="60">
        <v>523</v>
      </c>
      <c r="N704" s="57" t="s">
        <v>136</v>
      </c>
      <c r="O704" s="61">
        <v>119.02</v>
      </c>
      <c r="P704" s="61">
        <v>62247.46</v>
      </c>
      <c r="Q704" s="61">
        <v>1439.03</v>
      </c>
      <c r="R704" s="62">
        <f t="shared" si="73"/>
        <v>2.3117891075394883E-2</v>
      </c>
      <c r="S704" s="60">
        <v>23</v>
      </c>
      <c r="T704" s="58">
        <v>45119</v>
      </c>
      <c r="U704" s="58">
        <v>45122</v>
      </c>
      <c r="V704" s="63">
        <f t="shared" si="74"/>
        <v>3</v>
      </c>
      <c r="W704" s="57" t="s">
        <v>125</v>
      </c>
      <c r="X704" s="64" t="b">
        <f t="shared" si="75"/>
        <v>0</v>
      </c>
      <c r="Y704" s="60">
        <v>310</v>
      </c>
      <c r="Z704" s="60">
        <v>346</v>
      </c>
      <c r="AA704" s="57" t="s">
        <v>82</v>
      </c>
      <c r="AB704" s="64" t="b">
        <f t="shared" si="76"/>
        <v>1</v>
      </c>
    </row>
    <row r="705" spans="1:28" ht="15" customHeight="1" x14ac:dyDescent="0.3">
      <c r="A705" s="65" t="s">
        <v>1535</v>
      </c>
      <c r="B705" s="81">
        <v>45405</v>
      </c>
      <c r="C705" s="59">
        <f t="shared" si="70"/>
        <v>2024</v>
      </c>
      <c r="D705" s="59">
        <f t="shared" si="71"/>
        <v>4</v>
      </c>
      <c r="E705" s="59">
        <f t="shared" si="72"/>
        <v>17</v>
      </c>
      <c r="F705" s="65" t="s">
        <v>54</v>
      </c>
      <c r="G705" s="65" t="s">
        <v>43</v>
      </c>
      <c r="H705" s="65" t="s">
        <v>1536</v>
      </c>
      <c r="I705" s="65" t="s">
        <v>64</v>
      </c>
      <c r="J705" s="65" t="s">
        <v>151</v>
      </c>
      <c r="K705" s="65" t="s">
        <v>73</v>
      </c>
      <c r="L705" s="65" t="s">
        <v>124</v>
      </c>
      <c r="M705" s="67">
        <v>458</v>
      </c>
      <c r="N705" s="65" t="s">
        <v>136</v>
      </c>
      <c r="O705" s="68">
        <v>173.46</v>
      </c>
      <c r="P705" s="68">
        <v>79444.679999999993</v>
      </c>
      <c r="Q705" s="68">
        <v>5687.04</v>
      </c>
      <c r="R705" s="62">
        <f t="shared" si="73"/>
        <v>7.1584906629367756E-2</v>
      </c>
      <c r="S705" s="67">
        <v>13</v>
      </c>
      <c r="T705" s="66">
        <v>45418</v>
      </c>
      <c r="U705" s="66">
        <v>45421</v>
      </c>
      <c r="V705" s="63">
        <f t="shared" si="74"/>
        <v>3</v>
      </c>
      <c r="W705" s="65" t="s">
        <v>125</v>
      </c>
      <c r="X705" s="64" t="b">
        <f t="shared" si="75"/>
        <v>0</v>
      </c>
      <c r="Y705" s="67">
        <v>188</v>
      </c>
      <c r="Z705" s="67">
        <v>477</v>
      </c>
      <c r="AA705" s="65" t="s">
        <v>116</v>
      </c>
      <c r="AB705" s="64" t="b">
        <f t="shared" si="76"/>
        <v>0</v>
      </c>
    </row>
    <row r="706" spans="1:28" ht="15" customHeight="1" x14ac:dyDescent="0.3">
      <c r="A706" s="57" t="s">
        <v>1537</v>
      </c>
      <c r="B706" s="82">
        <v>45057</v>
      </c>
      <c r="C706" s="59">
        <f t="shared" ref="C706:C769" si="77">YEAR(B706)</f>
        <v>2023</v>
      </c>
      <c r="D706" s="59">
        <f t="shared" ref="D706:D769" si="78">MONTH(B706)</f>
        <v>5</v>
      </c>
      <c r="E706" s="59">
        <f t="shared" ref="E706:E769" si="79">WEEKNUM(B706,1)</f>
        <v>19</v>
      </c>
      <c r="F706" s="57" t="s">
        <v>60</v>
      </c>
      <c r="G706" s="57" t="s">
        <v>40</v>
      </c>
      <c r="H706" s="57" t="s">
        <v>1538</v>
      </c>
      <c r="I706" s="57" t="s">
        <v>66</v>
      </c>
      <c r="J706" s="57" t="s">
        <v>143</v>
      </c>
      <c r="K706" s="57" t="s">
        <v>74</v>
      </c>
      <c r="L706" s="57" t="s">
        <v>146</v>
      </c>
      <c r="M706" s="60">
        <v>369</v>
      </c>
      <c r="N706" s="57" t="s">
        <v>163</v>
      </c>
      <c r="O706" s="61">
        <v>643.42999999999995</v>
      </c>
      <c r="P706" s="61">
        <v>237425.67</v>
      </c>
      <c r="Q706" s="61">
        <v>11276.58</v>
      </c>
      <c r="R706" s="62">
        <f t="shared" ref="R706:R769" si="80">Q706/P706</f>
        <v>4.7495201340276301E-2</v>
      </c>
      <c r="S706" s="60">
        <v>23</v>
      </c>
      <c r="T706" s="58">
        <v>45080</v>
      </c>
      <c r="U706" s="58">
        <v>45083</v>
      </c>
      <c r="V706" s="63">
        <f t="shared" ref="V706:V769" si="81">U706-T706</f>
        <v>3</v>
      </c>
      <c r="W706" s="57" t="s">
        <v>125</v>
      </c>
      <c r="X706" s="64" t="b">
        <f t="shared" ref="X706:X769" si="82">IF(W706="Entregado", TRUE(), FALSE())</f>
        <v>0</v>
      </c>
      <c r="Y706" s="60">
        <v>83</v>
      </c>
      <c r="Z706" s="60">
        <v>51</v>
      </c>
      <c r="AA706" s="57" t="s">
        <v>116</v>
      </c>
      <c r="AB706" s="64" t="b">
        <f t="shared" ref="AB706:AB769" si="83">IF(AA706="Ninguna",FALSE(),TRUE())</f>
        <v>0</v>
      </c>
    </row>
    <row r="707" spans="1:28" ht="15" customHeight="1" x14ac:dyDescent="0.3">
      <c r="A707" s="65" t="s">
        <v>1539</v>
      </c>
      <c r="B707" s="81">
        <v>45564</v>
      </c>
      <c r="C707" s="59">
        <f t="shared" si="77"/>
        <v>2024</v>
      </c>
      <c r="D707" s="59">
        <f t="shared" si="78"/>
        <v>9</v>
      </c>
      <c r="E707" s="59">
        <f t="shared" si="79"/>
        <v>40</v>
      </c>
      <c r="F707" s="65" t="s">
        <v>59</v>
      </c>
      <c r="G707" s="65" t="s">
        <v>46</v>
      </c>
      <c r="H707" s="65" t="s">
        <v>1540</v>
      </c>
      <c r="I707" s="65" t="s">
        <v>68</v>
      </c>
      <c r="J707" s="65" t="s">
        <v>143</v>
      </c>
      <c r="K707" s="65" t="s">
        <v>72</v>
      </c>
      <c r="L707" s="65" t="s">
        <v>113</v>
      </c>
      <c r="M707" s="67">
        <v>709</v>
      </c>
      <c r="N707" s="65" t="s">
        <v>120</v>
      </c>
      <c r="O707" s="68">
        <v>51.77</v>
      </c>
      <c r="P707" s="68">
        <v>36704.93</v>
      </c>
      <c r="Q707" s="68">
        <v>1312.02</v>
      </c>
      <c r="R707" s="62">
        <f t="shared" si="80"/>
        <v>3.5745062039350024E-2</v>
      </c>
      <c r="S707" s="67">
        <v>25</v>
      </c>
      <c r="T707" s="66">
        <v>45589</v>
      </c>
      <c r="U707" s="66">
        <v>45586</v>
      </c>
      <c r="V707" s="63">
        <f t="shared" si="81"/>
        <v>-3</v>
      </c>
      <c r="W707" s="65" t="s">
        <v>115</v>
      </c>
      <c r="X707" s="64" t="b">
        <f t="shared" si="82"/>
        <v>1</v>
      </c>
      <c r="Y707" s="67">
        <v>224</v>
      </c>
      <c r="Z707" s="67">
        <v>80</v>
      </c>
      <c r="AA707" s="65" t="s">
        <v>82</v>
      </c>
      <c r="AB707" s="64" t="b">
        <f t="shared" si="83"/>
        <v>1</v>
      </c>
    </row>
    <row r="708" spans="1:28" ht="15" customHeight="1" x14ac:dyDescent="0.3">
      <c r="A708" s="57" t="s">
        <v>1541</v>
      </c>
      <c r="B708" s="82">
        <v>45473</v>
      </c>
      <c r="C708" s="59">
        <f t="shared" si="77"/>
        <v>2024</v>
      </c>
      <c r="D708" s="59">
        <f t="shared" si="78"/>
        <v>6</v>
      </c>
      <c r="E708" s="59">
        <f t="shared" si="79"/>
        <v>27</v>
      </c>
      <c r="F708" s="57" t="s">
        <v>59</v>
      </c>
      <c r="G708" s="57" t="s">
        <v>46</v>
      </c>
      <c r="H708" s="57" t="s">
        <v>1542</v>
      </c>
      <c r="I708" s="57" t="s">
        <v>65</v>
      </c>
      <c r="J708" s="57" t="s">
        <v>112</v>
      </c>
      <c r="K708" s="57" t="s">
        <v>75</v>
      </c>
      <c r="L708" s="57" t="s">
        <v>124</v>
      </c>
      <c r="M708" s="60">
        <v>828</v>
      </c>
      <c r="N708" s="57" t="s">
        <v>136</v>
      </c>
      <c r="O708" s="61">
        <v>78.91</v>
      </c>
      <c r="P708" s="61">
        <v>65337.48</v>
      </c>
      <c r="Q708" s="61">
        <v>2254.5300000000002</v>
      </c>
      <c r="R708" s="62">
        <f t="shared" si="80"/>
        <v>3.4505922175143582E-2</v>
      </c>
      <c r="S708" s="60">
        <v>3</v>
      </c>
      <c r="T708" s="58">
        <v>45476</v>
      </c>
      <c r="U708" s="58">
        <v>45475</v>
      </c>
      <c r="V708" s="63">
        <f t="shared" si="81"/>
        <v>-1</v>
      </c>
      <c r="W708" s="57" t="s">
        <v>115</v>
      </c>
      <c r="X708" s="64" t="b">
        <f t="shared" si="82"/>
        <v>1</v>
      </c>
      <c r="Y708" s="60">
        <v>478</v>
      </c>
      <c r="Z708" s="60">
        <v>355</v>
      </c>
      <c r="AA708" s="57" t="s">
        <v>81</v>
      </c>
      <c r="AB708" s="64" t="b">
        <f t="shared" si="83"/>
        <v>1</v>
      </c>
    </row>
    <row r="709" spans="1:28" ht="15" customHeight="1" x14ac:dyDescent="0.3">
      <c r="A709" s="65" t="s">
        <v>1543</v>
      </c>
      <c r="B709" s="81">
        <v>44954</v>
      </c>
      <c r="C709" s="59">
        <f t="shared" si="77"/>
        <v>2023</v>
      </c>
      <c r="D709" s="59">
        <f t="shared" si="78"/>
        <v>1</v>
      </c>
      <c r="E709" s="59">
        <f t="shared" si="79"/>
        <v>4</v>
      </c>
      <c r="F709" s="65" t="s">
        <v>61</v>
      </c>
      <c r="G709" s="65" t="s">
        <v>44</v>
      </c>
      <c r="H709" s="65" t="s">
        <v>1544</v>
      </c>
      <c r="I709" s="65" t="s">
        <v>69</v>
      </c>
      <c r="J709" s="65" t="s">
        <v>112</v>
      </c>
      <c r="K709" s="65" t="s">
        <v>74</v>
      </c>
      <c r="L709" s="65" t="s">
        <v>156</v>
      </c>
      <c r="M709" s="67">
        <v>39</v>
      </c>
      <c r="N709" s="65" t="s">
        <v>114</v>
      </c>
      <c r="O709" s="68">
        <v>124.85</v>
      </c>
      <c r="P709" s="68">
        <v>4869.1499999999996</v>
      </c>
      <c r="Q709" s="68">
        <v>238.5</v>
      </c>
      <c r="R709" s="62">
        <f t="shared" si="80"/>
        <v>4.8981855149256036E-2</v>
      </c>
      <c r="S709" s="67">
        <v>9</v>
      </c>
      <c r="T709" s="66">
        <v>44963</v>
      </c>
      <c r="U709" s="66">
        <v>44964</v>
      </c>
      <c r="V709" s="63">
        <f t="shared" si="81"/>
        <v>1</v>
      </c>
      <c r="W709" s="65" t="s">
        <v>125</v>
      </c>
      <c r="X709" s="64" t="b">
        <f t="shared" si="82"/>
        <v>0</v>
      </c>
      <c r="Y709" s="67">
        <v>167</v>
      </c>
      <c r="Z709" s="67">
        <v>210</v>
      </c>
      <c r="AA709" s="65" t="s">
        <v>116</v>
      </c>
      <c r="AB709" s="64" t="b">
        <f t="shared" si="83"/>
        <v>0</v>
      </c>
    </row>
    <row r="710" spans="1:28" ht="15" customHeight="1" x14ac:dyDescent="0.3">
      <c r="A710" s="57" t="s">
        <v>1545</v>
      </c>
      <c r="B710" s="82">
        <v>45330</v>
      </c>
      <c r="C710" s="59">
        <f t="shared" si="77"/>
        <v>2024</v>
      </c>
      <c r="D710" s="59">
        <f t="shared" si="78"/>
        <v>2</v>
      </c>
      <c r="E710" s="59">
        <f t="shared" si="79"/>
        <v>6</v>
      </c>
      <c r="F710" s="57" t="s">
        <v>58</v>
      </c>
      <c r="G710" s="57" t="s">
        <v>41</v>
      </c>
      <c r="H710" s="57" t="s">
        <v>1546</v>
      </c>
      <c r="I710" s="57" t="s">
        <v>64</v>
      </c>
      <c r="J710" s="57" t="s">
        <v>143</v>
      </c>
      <c r="K710" s="57" t="s">
        <v>74</v>
      </c>
      <c r="L710" s="57" t="s">
        <v>156</v>
      </c>
      <c r="M710" s="60">
        <v>788</v>
      </c>
      <c r="N710" s="57" t="s">
        <v>140</v>
      </c>
      <c r="O710" s="61">
        <v>576.16999999999996</v>
      </c>
      <c r="P710" s="61">
        <v>454021.96</v>
      </c>
      <c r="Q710" s="61">
        <v>33238.9</v>
      </c>
      <c r="R710" s="62">
        <f t="shared" si="80"/>
        <v>7.3209894957503824E-2</v>
      </c>
      <c r="S710" s="60">
        <v>17</v>
      </c>
      <c r="T710" s="58">
        <v>45347</v>
      </c>
      <c r="U710" s="58">
        <v>45347</v>
      </c>
      <c r="V710" s="63">
        <f t="shared" si="81"/>
        <v>0</v>
      </c>
      <c r="W710" s="57" t="s">
        <v>115</v>
      </c>
      <c r="X710" s="64" t="b">
        <f t="shared" si="82"/>
        <v>1</v>
      </c>
      <c r="Y710" s="60">
        <v>185</v>
      </c>
      <c r="Z710" s="60">
        <v>6</v>
      </c>
      <c r="AA710" s="57" t="s">
        <v>81</v>
      </c>
      <c r="AB710" s="64" t="b">
        <f t="shared" si="83"/>
        <v>1</v>
      </c>
    </row>
    <row r="711" spans="1:28" ht="15" customHeight="1" x14ac:dyDescent="0.3">
      <c r="A711" s="65" t="s">
        <v>1547</v>
      </c>
      <c r="B711" s="81">
        <v>45533</v>
      </c>
      <c r="C711" s="59">
        <f t="shared" si="77"/>
        <v>2024</v>
      </c>
      <c r="D711" s="59">
        <f t="shared" si="78"/>
        <v>8</v>
      </c>
      <c r="E711" s="59">
        <f t="shared" si="79"/>
        <v>35</v>
      </c>
      <c r="F711" s="65" t="s">
        <v>60</v>
      </c>
      <c r="G711" s="65" t="s">
        <v>45</v>
      </c>
      <c r="H711" s="65" t="s">
        <v>1548</v>
      </c>
      <c r="I711" s="65" t="s">
        <v>65</v>
      </c>
      <c r="J711" s="65" t="s">
        <v>151</v>
      </c>
      <c r="K711" s="65" t="s">
        <v>71</v>
      </c>
      <c r="L711" s="65" t="s">
        <v>135</v>
      </c>
      <c r="M711" s="67">
        <v>997</v>
      </c>
      <c r="N711" s="65" t="s">
        <v>140</v>
      </c>
      <c r="O711" s="68">
        <v>143.36000000000001</v>
      </c>
      <c r="P711" s="68">
        <v>142929.92000000001</v>
      </c>
      <c r="Q711" s="68">
        <v>6103.23</v>
      </c>
      <c r="R711" s="62">
        <f t="shared" si="80"/>
        <v>4.2700856475677021E-2</v>
      </c>
      <c r="S711" s="67">
        <v>17</v>
      </c>
      <c r="T711" s="66">
        <v>45550</v>
      </c>
      <c r="U711" s="66">
        <v>45547</v>
      </c>
      <c r="V711" s="63">
        <f t="shared" si="81"/>
        <v>-3</v>
      </c>
      <c r="W711" s="65" t="s">
        <v>115</v>
      </c>
      <c r="X711" s="64" t="b">
        <f t="shared" si="82"/>
        <v>1</v>
      </c>
      <c r="Y711" s="67">
        <v>374</v>
      </c>
      <c r="Z711" s="67">
        <v>362</v>
      </c>
      <c r="AA711" s="65" t="s">
        <v>116</v>
      </c>
      <c r="AB711" s="64" t="b">
        <f t="shared" si="83"/>
        <v>0</v>
      </c>
    </row>
    <row r="712" spans="1:28" ht="15" customHeight="1" x14ac:dyDescent="0.3">
      <c r="A712" s="57" t="s">
        <v>1549</v>
      </c>
      <c r="B712" s="82">
        <v>45504</v>
      </c>
      <c r="C712" s="59">
        <f t="shared" si="77"/>
        <v>2024</v>
      </c>
      <c r="D712" s="59">
        <f t="shared" si="78"/>
        <v>7</v>
      </c>
      <c r="E712" s="59">
        <f t="shared" si="79"/>
        <v>31</v>
      </c>
      <c r="F712" s="57" t="s">
        <v>52</v>
      </c>
      <c r="G712" s="57" t="s">
        <v>46</v>
      </c>
      <c r="H712" s="57" t="s">
        <v>1550</v>
      </c>
      <c r="I712" s="57" t="s">
        <v>64</v>
      </c>
      <c r="J712" s="57" t="s">
        <v>112</v>
      </c>
      <c r="K712" s="57" t="s">
        <v>71</v>
      </c>
      <c r="L712" s="57" t="s">
        <v>156</v>
      </c>
      <c r="M712" s="60">
        <v>117</v>
      </c>
      <c r="N712" s="57" t="s">
        <v>120</v>
      </c>
      <c r="O712" s="61">
        <v>43.65</v>
      </c>
      <c r="P712" s="61">
        <v>5107.05</v>
      </c>
      <c r="Q712" s="61">
        <v>331.87</v>
      </c>
      <c r="R712" s="62">
        <f t="shared" si="80"/>
        <v>6.4982719965537838E-2</v>
      </c>
      <c r="S712" s="60">
        <v>20</v>
      </c>
      <c r="T712" s="58">
        <v>45524</v>
      </c>
      <c r="U712" s="58">
        <v>45523</v>
      </c>
      <c r="V712" s="63">
        <f t="shared" si="81"/>
        <v>-1</v>
      </c>
      <c r="W712" s="57" t="s">
        <v>115</v>
      </c>
      <c r="X712" s="64" t="b">
        <f t="shared" si="82"/>
        <v>1</v>
      </c>
      <c r="Y712" s="60">
        <v>71</v>
      </c>
      <c r="Z712" s="60">
        <v>44</v>
      </c>
      <c r="AA712" s="57" t="s">
        <v>116</v>
      </c>
      <c r="AB712" s="64" t="b">
        <f t="shared" si="83"/>
        <v>0</v>
      </c>
    </row>
    <row r="713" spans="1:28" ht="15" customHeight="1" x14ac:dyDescent="0.3">
      <c r="A713" s="65" t="s">
        <v>1551</v>
      </c>
      <c r="B713" s="81">
        <v>45605</v>
      </c>
      <c r="C713" s="59">
        <f t="shared" si="77"/>
        <v>2024</v>
      </c>
      <c r="D713" s="59">
        <f t="shared" si="78"/>
        <v>11</v>
      </c>
      <c r="E713" s="59">
        <f t="shared" si="79"/>
        <v>45</v>
      </c>
      <c r="F713" s="65" t="s">
        <v>54</v>
      </c>
      <c r="G713" s="65" t="s">
        <v>43</v>
      </c>
      <c r="H713" s="65" t="s">
        <v>1552</v>
      </c>
      <c r="I713" s="65" t="s">
        <v>66</v>
      </c>
      <c r="J713" s="65" t="s">
        <v>131</v>
      </c>
      <c r="K713" s="65" t="s">
        <v>74</v>
      </c>
      <c r="L713" s="65" t="s">
        <v>119</v>
      </c>
      <c r="M713" s="67">
        <v>853</v>
      </c>
      <c r="N713" s="65" t="s">
        <v>163</v>
      </c>
      <c r="O713" s="68">
        <v>211.33</v>
      </c>
      <c r="P713" s="68">
        <v>180264.49</v>
      </c>
      <c r="Q713" s="68">
        <v>4652.47</v>
      </c>
      <c r="R713" s="62">
        <f t="shared" si="80"/>
        <v>2.5809131903904093E-2</v>
      </c>
      <c r="S713" s="67">
        <v>16</v>
      </c>
      <c r="T713" s="66">
        <v>45621</v>
      </c>
      <c r="U713" s="66">
        <v>45626</v>
      </c>
      <c r="V713" s="63">
        <f t="shared" si="81"/>
        <v>5</v>
      </c>
      <c r="W713" s="65" t="s">
        <v>125</v>
      </c>
      <c r="X713" s="64" t="b">
        <f t="shared" si="82"/>
        <v>0</v>
      </c>
      <c r="Y713" s="67">
        <v>73</v>
      </c>
      <c r="Z713" s="67">
        <v>314</v>
      </c>
      <c r="AA713" s="65" t="s">
        <v>116</v>
      </c>
      <c r="AB713" s="64" t="b">
        <f t="shared" si="83"/>
        <v>0</v>
      </c>
    </row>
    <row r="714" spans="1:28" ht="15" customHeight="1" x14ac:dyDescent="0.3">
      <c r="A714" s="57" t="s">
        <v>1553</v>
      </c>
      <c r="B714" s="82">
        <v>44954</v>
      </c>
      <c r="C714" s="59">
        <f t="shared" si="77"/>
        <v>2023</v>
      </c>
      <c r="D714" s="59">
        <f t="shared" si="78"/>
        <v>1</v>
      </c>
      <c r="E714" s="59">
        <f t="shared" si="79"/>
        <v>4</v>
      </c>
      <c r="F714" s="57" t="s">
        <v>57</v>
      </c>
      <c r="G714" s="57" t="s">
        <v>46</v>
      </c>
      <c r="H714" s="57" t="s">
        <v>1554</v>
      </c>
      <c r="I714" s="57" t="s">
        <v>65</v>
      </c>
      <c r="J714" s="57" t="s">
        <v>143</v>
      </c>
      <c r="K714" s="57" t="s">
        <v>71</v>
      </c>
      <c r="L714" s="57" t="s">
        <v>135</v>
      </c>
      <c r="M714" s="60">
        <v>944</v>
      </c>
      <c r="N714" s="57" t="s">
        <v>163</v>
      </c>
      <c r="O714" s="61">
        <v>81.2</v>
      </c>
      <c r="P714" s="61">
        <v>76652.800000000003</v>
      </c>
      <c r="Q714" s="61">
        <v>3722.52</v>
      </c>
      <c r="R714" s="62">
        <f t="shared" si="80"/>
        <v>4.856339233530934E-2</v>
      </c>
      <c r="S714" s="60">
        <v>25</v>
      </c>
      <c r="T714" s="58">
        <v>44979</v>
      </c>
      <c r="U714" s="58">
        <v>44979</v>
      </c>
      <c r="V714" s="63">
        <f t="shared" si="81"/>
        <v>0</v>
      </c>
      <c r="W714" s="57" t="s">
        <v>115</v>
      </c>
      <c r="X714" s="64" t="b">
        <f t="shared" si="82"/>
        <v>1</v>
      </c>
      <c r="Y714" s="60">
        <v>384</v>
      </c>
      <c r="Z714" s="60">
        <v>377</v>
      </c>
      <c r="AA714" s="57" t="s">
        <v>116</v>
      </c>
      <c r="AB714" s="64" t="b">
        <f t="shared" si="83"/>
        <v>0</v>
      </c>
    </row>
    <row r="715" spans="1:28" ht="15" customHeight="1" x14ac:dyDescent="0.3">
      <c r="A715" s="65" t="s">
        <v>1555</v>
      </c>
      <c r="B715" s="81">
        <v>45012</v>
      </c>
      <c r="C715" s="59">
        <f t="shared" si="77"/>
        <v>2023</v>
      </c>
      <c r="D715" s="59">
        <f t="shared" si="78"/>
        <v>3</v>
      </c>
      <c r="E715" s="59">
        <f t="shared" si="79"/>
        <v>13</v>
      </c>
      <c r="F715" s="65" t="s">
        <v>52</v>
      </c>
      <c r="G715" s="65" t="s">
        <v>45</v>
      </c>
      <c r="H715" s="65" t="s">
        <v>1556</v>
      </c>
      <c r="I715" s="65" t="s">
        <v>68</v>
      </c>
      <c r="J715" s="65" t="s">
        <v>139</v>
      </c>
      <c r="K715" s="65" t="s">
        <v>72</v>
      </c>
      <c r="L715" s="65" t="s">
        <v>156</v>
      </c>
      <c r="M715" s="67">
        <v>611</v>
      </c>
      <c r="N715" s="65" t="s">
        <v>136</v>
      </c>
      <c r="O715" s="68">
        <v>281.64</v>
      </c>
      <c r="P715" s="68">
        <v>172082.04</v>
      </c>
      <c r="Q715" s="68">
        <v>13680.72</v>
      </c>
      <c r="R715" s="62">
        <f t="shared" si="80"/>
        <v>7.9501149567961879E-2</v>
      </c>
      <c r="S715" s="67">
        <v>22</v>
      </c>
      <c r="T715" s="66">
        <v>45034</v>
      </c>
      <c r="U715" s="66">
        <v>45035</v>
      </c>
      <c r="V715" s="63">
        <f t="shared" si="81"/>
        <v>1</v>
      </c>
      <c r="W715" s="65" t="s">
        <v>125</v>
      </c>
      <c r="X715" s="64" t="b">
        <f t="shared" si="82"/>
        <v>0</v>
      </c>
      <c r="Y715" s="67">
        <v>340</v>
      </c>
      <c r="Z715" s="67">
        <v>276</v>
      </c>
      <c r="AA715" s="65" t="s">
        <v>116</v>
      </c>
      <c r="AB715" s="64" t="b">
        <f t="shared" si="83"/>
        <v>0</v>
      </c>
    </row>
    <row r="716" spans="1:28" ht="15" customHeight="1" x14ac:dyDescent="0.3">
      <c r="A716" s="57" t="s">
        <v>1557</v>
      </c>
      <c r="B716" s="82">
        <v>45585</v>
      </c>
      <c r="C716" s="59">
        <f t="shared" si="77"/>
        <v>2024</v>
      </c>
      <c r="D716" s="59">
        <f t="shared" si="78"/>
        <v>10</v>
      </c>
      <c r="E716" s="59">
        <f t="shared" si="79"/>
        <v>43</v>
      </c>
      <c r="F716" s="57" t="s">
        <v>59</v>
      </c>
      <c r="G716" s="57" t="s">
        <v>45</v>
      </c>
      <c r="H716" s="57" t="s">
        <v>1558</v>
      </c>
      <c r="I716" s="57" t="s">
        <v>68</v>
      </c>
      <c r="J716" s="57" t="s">
        <v>139</v>
      </c>
      <c r="K716" s="57" t="s">
        <v>72</v>
      </c>
      <c r="L716" s="57" t="s">
        <v>119</v>
      </c>
      <c r="M716" s="60">
        <v>726</v>
      </c>
      <c r="N716" s="57" t="s">
        <v>120</v>
      </c>
      <c r="O716" s="61">
        <v>153.87</v>
      </c>
      <c r="P716" s="61">
        <v>111709.62</v>
      </c>
      <c r="Q716" s="61">
        <v>7398.11</v>
      </c>
      <c r="R716" s="62">
        <f t="shared" si="80"/>
        <v>6.6226256968737338E-2</v>
      </c>
      <c r="S716" s="60">
        <v>13</v>
      </c>
      <c r="T716" s="58">
        <v>45598</v>
      </c>
      <c r="U716" s="58">
        <v>45601</v>
      </c>
      <c r="V716" s="63">
        <f t="shared" si="81"/>
        <v>3</v>
      </c>
      <c r="W716" s="57" t="s">
        <v>125</v>
      </c>
      <c r="X716" s="64" t="b">
        <f t="shared" si="82"/>
        <v>0</v>
      </c>
      <c r="Y716" s="60">
        <v>152</v>
      </c>
      <c r="Z716" s="60">
        <v>411</v>
      </c>
      <c r="AA716" s="57" t="s">
        <v>116</v>
      </c>
      <c r="AB716" s="64" t="b">
        <f t="shared" si="83"/>
        <v>0</v>
      </c>
    </row>
    <row r="717" spans="1:28" ht="15" customHeight="1" x14ac:dyDescent="0.3">
      <c r="A717" s="65" t="s">
        <v>1559</v>
      </c>
      <c r="B717" s="81">
        <v>45365</v>
      </c>
      <c r="C717" s="59">
        <f t="shared" si="77"/>
        <v>2024</v>
      </c>
      <c r="D717" s="59">
        <f t="shared" si="78"/>
        <v>3</v>
      </c>
      <c r="E717" s="59">
        <f t="shared" si="79"/>
        <v>11</v>
      </c>
      <c r="F717" s="65" t="s">
        <v>56</v>
      </c>
      <c r="G717" s="65" t="s">
        <v>45</v>
      </c>
      <c r="H717" s="65" t="s">
        <v>1560</v>
      </c>
      <c r="I717" s="65" t="s">
        <v>67</v>
      </c>
      <c r="J717" s="65" t="s">
        <v>151</v>
      </c>
      <c r="K717" s="65" t="s">
        <v>71</v>
      </c>
      <c r="L717" s="65" t="s">
        <v>156</v>
      </c>
      <c r="M717" s="67">
        <v>900</v>
      </c>
      <c r="N717" s="65" t="s">
        <v>140</v>
      </c>
      <c r="O717" s="68">
        <v>226.14</v>
      </c>
      <c r="P717" s="68">
        <v>203526</v>
      </c>
      <c r="Q717" s="68">
        <v>6641.4</v>
      </c>
      <c r="R717" s="62">
        <f t="shared" si="80"/>
        <v>3.2631703074791428E-2</v>
      </c>
      <c r="S717" s="67">
        <v>27</v>
      </c>
      <c r="T717" s="66">
        <v>45392</v>
      </c>
      <c r="U717" s="66">
        <v>45387</v>
      </c>
      <c r="V717" s="63">
        <f t="shared" si="81"/>
        <v>-5</v>
      </c>
      <c r="W717" s="65" t="s">
        <v>115</v>
      </c>
      <c r="X717" s="64" t="b">
        <f t="shared" si="82"/>
        <v>1</v>
      </c>
      <c r="Y717" s="67">
        <v>95</v>
      </c>
      <c r="Z717" s="67">
        <v>258</v>
      </c>
      <c r="AA717" s="65" t="s">
        <v>81</v>
      </c>
      <c r="AB717" s="64" t="b">
        <f t="shared" si="83"/>
        <v>1</v>
      </c>
    </row>
    <row r="718" spans="1:28" ht="15" customHeight="1" x14ac:dyDescent="0.3">
      <c r="A718" s="57" t="s">
        <v>1561</v>
      </c>
      <c r="B718" s="82">
        <v>45065</v>
      </c>
      <c r="C718" s="59">
        <f t="shared" si="77"/>
        <v>2023</v>
      </c>
      <c r="D718" s="59">
        <f t="shared" si="78"/>
        <v>5</v>
      </c>
      <c r="E718" s="59">
        <f t="shared" si="79"/>
        <v>20</v>
      </c>
      <c r="F718" s="57" t="s">
        <v>52</v>
      </c>
      <c r="G718" s="57" t="s">
        <v>43</v>
      </c>
      <c r="H718" s="57" t="s">
        <v>1562</v>
      </c>
      <c r="I718" s="57" t="s">
        <v>69</v>
      </c>
      <c r="J718" s="57" t="s">
        <v>131</v>
      </c>
      <c r="K718" s="57" t="s">
        <v>73</v>
      </c>
      <c r="L718" s="57" t="s">
        <v>124</v>
      </c>
      <c r="M718" s="60">
        <v>977</v>
      </c>
      <c r="N718" s="57" t="s">
        <v>114</v>
      </c>
      <c r="O718" s="61">
        <v>286.12</v>
      </c>
      <c r="P718" s="61">
        <v>279539.24</v>
      </c>
      <c r="Q718" s="61">
        <v>14001.14</v>
      </c>
      <c r="R718" s="62">
        <f t="shared" si="80"/>
        <v>5.0086492329305898E-2</v>
      </c>
      <c r="S718" s="60">
        <v>19</v>
      </c>
      <c r="T718" s="58">
        <v>45084</v>
      </c>
      <c r="U718" s="58">
        <v>45092</v>
      </c>
      <c r="V718" s="63">
        <f t="shared" si="81"/>
        <v>8</v>
      </c>
      <c r="W718" s="57" t="s">
        <v>128</v>
      </c>
      <c r="X718" s="64" t="b">
        <f t="shared" si="82"/>
        <v>0</v>
      </c>
      <c r="Y718" s="60">
        <v>52</v>
      </c>
      <c r="Z718" s="60">
        <v>141</v>
      </c>
      <c r="AA718" s="57" t="s">
        <v>84</v>
      </c>
      <c r="AB718" s="64" t="b">
        <f t="shared" si="83"/>
        <v>1</v>
      </c>
    </row>
    <row r="719" spans="1:28" ht="15" customHeight="1" x14ac:dyDescent="0.3">
      <c r="A719" s="65" t="s">
        <v>1563</v>
      </c>
      <c r="B719" s="81">
        <v>45399</v>
      </c>
      <c r="C719" s="59">
        <f t="shared" si="77"/>
        <v>2024</v>
      </c>
      <c r="D719" s="59">
        <f t="shared" si="78"/>
        <v>4</v>
      </c>
      <c r="E719" s="59">
        <f t="shared" si="79"/>
        <v>16</v>
      </c>
      <c r="F719" s="65" t="s">
        <v>55</v>
      </c>
      <c r="G719" s="65" t="s">
        <v>42</v>
      </c>
      <c r="H719" s="65" t="s">
        <v>1564</v>
      </c>
      <c r="I719" s="65" t="s">
        <v>69</v>
      </c>
      <c r="J719" s="65" t="s">
        <v>112</v>
      </c>
      <c r="K719" s="65" t="s">
        <v>74</v>
      </c>
      <c r="L719" s="65" t="s">
        <v>119</v>
      </c>
      <c r="M719" s="67">
        <v>968</v>
      </c>
      <c r="N719" s="65" t="s">
        <v>136</v>
      </c>
      <c r="O719" s="68">
        <v>80.83</v>
      </c>
      <c r="P719" s="68">
        <v>78243.44</v>
      </c>
      <c r="Q719" s="68">
        <v>2661.65</v>
      </c>
      <c r="R719" s="62">
        <f t="shared" si="80"/>
        <v>3.4017548308203222E-2</v>
      </c>
      <c r="S719" s="67">
        <v>17</v>
      </c>
      <c r="T719" s="66">
        <v>45416</v>
      </c>
      <c r="U719" s="66">
        <v>45417</v>
      </c>
      <c r="V719" s="63">
        <f t="shared" si="81"/>
        <v>1</v>
      </c>
      <c r="W719" s="65" t="s">
        <v>128</v>
      </c>
      <c r="X719" s="64" t="b">
        <f t="shared" si="82"/>
        <v>0</v>
      </c>
      <c r="Y719" s="67">
        <v>444</v>
      </c>
      <c r="Z719" s="67">
        <v>257</v>
      </c>
      <c r="AA719" s="65" t="s">
        <v>116</v>
      </c>
      <c r="AB719" s="64" t="b">
        <f t="shared" si="83"/>
        <v>0</v>
      </c>
    </row>
    <row r="720" spans="1:28" ht="15" customHeight="1" x14ac:dyDescent="0.3">
      <c r="A720" s="57" t="s">
        <v>1565</v>
      </c>
      <c r="B720" s="82">
        <v>45113</v>
      </c>
      <c r="C720" s="59">
        <f t="shared" si="77"/>
        <v>2023</v>
      </c>
      <c r="D720" s="59">
        <f t="shared" si="78"/>
        <v>7</v>
      </c>
      <c r="E720" s="59">
        <f t="shared" si="79"/>
        <v>27</v>
      </c>
      <c r="F720" s="57" t="s">
        <v>59</v>
      </c>
      <c r="G720" s="57" t="s">
        <v>44</v>
      </c>
      <c r="H720" s="57" t="s">
        <v>1566</v>
      </c>
      <c r="I720" s="57" t="s">
        <v>64</v>
      </c>
      <c r="J720" s="57" t="s">
        <v>143</v>
      </c>
      <c r="K720" s="57" t="s">
        <v>72</v>
      </c>
      <c r="L720" s="57" t="s">
        <v>113</v>
      </c>
      <c r="M720" s="60">
        <v>969</v>
      </c>
      <c r="N720" s="57" t="s">
        <v>114</v>
      </c>
      <c r="O720" s="61">
        <v>163.63999999999999</v>
      </c>
      <c r="P720" s="61">
        <v>158567.16</v>
      </c>
      <c r="Q720" s="61">
        <v>7067.92</v>
      </c>
      <c r="R720" s="62">
        <f t="shared" si="80"/>
        <v>4.4573668343432522E-2</v>
      </c>
      <c r="S720" s="60">
        <v>4</v>
      </c>
      <c r="T720" s="58">
        <v>45117</v>
      </c>
      <c r="U720" s="58">
        <v>45119</v>
      </c>
      <c r="V720" s="63">
        <f t="shared" si="81"/>
        <v>2</v>
      </c>
      <c r="W720" s="57" t="s">
        <v>128</v>
      </c>
      <c r="X720" s="64" t="b">
        <f t="shared" si="82"/>
        <v>0</v>
      </c>
      <c r="Y720" s="60">
        <v>173</v>
      </c>
      <c r="Z720" s="60">
        <v>284</v>
      </c>
      <c r="AA720" s="57" t="s">
        <v>116</v>
      </c>
      <c r="AB720" s="64" t="b">
        <f t="shared" si="83"/>
        <v>0</v>
      </c>
    </row>
    <row r="721" spans="1:28" ht="15" customHeight="1" x14ac:dyDescent="0.3">
      <c r="A721" s="65" t="s">
        <v>1567</v>
      </c>
      <c r="B721" s="81">
        <v>44978</v>
      </c>
      <c r="C721" s="59">
        <f t="shared" si="77"/>
        <v>2023</v>
      </c>
      <c r="D721" s="59">
        <f t="shared" si="78"/>
        <v>2</v>
      </c>
      <c r="E721" s="59">
        <f t="shared" si="79"/>
        <v>8</v>
      </c>
      <c r="F721" s="65" t="s">
        <v>60</v>
      </c>
      <c r="G721" s="65" t="s">
        <v>41</v>
      </c>
      <c r="H721" s="65" t="s">
        <v>1568</v>
      </c>
      <c r="I721" s="65" t="s">
        <v>69</v>
      </c>
      <c r="J721" s="65" t="s">
        <v>139</v>
      </c>
      <c r="K721" s="65" t="s">
        <v>71</v>
      </c>
      <c r="L721" s="65" t="s">
        <v>124</v>
      </c>
      <c r="M721" s="67">
        <v>454</v>
      </c>
      <c r="N721" s="65" t="s">
        <v>136</v>
      </c>
      <c r="O721" s="68">
        <v>403.48</v>
      </c>
      <c r="P721" s="68">
        <v>183179.92</v>
      </c>
      <c r="Q721" s="68">
        <v>12237.34</v>
      </c>
      <c r="R721" s="62">
        <f t="shared" si="80"/>
        <v>6.6805029721598297E-2</v>
      </c>
      <c r="S721" s="67">
        <v>12</v>
      </c>
      <c r="T721" s="66">
        <v>44990</v>
      </c>
      <c r="U721" s="66">
        <v>45002</v>
      </c>
      <c r="V721" s="63">
        <f t="shared" si="81"/>
        <v>12</v>
      </c>
      <c r="W721" s="65" t="s">
        <v>128</v>
      </c>
      <c r="X721" s="64" t="b">
        <f t="shared" si="82"/>
        <v>0</v>
      </c>
      <c r="Y721" s="67">
        <v>109</v>
      </c>
      <c r="Z721" s="67">
        <v>401</v>
      </c>
      <c r="AA721" s="65" t="s">
        <v>116</v>
      </c>
      <c r="AB721" s="64" t="b">
        <f t="shared" si="83"/>
        <v>0</v>
      </c>
    </row>
    <row r="722" spans="1:28" ht="15" customHeight="1" x14ac:dyDescent="0.3">
      <c r="A722" s="57" t="s">
        <v>1569</v>
      </c>
      <c r="B722" s="82">
        <v>45193</v>
      </c>
      <c r="C722" s="59">
        <f t="shared" si="77"/>
        <v>2023</v>
      </c>
      <c r="D722" s="59">
        <f t="shared" si="78"/>
        <v>9</v>
      </c>
      <c r="E722" s="59">
        <f t="shared" si="79"/>
        <v>39</v>
      </c>
      <c r="F722" s="57" t="s">
        <v>56</v>
      </c>
      <c r="G722" s="57" t="s">
        <v>46</v>
      </c>
      <c r="H722" s="57" t="s">
        <v>1570</v>
      </c>
      <c r="I722" s="57" t="s">
        <v>67</v>
      </c>
      <c r="J722" s="57" t="s">
        <v>139</v>
      </c>
      <c r="K722" s="57" t="s">
        <v>71</v>
      </c>
      <c r="L722" s="57" t="s">
        <v>119</v>
      </c>
      <c r="M722" s="60">
        <v>902</v>
      </c>
      <c r="N722" s="57" t="s">
        <v>132</v>
      </c>
      <c r="O722" s="61">
        <v>86.9</v>
      </c>
      <c r="P722" s="61">
        <v>78383.8</v>
      </c>
      <c r="Q722" s="61">
        <v>5194.7700000000004</v>
      </c>
      <c r="R722" s="62">
        <f t="shared" si="80"/>
        <v>6.6273515700948415E-2</v>
      </c>
      <c r="S722" s="60">
        <v>29</v>
      </c>
      <c r="T722" s="58">
        <v>45222</v>
      </c>
      <c r="U722" s="58">
        <v>45221</v>
      </c>
      <c r="V722" s="63">
        <f t="shared" si="81"/>
        <v>-1</v>
      </c>
      <c r="W722" s="57" t="s">
        <v>115</v>
      </c>
      <c r="X722" s="64" t="b">
        <f t="shared" si="82"/>
        <v>1</v>
      </c>
      <c r="Y722" s="60">
        <v>457</v>
      </c>
      <c r="Z722" s="60">
        <v>36</v>
      </c>
      <c r="AA722" s="57" t="s">
        <v>116</v>
      </c>
      <c r="AB722" s="64" t="b">
        <f t="shared" si="83"/>
        <v>0</v>
      </c>
    </row>
    <row r="723" spans="1:28" ht="15" customHeight="1" x14ac:dyDescent="0.3">
      <c r="A723" s="65" t="s">
        <v>1571</v>
      </c>
      <c r="B723" s="81">
        <v>45315</v>
      </c>
      <c r="C723" s="59">
        <f t="shared" si="77"/>
        <v>2024</v>
      </c>
      <c r="D723" s="59">
        <f t="shared" si="78"/>
        <v>1</v>
      </c>
      <c r="E723" s="59">
        <f t="shared" si="79"/>
        <v>4</v>
      </c>
      <c r="F723" s="65" t="s">
        <v>55</v>
      </c>
      <c r="G723" s="65" t="s">
        <v>43</v>
      </c>
      <c r="H723" s="65" t="s">
        <v>1572</v>
      </c>
      <c r="I723" s="65" t="s">
        <v>68</v>
      </c>
      <c r="J723" s="65" t="s">
        <v>139</v>
      </c>
      <c r="K723" s="65" t="s">
        <v>72</v>
      </c>
      <c r="L723" s="65" t="s">
        <v>124</v>
      </c>
      <c r="M723" s="67">
        <v>447</v>
      </c>
      <c r="N723" s="65" t="s">
        <v>114</v>
      </c>
      <c r="O723" s="68">
        <v>260.23</v>
      </c>
      <c r="P723" s="68">
        <v>116322.81</v>
      </c>
      <c r="Q723" s="68">
        <v>3918.45</v>
      </c>
      <c r="R723" s="62">
        <f t="shared" si="80"/>
        <v>3.3685998472698521E-2</v>
      </c>
      <c r="S723" s="67">
        <v>9</v>
      </c>
      <c r="T723" s="66">
        <v>45324</v>
      </c>
      <c r="U723" s="66">
        <v>45324</v>
      </c>
      <c r="V723" s="63">
        <f t="shared" si="81"/>
        <v>0</v>
      </c>
      <c r="W723" s="65" t="s">
        <v>115</v>
      </c>
      <c r="X723" s="64" t="b">
        <f t="shared" si="82"/>
        <v>1</v>
      </c>
      <c r="Y723" s="67">
        <v>315</v>
      </c>
      <c r="Z723" s="67">
        <v>428</v>
      </c>
      <c r="AA723" s="65" t="s">
        <v>83</v>
      </c>
      <c r="AB723" s="64" t="b">
        <f t="shared" si="83"/>
        <v>1</v>
      </c>
    </row>
    <row r="724" spans="1:28" ht="15" customHeight="1" x14ac:dyDescent="0.3">
      <c r="A724" s="57" t="s">
        <v>1573</v>
      </c>
      <c r="B724" s="82">
        <v>45262</v>
      </c>
      <c r="C724" s="59">
        <f t="shared" si="77"/>
        <v>2023</v>
      </c>
      <c r="D724" s="59">
        <f t="shared" si="78"/>
        <v>12</v>
      </c>
      <c r="E724" s="59">
        <f t="shared" si="79"/>
        <v>48</v>
      </c>
      <c r="F724" s="57" t="s">
        <v>53</v>
      </c>
      <c r="G724" s="57" t="s">
        <v>39</v>
      </c>
      <c r="H724" s="57" t="s">
        <v>1574</v>
      </c>
      <c r="I724" s="57" t="s">
        <v>65</v>
      </c>
      <c r="J724" s="57" t="s">
        <v>139</v>
      </c>
      <c r="K724" s="57" t="s">
        <v>72</v>
      </c>
      <c r="L724" s="57" t="s">
        <v>113</v>
      </c>
      <c r="M724" s="60">
        <v>741</v>
      </c>
      <c r="N724" s="57" t="s">
        <v>120</v>
      </c>
      <c r="O724" s="61">
        <v>2179.6</v>
      </c>
      <c r="P724" s="61">
        <v>1615083.6</v>
      </c>
      <c r="Q724" s="61">
        <v>96548.6302</v>
      </c>
      <c r="R724" s="62">
        <f t="shared" si="80"/>
        <v>5.9779339100465137E-2</v>
      </c>
      <c r="S724" s="60">
        <v>19</v>
      </c>
      <c r="T724" s="58">
        <v>45281</v>
      </c>
      <c r="U724" s="58">
        <v>45286</v>
      </c>
      <c r="V724" s="63">
        <f t="shared" si="81"/>
        <v>5</v>
      </c>
      <c r="W724" s="57" t="s">
        <v>125</v>
      </c>
      <c r="X724" s="64" t="b">
        <f t="shared" si="82"/>
        <v>0</v>
      </c>
      <c r="Y724" s="60">
        <v>50</v>
      </c>
      <c r="Z724" s="60">
        <v>44</v>
      </c>
      <c r="AA724" s="57" t="s">
        <v>82</v>
      </c>
      <c r="AB724" s="64" t="b">
        <f t="shared" si="83"/>
        <v>1</v>
      </c>
    </row>
    <row r="725" spans="1:28" ht="15" customHeight="1" x14ac:dyDescent="0.3">
      <c r="A725" s="65" t="s">
        <v>1575</v>
      </c>
      <c r="B725" s="81">
        <v>45143</v>
      </c>
      <c r="C725" s="59">
        <f t="shared" si="77"/>
        <v>2023</v>
      </c>
      <c r="D725" s="59">
        <f t="shared" si="78"/>
        <v>8</v>
      </c>
      <c r="E725" s="59">
        <f t="shared" si="79"/>
        <v>31</v>
      </c>
      <c r="F725" s="65" t="s">
        <v>54</v>
      </c>
      <c r="G725" s="65" t="s">
        <v>41</v>
      </c>
      <c r="H725" s="65" t="s">
        <v>1576</v>
      </c>
      <c r="I725" s="65" t="s">
        <v>65</v>
      </c>
      <c r="J725" s="65" t="s">
        <v>123</v>
      </c>
      <c r="K725" s="65" t="s">
        <v>73</v>
      </c>
      <c r="L725" s="65" t="s">
        <v>119</v>
      </c>
      <c r="M725" s="67">
        <v>899</v>
      </c>
      <c r="N725" s="65" t="s">
        <v>114</v>
      </c>
      <c r="O725" s="68">
        <v>620.65</v>
      </c>
      <c r="P725" s="68">
        <v>557964.35</v>
      </c>
      <c r="Q725" s="68">
        <v>30997.200000000001</v>
      </c>
      <c r="R725" s="62">
        <f t="shared" si="80"/>
        <v>5.5554086923295373E-2</v>
      </c>
      <c r="S725" s="67">
        <v>12</v>
      </c>
      <c r="T725" s="66">
        <v>45155</v>
      </c>
      <c r="U725" s="66">
        <v>45155</v>
      </c>
      <c r="V725" s="63">
        <f t="shared" si="81"/>
        <v>0</v>
      </c>
      <c r="W725" s="65" t="s">
        <v>115</v>
      </c>
      <c r="X725" s="64" t="b">
        <f t="shared" si="82"/>
        <v>1</v>
      </c>
      <c r="Y725" s="67">
        <v>376</v>
      </c>
      <c r="Z725" s="67">
        <v>407</v>
      </c>
      <c r="AA725" s="65" t="s">
        <v>82</v>
      </c>
      <c r="AB725" s="64" t="b">
        <f t="shared" si="83"/>
        <v>1</v>
      </c>
    </row>
    <row r="726" spans="1:28" ht="15" customHeight="1" x14ac:dyDescent="0.3">
      <c r="A726" s="57" t="s">
        <v>1577</v>
      </c>
      <c r="B726" s="82">
        <v>45392</v>
      </c>
      <c r="C726" s="59">
        <f t="shared" si="77"/>
        <v>2024</v>
      </c>
      <c r="D726" s="59">
        <f t="shared" si="78"/>
        <v>4</v>
      </c>
      <c r="E726" s="59">
        <f t="shared" si="79"/>
        <v>15</v>
      </c>
      <c r="F726" s="57" t="s">
        <v>59</v>
      </c>
      <c r="G726" s="57" t="s">
        <v>42</v>
      </c>
      <c r="H726" s="57" t="s">
        <v>1578</v>
      </c>
      <c r="I726" s="57" t="s">
        <v>68</v>
      </c>
      <c r="J726" s="57" t="s">
        <v>151</v>
      </c>
      <c r="K726" s="57" t="s">
        <v>71</v>
      </c>
      <c r="L726" s="57" t="s">
        <v>119</v>
      </c>
      <c r="M726" s="60">
        <v>615</v>
      </c>
      <c r="N726" s="57" t="s">
        <v>114</v>
      </c>
      <c r="O726" s="61">
        <v>79.260000000000005</v>
      </c>
      <c r="P726" s="61">
        <v>48744.9</v>
      </c>
      <c r="Q726" s="61">
        <v>2086.06</v>
      </c>
      <c r="R726" s="62">
        <f t="shared" si="80"/>
        <v>4.2795451421584613E-2</v>
      </c>
      <c r="S726" s="60">
        <v>9</v>
      </c>
      <c r="T726" s="58">
        <v>45401</v>
      </c>
      <c r="U726" s="58">
        <v>45406</v>
      </c>
      <c r="V726" s="63">
        <f t="shared" si="81"/>
        <v>5</v>
      </c>
      <c r="W726" s="57" t="s">
        <v>128</v>
      </c>
      <c r="X726" s="64" t="b">
        <f t="shared" si="82"/>
        <v>0</v>
      </c>
      <c r="Y726" s="60">
        <v>252</v>
      </c>
      <c r="Z726" s="60">
        <v>119</v>
      </c>
      <c r="AA726" s="57" t="s">
        <v>82</v>
      </c>
      <c r="AB726" s="64" t="b">
        <f t="shared" si="83"/>
        <v>1</v>
      </c>
    </row>
    <row r="727" spans="1:28" ht="15" customHeight="1" x14ac:dyDescent="0.3">
      <c r="A727" s="65" t="s">
        <v>1579</v>
      </c>
      <c r="B727" s="81">
        <v>45261</v>
      </c>
      <c r="C727" s="59">
        <f t="shared" si="77"/>
        <v>2023</v>
      </c>
      <c r="D727" s="59">
        <f t="shared" si="78"/>
        <v>12</v>
      </c>
      <c r="E727" s="59">
        <f t="shared" si="79"/>
        <v>48</v>
      </c>
      <c r="F727" s="65" t="s">
        <v>60</v>
      </c>
      <c r="G727" s="65" t="s">
        <v>43</v>
      </c>
      <c r="H727" s="65" t="s">
        <v>1580</v>
      </c>
      <c r="I727" s="65" t="s">
        <v>66</v>
      </c>
      <c r="J727" s="65" t="s">
        <v>112</v>
      </c>
      <c r="K727" s="65" t="s">
        <v>71</v>
      </c>
      <c r="L727" s="65" t="s">
        <v>124</v>
      </c>
      <c r="M727" s="67">
        <v>466</v>
      </c>
      <c r="N727" s="65" t="s">
        <v>136</v>
      </c>
      <c r="O727" s="68">
        <v>290.11</v>
      </c>
      <c r="P727" s="68">
        <v>135191.26</v>
      </c>
      <c r="Q727" s="68">
        <v>6775.26</v>
      </c>
      <c r="R727" s="62">
        <f t="shared" si="80"/>
        <v>5.0116109576906077E-2</v>
      </c>
      <c r="S727" s="67">
        <v>7</v>
      </c>
      <c r="T727" s="66">
        <v>45268</v>
      </c>
      <c r="U727" s="66">
        <v>45269</v>
      </c>
      <c r="V727" s="63">
        <f t="shared" si="81"/>
        <v>1</v>
      </c>
      <c r="W727" s="65" t="s">
        <v>125</v>
      </c>
      <c r="X727" s="64" t="b">
        <f t="shared" si="82"/>
        <v>0</v>
      </c>
      <c r="Y727" s="67">
        <v>495</v>
      </c>
      <c r="Z727" s="67">
        <v>45</v>
      </c>
      <c r="AA727" s="65" t="s">
        <v>116</v>
      </c>
      <c r="AB727" s="64" t="b">
        <f t="shared" si="83"/>
        <v>0</v>
      </c>
    </row>
    <row r="728" spans="1:28" ht="15" customHeight="1" x14ac:dyDescent="0.3">
      <c r="A728" s="57" t="s">
        <v>1581</v>
      </c>
      <c r="B728" s="82">
        <v>45272</v>
      </c>
      <c r="C728" s="59">
        <f t="shared" si="77"/>
        <v>2023</v>
      </c>
      <c r="D728" s="59">
        <f t="shared" si="78"/>
        <v>12</v>
      </c>
      <c r="E728" s="59">
        <f t="shared" si="79"/>
        <v>50</v>
      </c>
      <c r="F728" s="57" t="s">
        <v>55</v>
      </c>
      <c r="G728" s="57" t="s">
        <v>40</v>
      </c>
      <c r="H728" s="57" t="s">
        <v>1582</v>
      </c>
      <c r="I728" s="57" t="s">
        <v>68</v>
      </c>
      <c r="J728" s="57" t="s">
        <v>143</v>
      </c>
      <c r="K728" s="57" t="s">
        <v>75</v>
      </c>
      <c r="L728" s="57" t="s">
        <v>156</v>
      </c>
      <c r="M728" s="60">
        <v>624</v>
      </c>
      <c r="N728" s="57" t="s">
        <v>140</v>
      </c>
      <c r="O728" s="61">
        <v>736.36</v>
      </c>
      <c r="P728" s="61">
        <v>459488.64</v>
      </c>
      <c r="Q728" s="61">
        <v>25871.17</v>
      </c>
      <c r="R728" s="62">
        <f t="shared" si="80"/>
        <v>5.6304264671265862E-2</v>
      </c>
      <c r="S728" s="60">
        <v>28</v>
      </c>
      <c r="T728" s="58">
        <v>45300</v>
      </c>
      <c r="U728" s="58">
        <v>45300</v>
      </c>
      <c r="V728" s="63">
        <f t="shared" si="81"/>
        <v>0</v>
      </c>
      <c r="W728" s="57" t="s">
        <v>115</v>
      </c>
      <c r="X728" s="64" t="b">
        <f t="shared" si="82"/>
        <v>1</v>
      </c>
      <c r="Y728" s="60">
        <v>72</v>
      </c>
      <c r="Z728" s="60">
        <v>139</v>
      </c>
      <c r="AA728" s="57" t="s">
        <v>83</v>
      </c>
      <c r="AB728" s="64" t="b">
        <f t="shared" si="83"/>
        <v>1</v>
      </c>
    </row>
    <row r="729" spans="1:28" ht="15" customHeight="1" x14ac:dyDescent="0.3">
      <c r="A729" s="65" t="s">
        <v>1583</v>
      </c>
      <c r="B729" s="81">
        <v>45315</v>
      </c>
      <c r="C729" s="59">
        <f t="shared" si="77"/>
        <v>2024</v>
      </c>
      <c r="D729" s="59">
        <f t="shared" si="78"/>
        <v>1</v>
      </c>
      <c r="E729" s="59">
        <f t="shared" si="79"/>
        <v>4</v>
      </c>
      <c r="F729" s="65" t="s">
        <v>55</v>
      </c>
      <c r="G729" s="65" t="s">
        <v>40</v>
      </c>
      <c r="H729" s="65" t="s">
        <v>1584</v>
      </c>
      <c r="I729" s="65" t="s">
        <v>65</v>
      </c>
      <c r="J729" s="65" t="s">
        <v>143</v>
      </c>
      <c r="K729" s="65" t="s">
        <v>73</v>
      </c>
      <c r="L729" s="65" t="s">
        <v>119</v>
      </c>
      <c r="M729" s="67">
        <v>744</v>
      </c>
      <c r="N729" s="65" t="s">
        <v>132</v>
      </c>
      <c r="O729" s="68">
        <v>772.59</v>
      </c>
      <c r="P729" s="68">
        <v>574806.96</v>
      </c>
      <c r="Q729" s="68">
        <v>30805.88</v>
      </c>
      <c r="R729" s="62">
        <f t="shared" si="80"/>
        <v>5.3593435959787272E-2</v>
      </c>
      <c r="S729" s="67">
        <v>14</v>
      </c>
      <c r="T729" s="66">
        <v>45329</v>
      </c>
      <c r="U729" s="66">
        <v>45331</v>
      </c>
      <c r="V729" s="63">
        <f t="shared" si="81"/>
        <v>2</v>
      </c>
      <c r="W729" s="65" t="s">
        <v>128</v>
      </c>
      <c r="X729" s="64" t="b">
        <f t="shared" si="82"/>
        <v>0</v>
      </c>
      <c r="Y729" s="67">
        <v>211</v>
      </c>
      <c r="Z729" s="67">
        <v>52</v>
      </c>
      <c r="AA729" s="65" t="s">
        <v>116</v>
      </c>
      <c r="AB729" s="64" t="b">
        <f t="shared" si="83"/>
        <v>0</v>
      </c>
    </row>
    <row r="730" spans="1:28" ht="15" customHeight="1" x14ac:dyDescent="0.3">
      <c r="A730" s="57" t="s">
        <v>1585</v>
      </c>
      <c r="B730" s="82">
        <v>45211</v>
      </c>
      <c r="C730" s="59">
        <f t="shared" si="77"/>
        <v>2023</v>
      </c>
      <c r="D730" s="59">
        <f t="shared" si="78"/>
        <v>10</v>
      </c>
      <c r="E730" s="59">
        <f t="shared" si="79"/>
        <v>41</v>
      </c>
      <c r="F730" s="57" t="s">
        <v>58</v>
      </c>
      <c r="G730" s="57" t="s">
        <v>44</v>
      </c>
      <c r="H730" s="57" t="s">
        <v>1586</v>
      </c>
      <c r="I730" s="57" t="s">
        <v>64</v>
      </c>
      <c r="J730" s="57" t="s">
        <v>143</v>
      </c>
      <c r="K730" s="57" t="s">
        <v>72</v>
      </c>
      <c r="L730" s="57" t="s">
        <v>156</v>
      </c>
      <c r="M730" s="60">
        <v>707</v>
      </c>
      <c r="N730" s="57" t="s">
        <v>114</v>
      </c>
      <c r="O730" s="61">
        <v>151.28</v>
      </c>
      <c r="P730" s="61">
        <v>106954.96</v>
      </c>
      <c r="Q730" s="61">
        <v>5260.51</v>
      </c>
      <c r="R730" s="62">
        <f t="shared" si="80"/>
        <v>4.9184348252759851E-2</v>
      </c>
      <c r="S730" s="60">
        <v>20</v>
      </c>
      <c r="T730" s="58">
        <v>45231</v>
      </c>
      <c r="U730" s="58">
        <v>45231</v>
      </c>
      <c r="V730" s="63">
        <f t="shared" si="81"/>
        <v>0</v>
      </c>
      <c r="W730" s="57" t="s">
        <v>115</v>
      </c>
      <c r="X730" s="64" t="b">
        <f t="shared" si="82"/>
        <v>1</v>
      </c>
      <c r="Y730" s="60">
        <v>431</v>
      </c>
      <c r="Z730" s="60">
        <v>300</v>
      </c>
      <c r="AA730" s="57" t="s">
        <v>116</v>
      </c>
      <c r="AB730" s="64" t="b">
        <f t="shared" si="83"/>
        <v>0</v>
      </c>
    </row>
    <row r="731" spans="1:28" ht="15" customHeight="1" x14ac:dyDescent="0.3">
      <c r="A731" s="65" t="s">
        <v>1587</v>
      </c>
      <c r="B731" s="81">
        <v>45358</v>
      </c>
      <c r="C731" s="59">
        <f t="shared" si="77"/>
        <v>2024</v>
      </c>
      <c r="D731" s="59">
        <f t="shared" si="78"/>
        <v>3</v>
      </c>
      <c r="E731" s="59">
        <f t="shared" si="79"/>
        <v>10</v>
      </c>
      <c r="F731" s="65" t="s">
        <v>55</v>
      </c>
      <c r="G731" s="65" t="s">
        <v>44</v>
      </c>
      <c r="H731" s="65" t="s">
        <v>1588</v>
      </c>
      <c r="I731" s="65" t="s">
        <v>67</v>
      </c>
      <c r="J731" s="65" t="s">
        <v>112</v>
      </c>
      <c r="K731" s="65" t="s">
        <v>72</v>
      </c>
      <c r="L731" s="65" t="s">
        <v>119</v>
      </c>
      <c r="M731" s="67">
        <v>990</v>
      </c>
      <c r="N731" s="65" t="s">
        <v>140</v>
      </c>
      <c r="O731" s="68">
        <v>157.47</v>
      </c>
      <c r="P731" s="68">
        <v>155895.29999999999</v>
      </c>
      <c r="Q731" s="68">
        <v>7840.91</v>
      </c>
      <c r="R731" s="62">
        <f t="shared" si="80"/>
        <v>5.0295999943551863E-2</v>
      </c>
      <c r="S731" s="67">
        <v>19</v>
      </c>
      <c r="T731" s="66">
        <v>45377</v>
      </c>
      <c r="U731" s="66">
        <v>45372</v>
      </c>
      <c r="V731" s="63">
        <f t="shared" si="81"/>
        <v>-5</v>
      </c>
      <c r="W731" s="65" t="s">
        <v>115</v>
      </c>
      <c r="X731" s="64" t="b">
        <f t="shared" si="82"/>
        <v>1</v>
      </c>
      <c r="Y731" s="67">
        <v>211</v>
      </c>
      <c r="Z731" s="67">
        <v>287</v>
      </c>
      <c r="AA731" s="65" t="s">
        <v>116</v>
      </c>
      <c r="AB731" s="64" t="b">
        <f t="shared" si="83"/>
        <v>0</v>
      </c>
    </row>
    <row r="732" spans="1:28" ht="15" customHeight="1" x14ac:dyDescent="0.3">
      <c r="A732" s="57" t="s">
        <v>1589</v>
      </c>
      <c r="B732" s="82">
        <v>45185</v>
      </c>
      <c r="C732" s="59">
        <f t="shared" si="77"/>
        <v>2023</v>
      </c>
      <c r="D732" s="59">
        <f t="shared" si="78"/>
        <v>9</v>
      </c>
      <c r="E732" s="59">
        <f t="shared" si="79"/>
        <v>37</v>
      </c>
      <c r="F732" s="57" t="s">
        <v>54</v>
      </c>
      <c r="G732" s="57" t="s">
        <v>42</v>
      </c>
      <c r="H732" s="57" t="s">
        <v>1590</v>
      </c>
      <c r="I732" s="57" t="s">
        <v>68</v>
      </c>
      <c r="J732" s="57" t="s">
        <v>151</v>
      </c>
      <c r="K732" s="57" t="s">
        <v>74</v>
      </c>
      <c r="L732" s="57" t="s">
        <v>146</v>
      </c>
      <c r="M732" s="60">
        <v>705</v>
      </c>
      <c r="N732" s="57" t="s">
        <v>163</v>
      </c>
      <c r="O732" s="61">
        <v>115.48</v>
      </c>
      <c r="P732" s="61">
        <v>81413.399999999994</v>
      </c>
      <c r="Q732" s="61">
        <v>2490.0100000000002</v>
      </c>
      <c r="R732" s="62">
        <f t="shared" si="80"/>
        <v>3.0584768600746319E-2</v>
      </c>
      <c r="S732" s="60">
        <v>26</v>
      </c>
      <c r="T732" s="58">
        <v>45211</v>
      </c>
      <c r="U732" s="58">
        <v>45211</v>
      </c>
      <c r="V732" s="63">
        <f t="shared" si="81"/>
        <v>0</v>
      </c>
      <c r="W732" s="57" t="s">
        <v>115</v>
      </c>
      <c r="X732" s="64" t="b">
        <f t="shared" si="82"/>
        <v>1</v>
      </c>
      <c r="Y732" s="60">
        <v>250</v>
      </c>
      <c r="Z732" s="60">
        <v>273</v>
      </c>
      <c r="AA732" s="57" t="s">
        <v>84</v>
      </c>
      <c r="AB732" s="64" t="b">
        <f t="shared" si="83"/>
        <v>1</v>
      </c>
    </row>
    <row r="733" spans="1:28" ht="15" customHeight="1" x14ac:dyDescent="0.3">
      <c r="A733" s="65" t="s">
        <v>1591</v>
      </c>
      <c r="B733" s="81">
        <v>45010</v>
      </c>
      <c r="C733" s="59">
        <f t="shared" si="77"/>
        <v>2023</v>
      </c>
      <c r="D733" s="59">
        <f t="shared" si="78"/>
        <v>3</v>
      </c>
      <c r="E733" s="59">
        <f t="shared" si="79"/>
        <v>12</v>
      </c>
      <c r="F733" s="65" t="s">
        <v>56</v>
      </c>
      <c r="G733" s="65" t="s">
        <v>42</v>
      </c>
      <c r="H733" s="65" t="s">
        <v>1592</v>
      </c>
      <c r="I733" s="65" t="s">
        <v>66</v>
      </c>
      <c r="J733" s="65" t="s">
        <v>131</v>
      </c>
      <c r="K733" s="65" t="s">
        <v>72</v>
      </c>
      <c r="L733" s="65" t="s">
        <v>135</v>
      </c>
      <c r="M733" s="67">
        <v>504</v>
      </c>
      <c r="N733" s="65" t="s">
        <v>132</v>
      </c>
      <c r="O733" s="68">
        <v>69.11</v>
      </c>
      <c r="P733" s="68">
        <v>34831.440000000002</v>
      </c>
      <c r="Q733" s="68">
        <v>2395.15</v>
      </c>
      <c r="R733" s="62">
        <f t="shared" si="80"/>
        <v>6.8764024685743677E-2</v>
      </c>
      <c r="S733" s="67">
        <v>15</v>
      </c>
      <c r="T733" s="66">
        <v>45025</v>
      </c>
      <c r="U733" s="66">
        <v>45024</v>
      </c>
      <c r="V733" s="63">
        <f t="shared" si="81"/>
        <v>-1</v>
      </c>
      <c r="W733" s="65" t="s">
        <v>115</v>
      </c>
      <c r="X733" s="64" t="b">
        <f t="shared" si="82"/>
        <v>1</v>
      </c>
      <c r="Y733" s="67">
        <v>167</v>
      </c>
      <c r="Z733" s="67">
        <v>268</v>
      </c>
      <c r="AA733" s="65" t="s">
        <v>116</v>
      </c>
      <c r="AB733" s="64" t="b">
        <f t="shared" si="83"/>
        <v>0</v>
      </c>
    </row>
    <row r="734" spans="1:28" ht="15" customHeight="1" x14ac:dyDescent="0.3">
      <c r="A734" s="57" t="s">
        <v>1593</v>
      </c>
      <c r="B734" s="82">
        <v>45408</v>
      </c>
      <c r="C734" s="59">
        <f t="shared" si="77"/>
        <v>2024</v>
      </c>
      <c r="D734" s="59">
        <f t="shared" si="78"/>
        <v>4</v>
      </c>
      <c r="E734" s="59">
        <f t="shared" si="79"/>
        <v>17</v>
      </c>
      <c r="F734" s="57" t="s">
        <v>56</v>
      </c>
      <c r="G734" s="57" t="s">
        <v>44</v>
      </c>
      <c r="H734" s="57" t="s">
        <v>1594</v>
      </c>
      <c r="I734" s="57" t="s">
        <v>64</v>
      </c>
      <c r="J734" s="57" t="s">
        <v>151</v>
      </c>
      <c r="K734" s="57" t="s">
        <v>71</v>
      </c>
      <c r="L734" s="57" t="s">
        <v>156</v>
      </c>
      <c r="M734" s="60">
        <v>683</v>
      </c>
      <c r="N734" s="57" t="s">
        <v>132</v>
      </c>
      <c r="O734" s="61">
        <v>160.61000000000001</v>
      </c>
      <c r="P734" s="61">
        <v>109696.63</v>
      </c>
      <c r="Q734" s="61">
        <v>5759.69</v>
      </c>
      <c r="R734" s="62">
        <f t="shared" si="80"/>
        <v>5.2505623919349202E-2</v>
      </c>
      <c r="S734" s="60">
        <v>16</v>
      </c>
      <c r="T734" s="58">
        <v>45424</v>
      </c>
      <c r="U734" s="58">
        <v>45427</v>
      </c>
      <c r="V734" s="63">
        <f t="shared" si="81"/>
        <v>3</v>
      </c>
      <c r="W734" s="57" t="s">
        <v>128</v>
      </c>
      <c r="X734" s="64" t="b">
        <f t="shared" si="82"/>
        <v>0</v>
      </c>
      <c r="Y734" s="60">
        <v>262</v>
      </c>
      <c r="Z734" s="60">
        <v>387</v>
      </c>
      <c r="AA734" s="57" t="s">
        <v>83</v>
      </c>
      <c r="AB734" s="64" t="b">
        <f t="shared" si="83"/>
        <v>1</v>
      </c>
    </row>
    <row r="735" spans="1:28" ht="15" customHeight="1" x14ac:dyDescent="0.3">
      <c r="A735" s="65" t="s">
        <v>1595</v>
      </c>
      <c r="B735" s="81">
        <v>44946</v>
      </c>
      <c r="C735" s="59">
        <f t="shared" si="77"/>
        <v>2023</v>
      </c>
      <c r="D735" s="59">
        <f t="shared" si="78"/>
        <v>1</v>
      </c>
      <c r="E735" s="59">
        <f t="shared" si="79"/>
        <v>3</v>
      </c>
      <c r="F735" s="65" t="s">
        <v>55</v>
      </c>
      <c r="G735" s="65" t="s">
        <v>46</v>
      </c>
      <c r="H735" s="65" t="s">
        <v>1596</v>
      </c>
      <c r="I735" s="65" t="s">
        <v>68</v>
      </c>
      <c r="J735" s="65" t="s">
        <v>139</v>
      </c>
      <c r="K735" s="65" t="s">
        <v>72</v>
      </c>
      <c r="L735" s="65" t="s">
        <v>156</v>
      </c>
      <c r="M735" s="67">
        <v>256</v>
      </c>
      <c r="N735" s="65" t="s">
        <v>136</v>
      </c>
      <c r="O735" s="68">
        <v>77.45</v>
      </c>
      <c r="P735" s="68">
        <v>19827.2</v>
      </c>
      <c r="Q735" s="68">
        <v>552.48</v>
      </c>
      <c r="R735" s="62">
        <f t="shared" si="80"/>
        <v>2.7864751452550032E-2</v>
      </c>
      <c r="S735" s="67">
        <v>21</v>
      </c>
      <c r="T735" s="66">
        <v>44967</v>
      </c>
      <c r="U735" s="66">
        <v>44969</v>
      </c>
      <c r="V735" s="63">
        <f t="shared" si="81"/>
        <v>2</v>
      </c>
      <c r="W735" s="65" t="s">
        <v>128</v>
      </c>
      <c r="X735" s="64" t="b">
        <f t="shared" si="82"/>
        <v>0</v>
      </c>
      <c r="Y735" s="67">
        <v>330</v>
      </c>
      <c r="Z735" s="67">
        <v>278</v>
      </c>
      <c r="AA735" s="65" t="s">
        <v>83</v>
      </c>
      <c r="AB735" s="64" t="b">
        <f t="shared" si="83"/>
        <v>1</v>
      </c>
    </row>
    <row r="736" spans="1:28" ht="15" customHeight="1" x14ac:dyDescent="0.3">
      <c r="A736" s="57" t="s">
        <v>1597</v>
      </c>
      <c r="B736" s="82">
        <v>45479</v>
      </c>
      <c r="C736" s="59">
        <f t="shared" si="77"/>
        <v>2024</v>
      </c>
      <c r="D736" s="59">
        <f t="shared" si="78"/>
        <v>7</v>
      </c>
      <c r="E736" s="59">
        <f t="shared" si="79"/>
        <v>27</v>
      </c>
      <c r="F736" s="57" t="s">
        <v>60</v>
      </c>
      <c r="G736" s="57" t="s">
        <v>46</v>
      </c>
      <c r="H736" s="57" t="s">
        <v>1598</v>
      </c>
      <c r="I736" s="57" t="s">
        <v>64</v>
      </c>
      <c r="J736" s="57" t="s">
        <v>139</v>
      </c>
      <c r="K736" s="57" t="s">
        <v>71</v>
      </c>
      <c r="L736" s="57" t="s">
        <v>113</v>
      </c>
      <c r="M736" s="60">
        <v>552</v>
      </c>
      <c r="N736" s="57" t="s">
        <v>114</v>
      </c>
      <c r="O736" s="61">
        <v>45.06</v>
      </c>
      <c r="P736" s="61">
        <v>24873.119999999999</v>
      </c>
      <c r="Q736" s="61">
        <v>1640.87</v>
      </c>
      <c r="R736" s="62">
        <f t="shared" si="80"/>
        <v>6.5969608959390705E-2</v>
      </c>
      <c r="S736" s="60">
        <v>5</v>
      </c>
      <c r="T736" s="58">
        <v>45484</v>
      </c>
      <c r="U736" s="58">
        <v>45479</v>
      </c>
      <c r="V736" s="63">
        <f t="shared" si="81"/>
        <v>-5</v>
      </c>
      <c r="W736" s="57" t="s">
        <v>115</v>
      </c>
      <c r="X736" s="64" t="b">
        <f t="shared" si="82"/>
        <v>1</v>
      </c>
      <c r="Y736" s="60">
        <v>468</v>
      </c>
      <c r="Z736" s="60">
        <v>61</v>
      </c>
      <c r="AA736" s="57" t="s">
        <v>81</v>
      </c>
      <c r="AB736" s="64" t="b">
        <f t="shared" si="83"/>
        <v>1</v>
      </c>
    </row>
    <row r="737" spans="1:28" ht="15" customHeight="1" x14ac:dyDescent="0.3">
      <c r="A737" s="65" t="s">
        <v>1599</v>
      </c>
      <c r="B737" s="81">
        <v>44980</v>
      </c>
      <c r="C737" s="59">
        <f t="shared" si="77"/>
        <v>2023</v>
      </c>
      <c r="D737" s="59">
        <f t="shared" si="78"/>
        <v>2</v>
      </c>
      <c r="E737" s="59">
        <f t="shared" si="79"/>
        <v>8</v>
      </c>
      <c r="F737" s="65" t="s">
        <v>59</v>
      </c>
      <c r="G737" s="65" t="s">
        <v>43</v>
      </c>
      <c r="H737" s="65" t="s">
        <v>1600</v>
      </c>
      <c r="I737" s="65" t="s">
        <v>68</v>
      </c>
      <c r="J737" s="65" t="s">
        <v>151</v>
      </c>
      <c r="K737" s="65" t="s">
        <v>71</v>
      </c>
      <c r="L737" s="65" t="s">
        <v>146</v>
      </c>
      <c r="M737" s="67">
        <v>573</v>
      </c>
      <c r="N737" s="65" t="s">
        <v>163</v>
      </c>
      <c r="O737" s="68">
        <v>201.96</v>
      </c>
      <c r="P737" s="68">
        <v>115723.08</v>
      </c>
      <c r="Q737" s="68">
        <v>8788.7800000000007</v>
      </c>
      <c r="R737" s="62">
        <f t="shared" si="80"/>
        <v>7.5946647807853027E-2</v>
      </c>
      <c r="S737" s="67">
        <v>3</v>
      </c>
      <c r="T737" s="66">
        <v>44983</v>
      </c>
      <c r="U737" s="66">
        <v>44991</v>
      </c>
      <c r="V737" s="63">
        <f t="shared" si="81"/>
        <v>8</v>
      </c>
      <c r="W737" s="65" t="s">
        <v>128</v>
      </c>
      <c r="X737" s="64" t="b">
        <f t="shared" si="82"/>
        <v>0</v>
      </c>
      <c r="Y737" s="67">
        <v>229</v>
      </c>
      <c r="Z737" s="67">
        <v>53</v>
      </c>
      <c r="AA737" s="65" t="s">
        <v>84</v>
      </c>
      <c r="AB737" s="64" t="b">
        <f t="shared" si="83"/>
        <v>1</v>
      </c>
    </row>
    <row r="738" spans="1:28" ht="15" customHeight="1" x14ac:dyDescent="0.3">
      <c r="A738" s="57" t="s">
        <v>1601</v>
      </c>
      <c r="B738" s="82">
        <v>45285</v>
      </c>
      <c r="C738" s="59">
        <f t="shared" si="77"/>
        <v>2023</v>
      </c>
      <c r="D738" s="59">
        <f t="shared" si="78"/>
        <v>12</v>
      </c>
      <c r="E738" s="59">
        <f t="shared" si="79"/>
        <v>52</v>
      </c>
      <c r="F738" s="57" t="s">
        <v>60</v>
      </c>
      <c r="G738" s="57" t="s">
        <v>39</v>
      </c>
      <c r="H738" s="57" t="s">
        <v>1602</v>
      </c>
      <c r="I738" s="57" t="s">
        <v>64</v>
      </c>
      <c r="J738" s="57" t="s">
        <v>151</v>
      </c>
      <c r="K738" s="57" t="s">
        <v>73</v>
      </c>
      <c r="L738" s="57" t="s">
        <v>113</v>
      </c>
      <c r="M738" s="60">
        <v>866</v>
      </c>
      <c r="N738" s="57" t="s">
        <v>136</v>
      </c>
      <c r="O738" s="61">
        <v>1389.32</v>
      </c>
      <c r="P738" s="61">
        <v>1203151.1200000001</v>
      </c>
      <c r="Q738" s="61">
        <v>92448.22</v>
      </c>
      <c r="R738" s="62">
        <f t="shared" si="80"/>
        <v>7.6838410789161704E-2</v>
      </c>
      <c r="S738" s="60">
        <v>12</v>
      </c>
      <c r="T738" s="58">
        <v>45297</v>
      </c>
      <c r="U738" s="58">
        <v>45297</v>
      </c>
      <c r="V738" s="63">
        <f t="shared" si="81"/>
        <v>0</v>
      </c>
      <c r="W738" s="57" t="s">
        <v>115</v>
      </c>
      <c r="X738" s="64" t="b">
        <f t="shared" si="82"/>
        <v>1</v>
      </c>
      <c r="Y738" s="60">
        <v>238</v>
      </c>
      <c r="Z738" s="60">
        <v>457</v>
      </c>
      <c r="AA738" s="57" t="s">
        <v>116</v>
      </c>
      <c r="AB738" s="64" t="b">
        <f t="shared" si="83"/>
        <v>0</v>
      </c>
    </row>
    <row r="739" spans="1:28" ht="15" customHeight="1" x14ac:dyDescent="0.3">
      <c r="A739" s="65" t="s">
        <v>1603</v>
      </c>
      <c r="B739" s="81">
        <v>45156</v>
      </c>
      <c r="C739" s="59">
        <f t="shared" si="77"/>
        <v>2023</v>
      </c>
      <c r="D739" s="59">
        <f t="shared" si="78"/>
        <v>8</v>
      </c>
      <c r="E739" s="59">
        <f t="shared" si="79"/>
        <v>33</v>
      </c>
      <c r="F739" s="65" t="s">
        <v>61</v>
      </c>
      <c r="G739" s="65" t="s">
        <v>43</v>
      </c>
      <c r="H739" s="65" t="s">
        <v>1604</v>
      </c>
      <c r="I739" s="65" t="s">
        <v>69</v>
      </c>
      <c r="J739" s="65" t="s">
        <v>112</v>
      </c>
      <c r="K739" s="65" t="s">
        <v>72</v>
      </c>
      <c r="L739" s="65" t="s">
        <v>146</v>
      </c>
      <c r="M739" s="67">
        <v>597</v>
      </c>
      <c r="N739" s="65" t="s">
        <v>120</v>
      </c>
      <c r="O739" s="68">
        <v>188.72</v>
      </c>
      <c r="P739" s="68">
        <v>112665.84</v>
      </c>
      <c r="Q739" s="68">
        <v>4747.8599999999997</v>
      </c>
      <c r="R739" s="62">
        <f t="shared" si="80"/>
        <v>4.2141078431581387E-2</v>
      </c>
      <c r="S739" s="67">
        <v>25</v>
      </c>
      <c r="T739" s="66">
        <v>45181</v>
      </c>
      <c r="U739" s="66">
        <v>45184</v>
      </c>
      <c r="V739" s="63">
        <f t="shared" si="81"/>
        <v>3</v>
      </c>
      <c r="W739" s="65" t="s">
        <v>125</v>
      </c>
      <c r="X739" s="64" t="b">
        <f t="shared" si="82"/>
        <v>0</v>
      </c>
      <c r="Y739" s="67">
        <v>274</v>
      </c>
      <c r="Z739" s="67">
        <v>438</v>
      </c>
      <c r="AA739" s="65" t="s">
        <v>84</v>
      </c>
      <c r="AB739" s="64" t="b">
        <f t="shared" si="83"/>
        <v>1</v>
      </c>
    </row>
    <row r="740" spans="1:28" ht="15" customHeight="1" x14ac:dyDescent="0.3">
      <c r="A740" s="57" t="s">
        <v>1605</v>
      </c>
      <c r="B740" s="82">
        <v>45592</v>
      </c>
      <c r="C740" s="59">
        <f t="shared" si="77"/>
        <v>2024</v>
      </c>
      <c r="D740" s="59">
        <f t="shared" si="78"/>
        <v>10</v>
      </c>
      <c r="E740" s="59">
        <f t="shared" si="79"/>
        <v>44</v>
      </c>
      <c r="F740" s="57" t="s">
        <v>59</v>
      </c>
      <c r="G740" s="57" t="s">
        <v>39</v>
      </c>
      <c r="H740" s="57" t="s">
        <v>1606</v>
      </c>
      <c r="I740" s="57" t="s">
        <v>64</v>
      </c>
      <c r="J740" s="57" t="s">
        <v>112</v>
      </c>
      <c r="K740" s="57" t="s">
        <v>73</v>
      </c>
      <c r="L740" s="57" t="s">
        <v>146</v>
      </c>
      <c r="M740" s="60">
        <v>906</v>
      </c>
      <c r="N740" s="57" t="s">
        <v>140</v>
      </c>
      <c r="O740" s="61">
        <v>2229.54</v>
      </c>
      <c r="P740" s="61">
        <v>1639255.3774000001</v>
      </c>
      <c r="Q740" s="61">
        <v>56823.61</v>
      </c>
      <c r="R740" s="62">
        <f t="shared" si="80"/>
        <v>3.4664281589929645E-2</v>
      </c>
      <c r="S740" s="60">
        <v>20</v>
      </c>
      <c r="T740" s="58">
        <v>45612</v>
      </c>
      <c r="U740" s="58">
        <v>45613</v>
      </c>
      <c r="V740" s="63">
        <f t="shared" si="81"/>
        <v>1</v>
      </c>
      <c r="W740" s="57" t="s">
        <v>125</v>
      </c>
      <c r="X740" s="64" t="b">
        <f t="shared" si="82"/>
        <v>0</v>
      </c>
      <c r="Y740" s="60">
        <v>493</v>
      </c>
      <c r="Z740" s="60">
        <v>68</v>
      </c>
      <c r="AA740" s="57" t="s">
        <v>84</v>
      </c>
      <c r="AB740" s="64" t="b">
        <f t="shared" si="83"/>
        <v>1</v>
      </c>
    </row>
    <row r="741" spans="1:28" ht="15" customHeight="1" x14ac:dyDescent="0.3">
      <c r="A741" s="65" t="s">
        <v>1607</v>
      </c>
      <c r="B741" s="81">
        <v>44997</v>
      </c>
      <c r="C741" s="59">
        <f t="shared" si="77"/>
        <v>2023</v>
      </c>
      <c r="D741" s="59">
        <f t="shared" si="78"/>
        <v>3</v>
      </c>
      <c r="E741" s="59">
        <f t="shared" si="79"/>
        <v>11</v>
      </c>
      <c r="F741" s="65" t="s">
        <v>53</v>
      </c>
      <c r="G741" s="65" t="s">
        <v>42</v>
      </c>
      <c r="H741" s="65" t="s">
        <v>1608</v>
      </c>
      <c r="I741" s="65" t="s">
        <v>69</v>
      </c>
      <c r="J741" s="65" t="s">
        <v>123</v>
      </c>
      <c r="K741" s="65" t="s">
        <v>71</v>
      </c>
      <c r="L741" s="65" t="s">
        <v>124</v>
      </c>
      <c r="M741" s="67">
        <v>448</v>
      </c>
      <c r="N741" s="65" t="s">
        <v>140</v>
      </c>
      <c r="O741" s="68">
        <v>97.14</v>
      </c>
      <c r="P741" s="68">
        <v>43518.720000000001</v>
      </c>
      <c r="Q741" s="68">
        <v>2223.98</v>
      </c>
      <c r="R741" s="62">
        <f t="shared" si="80"/>
        <v>5.1103984676019884E-2</v>
      </c>
      <c r="S741" s="67">
        <v>27</v>
      </c>
      <c r="T741" s="66">
        <v>45024</v>
      </c>
      <c r="U741" s="66">
        <v>45024</v>
      </c>
      <c r="V741" s="63">
        <f t="shared" si="81"/>
        <v>0</v>
      </c>
      <c r="W741" s="65" t="s">
        <v>115</v>
      </c>
      <c r="X741" s="64" t="b">
        <f t="shared" si="82"/>
        <v>1</v>
      </c>
      <c r="Y741" s="67">
        <v>142</v>
      </c>
      <c r="Z741" s="67">
        <v>241</v>
      </c>
      <c r="AA741" s="65" t="s">
        <v>83</v>
      </c>
      <c r="AB741" s="64" t="b">
        <f t="shared" si="83"/>
        <v>1</v>
      </c>
    </row>
    <row r="742" spans="1:28" ht="15" customHeight="1" x14ac:dyDescent="0.3">
      <c r="A742" s="57" t="s">
        <v>1609</v>
      </c>
      <c r="B742" s="82">
        <v>45594</v>
      </c>
      <c r="C742" s="59">
        <f t="shared" si="77"/>
        <v>2024</v>
      </c>
      <c r="D742" s="59">
        <f t="shared" si="78"/>
        <v>10</v>
      </c>
      <c r="E742" s="59">
        <f t="shared" si="79"/>
        <v>44</v>
      </c>
      <c r="F742" s="57" t="s">
        <v>54</v>
      </c>
      <c r="G742" s="57" t="s">
        <v>41</v>
      </c>
      <c r="H742" s="57" t="s">
        <v>1610</v>
      </c>
      <c r="I742" s="57" t="s">
        <v>65</v>
      </c>
      <c r="J742" s="57" t="s">
        <v>143</v>
      </c>
      <c r="K742" s="57" t="s">
        <v>72</v>
      </c>
      <c r="L742" s="57" t="s">
        <v>124</v>
      </c>
      <c r="M742" s="60">
        <v>287</v>
      </c>
      <c r="N742" s="57" t="s">
        <v>136</v>
      </c>
      <c r="O742" s="61">
        <v>637.07000000000005</v>
      </c>
      <c r="P742" s="61">
        <v>182839.09</v>
      </c>
      <c r="Q742" s="61">
        <v>4892.1400000000003</v>
      </c>
      <c r="R742" s="62">
        <f t="shared" si="80"/>
        <v>2.6756532205449067E-2</v>
      </c>
      <c r="S742" s="60">
        <v>21</v>
      </c>
      <c r="T742" s="58">
        <v>45615</v>
      </c>
      <c r="U742" s="58">
        <v>45610</v>
      </c>
      <c r="V742" s="63">
        <f t="shared" si="81"/>
        <v>-5</v>
      </c>
      <c r="W742" s="57" t="s">
        <v>115</v>
      </c>
      <c r="X742" s="64" t="b">
        <f t="shared" si="82"/>
        <v>1</v>
      </c>
      <c r="Y742" s="60">
        <v>69</v>
      </c>
      <c r="Z742" s="60">
        <v>423</v>
      </c>
      <c r="AA742" s="57" t="s">
        <v>116</v>
      </c>
      <c r="AB742" s="64" t="b">
        <f t="shared" si="83"/>
        <v>0</v>
      </c>
    </row>
    <row r="743" spans="1:28" ht="15" customHeight="1" x14ac:dyDescent="0.3">
      <c r="A743" s="65" t="s">
        <v>1611</v>
      </c>
      <c r="B743" s="81">
        <v>44968</v>
      </c>
      <c r="C743" s="59">
        <f t="shared" si="77"/>
        <v>2023</v>
      </c>
      <c r="D743" s="59">
        <f t="shared" si="78"/>
        <v>2</v>
      </c>
      <c r="E743" s="59">
        <f t="shared" si="79"/>
        <v>6</v>
      </c>
      <c r="F743" s="65" t="s">
        <v>60</v>
      </c>
      <c r="G743" s="65" t="s">
        <v>43</v>
      </c>
      <c r="H743" s="65" t="s">
        <v>1612</v>
      </c>
      <c r="I743" s="65" t="s">
        <v>69</v>
      </c>
      <c r="J743" s="65" t="s">
        <v>123</v>
      </c>
      <c r="K743" s="65" t="s">
        <v>72</v>
      </c>
      <c r="L743" s="65" t="s">
        <v>124</v>
      </c>
      <c r="M743" s="67">
        <v>561</v>
      </c>
      <c r="N743" s="65" t="s">
        <v>140</v>
      </c>
      <c r="O743" s="68">
        <v>296.26</v>
      </c>
      <c r="P743" s="68">
        <v>166201.85999999999</v>
      </c>
      <c r="Q743" s="68">
        <v>12637.86</v>
      </c>
      <c r="R743" s="62">
        <f t="shared" si="80"/>
        <v>7.6039221221711972E-2</v>
      </c>
      <c r="S743" s="67">
        <v>4</v>
      </c>
      <c r="T743" s="66">
        <v>44972</v>
      </c>
      <c r="U743" s="66">
        <v>44984</v>
      </c>
      <c r="V743" s="63">
        <f t="shared" si="81"/>
        <v>12</v>
      </c>
      <c r="W743" s="65" t="s">
        <v>125</v>
      </c>
      <c r="X743" s="64" t="b">
        <f t="shared" si="82"/>
        <v>0</v>
      </c>
      <c r="Y743" s="67">
        <v>444</v>
      </c>
      <c r="Z743" s="67">
        <v>269</v>
      </c>
      <c r="AA743" s="65" t="s">
        <v>116</v>
      </c>
      <c r="AB743" s="64" t="b">
        <f t="shared" si="83"/>
        <v>0</v>
      </c>
    </row>
    <row r="744" spans="1:28" ht="15" customHeight="1" x14ac:dyDescent="0.3">
      <c r="A744" s="57" t="s">
        <v>1613</v>
      </c>
      <c r="B744" s="82">
        <v>44958</v>
      </c>
      <c r="C744" s="59">
        <f t="shared" si="77"/>
        <v>2023</v>
      </c>
      <c r="D744" s="59">
        <f t="shared" si="78"/>
        <v>2</v>
      </c>
      <c r="E744" s="59">
        <f t="shared" si="79"/>
        <v>5</v>
      </c>
      <c r="F744" s="57" t="s">
        <v>58</v>
      </c>
      <c r="G744" s="57" t="s">
        <v>43</v>
      </c>
      <c r="H744" s="57" t="s">
        <v>1614</v>
      </c>
      <c r="I744" s="57" t="s">
        <v>64</v>
      </c>
      <c r="J744" s="57" t="s">
        <v>143</v>
      </c>
      <c r="K744" s="57" t="s">
        <v>73</v>
      </c>
      <c r="L744" s="57" t="s">
        <v>119</v>
      </c>
      <c r="M744" s="60">
        <v>622</v>
      </c>
      <c r="N744" s="57" t="s">
        <v>114</v>
      </c>
      <c r="O744" s="61">
        <v>200.35</v>
      </c>
      <c r="P744" s="61">
        <v>124617.7</v>
      </c>
      <c r="Q744" s="61">
        <v>3864.99</v>
      </c>
      <c r="R744" s="62">
        <f t="shared" si="80"/>
        <v>3.1014775589663427E-2</v>
      </c>
      <c r="S744" s="60">
        <v>21</v>
      </c>
      <c r="T744" s="58">
        <v>44979</v>
      </c>
      <c r="U744" s="58">
        <v>44976</v>
      </c>
      <c r="V744" s="63">
        <f t="shared" si="81"/>
        <v>-3</v>
      </c>
      <c r="W744" s="57" t="s">
        <v>115</v>
      </c>
      <c r="X744" s="64" t="b">
        <f t="shared" si="82"/>
        <v>1</v>
      </c>
      <c r="Y744" s="60">
        <v>311</v>
      </c>
      <c r="Z744" s="60">
        <v>251</v>
      </c>
      <c r="AA744" s="57" t="s">
        <v>82</v>
      </c>
      <c r="AB744" s="64" t="b">
        <f t="shared" si="83"/>
        <v>1</v>
      </c>
    </row>
    <row r="745" spans="1:28" ht="15" customHeight="1" x14ac:dyDescent="0.3">
      <c r="A745" s="65" t="s">
        <v>1615</v>
      </c>
      <c r="B745" s="81">
        <v>45180</v>
      </c>
      <c r="C745" s="59">
        <f t="shared" si="77"/>
        <v>2023</v>
      </c>
      <c r="D745" s="59">
        <f t="shared" si="78"/>
        <v>9</v>
      </c>
      <c r="E745" s="59">
        <f t="shared" si="79"/>
        <v>37</v>
      </c>
      <c r="F745" s="65" t="s">
        <v>56</v>
      </c>
      <c r="G745" s="65" t="s">
        <v>39</v>
      </c>
      <c r="H745" s="65" t="s">
        <v>1616</v>
      </c>
      <c r="I745" s="65" t="s">
        <v>67</v>
      </c>
      <c r="J745" s="65" t="s">
        <v>139</v>
      </c>
      <c r="K745" s="65" t="s">
        <v>73</v>
      </c>
      <c r="L745" s="65" t="s">
        <v>113</v>
      </c>
      <c r="M745" s="67">
        <v>120</v>
      </c>
      <c r="N745" s="65" t="s">
        <v>140</v>
      </c>
      <c r="O745" s="68">
        <v>2012.21</v>
      </c>
      <c r="P745" s="68">
        <v>241465.2</v>
      </c>
      <c r="Q745" s="68">
        <v>8491.35</v>
      </c>
      <c r="R745" s="62">
        <f t="shared" si="80"/>
        <v>3.5165936954890391E-2</v>
      </c>
      <c r="S745" s="67">
        <v>23</v>
      </c>
      <c r="T745" s="66">
        <v>45203</v>
      </c>
      <c r="U745" s="66">
        <v>45215</v>
      </c>
      <c r="V745" s="63">
        <f t="shared" si="81"/>
        <v>12</v>
      </c>
      <c r="W745" s="65" t="s">
        <v>128</v>
      </c>
      <c r="X745" s="64" t="b">
        <f t="shared" si="82"/>
        <v>0</v>
      </c>
      <c r="Y745" s="67">
        <v>393</v>
      </c>
      <c r="Z745" s="67">
        <v>353</v>
      </c>
      <c r="AA745" s="65" t="s">
        <v>83</v>
      </c>
      <c r="AB745" s="64" t="b">
        <f t="shared" si="83"/>
        <v>1</v>
      </c>
    </row>
    <row r="746" spans="1:28" ht="15" customHeight="1" x14ac:dyDescent="0.3">
      <c r="A746" s="57" t="s">
        <v>1617</v>
      </c>
      <c r="B746" s="82">
        <v>45131</v>
      </c>
      <c r="C746" s="59">
        <f t="shared" si="77"/>
        <v>2023</v>
      </c>
      <c r="D746" s="59">
        <f t="shared" si="78"/>
        <v>7</v>
      </c>
      <c r="E746" s="59">
        <f t="shared" si="79"/>
        <v>30</v>
      </c>
      <c r="F746" s="57" t="s">
        <v>55</v>
      </c>
      <c r="G746" s="57" t="s">
        <v>45</v>
      </c>
      <c r="H746" s="57" t="s">
        <v>1618</v>
      </c>
      <c r="I746" s="57" t="s">
        <v>67</v>
      </c>
      <c r="J746" s="57" t="s">
        <v>123</v>
      </c>
      <c r="K746" s="57" t="s">
        <v>71</v>
      </c>
      <c r="L746" s="57" t="s">
        <v>135</v>
      </c>
      <c r="M746" s="60">
        <v>394</v>
      </c>
      <c r="N746" s="57" t="s">
        <v>114</v>
      </c>
      <c r="O746" s="61">
        <v>209.52</v>
      </c>
      <c r="P746" s="61">
        <v>82550.880000000005</v>
      </c>
      <c r="Q746" s="61">
        <v>3665.11</v>
      </c>
      <c r="R746" s="62">
        <f t="shared" si="80"/>
        <v>4.4398194180364885E-2</v>
      </c>
      <c r="S746" s="60">
        <v>16</v>
      </c>
      <c r="T746" s="58">
        <v>45147</v>
      </c>
      <c r="U746" s="58">
        <v>45147</v>
      </c>
      <c r="V746" s="63">
        <f t="shared" si="81"/>
        <v>0</v>
      </c>
      <c r="W746" s="57" t="s">
        <v>115</v>
      </c>
      <c r="X746" s="64" t="b">
        <f t="shared" si="82"/>
        <v>1</v>
      </c>
      <c r="Y746" s="60">
        <v>173</v>
      </c>
      <c r="Z746" s="60">
        <v>283</v>
      </c>
      <c r="AA746" s="57" t="s">
        <v>84</v>
      </c>
      <c r="AB746" s="64" t="b">
        <f t="shared" si="83"/>
        <v>1</v>
      </c>
    </row>
    <row r="747" spans="1:28" ht="15" customHeight="1" x14ac:dyDescent="0.3">
      <c r="A747" s="65" t="s">
        <v>1619</v>
      </c>
      <c r="B747" s="81">
        <v>44947</v>
      </c>
      <c r="C747" s="59">
        <f t="shared" si="77"/>
        <v>2023</v>
      </c>
      <c r="D747" s="59">
        <f t="shared" si="78"/>
        <v>1</v>
      </c>
      <c r="E747" s="59">
        <f t="shared" si="79"/>
        <v>3</v>
      </c>
      <c r="F747" s="65" t="s">
        <v>59</v>
      </c>
      <c r="G747" s="65" t="s">
        <v>42</v>
      </c>
      <c r="H747" s="65" t="s">
        <v>1620</v>
      </c>
      <c r="I747" s="65" t="s">
        <v>65</v>
      </c>
      <c r="J747" s="65" t="s">
        <v>123</v>
      </c>
      <c r="K747" s="65" t="s">
        <v>71</v>
      </c>
      <c r="L747" s="65" t="s">
        <v>146</v>
      </c>
      <c r="M747" s="67">
        <v>842</v>
      </c>
      <c r="N747" s="65" t="s">
        <v>120</v>
      </c>
      <c r="O747" s="68">
        <v>111.65</v>
      </c>
      <c r="P747" s="68">
        <v>94009.3</v>
      </c>
      <c r="Q747" s="68">
        <v>4041.45</v>
      </c>
      <c r="R747" s="62">
        <f t="shared" si="80"/>
        <v>4.2989895680533734E-2</v>
      </c>
      <c r="S747" s="67">
        <v>25</v>
      </c>
      <c r="T747" s="66">
        <v>44972</v>
      </c>
      <c r="U747" s="66">
        <v>44984</v>
      </c>
      <c r="V747" s="63">
        <f t="shared" si="81"/>
        <v>12</v>
      </c>
      <c r="W747" s="65" t="s">
        <v>125</v>
      </c>
      <c r="X747" s="64" t="b">
        <f t="shared" si="82"/>
        <v>0</v>
      </c>
      <c r="Y747" s="67">
        <v>335</v>
      </c>
      <c r="Z747" s="67">
        <v>455</v>
      </c>
      <c r="AA747" s="65" t="s">
        <v>82</v>
      </c>
      <c r="AB747" s="64" t="b">
        <f t="shared" si="83"/>
        <v>1</v>
      </c>
    </row>
    <row r="748" spans="1:28" ht="15" customHeight="1" x14ac:dyDescent="0.3">
      <c r="A748" s="57" t="s">
        <v>1621</v>
      </c>
      <c r="B748" s="82">
        <v>45563</v>
      </c>
      <c r="C748" s="59">
        <f t="shared" si="77"/>
        <v>2024</v>
      </c>
      <c r="D748" s="59">
        <f t="shared" si="78"/>
        <v>9</v>
      </c>
      <c r="E748" s="59">
        <f t="shared" si="79"/>
        <v>39</v>
      </c>
      <c r="F748" s="57" t="s">
        <v>55</v>
      </c>
      <c r="G748" s="57" t="s">
        <v>42</v>
      </c>
      <c r="H748" s="57" t="s">
        <v>1622</v>
      </c>
      <c r="I748" s="57" t="s">
        <v>64</v>
      </c>
      <c r="J748" s="57" t="s">
        <v>131</v>
      </c>
      <c r="K748" s="57" t="s">
        <v>72</v>
      </c>
      <c r="L748" s="57" t="s">
        <v>146</v>
      </c>
      <c r="M748" s="60">
        <v>770</v>
      </c>
      <c r="N748" s="57" t="s">
        <v>163</v>
      </c>
      <c r="O748" s="61">
        <v>67.56</v>
      </c>
      <c r="P748" s="61">
        <v>52021.2</v>
      </c>
      <c r="Q748" s="61">
        <v>3520.78</v>
      </c>
      <c r="R748" s="62">
        <f t="shared" si="80"/>
        <v>6.7679715193036699E-2</v>
      </c>
      <c r="S748" s="60">
        <v>7</v>
      </c>
      <c r="T748" s="58">
        <v>45570</v>
      </c>
      <c r="U748" s="58">
        <v>45578</v>
      </c>
      <c r="V748" s="63">
        <f t="shared" si="81"/>
        <v>8</v>
      </c>
      <c r="W748" s="57" t="s">
        <v>125</v>
      </c>
      <c r="X748" s="64" t="b">
        <f t="shared" si="82"/>
        <v>0</v>
      </c>
      <c r="Y748" s="60">
        <v>108</v>
      </c>
      <c r="Z748" s="60">
        <v>463</v>
      </c>
      <c r="AA748" s="57" t="s">
        <v>83</v>
      </c>
      <c r="AB748" s="64" t="b">
        <f t="shared" si="83"/>
        <v>1</v>
      </c>
    </row>
    <row r="749" spans="1:28" ht="15" customHeight="1" x14ac:dyDescent="0.3">
      <c r="A749" s="65" t="s">
        <v>1623</v>
      </c>
      <c r="B749" s="81">
        <v>45083</v>
      </c>
      <c r="C749" s="59">
        <f t="shared" si="77"/>
        <v>2023</v>
      </c>
      <c r="D749" s="59">
        <f t="shared" si="78"/>
        <v>6</v>
      </c>
      <c r="E749" s="59">
        <f t="shared" si="79"/>
        <v>23</v>
      </c>
      <c r="F749" s="65" t="s">
        <v>53</v>
      </c>
      <c r="G749" s="65" t="s">
        <v>40</v>
      </c>
      <c r="H749" s="65" t="s">
        <v>1624</v>
      </c>
      <c r="I749" s="65" t="s">
        <v>69</v>
      </c>
      <c r="J749" s="65" t="s">
        <v>151</v>
      </c>
      <c r="K749" s="65" t="s">
        <v>72</v>
      </c>
      <c r="L749" s="65" t="s">
        <v>156</v>
      </c>
      <c r="M749" s="67">
        <v>200</v>
      </c>
      <c r="N749" s="65" t="s">
        <v>132</v>
      </c>
      <c r="O749" s="68">
        <v>1166.52</v>
      </c>
      <c r="P749" s="68">
        <v>233304</v>
      </c>
      <c r="Q749" s="68">
        <v>11053.71</v>
      </c>
      <c r="R749" s="62">
        <f t="shared" si="80"/>
        <v>4.7378999074169321E-2</v>
      </c>
      <c r="S749" s="67">
        <v>13</v>
      </c>
      <c r="T749" s="66">
        <v>45096</v>
      </c>
      <c r="U749" s="66">
        <v>45096</v>
      </c>
      <c r="V749" s="63">
        <f t="shared" si="81"/>
        <v>0</v>
      </c>
      <c r="W749" s="65" t="s">
        <v>115</v>
      </c>
      <c r="X749" s="64" t="b">
        <f t="shared" si="82"/>
        <v>1</v>
      </c>
      <c r="Y749" s="67">
        <v>202</v>
      </c>
      <c r="Z749" s="67">
        <v>350</v>
      </c>
      <c r="AA749" s="65" t="s">
        <v>116</v>
      </c>
      <c r="AB749" s="64" t="b">
        <f t="shared" si="83"/>
        <v>0</v>
      </c>
    </row>
    <row r="750" spans="1:28" ht="15" customHeight="1" x14ac:dyDescent="0.3">
      <c r="A750" s="57" t="s">
        <v>1625</v>
      </c>
      <c r="B750" s="82">
        <v>45171</v>
      </c>
      <c r="C750" s="59">
        <f t="shared" si="77"/>
        <v>2023</v>
      </c>
      <c r="D750" s="59">
        <f t="shared" si="78"/>
        <v>9</v>
      </c>
      <c r="E750" s="59">
        <f t="shared" si="79"/>
        <v>35</v>
      </c>
      <c r="F750" s="57" t="s">
        <v>61</v>
      </c>
      <c r="G750" s="57" t="s">
        <v>45</v>
      </c>
      <c r="H750" s="57" t="s">
        <v>1626</v>
      </c>
      <c r="I750" s="57" t="s">
        <v>67</v>
      </c>
      <c r="J750" s="57" t="s">
        <v>112</v>
      </c>
      <c r="K750" s="57" t="s">
        <v>75</v>
      </c>
      <c r="L750" s="57" t="s">
        <v>119</v>
      </c>
      <c r="M750" s="60">
        <v>499</v>
      </c>
      <c r="N750" s="57" t="s">
        <v>136</v>
      </c>
      <c r="O750" s="61">
        <v>175</v>
      </c>
      <c r="P750" s="61">
        <v>87325</v>
      </c>
      <c r="Q750" s="61">
        <v>2641.24</v>
      </c>
      <c r="R750" s="62">
        <f t="shared" si="80"/>
        <v>3.0246092184368734E-2</v>
      </c>
      <c r="S750" s="60">
        <v>21</v>
      </c>
      <c r="T750" s="58">
        <v>45192</v>
      </c>
      <c r="U750" s="58">
        <v>45194</v>
      </c>
      <c r="V750" s="63">
        <f t="shared" si="81"/>
        <v>2</v>
      </c>
      <c r="W750" s="57" t="s">
        <v>128</v>
      </c>
      <c r="X750" s="64" t="b">
        <f t="shared" si="82"/>
        <v>0</v>
      </c>
      <c r="Y750" s="60">
        <v>184</v>
      </c>
      <c r="Z750" s="60">
        <v>70</v>
      </c>
      <c r="AA750" s="57" t="s">
        <v>84</v>
      </c>
      <c r="AB750" s="64" t="b">
        <f t="shared" si="83"/>
        <v>1</v>
      </c>
    </row>
    <row r="751" spans="1:28" ht="15" customHeight="1" x14ac:dyDescent="0.3">
      <c r="A751" s="65" t="s">
        <v>1627</v>
      </c>
      <c r="B751" s="81">
        <v>45056</v>
      </c>
      <c r="C751" s="59">
        <f t="shared" si="77"/>
        <v>2023</v>
      </c>
      <c r="D751" s="59">
        <f t="shared" si="78"/>
        <v>5</v>
      </c>
      <c r="E751" s="59">
        <f t="shared" si="79"/>
        <v>19</v>
      </c>
      <c r="F751" s="65" t="s">
        <v>55</v>
      </c>
      <c r="G751" s="65" t="s">
        <v>39</v>
      </c>
      <c r="H751" s="65" t="s">
        <v>1628</v>
      </c>
      <c r="I751" s="65" t="s">
        <v>68</v>
      </c>
      <c r="J751" s="65" t="s">
        <v>123</v>
      </c>
      <c r="K751" s="65" t="s">
        <v>75</v>
      </c>
      <c r="L751" s="65" t="s">
        <v>135</v>
      </c>
      <c r="M751" s="67">
        <v>703</v>
      </c>
      <c r="N751" s="65" t="s">
        <v>136</v>
      </c>
      <c r="O751" s="68">
        <v>1441.46</v>
      </c>
      <c r="P751" s="68">
        <v>1013346.38</v>
      </c>
      <c r="Q751" s="68">
        <v>36513.5</v>
      </c>
      <c r="R751" s="62">
        <f t="shared" si="80"/>
        <v>3.6032595290861946E-2</v>
      </c>
      <c r="S751" s="67">
        <v>10</v>
      </c>
      <c r="T751" s="66">
        <v>45066</v>
      </c>
      <c r="U751" s="66">
        <v>45066</v>
      </c>
      <c r="V751" s="63">
        <f t="shared" si="81"/>
        <v>0</v>
      </c>
      <c r="W751" s="65" t="s">
        <v>115</v>
      </c>
      <c r="X751" s="64" t="b">
        <f t="shared" si="82"/>
        <v>1</v>
      </c>
      <c r="Y751" s="67">
        <v>290</v>
      </c>
      <c r="Z751" s="67">
        <v>322</v>
      </c>
      <c r="AA751" s="65" t="s">
        <v>82</v>
      </c>
      <c r="AB751" s="64" t="b">
        <f t="shared" si="83"/>
        <v>1</v>
      </c>
    </row>
    <row r="752" spans="1:28" ht="15" customHeight="1" x14ac:dyDescent="0.3">
      <c r="A752" s="57" t="s">
        <v>1629</v>
      </c>
      <c r="B752" s="82">
        <v>45411</v>
      </c>
      <c r="C752" s="59">
        <f t="shared" si="77"/>
        <v>2024</v>
      </c>
      <c r="D752" s="59">
        <f t="shared" si="78"/>
        <v>4</v>
      </c>
      <c r="E752" s="59">
        <f t="shared" si="79"/>
        <v>18</v>
      </c>
      <c r="F752" s="57" t="s">
        <v>60</v>
      </c>
      <c r="G752" s="57" t="s">
        <v>42</v>
      </c>
      <c r="H752" s="57" t="s">
        <v>1630</v>
      </c>
      <c r="I752" s="57" t="s">
        <v>66</v>
      </c>
      <c r="J752" s="57" t="s">
        <v>112</v>
      </c>
      <c r="K752" s="57" t="s">
        <v>74</v>
      </c>
      <c r="L752" s="57" t="s">
        <v>124</v>
      </c>
      <c r="M752" s="60">
        <v>435</v>
      </c>
      <c r="N752" s="57" t="s">
        <v>114</v>
      </c>
      <c r="O752" s="61">
        <v>104.4</v>
      </c>
      <c r="P752" s="61">
        <v>45414</v>
      </c>
      <c r="Q752" s="61">
        <v>2295.5300000000002</v>
      </c>
      <c r="R752" s="62">
        <f t="shared" si="80"/>
        <v>5.0546747698947465E-2</v>
      </c>
      <c r="S752" s="60">
        <v>26</v>
      </c>
      <c r="T752" s="58">
        <v>45437</v>
      </c>
      <c r="U752" s="58">
        <v>45439</v>
      </c>
      <c r="V752" s="63">
        <f t="shared" si="81"/>
        <v>2</v>
      </c>
      <c r="W752" s="57" t="s">
        <v>125</v>
      </c>
      <c r="X752" s="64" t="b">
        <f t="shared" si="82"/>
        <v>0</v>
      </c>
      <c r="Y752" s="60">
        <v>327</v>
      </c>
      <c r="Z752" s="60">
        <v>412</v>
      </c>
      <c r="AA752" s="57" t="s">
        <v>83</v>
      </c>
      <c r="AB752" s="64" t="b">
        <f t="shared" si="83"/>
        <v>1</v>
      </c>
    </row>
    <row r="753" spans="1:28" ht="15" customHeight="1" x14ac:dyDescent="0.3">
      <c r="A753" s="65" t="s">
        <v>1631</v>
      </c>
      <c r="B753" s="81">
        <v>45612</v>
      </c>
      <c r="C753" s="59">
        <f t="shared" si="77"/>
        <v>2024</v>
      </c>
      <c r="D753" s="59">
        <f t="shared" si="78"/>
        <v>11</v>
      </c>
      <c r="E753" s="59">
        <f t="shared" si="79"/>
        <v>46</v>
      </c>
      <c r="F753" s="65" t="s">
        <v>59</v>
      </c>
      <c r="G753" s="65" t="s">
        <v>45</v>
      </c>
      <c r="H753" s="65" t="s">
        <v>1632</v>
      </c>
      <c r="I753" s="65" t="s">
        <v>64</v>
      </c>
      <c r="J753" s="65" t="s">
        <v>143</v>
      </c>
      <c r="K753" s="65" t="s">
        <v>71</v>
      </c>
      <c r="L753" s="65" t="s">
        <v>146</v>
      </c>
      <c r="M753" s="67">
        <v>414</v>
      </c>
      <c r="N753" s="65" t="s">
        <v>120</v>
      </c>
      <c r="O753" s="68">
        <v>203</v>
      </c>
      <c r="P753" s="68">
        <v>84042</v>
      </c>
      <c r="Q753" s="68">
        <v>2424.38</v>
      </c>
      <c r="R753" s="62">
        <f t="shared" si="80"/>
        <v>2.8847243045144095E-2</v>
      </c>
      <c r="S753" s="67">
        <v>7</v>
      </c>
      <c r="T753" s="66">
        <v>45619</v>
      </c>
      <c r="U753" s="66">
        <v>45616</v>
      </c>
      <c r="V753" s="63">
        <f t="shared" si="81"/>
        <v>-3</v>
      </c>
      <c r="W753" s="65" t="s">
        <v>115</v>
      </c>
      <c r="X753" s="64" t="b">
        <f t="shared" si="82"/>
        <v>1</v>
      </c>
      <c r="Y753" s="67">
        <v>91</v>
      </c>
      <c r="Z753" s="67">
        <v>99</v>
      </c>
      <c r="AA753" s="65" t="s">
        <v>82</v>
      </c>
      <c r="AB753" s="64" t="b">
        <f t="shared" si="83"/>
        <v>1</v>
      </c>
    </row>
    <row r="754" spans="1:28" ht="15" customHeight="1" x14ac:dyDescent="0.3">
      <c r="A754" s="57" t="s">
        <v>1633</v>
      </c>
      <c r="B754" s="82">
        <v>45044</v>
      </c>
      <c r="C754" s="59">
        <f t="shared" si="77"/>
        <v>2023</v>
      </c>
      <c r="D754" s="59">
        <f t="shared" si="78"/>
        <v>4</v>
      </c>
      <c r="E754" s="59">
        <f t="shared" si="79"/>
        <v>17</v>
      </c>
      <c r="F754" s="57" t="s">
        <v>58</v>
      </c>
      <c r="G754" s="57" t="s">
        <v>44</v>
      </c>
      <c r="H754" s="57" t="s">
        <v>1634</v>
      </c>
      <c r="I754" s="57" t="s">
        <v>68</v>
      </c>
      <c r="J754" s="57" t="s">
        <v>123</v>
      </c>
      <c r="K754" s="57" t="s">
        <v>74</v>
      </c>
      <c r="L754" s="57" t="s">
        <v>156</v>
      </c>
      <c r="M754" s="60">
        <v>344</v>
      </c>
      <c r="N754" s="57" t="s">
        <v>120</v>
      </c>
      <c r="O754" s="61">
        <v>142.38999999999999</v>
      </c>
      <c r="P754" s="61">
        <v>48982.16</v>
      </c>
      <c r="Q754" s="61">
        <v>2777.26</v>
      </c>
      <c r="R754" s="62">
        <f t="shared" si="80"/>
        <v>5.6699418727144742E-2</v>
      </c>
      <c r="S754" s="60">
        <v>14</v>
      </c>
      <c r="T754" s="58">
        <v>45058</v>
      </c>
      <c r="U754" s="58">
        <v>45057</v>
      </c>
      <c r="V754" s="63">
        <f t="shared" si="81"/>
        <v>-1</v>
      </c>
      <c r="W754" s="57" t="s">
        <v>115</v>
      </c>
      <c r="X754" s="64" t="b">
        <f t="shared" si="82"/>
        <v>1</v>
      </c>
      <c r="Y754" s="60">
        <v>258</v>
      </c>
      <c r="Z754" s="60">
        <v>60</v>
      </c>
      <c r="AA754" s="57" t="s">
        <v>116</v>
      </c>
      <c r="AB754" s="64" t="b">
        <f t="shared" si="83"/>
        <v>0</v>
      </c>
    </row>
    <row r="755" spans="1:28" ht="15" customHeight="1" x14ac:dyDescent="0.3">
      <c r="A755" s="65" t="s">
        <v>1635</v>
      </c>
      <c r="B755" s="81">
        <v>45504</v>
      </c>
      <c r="C755" s="59">
        <f t="shared" si="77"/>
        <v>2024</v>
      </c>
      <c r="D755" s="59">
        <f t="shared" si="78"/>
        <v>7</v>
      </c>
      <c r="E755" s="59">
        <f t="shared" si="79"/>
        <v>31</v>
      </c>
      <c r="F755" s="65" t="s">
        <v>53</v>
      </c>
      <c r="G755" s="65" t="s">
        <v>45</v>
      </c>
      <c r="H755" s="65" t="s">
        <v>1636</v>
      </c>
      <c r="I755" s="65" t="s">
        <v>68</v>
      </c>
      <c r="J755" s="65" t="s">
        <v>143</v>
      </c>
      <c r="K755" s="65" t="s">
        <v>74</v>
      </c>
      <c r="L755" s="65" t="s">
        <v>113</v>
      </c>
      <c r="M755" s="67">
        <v>218</v>
      </c>
      <c r="N755" s="65" t="s">
        <v>132</v>
      </c>
      <c r="O755" s="68">
        <v>211.13</v>
      </c>
      <c r="P755" s="68">
        <v>46026.34</v>
      </c>
      <c r="Q755" s="68">
        <v>2482.88</v>
      </c>
      <c r="R755" s="62">
        <f t="shared" si="80"/>
        <v>5.3944762933572393E-2</v>
      </c>
      <c r="S755" s="67">
        <v>26</v>
      </c>
      <c r="T755" s="66">
        <v>45530</v>
      </c>
      <c r="U755" s="66">
        <v>45530</v>
      </c>
      <c r="V755" s="63">
        <f t="shared" si="81"/>
        <v>0</v>
      </c>
      <c r="W755" s="65" t="s">
        <v>115</v>
      </c>
      <c r="X755" s="64" t="b">
        <f t="shared" si="82"/>
        <v>1</v>
      </c>
      <c r="Y755" s="67">
        <v>321</v>
      </c>
      <c r="Z755" s="67">
        <v>102</v>
      </c>
      <c r="AA755" s="65" t="s">
        <v>116</v>
      </c>
      <c r="AB755" s="64" t="b">
        <f t="shared" si="83"/>
        <v>0</v>
      </c>
    </row>
    <row r="756" spans="1:28" ht="15" customHeight="1" x14ac:dyDescent="0.3">
      <c r="A756" s="57" t="s">
        <v>1637</v>
      </c>
      <c r="B756" s="82">
        <v>45150</v>
      </c>
      <c r="C756" s="59">
        <f t="shared" si="77"/>
        <v>2023</v>
      </c>
      <c r="D756" s="59">
        <f t="shared" si="78"/>
        <v>8</v>
      </c>
      <c r="E756" s="59">
        <f t="shared" si="79"/>
        <v>32</v>
      </c>
      <c r="F756" s="57" t="s">
        <v>52</v>
      </c>
      <c r="G756" s="57" t="s">
        <v>46</v>
      </c>
      <c r="H756" s="57" t="s">
        <v>1638</v>
      </c>
      <c r="I756" s="57" t="s">
        <v>64</v>
      </c>
      <c r="J756" s="57" t="s">
        <v>123</v>
      </c>
      <c r="K756" s="57" t="s">
        <v>73</v>
      </c>
      <c r="L756" s="57" t="s">
        <v>146</v>
      </c>
      <c r="M756" s="60">
        <v>31</v>
      </c>
      <c r="N756" s="57" t="s">
        <v>163</v>
      </c>
      <c r="O756" s="61">
        <v>77.63</v>
      </c>
      <c r="P756" s="61">
        <v>3302.8089</v>
      </c>
      <c r="Q756" s="61">
        <v>151.33000000000001</v>
      </c>
      <c r="R756" s="62">
        <f t="shared" si="80"/>
        <v>4.5818575818903723E-2</v>
      </c>
      <c r="S756" s="60">
        <v>5</v>
      </c>
      <c r="T756" s="58">
        <v>45155</v>
      </c>
      <c r="U756" s="58">
        <v>45167</v>
      </c>
      <c r="V756" s="63">
        <f t="shared" si="81"/>
        <v>12</v>
      </c>
      <c r="W756" s="57" t="s">
        <v>125</v>
      </c>
      <c r="X756" s="64" t="b">
        <f t="shared" si="82"/>
        <v>0</v>
      </c>
      <c r="Y756" s="60">
        <v>436</v>
      </c>
      <c r="Z756" s="60">
        <v>451</v>
      </c>
      <c r="AA756" s="57" t="s">
        <v>81</v>
      </c>
      <c r="AB756" s="64" t="b">
        <f t="shared" si="83"/>
        <v>1</v>
      </c>
    </row>
    <row r="757" spans="1:28" ht="15" customHeight="1" x14ac:dyDescent="0.3">
      <c r="A757" s="65" t="s">
        <v>1639</v>
      </c>
      <c r="B757" s="81">
        <v>45403</v>
      </c>
      <c r="C757" s="59">
        <f t="shared" si="77"/>
        <v>2024</v>
      </c>
      <c r="D757" s="59">
        <f t="shared" si="78"/>
        <v>4</v>
      </c>
      <c r="E757" s="59">
        <f t="shared" si="79"/>
        <v>17</v>
      </c>
      <c r="F757" s="65" t="s">
        <v>54</v>
      </c>
      <c r="G757" s="65" t="s">
        <v>40</v>
      </c>
      <c r="H757" s="65" t="s">
        <v>1640</v>
      </c>
      <c r="I757" s="65" t="s">
        <v>66</v>
      </c>
      <c r="J757" s="65" t="s">
        <v>139</v>
      </c>
      <c r="K757" s="65" t="s">
        <v>73</v>
      </c>
      <c r="L757" s="65" t="s">
        <v>156</v>
      </c>
      <c r="M757" s="67">
        <v>687</v>
      </c>
      <c r="N757" s="65" t="s">
        <v>136</v>
      </c>
      <c r="O757" s="68">
        <v>706.13</v>
      </c>
      <c r="P757" s="68">
        <v>485111.31</v>
      </c>
      <c r="Q757" s="68">
        <v>36995.69</v>
      </c>
      <c r="R757" s="62">
        <f t="shared" si="80"/>
        <v>7.6262270611666433E-2</v>
      </c>
      <c r="S757" s="67">
        <v>3</v>
      </c>
      <c r="T757" s="66">
        <v>45406</v>
      </c>
      <c r="U757" s="66">
        <v>45411</v>
      </c>
      <c r="V757" s="63">
        <f t="shared" si="81"/>
        <v>5</v>
      </c>
      <c r="W757" s="65" t="s">
        <v>125</v>
      </c>
      <c r="X757" s="64" t="b">
        <f t="shared" si="82"/>
        <v>0</v>
      </c>
      <c r="Y757" s="67">
        <v>205</v>
      </c>
      <c r="Z757" s="67">
        <v>392</v>
      </c>
      <c r="AA757" s="65" t="s">
        <v>82</v>
      </c>
      <c r="AB757" s="64" t="b">
        <f t="shared" si="83"/>
        <v>1</v>
      </c>
    </row>
    <row r="758" spans="1:28" ht="15" customHeight="1" x14ac:dyDescent="0.3">
      <c r="A758" s="57" t="s">
        <v>1641</v>
      </c>
      <c r="B758" s="82">
        <v>45643</v>
      </c>
      <c r="C758" s="59">
        <f t="shared" si="77"/>
        <v>2024</v>
      </c>
      <c r="D758" s="59">
        <f t="shared" si="78"/>
        <v>12</v>
      </c>
      <c r="E758" s="59">
        <f t="shared" si="79"/>
        <v>51</v>
      </c>
      <c r="F758" s="57" t="s">
        <v>61</v>
      </c>
      <c r="G758" s="57" t="s">
        <v>44</v>
      </c>
      <c r="H758" s="57" t="s">
        <v>1642</v>
      </c>
      <c r="I758" s="57" t="s">
        <v>67</v>
      </c>
      <c r="J758" s="57" t="s">
        <v>131</v>
      </c>
      <c r="K758" s="57" t="s">
        <v>75</v>
      </c>
      <c r="L758" s="57" t="s">
        <v>113</v>
      </c>
      <c r="M758" s="60">
        <v>620</v>
      </c>
      <c r="N758" s="57" t="s">
        <v>114</v>
      </c>
      <c r="O758" s="61">
        <v>89.61</v>
      </c>
      <c r="P758" s="61">
        <v>55558.2</v>
      </c>
      <c r="Q758" s="61">
        <v>4152.16</v>
      </c>
      <c r="R758" s="62">
        <f t="shared" si="80"/>
        <v>7.4735322598644308E-2</v>
      </c>
      <c r="S758" s="60">
        <v>23</v>
      </c>
      <c r="T758" s="58">
        <v>45666</v>
      </c>
      <c r="U758" s="58">
        <v>45665</v>
      </c>
      <c r="V758" s="63">
        <f t="shared" si="81"/>
        <v>-1</v>
      </c>
      <c r="W758" s="57" t="s">
        <v>115</v>
      </c>
      <c r="X758" s="64" t="b">
        <f t="shared" si="82"/>
        <v>1</v>
      </c>
      <c r="Y758" s="60">
        <v>51</v>
      </c>
      <c r="Z758" s="60">
        <v>118</v>
      </c>
      <c r="AA758" s="57" t="s">
        <v>81</v>
      </c>
      <c r="AB758" s="64" t="b">
        <f t="shared" si="83"/>
        <v>1</v>
      </c>
    </row>
    <row r="759" spans="1:28" ht="15" customHeight="1" x14ac:dyDescent="0.3">
      <c r="A759" s="65" t="s">
        <v>1643</v>
      </c>
      <c r="B759" s="81">
        <v>45189</v>
      </c>
      <c r="C759" s="59">
        <f t="shared" si="77"/>
        <v>2023</v>
      </c>
      <c r="D759" s="59">
        <f t="shared" si="78"/>
        <v>9</v>
      </c>
      <c r="E759" s="59">
        <f t="shared" si="79"/>
        <v>38</v>
      </c>
      <c r="F759" s="65" t="s">
        <v>60</v>
      </c>
      <c r="G759" s="65" t="s">
        <v>41</v>
      </c>
      <c r="H759" s="65" t="s">
        <v>1644</v>
      </c>
      <c r="I759" s="65" t="s">
        <v>66</v>
      </c>
      <c r="J759" s="65" t="s">
        <v>143</v>
      </c>
      <c r="K759" s="65" t="s">
        <v>74</v>
      </c>
      <c r="L759" s="65" t="s">
        <v>119</v>
      </c>
      <c r="M759" s="67">
        <v>217</v>
      </c>
      <c r="N759" s="65" t="s">
        <v>120</v>
      </c>
      <c r="O759" s="68">
        <v>469.97</v>
      </c>
      <c r="P759" s="68">
        <v>101983.49</v>
      </c>
      <c r="Q759" s="68">
        <v>7828.72</v>
      </c>
      <c r="R759" s="62">
        <f t="shared" si="80"/>
        <v>7.6764582188744476E-2</v>
      </c>
      <c r="S759" s="67">
        <v>29</v>
      </c>
      <c r="T759" s="66">
        <v>45218</v>
      </c>
      <c r="U759" s="66">
        <v>45218</v>
      </c>
      <c r="V759" s="63">
        <f t="shared" si="81"/>
        <v>0</v>
      </c>
      <c r="W759" s="65" t="s">
        <v>115</v>
      </c>
      <c r="X759" s="64" t="b">
        <f t="shared" si="82"/>
        <v>1</v>
      </c>
      <c r="Y759" s="67">
        <v>348</v>
      </c>
      <c r="Z759" s="67">
        <v>16</v>
      </c>
      <c r="AA759" s="65" t="s">
        <v>83</v>
      </c>
      <c r="AB759" s="64" t="b">
        <f t="shared" si="83"/>
        <v>1</v>
      </c>
    </row>
    <row r="760" spans="1:28" ht="15" customHeight="1" x14ac:dyDescent="0.3">
      <c r="A760" s="57" t="s">
        <v>1645</v>
      </c>
      <c r="B760" s="82">
        <v>45304</v>
      </c>
      <c r="C760" s="59">
        <f t="shared" si="77"/>
        <v>2024</v>
      </c>
      <c r="D760" s="59">
        <f t="shared" si="78"/>
        <v>1</v>
      </c>
      <c r="E760" s="59">
        <f t="shared" si="79"/>
        <v>2</v>
      </c>
      <c r="F760" s="57" t="s">
        <v>54</v>
      </c>
      <c r="G760" s="57" t="s">
        <v>43</v>
      </c>
      <c r="H760" s="57" t="s">
        <v>1646</v>
      </c>
      <c r="I760" s="57" t="s">
        <v>65</v>
      </c>
      <c r="J760" s="57" t="s">
        <v>151</v>
      </c>
      <c r="K760" s="57" t="s">
        <v>75</v>
      </c>
      <c r="L760" s="57" t="s">
        <v>124</v>
      </c>
      <c r="M760" s="60">
        <v>17</v>
      </c>
      <c r="N760" s="57" t="s">
        <v>136</v>
      </c>
      <c r="O760" s="61">
        <v>215.89</v>
      </c>
      <c r="P760" s="61">
        <v>3670.13</v>
      </c>
      <c r="Q760" s="61">
        <v>142.36009999999999</v>
      </c>
      <c r="R760" s="62">
        <f t="shared" si="80"/>
        <v>3.8788843991902189E-2</v>
      </c>
      <c r="S760" s="60">
        <v>11</v>
      </c>
      <c r="T760" s="58">
        <v>45315</v>
      </c>
      <c r="U760" s="58">
        <v>45315</v>
      </c>
      <c r="V760" s="63">
        <f t="shared" si="81"/>
        <v>0</v>
      </c>
      <c r="W760" s="57" t="s">
        <v>115</v>
      </c>
      <c r="X760" s="64" t="b">
        <f t="shared" si="82"/>
        <v>1</v>
      </c>
      <c r="Y760" s="60">
        <v>180</v>
      </c>
      <c r="Z760" s="60">
        <v>304</v>
      </c>
      <c r="AA760" s="57" t="s">
        <v>116</v>
      </c>
      <c r="AB760" s="64" t="b">
        <f t="shared" si="83"/>
        <v>0</v>
      </c>
    </row>
    <row r="761" spans="1:28" ht="15" customHeight="1" x14ac:dyDescent="0.3">
      <c r="A761" s="65" t="s">
        <v>1647</v>
      </c>
      <c r="B761" s="81">
        <v>45098</v>
      </c>
      <c r="C761" s="59">
        <f t="shared" si="77"/>
        <v>2023</v>
      </c>
      <c r="D761" s="59">
        <f t="shared" si="78"/>
        <v>6</v>
      </c>
      <c r="E761" s="59">
        <f t="shared" si="79"/>
        <v>25</v>
      </c>
      <c r="F761" s="65" t="s">
        <v>58</v>
      </c>
      <c r="G761" s="65" t="s">
        <v>40</v>
      </c>
      <c r="H761" s="65" t="s">
        <v>1648</v>
      </c>
      <c r="I761" s="65" t="s">
        <v>69</v>
      </c>
      <c r="J761" s="65" t="s">
        <v>151</v>
      </c>
      <c r="K761" s="65" t="s">
        <v>71</v>
      </c>
      <c r="L761" s="65" t="s">
        <v>113</v>
      </c>
      <c r="M761" s="67">
        <v>711</v>
      </c>
      <c r="N761" s="65" t="s">
        <v>114</v>
      </c>
      <c r="O761" s="68">
        <v>667.53</v>
      </c>
      <c r="P761" s="68">
        <v>474613.83</v>
      </c>
      <c r="Q761" s="68">
        <v>13238.84</v>
      </c>
      <c r="R761" s="62">
        <f t="shared" si="80"/>
        <v>2.7893919568251942E-2</v>
      </c>
      <c r="S761" s="67">
        <v>11</v>
      </c>
      <c r="T761" s="66">
        <v>45109</v>
      </c>
      <c r="U761" s="66">
        <v>45106</v>
      </c>
      <c r="V761" s="63">
        <f t="shared" si="81"/>
        <v>-3</v>
      </c>
      <c r="W761" s="65" t="s">
        <v>115</v>
      </c>
      <c r="X761" s="64" t="b">
        <f t="shared" si="82"/>
        <v>1</v>
      </c>
      <c r="Y761" s="67">
        <v>437</v>
      </c>
      <c r="Z761" s="67">
        <v>190</v>
      </c>
      <c r="AA761" s="65" t="s">
        <v>116</v>
      </c>
      <c r="AB761" s="64" t="b">
        <f t="shared" si="83"/>
        <v>0</v>
      </c>
    </row>
    <row r="762" spans="1:28" ht="15" customHeight="1" x14ac:dyDescent="0.3">
      <c r="A762" s="57" t="s">
        <v>1649</v>
      </c>
      <c r="B762" s="82">
        <v>45547</v>
      </c>
      <c r="C762" s="59">
        <f t="shared" si="77"/>
        <v>2024</v>
      </c>
      <c r="D762" s="59">
        <f t="shared" si="78"/>
        <v>9</v>
      </c>
      <c r="E762" s="59">
        <f t="shared" si="79"/>
        <v>37</v>
      </c>
      <c r="F762" s="57" t="s">
        <v>54</v>
      </c>
      <c r="G762" s="57" t="s">
        <v>41</v>
      </c>
      <c r="H762" s="57" t="s">
        <v>1650</v>
      </c>
      <c r="I762" s="57" t="s">
        <v>69</v>
      </c>
      <c r="J762" s="57" t="s">
        <v>139</v>
      </c>
      <c r="K762" s="57" t="s">
        <v>72</v>
      </c>
      <c r="L762" s="57" t="s">
        <v>146</v>
      </c>
      <c r="M762" s="60">
        <v>696</v>
      </c>
      <c r="N762" s="57" t="s">
        <v>140</v>
      </c>
      <c r="O762" s="61">
        <v>491.92</v>
      </c>
      <c r="P762" s="61">
        <v>342376.32</v>
      </c>
      <c r="Q762" s="61">
        <v>13057.07</v>
      </c>
      <c r="R762" s="62">
        <f t="shared" si="80"/>
        <v>3.813660360623071E-2</v>
      </c>
      <c r="S762" s="60">
        <v>18</v>
      </c>
      <c r="T762" s="58">
        <v>45565</v>
      </c>
      <c r="U762" s="58">
        <v>45566</v>
      </c>
      <c r="V762" s="63">
        <f t="shared" si="81"/>
        <v>1</v>
      </c>
      <c r="W762" s="57" t="s">
        <v>128</v>
      </c>
      <c r="X762" s="64" t="b">
        <f t="shared" si="82"/>
        <v>0</v>
      </c>
      <c r="Y762" s="60">
        <v>302</v>
      </c>
      <c r="Z762" s="60">
        <v>211</v>
      </c>
      <c r="AA762" s="57" t="s">
        <v>116</v>
      </c>
      <c r="AB762" s="64" t="b">
        <f t="shared" si="83"/>
        <v>0</v>
      </c>
    </row>
    <row r="763" spans="1:28" ht="15" customHeight="1" x14ac:dyDescent="0.3">
      <c r="A763" s="65" t="s">
        <v>1651</v>
      </c>
      <c r="B763" s="81">
        <v>45548</v>
      </c>
      <c r="C763" s="59">
        <f t="shared" si="77"/>
        <v>2024</v>
      </c>
      <c r="D763" s="59">
        <f t="shared" si="78"/>
        <v>9</v>
      </c>
      <c r="E763" s="59">
        <f t="shared" si="79"/>
        <v>37</v>
      </c>
      <c r="F763" s="65" t="s">
        <v>56</v>
      </c>
      <c r="G763" s="65" t="s">
        <v>43</v>
      </c>
      <c r="H763" s="65" t="s">
        <v>1652</v>
      </c>
      <c r="I763" s="65" t="s">
        <v>68</v>
      </c>
      <c r="J763" s="65" t="s">
        <v>139</v>
      </c>
      <c r="K763" s="65" t="s">
        <v>73</v>
      </c>
      <c r="L763" s="65" t="s">
        <v>135</v>
      </c>
      <c r="M763" s="67">
        <v>794</v>
      </c>
      <c r="N763" s="65" t="s">
        <v>136</v>
      </c>
      <c r="O763" s="68">
        <v>204</v>
      </c>
      <c r="P763" s="68">
        <v>161976</v>
      </c>
      <c r="Q763" s="68">
        <v>11938.46</v>
      </c>
      <c r="R763" s="62">
        <f t="shared" si="80"/>
        <v>7.370511680742825E-2</v>
      </c>
      <c r="S763" s="67">
        <v>15</v>
      </c>
      <c r="T763" s="66">
        <v>45563</v>
      </c>
      <c r="U763" s="66">
        <v>45575</v>
      </c>
      <c r="V763" s="63">
        <f t="shared" si="81"/>
        <v>12</v>
      </c>
      <c r="W763" s="65" t="s">
        <v>128</v>
      </c>
      <c r="X763" s="64" t="b">
        <f t="shared" si="82"/>
        <v>0</v>
      </c>
      <c r="Y763" s="67">
        <v>2</v>
      </c>
      <c r="Z763" s="67">
        <v>77</v>
      </c>
      <c r="AA763" s="65" t="s">
        <v>82</v>
      </c>
      <c r="AB763" s="64" t="b">
        <f t="shared" si="83"/>
        <v>1</v>
      </c>
    </row>
    <row r="764" spans="1:28" ht="15" customHeight="1" x14ac:dyDescent="0.3">
      <c r="A764" s="57" t="s">
        <v>1653</v>
      </c>
      <c r="B764" s="82">
        <v>45044</v>
      </c>
      <c r="C764" s="59">
        <f t="shared" si="77"/>
        <v>2023</v>
      </c>
      <c r="D764" s="59">
        <f t="shared" si="78"/>
        <v>4</v>
      </c>
      <c r="E764" s="59">
        <f t="shared" si="79"/>
        <v>17</v>
      </c>
      <c r="F764" s="57" t="s">
        <v>59</v>
      </c>
      <c r="G764" s="57" t="s">
        <v>46</v>
      </c>
      <c r="H764" s="57" t="s">
        <v>1654</v>
      </c>
      <c r="I764" s="57" t="s">
        <v>67</v>
      </c>
      <c r="J764" s="57" t="s">
        <v>151</v>
      </c>
      <c r="K764" s="57" t="s">
        <v>71</v>
      </c>
      <c r="L764" s="57" t="s">
        <v>113</v>
      </c>
      <c r="M764" s="60">
        <v>538</v>
      </c>
      <c r="N764" s="57" t="s">
        <v>163</v>
      </c>
      <c r="O764" s="61">
        <v>44.75</v>
      </c>
      <c r="P764" s="61">
        <v>24075.5</v>
      </c>
      <c r="Q764" s="61">
        <v>1885.67</v>
      </c>
      <c r="R764" s="62">
        <f t="shared" si="80"/>
        <v>7.8323191626342131E-2</v>
      </c>
      <c r="S764" s="60">
        <v>12</v>
      </c>
      <c r="T764" s="58">
        <v>45056</v>
      </c>
      <c r="U764" s="58">
        <v>45053</v>
      </c>
      <c r="V764" s="63">
        <f t="shared" si="81"/>
        <v>-3</v>
      </c>
      <c r="W764" s="57" t="s">
        <v>115</v>
      </c>
      <c r="X764" s="64" t="b">
        <f t="shared" si="82"/>
        <v>1</v>
      </c>
      <c r="Y764" s="60">
        <v>448</v>
      </c>
      <c r="Z764" s="60">
        <v>45</v>
      </c>
      <c r="AA764" s="57" t="s">
        <v>84</v>
      </c>
      <c r="AB764" s="64" t="b">
        <f t="shared" si="83"/>
        <v>1</v>
      </c>
    </row>
    <row r="765" spans="1:28" ht="15" customHeight="1" x14ac:dyDescent="0.3">
      <c r="A765" s="65" t="s">
        <v>1655</v>
      </c>
      <c r="B765" s="81">
        <v>45094</v>
      </c>
      <c r="C765" s="59">
        <f t="shared" si="77"/>
        <v>2023</v>
      </c>
      <c r="D765" s="59">
        <f t="shared" si="78"/>
        <v>6</v>
      </c>
      <c r="E765" s="59">
        <f t="shared" si="79"/>
        <v>24</v>
      </c>
      <c r="F765" s="65" t="s">
        <v>54</v>
      </c>
      <c r="G765" s="65" t="s">
        <v>45</v>
      </c>
      <c r="H765" s="65" t="s">
        <v>1656</v>
      </c>
      <c r="I765" s="65" t="s">
        <v>66</v>
      </c>
      <c r="J765" s="65" t="s">
        <v>143</v>
      </c>
      <c r="K765" s="65" t="s">
        <v>71</v>
      </c>
      <c r="L765" s="65" t="s">
        <v>135</v>
      </c>
      <c r="M765" s="67">
        <v>611</v>
      </c>
      <c r="N765" s="65" t="s">
        <v>114</v>
      </c>
      <c r="O765" s="68">
        <v>233.33</v>
      </c>
      <c r="P765" s="68">
        <v>142564.63</v>
      </c>
      <c r="Q765" s="68">
        <v>10201.85</v>
      </c>
      <c r="R765" s="62">
        <f t="shared" si="80"/>
        <v>7.1559474464318387E-2</v>
      </c>
      <c r="S765" s="67">
        <v>9</v>
      </c>
      <c r="T765" s="66">
        <v>45103</v>
      </c>
      <c r="U765" s="66">
        <v>45103</v>
      </c>
      <c r="V765" s="63">
        <f t="shared" si="81"/>
        <v>0</v>
      </c>
      <c r="W765" s="65" t="s">
        <v>115</v>
      </c>
      <c r="X765" s="64" t="b">
        <f t="shared" si="82"/>
        <v>1</v>
      </c>
      <c r="Y765" s="67">
        <v>398</v>
      </c>
      <c r="Z765" s="67">
        <v>92</v>
      </c>
      <c r="AA765" s="65" t="s">
        <v>116</v>
      </c>
      <c r="AB765" s="64" t="b">
        <f t="shared" si="83"/>
        <v>0</v>
      </c>
    </row>
    <row r="766" spans="1:28" ht="15" customHeight="1" x14ac:dyDescent="0.3">
      <c r="A766" s="57" t="s">
        <v>1657</v>
      </c>
      <c r="B766" s="82">
        <v>45245</v>
      </c>
      <c r="C766" s="59">
        <f t="shared" si="77"/>
        <v>2023</v>
      </c>
      <c r="D766" s="59">
        <f t="shared" si="78"/>
        <v>11</v>
      </c>
      <c r="E766" s="59">
        <f t="shared" si="79"/>
        <v>46</v>
      </c>
      <c r="F766" s="57" t="s">
        <v>60</v>
      </c>
      <c r="G766" s="57" t="s">
        <v>42</v>
      </c>
      <c r="H766" s="57" t="s">
        <v>1658</v>
      </c>
      <c r="I766" s="57" t="s">
        <v>68</v>
      </c>
      <c r="J766" s="57" t="s">
        <v>151</v>
      </c>
      <c r="K766" s="57" t="s">
        <v>73</v>
      </c>
      <c r="L766" s="57" t="s">
        <v>135</v>
      </c>
      <c r="M766" s="60">
        <v>662</v>
      </c>
      <c r="N766" s="57" t="s">
        <v>163</v>
      </c>
      <c r="O766" s="61">
        <v>112.6</v>
      </c>
      <c r="P766" s="61">
        <v>74541.2</v>
      </c>
      <c r="Q766" s="61">
        <v>1982.88</v>
      </c>
      <c r="R766" s="62">
        <f t="shared" si="80"/>
        <v>2.6601127966815668E-2</v>
      </c>
      <c r="S766" s="60">
        <v>10</v>
      </c>
      <c r="T766" s="58">
        <v>45255</v>
      </c>
      <c r="U766" s="58">
        <v>45250</v>
      </c>
      <c r="V766" s="63">
        <f t="shared" si="81"/>
        <v>-5</v>
      </c>
      <c r="W766" s="57" t="s">
        <v>115</v>
      </c>
      <c r="X766" s="64" t="b">
        <f t="shared" si="82"/>
        <v>1</v>
      </c>
      <c r="Y766" s="60">
        <v>83</v>
      </c>
      <c r="Z766" s="60">
        <v>376</v>
      </c>
      <c r="AA766" s="57" t="s">
        <v>84</v>
      </c>
      <c r="AB766" s="64" t="b">
        <f t="shared" si="83"/>
        <v>1</v>
      </c>
    </row>
    <row r="767" spans="1:28" ht="15" customHeight="1" x14ac:dyDescent="0.3">
      <c r="A767" s="65" t="s">
        <v>1659</v>
      </c>
      <c r="B767" s="81">
        <v>45037</v>
      </c>
      <c r="C767" s="59">
        <f t="shared" si="77"/>
        <v>2023</v>
      </c>
      <c r="D767" s="59">
        <f t="shared" si="78"/>
        <v>4</v>
      </c>
      <c r="E767" s="59">
        <f t="shared" si="79"/>
        <v>16</v>
      </c>
      <c r="F767" s="65" t="s">
        <v>52</v>
      </c>
      <c r="G767" s="65" t="s">
        <v>44</v>
      </c>
      <c r="H767" s="65" t="s">
        <v>1660</v>
      </c>
      <c r="I767" s="65" t="s">
        <v>64</v>
      </c>
      <c r="J767" s="65" t="s">
        <v>131</v>
      </c>
      <c r="K767" s="65" t="s">
        <v>73</v>
      </c>
      <c r="L767" s="65" t="s">
        <v>113</v>
      </c>
      <c r="M767" s="67">
        <v>666</v>
      </c>
      <c r="N767" s="65" t="s">
        <v>136</v>
      </c>
      <c r="O767" s="68">
        <v>98.57</v>
      </c>
      <c r="P767" s="68">
        <v>65647.62</v>
      </c>
      <c r="Q767" s="68">
        <v>5044.74</v>
      </c>
      <c r="R767" s="62">
        <f t="shared" si="80"/>
        <v>7.6845740942322049E-2</v>
      </c>
      <c r="S767" s="67">
        <v>26</v>
      </c>
      <c r="T767" s="66">
        <v>45063</v>
      </c>
      <c r="U767" s="66">
        <v>45062</v>
      </c>
      <c r="V767" s="63">
        <f t="shared" si="81"/>
        <v>-1</v>
      </c>
      <c r="W767" s="65" t="s">
        <v>115</v>
      </c>
      <c r="X767" s="64" t="b">
        <f t="shared" si="82"/>
        <v>1</v>
      </c>
      <c r="Y767" s="67">
        <v>213</v>
      </c>
      <c r="Z767" s="67">
        <v>12</v>
      </c>
      <c r="AA767" s="65" t="s">
        <v>116</v>
      </c>
      <c r="AB767" s="64" t="b">
        <f t="shared" si="83"/>
        <v>0</v>
      </c>
    </row>
    <row r="768" spans="1:28" ht="15" customHeight="1" x14ac:dyDescent="0.3">
      <c r="A768" s="57" t="s">
        <v>1661</v>
      </c>
      <c r="B768" s="82">
        <v>45519</v>
      </c>
      <c r="C768" s="59">
        <f t="shared" si="77"/>
        <v>2024</v>
      </c>
      <c r="D768" s="59">
        <f t="shared" si="78"/>
        <v>8</v>
      </c>
      <c r="E768" s="59">
        <f t="shared" si="79"/>
        <v>33</v>
      </c>
      <c r="F768" s="57" t="s">
        <v>56</v>
      </c>
      <c r="G768" s="57" t="s">
        <v>39</v>
      </c>
      <c r="H768" s="57" t="s">
        <v>1662</v>
      </c>
      <c r="I768" s="57" t="s">
        <v>68</v>
      </c>
      <c r="J768" s="57" t="s">
        <v>123</v>
      </c>
      <c r="K768" s="57" t="s">
        <v>74</v>
      </c>
      <c r="L768" s="57" t="s">
        <v>119</v>
      </c>
      <c r="M768" s="60">
        <v>175</v>
      </c>
      <c r="N768" s="57" t="s">
        <v>140</v>
      </c>
      <c r="O768" s="61">
        <v>1767.37</v>
      </c>
      <c r="P768" s="61">
        <v>309289.75</v>
      </c>
      <c r="Q768" s="61">
        <v>14042.21</v>
      </c>
      <c r="R768" s="62">
        <f t="shared" si="80"/>
        <v>4.5401472244068868E-2</v>
      </c>
      <c r="S768" s="60">
        <v>12</v>
      </c>
      <c r="T768" s="58">
        <v>45531</v>
      </c>
      <c r="U768" s="58">
        <v>45528</v>
      </c>
      <c r="V768" s="63">
        <f t="shared" si="81"/>
        <v>-3</v>
      </c>
      <c r="W768" s="57" t="s">
        <v>115</v>
      </c>
      <c r="X768" s="64" t="b">
        <f t="shared" si="82"/>
        <v>1</v>
      </c>
      <c r="Y768" s="60">
        <v>33</v>
      </c>
      <c r="Z768" s="60">
        <v>227</v>
      </c>
      <c r="AA768" s="57" t="s">
        <v>84</v>
      </c>
      <c r="AB768" s="64" t="b">
        <f t="shared" si="83"/>
        <v>1</v>
      </c>
    </row>
    <row r="769" spans="1:28" ht="15" customHeight="1" x14ac:dyDescent="0.3">
      <c r="A769" s="65" t="s">
        <v>1663</v>
      </c>
      <c r="B769" s="81">
        <v>44953</v>
      </c>
      <c r="C769" s="59">
        <f t="shared" si="77"/>
        <v>2023</v>
      </c>
      <c r="D769" s="59">
        <f t="shared" si="78"/>
        <v>1</v>
      </c>
      <c r="E769" s="59">
        <f t="shared" si="79"/>
        <v>4</v>
      </c>
      <c r="F769" s="65" t="s">
        <v>56</v>
      </c>
      <c r="G769" s="65" t="s">
        <v>44</v>
      </c>
      <c r="H769" s="65" t="s">
        <v>1664</v>
      </c>
      <c r="I769" s="65" t="s">
        <v>64</v>
      </c>
      <c r="J769" s="65" t="s">
        <v>131</v>
      </c>
      <c r="K769" s="65" t="s">
        <v>75</v>
      </c>
      <c r="L769" s="65" t="s">
        <v>113</v>
      </c>
      <c r="M769" s="67">
        <v>858</v>
      </c>
      <c r="N769" s="65" t="s">
        <v>163</v>
      </c>
      <c r="O769" s="68">
        <v>147.81</v>
      </c>
      <c r="P769" s="68">
        <v>126820.98</v>
      </c>
      <c r="Q769" s="68">
        <v>2607.2600000000002</v>
      </c>
      <c r="R769" s="62">
        <f t="shared" si="80"/>
        <v>2.0558585811275076E-2</v>
      </c>
      <c r="S769" s="67">
        <v>17</v>
      </c>
      <c r="T769" s="66">
        <v>44970</v>
      </c>
      <c r="U769" s="66">
        <v>44971</v>
      </c>
      <c r="V769" s="63">
        <f t="shared" si="81"/>
        <v>1</v>
      </c>
      <c r="W769" s="65" t="s">
        <v>125</v>
      </c>
      <c r="X769" s="64" t="b">
        <f t="shared" si="82"/>
        <v>0</v>
      </c>
      <c r="Y769" s="67">
        <v>49</v>
      </c>
      <c r="Z769" s="67">
        <v>300</v>
      </c>
      <c r="AA769" s="65" t="s">
        <v>116</v>
      </c>
      <c r="AB769" s="64" t="b">
        <f t="shared" si="83"/>
        <v>0</v>
      </c>
    </row>
    <row r="770" spans="1:28" ht="15" customHeight="1" x14ac:dyDescent="0.3">
      <c r="A770" s="57" t="s">
        <v>1665</v>
      </c>
      <c r="B770" s="82">
        <v>45246</v>
      </c>
      <c r="C770" s="59">
        <f t="shared" ref="C770:C833" si="84">YEAR(B770)</f>
        <v>2023</v>
      </c>
      <c r="D770" s="59">
        <f t="shared" ref="D770:D833" si="85">MONTH(B770)</f>
        <v>11</v>
      </c>
      <c r="E770" s="59">
        <f t="shared" ref="E770:E833" si="86">WEEKNUM(B770,1)</f>
        <v>46</v>
      </c>
      <c r="F770" s="57" t="s">
        <v>54</v>
      </c>
      <c r="G770" s="57" t="s">
        <v>46</v>
      </c>
      <c r="H770" s="57" t="s">
        <v>1666</v>
      </c>
      <c r="I770" s="57" t="s">
        <v>64</v>
      </c>
      <c r="J770" s="57" t="s">
        <v>151</v>
      </c>
      <c r="K770" s="57" t="s">
        <v>71</v>
      </c>
      <c r="L770" s="57" t="s">
        <v>156</v>
      </c>
      <c r="M770" s="60">
        <v>505</v>
      </c>
      <c r="N770" s="57" t="s">
        <v>120</v>
      </c>
      <c r="O770" s="61">
        <v>62.13</v>
      </c>
      <c r="P770" s="61">
        <v>31375.65</v>
      </c>
      <c r="Q770" s="61">
        <v>1460.34</v>
      </c>
      <c r="R770" s="62">
        <f t="shared" ref="R770:R833" si="87">Q770/P770</f>
        <v>4.6543736942501586E-2</v>
      </c>
      <c r="S770" s="60">
        <v>29</v>
      </c>
      <c r="T770" s="58">
        <v>45275</v>
      </c>
      <c r="U770" s="58">
        <v>45275</v>
      </c>
      <c r="V770" s="63">
        <f t="shared" ref="V770:V833" si="88">U770-T770</f>
        <v>0</v>
      </c>
      <c r="W770" s="57" t="s">
        <v>115</v>
      </c>
      <c r="X770" s="64" t="b">
        <f t="shared" ref="X770:X833" si="89">IF(W770="Entregado", TRUE(), FALSE())</f>
        <v>1</v>
      </c>
      <c r="Y770" s="60">
        <v>288</v>
      </c>
      <c r="Z770" s="60">
        <v>436</v>
      </c>
      <c r="AA770" s="57" t="s">
        <v>82</v>
      </c>
      <c r="AB770" s="64" t="b">
        <f t="shared" ref="AB770:AB833" si="90">IF(AA770="Ninguna",FALSE(),TRUE())</f>
        <v>1</v>
      </c>
    </row>
    <row r="771" spans="1:28" ht="15" customHeight="1" x14ac:dyDescent="0.3">
      <c r="A771" s="65" t="s">
        <v>1667</v>
      </c>
      <c r="B771" s="81">
        <v>45516</v>
      </c>
      <c r="C771" s="59">
        <f t="shared" si="84"/>
        <v>2024</v>
      </c>
      <c r="D771" s="59">
        <f t="shared" si="85"/>
        <v>8</v>
      </c>
      <c r="E771" s="59">
        <f t="shared" si="86"/>
        <v>33</v>
      </c>
      <c r="F771" s="65" t="s">
        <v>61</v>
      </c>
      <c r="G771" s="65" t="s">
        <v>41</v>
      </c>
      <c r="H771" s="65" t="s">
        <v>1668</v>
      </c>
      <c r="I771" s="65" t="s">
        <v>65</v>
      </c>
      <c r="J771" s="65" t="s">
        <v>123</v>
      </c>
      <c r="K771" s="65" t="s">
        <v>74</v>
      </c>
      <c r="L771" s="65" t="s">
        <v>124</v>
      </c>
      <c r="M771" s="67">
        <v>599</v>
      </c>
      <c r="N771" s="65" t="s">
        <v>114</v>
      </c>
      <c r="O771" s="68">
        <v>630.44000000000005</v>
      </c>
      <c r="P771" s="68">
        <v>377633.56</v>
      </c>
      <c r="Q771" s="68">
        <v>8596.51</v>
      </c>
      <c r="R771" s="62">
        <f t="shared" si="87"/>
        <v>2.2764157931302504E-2</v>
      </c>
      <c r="S771" s="67">
        <v>6</v>
      </c>
      <c r="T771" s="66">
        <v>45522</v>
      </c>
      <c r="U771" s="66">
        <v>45524</v>
      </c>
      <c r="V771" s="63">
        <f t="shared" si="88"/>
        <v>2</v>
      </c>
      <c r="W771" s="65" t="s">
        <v>128</v>
      </c>
      <c r="X771" s="64" t="b">
        <f t="shared" si="89"/>
        <v>0</v>
      </c>
      <c r="Y771" s="67">
        <v>328</v>
      </c>
      <c r="Z771" s="67">
        <v>16</v>
      </c>
      <c r="AA771" s="65" t="s">
        <v>116</v>
      </c>
      <c r="AB771" s="64" t="b">
        <f t="shared" si="90"/>
        <v>0</v>
      </c>
    </row>
    <row r="772" spans="1:28" ht="15" customHeight="1" x14ac:dyDescent="0.3">
      <c r="A772" s="57" t="s">
        <v>1669</v>
      </c>
      <c r="B772" s="82">
        <v>45620</v>
      </c>
      <c r="C772" s="59">
        <f t="shared" si="84"/>
        <v>2024</v>
      </c>
      <c r="D772" s="59">
        <f t="shared" si="85"/>
        <v>11</v>
      </c>
      <c r="E772" s="59">
        <f t="shared" si="86"/>
        <v>48</v>
      </c>
      <c r="F772" s="57" t="s">
        <v>57</v>
      </c>
      <c r="G772" s="57" t="s">
        <v>39</v>
      </c>
      <c r="H772" s="57" t="s">
        <v>1670</v>
      </c>
      <c r="I772" s="57" t="s">
        <v>65</v>
      </c>
      <c r="J772" s="57" t="s">
        <v>151</v>
      </c>
      <c r="K772" s="57" t="s">
        <v>74</v>
      </c>
      <c r="L772" s="57" t="s">
        <v>135</v>
      </c>
      <c r="M772" s="60">
        <v>438</v>
      </c>
      <c r="N772" s="57" t="s">
        <v>136</v>
      </c>
      <c r="O772" s="61">
        <v>1542.88</v>
      </c>
      <c r="P772" s="61">
        <v>675781.44</v>
      </c>
      <c r="Q772" s="61">
        <v>35568.19</v>
      </c>
      <c r="R772" s="62">
        <f t="shared" si="87"/>
        <v>5.2632682543042326E-2</v>
      </c>
      <c r="S772" s="60">
        <v>7</v>
      </c>
      <c r="T772" s="58">
        <v>45627</v>
      </c>
      <c r="U772" s="58">
        <v>45627</v>
      </c>
      <c r="V772" s="63">
        <f t="shared" si="88"/>
        <v>0</v>
      </c>
      <c r="W772" s="57" t="s">
        <v>115</v>
      </c>
      <c r="X772" s="64" t="b">
        <f t="shared" si="89"/>
        <v>1</v>
      </c>
      <c r="Y772" s="60">
        <v>258</v>
      </c>
      <c r="Z772" s="60">
        <v>302</v>
      </c>
      <c r="AA772" s="57" t="s">
        <v>116</v>
      </c>
      <c r="AB772" s="64" t="b">
        <f t="shared" si="90"/>
        <v>0</v>
      </c>
    </row>
    <row r="773" spans="1:28" ht="15" customHeight="1" x14ac:dyDescent="0.3">
      <c r="A773" s="65" t="s">
        <v>1671</v>
      </c>
      <c r="B773" s="81">
        <v>45311</v>
      </c>
      <c r="C773" s="59">
        <f t="shared" si="84"/>
        <v>2024</v>
      </c>
      <c r="D773" s="59">
        <f t="shared" si="85"/>
        <v>1</v>
      </c>
      <c r="E773" s="59">
        <f t="shared" si="86"/>
        <v>3</v>
      </c>
      <c r="F773" s="65" t="s">
        <v>61</v>
      </c>
      <c r="G773" s="65" t="s">
        <v>42</v>
      </c>
      <c r="H773" s="65" t="s">
        <v>1672</v>
      </c>
      <c r="I773" s="65" t="s">
        <v>64</v>
      </c>
      <c r="J773" s="65" t="s">
        <v>131</v>
      </c>
      <c r="K773" s="65" t="s">
        <v>71</v>
      </c>
      <c r="L773" s="65" t="s">
        <v>124</v>
      </c>
      <c r="M773" s="67">
        <v>783</v>
      </c>
      <c r="N773" s="65" t="s">
        <v>140</v>
      </c>
      <c r="O773" s="68">
        <v>88.3</v>
      </c>
      <c r="P773" s="68">
        <v>69138.899999999994</v>
      </c>
      <c r="Q773" s="68">
        <v>2787.21</v>
      </c>
      <c r="R773" s="62">
        <f t="shared" si="87"/>
        <v>4.0313195610575239E-2</v>
      </c>
      <c r="S773" s="67">
        <v>14</v>
      </c>
      <c r="T773" s="66">
        <v>45325</v>
      </c>
      <c r="U773" s="66">
        <v>45337</v>
      </c>
      <c r="V773" s="63">
        <f t="shared" si="88"/>
        <v>12</v>
      </c>
      <c r="W773" s="65" t="s">
        <v>128</v>
      </c>
      <c r="X773" s="64" t="b">
        <f t="shared" si="89"/>
        <v>0</v>
      </c>
      <c r="Y773" s="67">
        <v>257</v>
      </c>
      <c r="Z773" s="67">
        <v>61</v>
      </c>
      <c r="AA773" s="65" t="s">
        <v>82</v>
      </c>
      <c r="AB773" s="64" t="b">
        <f t="shared" si="90"/>
        <v>1</v>
      </c>
    </row>
    <row r="774" spans="1:28" ht="15" customHeight="1" x14ac:dyDescent="0.3">
      <c r="A774" s="57" t="s">
        <v>1673</v>
      </c>
      <c r="B774" s="82">
        <v>45333</v>
      </c>
      <c r="C774" s="59">
        <f t="shared" si="84"/>
        <v>2024</v>
      </c>
      <c r="D774" s="59">
        <f t="shared" si="85"/>
        <v>2</v>
      </c>
      <c r="E774" s="59">
        <f t="shared" si="86"/>
        <v>7</v>
      </c>
      <c r="F774" s="57" t="s">
        <v>55</v>
      </c>
      <c r="G774" s="57" t="s">
        <v>46</v>
      </c>
      <c r="H774" s="57" t="s">
        <v>1674</v>
      </c>
      <c r="I774" s="57" t="s">
        <v>67</v>
      </c>
      <c r="J774" s="57" t="s">
        <v>131</v>
      </c>
      <c r="K774" s="57" t="s">
        <v>71</v>
      </c>
      <c r="L774" s="57" t="s">
        <v>146</v>
      </c>
      <c r="M774" s="60">
        <v>172</v>
      </c>
      <c r="N774" s="57" t="s">
        <v>120</v>
      </c>
      <c r="O774" s="61">
        <v>42.35</v>
      </c>
      <c r="P774" s="61">
        <v>7284.2</v>
      </c>
      <c r="Q774" s="61">
        <v>352.6</v>
      </c>
      <c r="R774" s="62">
        <f t="shared" si="87"/>
        <v>4.8406139315230232E-2</v>
      </c>
      <c r="S774" s="60">
        <v>13</v>
      </c>
      <c r="T774" s="58">
        <v>45346</v>
      </c>
      <c r="U774" s="58">
        <v>45351</v>
      </c>
      <c r="V774" s="63">
        <f t="shared" si="88"/>
        <v>5</v>
      </c>
      <c r="W774" s="57" t="s">
        <v>125</v>
      </c>
      <c r="X774" s="64" t="b">
        <f t="shared" si="89"/>
        <v>0</v>
      </c>
      <c r="Y774" s="60">
        <v>387</v>
      </c>
      <c r="Z774" s="60">
        <v>433</v>
      </c>
      <c r="AA774" s="57" t="s">
        <v>81</v>
      </c>
      <c r="AB774" s="64" t="b">
        <f t="shared" si="90"/>
        <v>1</v>
      </c>
    </row>
    <row r="775" spans="1:28" ht="15" customHeight="1" x14ac:dyDescent="0.3">
      <c r="A775" s="65" t="s">
        <v>1675</v>
      </c>
      <c r="B775" s="81">
        <v>45130</v>
      </c>
      <c r="C775" s="59">
        <f t="shared" si="84"/>
        <v>2023</v>
      </c>
      <c r="D775" s="59">
        <f t="shared" si="85"/>
        <v>7</v>
      </c>
      <c r="E775" s="59">
        <f t="shared" si="86"/>
        <v>30</v>
      </c>
      <c r="F775" s="65" t="s">
        <v>60</v>
      </c>
      <c r="G775" s="65" t="s">
        <v>39</v>
      </c>
      <c r="H775" s="65" t="s">
        <v>1676</v>
      </c>
      <c r="I775" s="65" t="s">
        <v>65</v>
      </c>
      <c r="J775" s="65" t="s">
        <v>143</v>
      </c>
      <c r="K775" s="65" t="s">
        <v>72</v>
      </c>
      <c r="L775" s="65" t="s">
        <v>135</v>
      </c>
      <c r="M775" s="67">
        <v>375</v>
      </c>
      <c r="N775" s="65" t="s">
        <v>136</v>
      </c>
      <c r="O775" s="68">
        <v>1880.06</v>
      </c>
      <c r="P775" s="68">
        <v>705022.5</v>
      </c>
      <c r="Q775" s="68">
        <v>40038.379999999997</v>
      </c>
      <c r="R775" s="62">
        <f t="shared" si="87"/>
        <v>5.6790215915094908E-2</v>
      </c>
      <c r="S775" s="67">
        <v>8</v>
      </c>
      <c r="T775" s="66">
        <v>45138</v>
      </c>
      <c r="U775" s="66">
        <v>45138</v>
      </c>
      <c r="V775" s="63">
        <f t="shared" si="88"/>
        <v>0</v>
      </c>
      <c r="W775" s="65" t="s">
        <v>115</v>
      </c>
      <c r="X775" s="64" t="b">
        <f t="shared" si="89"/>
        <v>1</v>
      </c>
      <c r="Y775" s="67">
        <v>271</v>
      </c>
      <c r="Z775" s="67">
        <v>42</v>
      </c>
      <c r="AA775" s="65" t="s">
        <v>83</v>
      </c>
      <c r="AB775" s="64" t="b">
        <f t="shared" si="90"/>
        <v>1</v>
      </c>
    </row>
    <row r="776" spans="1:28" ht="15" customHeight="1" x14ac:dyDescent="0.3">
      <c r="A776" s="57" t="s">
        <v>1677</v>
      </c>
      <c r="B776" s="82">
        <v>45004</v>
      </c>
      <c r="C776" s="59">
        <f t="shared" si="84"/>
        <v>2023</v>
      </c>
      <c r="D776" s="59">
        <f t="shared" si="85"/>
        <v>3</v>
      </c>
      <c r="E776" s="59">
        <f t="shared" si="86"/>
        <v>12</v>
      </c>
      <c r="F776" s="57" t="s">
        <v>57</v>
      </c>
      <c r="G776" s="57" t="s">
        <v>46</v>
      </c>
      <c r="H776" s="57" t="s">
        <v>1678</v>
      </c>
      <c r="I776" s="57" t="s">
        <v>65</v>
      </c>
      <c r="J776" s="57" t="s">
        <v>143</v>
      </c>
      <c r="K776" s="57" t="s">
        <v>75</v>
      </c>
      <c r="L776" s="57" t="s">
        <v>146</v>
      </c>
      <c r="M776" s="60">
        <v>535</v>
      </c>
      <c r="N776" s="57" t="s">
        <v>140</v>
      </c>
      <c r="O776" s="61">
        <v>73.739999999999995</v>
      </c>
      <c r="P776" s="61">
        <v>39450.9</v>
      </c>
      <c r="Q776" s="61">
        <v>2845.52</v>
      </c>
      <c r="R776" s="62">
        <f t="shared" si="87"/>
        <v>7.2128139028513921E-2</v>
      </c>
      <c r="S776" s="60">
        <v>10</v>
      </c>
      <c r="T776" s="58">
        <v>45014</v>
      </c>
      <c r="U776" s="58">
        <v>45014</v>
      </c>
      <c r="V776" s="63">
        <f t="shared" si="88"/>
        <v>0</v>
      </c>
      <c r="W776" s="57" t="s">
        <v>115</v>
      </c>
      <c r="X776" s="64" t="b">
        <f t="shared" si="89"/>
        <v>1</v>
      </c>
      <c r="Y776" s="60">
        <v>181</v>
      </c>
      <c r="Z776" s="60">
        <v>67</v>
      </c>
      <c r="AA776" s="57" t="s">
        <v>84</v>
      </c>
      <c r="AB776" s="64" t="b">
        <f t="shared" si="90"/>
        <v>1</v>
      </c>
    </row>
    <row r="777" spans="1:28" ht="15" customHeight="1" x14ac:dyDescent="0.3">
      <c r="A777" s="65" t="s">
        <v>1679</v>
      </c>
      <c r="B777" s="81">
        <v>45533</v>
      </c>
      <c r="C777" s="59">
        <f t="shared" si="84"/>
        <v>2024</v>
      </c>
      <c r="D777" s="59">
        <f t="shared" si="85"/>
        <v>8</v>
      </c>
      <c r="E777" s="59">
        <f t="shared" si="86"/>
        <v>35</v>
      </c>
      <c r="F777" s="65" t="s">
        <v>59</v>
      </c>
      <c r="G777" s="65" t="s">
        <v>45</v>
      </c>
      <c r="H777" s="65" t="s">
        <v>1680</v>
      </c>
      <c r="I777" s="65" t="s">
        <v>69</v>
      </c>
      <c r="J777" s="65" t="s">
        <v>131</v>
      </c>
      <c r="K777" s="65" t="s">
        <v>71</v>
      </c>
      <c r="L777" s="65" t="s">
        <v>156</v>
      </c>
      <c r="M777" s="67">
        <v>248</v>
      </c>
      <c r="N777" s="65" t="s">
        <v>120</v>
      </c>
      <c r="O777" s="68">
        <v>146.13999999999999</v>
      </c>
      <c r="P777" s="68">
        <v>36242.720000000001</v>
      </c>
      <c r="Q777" s="68">
        <v>2164.1999999999998</v>
      </c>
      <c r="R777" s="62">
        <f t="shared" si="87"/>
        <v>5.9714061196289893E-2</v>
      </c>
      <c r="S777" s="67">
        <v>9</v>
      </c>
      <c r="T777" s="66">
        <v>45542</v>
      </c>
      <c r="U777" s="66">
        <v>45545</v>
      </c>
      <c r="V777" s="63">
        <f t="shared" si="88"/>
        <v>3</v>
      </c>
      <c r="W777" s="65" t="s">
        <v>125</v>
      </c>
      <c r="X777" s="64" t="b">
        <f t="shared" si="89"/>
        <v>0</v>
      </c>
      <c r="Y777" s="67">
        <v>32</v>
      </c>
      <c r="Z777" s="67">
        <v>379</v>
      </c>
      <c r="AA777" s="65" t="s">
        <v>116</v>
      </c>
      <c r="AB777" s="64" t="b">
        <f t="shared" si="90"/>
        <v>0</v>
      </c>
    </row>
    <row r="778" spans="1:28" ht="15" customHeight="1" x14ac:dyDescent="0.3">
      <c r="A778" s="57" t="s">
        <v>1681</v>
      </c>
      <c r="B778" s="82">
        <v>45634</v>
      </c>
      <c r="C778" s="59">
        <f t="shared" si="84"/>
        <v>2024</v>
      </c>
      <c r="D778" s="59">
        <f t="shared" si="85"/>
        <v>12</v>
      </c>
      <c r="E778" s="59">
        <f t="shared" si="86"/>
        <v>50</v>
      </c>
      <c r="F778" s="57" t="s">
        <v>56</v>
      </c>
      <c r="G778" s="57" t="s">
        <v>46</v>
      </c>
      <c r="H778" s="57" t="s">
        <v>1682</v>
      </c>
      <c r="I778" s="57" t="s">
        <v>68</v>
      </c>
      <c r="J778" s="57" t="s">
        <v>123</v>
      </c>
      <c r="K778" s="57" t="s">
        <v>73</v>
      </c>
      <c r="L778" s="57" t="s">
        <v>156</v>
      </c>
      <c r="M778" s="60">
        <v>81</v>
      </c>
      <c r="N778" s="57" t="s">
        <v>163</v>
      </c>
      <c r="O778" s="61">
        <v>59.68</v>
      </c>
      <c r="P778" s="61">
        <v>4834.08</v>
      </c>
      <c r="Q778" s="61">
        <v>222.58</v>
      </c>
      <c r="R778" s="62">
        <f t="shared" si="87"/>
        <v>4.6043921490749019E-2</v>
      </c>
      <c r="S778" s="60">
        <v>18</v>
      </c>
      <c r="T778" s="58">
        <v>45652</v>
      </c>
      <c r="U778" s="58">
        <v>45653</v>
      </c>
      <c r="V778" s="63">
        <f t="shared" si="88"/>
        <v>1</v>
      </c>
      <c r="W778" s="57" t="s">
        <v>128</v>
      </c>
      <c r="X778" s="64" t="b">
        <f t="shared" si="89"/>
        <v>0</v>
      </c>
      <c r="Y778" s="60">
        <v>264</v>
      </c>
      <c r="Z778" s="60">
        <v>211</v>
      </c>
      <c r="AA778" s="57" t="s">
        <v>82</v>
      </c>
      <c r="AB778" s="64" t="b">
        <f t="shared" si="90"/>
        <v>1</v>
      </c>
    </row>
    <row r="779" spans="1:28" ht="15" customHeight="1" x14ac:dyDescent="0.3">
      <c r="A779" s="65" t="s">
        <v>1683</v>
      </c>
      <c r="B779" s="81">
        <v>45569</v>
      </c>
      <c r="C779" s="59">
        <f t="shared" si="84"/>
        <v>2024</v>
      </c>
      <c r="D779" s="59">
        <f t="shared" si="85"/>
        <v>10</v>
      </c>
      <c r="E779" s="59">
        <f t="shared" si="86"/>
        <v>40</v>
      </c>
      <c r="F779" s="65" t="s">
        <v>60</v>
      </c>
      <c r="G779" s="65" t="s">
        <v>42</v>
      </c>
      <c r="H779" s="65" t="s">
        <v>1684</v>
      </c>
      <c r="I779" s="65" t="s">
        <v>69</v>
      </c>
      <c r="J779" s="65" t="s">
        <v>143</v>
      </c>
      <c r="K779" s="65" t="s">
        <v>72</v>
      </c>
      <c r="L779" s="65" t="s">
        <v>124</v>
      </c>
      <c r="M779" s="67">
        <v>454</v>
      </c>
      <c r="N779" s="65" t="s">
        <v>136</v>
      </c>
      <c r="O779" s="68">
        <v>118.66</v>
      </c>
      <c r="P779" s="68">
        <v>53871.64</v>
      </c>
      <c r="Q779" s="68">
        <v>3726.07</v>
      </c>
      <c r="R779" s="62">
        <f t="shared" si="87"/>
        <v>6.916570574053435E-2</v>
      </c>
      <c r="S779" s="67">
        <v>27</v>
      </c>
      <c r="T779" s="66">
        <v>45596</v>
      </c>
      <c r="U779" s="66">
        <v>45601</v>
      </c>
      <c r="V779" s="63">
        <f t="shared" si="88"/>
        <v>5</v>
      </c>
      <c r="W779" s="65" t="s">
        <v>128</v>
      </c>
      <c r="X779" s="64" t="b">
        <f t="shared" si="89"/>
        <v>0</v>
      </c>
      <c r="Y779" s="67">
        <v>312</v>
      </c>
      <c r="Z779" s="67">
        <v>202</v>
      </c>
      <c r="AA779" s="65" t="s">
        <v>84</v>
      </c>
      <c r="AB779" s="64" t="b">
        <f t="shared" si="90"/>
        <v>1</v>
      </c>
    </row>
    <row r="780" spans="1:28" ht="15" customHeight="1" x14ac:dyDescent="0.3">
      <c r="A780" s="57" t="s">
        <v>1685</v>
      </c>
      <c r="B780" s="82">
        <v>45175</v>
      </c>
      <c r="C780" s="59">
        <f t="shared" si="84"/>
        <v>2023</v>
      </c>
      <c r="D780" s="59">
        <f t="shared" si="85"/>
        <v>9</v>
      </c>
      <c r="E780" s="59">
        <f t="shared" si="86"/>
        <v>36</v>
      </c>
      <c r="F780" s="57" t="s">
        <v>58</v>
      </c>
      <c r="G780" s="57" t="s">
        <v>40</v>
      </c>
      <c r="H780" s="57" t="s">
        <v>1686</v>
      </c>
      <c r="I780" s="57" t="s">
        <v>67</v>
      </c>
      <c r="J780" s="57" t="s">
        <v>143</v>
      </c>
      <c r="K780" s="57" t="s">
        <v>75</v>
      </c>
      <c r="L780" s="57" t="s">
        <v>156</v>
      </c>
      <c r="M780" s="60">
        <v>664</v>
      </c>
      <c r="N780" s="57" t="s">
        <v>136</v>
      </c>
      <c r="O780" s="61">
        <v>829.27</v>
      </c>
      <c r="P780" s="61">
        <v>550635.28</v>
      </c>
      <c r="Q780" s="61">
        <v>40931.43</v>
      </c>
      <c r="R780" s="62">
        <f t="shared" si="87"/>
        <v>7.4334920929875758E-2</v>
      </c>
      <c r="S780" s="60">
        <v>26</v>
      </c>
      <c r="T780" s="58">
        <v>45201</v>
      </c>
      <c r="U780" s="58">
        <v>45204</v>
      </c>
      <c r="V780" s="63">
        <f t="shared" si="88"/>
        <v>3</v>
      </c>
      <c r="W780" s="57" t="s">
        <v>125</v>
      </c>
      <c r="X780" s="64" t="b">
        <f t="shared" si="89"/>
        <v>0</v>
      </c>
      <c r="Y780" s="60">
        <v>39</v>
      </c>
      <c r="Z780" s="60">
        <v>489</v>
      </c>
      <c r="AA780" s="57" t="s">
        <v>82</v>
      </c>
      <c r="AB780" s="64" t="b">
        <f t="shared" si="90"/>
        <v>1</v>
      </c>
    </row>
    <row r="781" spans="1:28" ht="15" customHeight="1" x14ac:dyDescent="0.3">
      <c r="A781" s="65" t="s">
        <v>1687</v>
      </c>
      <c r="B781" s="81">
        <v>45031</v>
      </c>
      <c r="C781" s="59">
        <f t="shared" si="84"/>
        <v>2023</v>
      </c>
      <c r="D781" s="59">
        <f t="shared" si="85"/>
        <v>4</v>
      </c>
      <c r="E781" s="59">
        <f t="shared" si="86"/>
        <v>15</v>
      </c>
      <c r="F781" s="65" t="s">
        <v>55</v>
      </c>
      <c r="G781" s="65" t="s">
        <v>43</v>
      </c>
      <c r="H781" s="65" t="s">
        <v>1688</v>
      </c>
      <c r="I781" s="65" t="s">
        <v>65</v>
      </c>
      <c r="J781" s="65" t="s">
        <v>112</v>
      </c>
      <c r="K781" s="65" t="s">
        <v>73</v>
      </c>
      <c r="L781" s="65" t="s">
        <v>113</v>
      </c>
      <c r="M781" s="67">
        <v>831</v>
      </c>
      <c r="N781" s="65" t="s">
        <v>163</v>
      </c>
      <c r="O781" s="68">
        <v>220.31</v>
      </c>
      <c r="P781" s="68">
        <v>183077.61</v>
      </c>
      <c r="Q781" s="68">
        <v>4977.07</v>
      </c>
      <c r="R781" s="62">
        <f t="shared" si="87"/>
        <v>2.718557446757143E-2</v>
      </c>
      <c r="S781" s="67">
        <v>2</v>
      </c>
      <c r="T781" s="66">
        <v>45033</v>
      </c>
      <c r="U781" s="66">
        <v>45034</v>
      </c>
      <c r="V781" s="63">
        <f t="shared" si="88"/>
        <v>1</v>
      </c>
      <c r="W781" s="65" t="s">
        <v>125</v>
      </c>
      <c r="X781" s="64" t="b">
        <f t="shared" si="89"/>
        <v>0</v>
      </c>
      <c r="Y781" s="67">
        <v>485</v>
      </c>
      <c r="Z781" s="67">
        <v>213</v>
      </c>
      <c r="AA781" s="65" t="s">
        <v>82</v>
      </c>
      <c r="AB781" s="64" t="b">
        <f t="shared" si="90"/>
        <v>1</v>
      </c>
    </row>
    <row r="782" spans="1:28" ht="15" customHeight="1" x14ac:dyDescent="0.3">
      <c r="A782" s="57" t="s">
        <v>1689</v>
      </c>
      <c r="B782" s="82">
        <v>45640</v>
      </c>
      <c r="C782" s="59">
        <f t="shared" si="84"/>
        <v>2024</v>
      </c>
      <c r="D782" s="59">
        <f t="shared" si="85"/>
        <v>12</v>
      </c>
      <c r="E782" s="59">
        <f t="shared" si="86"/>
        <v>50</v>
      </c>
      <c r="F782" s="57" t="s">
        <v>52</v>
      </c>
      <c r="G782" s="57" t="s">
        <v>39</v>
      </c>
      <c r="H782" s="57" t="s">
        <v>1690</v>
      </c>
      <c r="I782" s="57" t="s">
        <v>65</v>
      </c>
      <c r="J782" s="57" t="s">
        <v>112</v>
      </c>
      <c r="K782" s="57" t="s">
        <v>73</v>
      </c>
      <c r="L782" s="57" t="s">
        <v>135</v>
      </c>
      <c r="M782" s="60">
        <v>518</v>
      </c>
      <c r="N782" s="57" t="s">
        <v>132</v>
      </c>
      <c r="O782" s="61">
        <v>2141.92</v>
      </c>
      <c r="P782" s="61">
        <v>1109514.56</v>
      </c>
      <c r="Q782" s="61">
        <v>57601.53</v>
      </c>
      <c r="R782" s="62">
        <f t="shared" si="87"/>
        <v>5.1915974856607559E-2</v>
      </c>
      <c r="S782" s="60">
        <v>5</v>
      </c>
      <c r="T782" s="58">
        <v>45645</v>
      </c>
      <c r="U782" s="58">
        <v>45657</v>
      </c>
      <c r="V782" s="63">
        <f t="shared" si="88"/>
        <v>12</v>
      </c>
      <c r="W782" s="57" t="s">
        <v>128</v>
      </c>
      <c r="X782" s="64" t="b">
        <f t="shared" si="89"/>
        <v>0</v>
      </c>
      <c r="Y782" s="60">
        <v>307</v>
      </c>
      <c r="Z782" s="60">
        <v>108</v>
      </c>
      <c r="AA782" s="57" t="s">
        <v>83</v>
      </c>
      <c r="AB782" s="64" t="b">
        <f t="shared" si="90"/>
        <v>1</v>
      </c>
    </row>
    <row r="783" spans="1:28" ht="15" customHeight="1" x14ac:dyDescent="0.3">
      <c r="A783" s="65" t="s">
        <v>1691</v>
      </c>
      <c r="B783" s="81">
        <v>45235</v>
      </c>
      <c r="C783" s="59">
        <f t="shared" si="84"/>
        <v>2023</v>
      </c>
      <c r="D783" s="59">
        <f t="shared" si="85"/>
        <v>11</v>
      </c>
      <c r="E783" s="59">
        <f t="shared" si="86"/>
        <v>45</v>
      </c>
      <c r="F783" s="65" t="s">
        <v>55</v>
      </c>
      <c r="G783" s="65" t="s">
        <v>45</v>
      </c>
      <c r="H783" s="65" t="s">
        <v>1692</v>
      </c>
      <c r="I783" s="65" t="s">
        <v>66</v>
      </c>
      <c r="J783" s="65" t="s">
        <v>143</v>
      </c>
      <c r="K783" s="65" t="s">
        <v>75</v>
      </c>
      <c r="L783" s="65" t="s">
        <v>146</v>
      </c>
      <c r="M783" s="67">
        <v>804</v>
      </c>
      <c r="N783" s="65" t="s">
        <v>120</v>
      </c>
      <c r="O783" s="68">
        <v>254.76</v>
      </c>
      <c r="P783" s="68">
        <v>204827.04</v>
      </c>
      <c r="Q783" s="68">
        <v>7593.09</v>
      </c>
      <c r="R783" s="62">
        <f t="shared" si="87"/>
        <v>3.7070740269448801E-2</v>
      </c>
      <c r="S783" s="67">
        <v>29</v>
      </c>
      <c r="T783" s="66">
        <v>45264</v>
      </c>
      <c r="U783" s="66">
        <v>45259</v>
      </c>
      <c r="V783" s="63">
        <f t="shared" si="88"/>
        <v>-5</v>
      </c>
      <c r="W783" s="65" t="s">
        <v>115</v>
      </c>
      <c r="X783" s="64" t="b">
        <f t="shared" si="89"/>
        <v>1</v>
      </c>
      <c r="Y783" s="67">
        <v>209</v>
      </c>
      <c r="Z783" s="67">
        <v>455</v>
      </c>
      <c r="AA783" s="65" t="s">
        <v>83</v>
      </c>
      <c r="AB783" s="64" t="b">
        <f t="shared" si="90"/>
        <v>1</v>
      </c>
    </row>
    <row r="784" spans="1:28" ht="15" customHeight="1" x14ac:dyDescent="0.3">
      <c r="A784" s="57" t="s">
        <v>1693</v>
      </c>
      <c r="B784" s="82">
        <v>45627</v>
      </c>
      <c r="C784" s="59">
        <f t="shared" si="84"/>
        <v>2024</v>
      </c>
      <c r="D784" s="59">
        <f t="shared" si="85"/>
        <v>12</v>
      </c>
      <c r="E784" s="59">
        <f t="shared" si="86"/>
        <v>49</v>
      </c>
      <c r="F784" s="57" t="s">
        <v>60</v>
      </c>
      <c r="G784" s="57" t="s">
        <v>42</v>
      </c>
      <c r="H784" s="57" t="s">
        <v>1694</v>
      </c>
      <c r="I784" s="57" t="s">
        <v>67</v>
      </c>
      <c r="J784" s="57" t="s">
        <v>151</v>
      </c>
      <c r="K784" s="57" t="s">
        <v>72</v>
      </c>
      <c r="L784" s="57" t="s">
        <v>124</v>
      </c>
      <c r="M784" s="60">
        <v>278</v>
      </c>
      <c r="N784" s="57" t="s">
        <v>163</v>
      </c>
      <c r="O784" s="61">
        <v>93.25</v>
      </c>
      <c r="P784" s="61">
        <v>25923.5</v>
      </c>
      <c r="Q784" s="61">
        <v>591.66999999999996</v>
      </c>
      <c r="R784" s="62">
        <f t="shared" si="87"/>
        <v>2.2823692788396625E-2</v>
      </c>
      <c r="S784" s="60">
        <v>5</v>
      </c>
      <c r="T784" s="58">
        <v>45632</v>
      </c>
      <c r="U784" s="58">
        <v>45644</v>
      </c>
      <c r="V784" s="63">
        <f t="shared" si="88"/>
        <v>12</v>
      </c>
      <c r="W784" s="57" t="s">
        <v>125</v>
      </c>
      <c r="X784" s="64" t="b">
        <f t="shared" si="89"/>
        <v>0</v>
      </c>
      <c r="Y784" s="60">
        <v>271</v>
      </c>
      <c r="Z784" s="60">
        <v>283</v>
      </c>
      <c r="AA784" s="57" t="s">
        <v>81</v>
      </c>
      <c r="AB784" s="64" t="b">
        <f t="shared" si="90"/>
        <v>1</v>
      </c>
    </row>
    <row r="785" spans="1:28" ht="15" customHeight="1" x14ac:dyDescent="0.3">
      <c r="A785" s="65" t="s">
        <v>1695</v>
      </c>
      <c r="B785" s="81">
        <v>45541</v>
      </c>
      <c r="C785" s="59">
        <f t="shared" si="84"/>
        <v>2024</v>
      </c>
      <c r="D785" s="59">
        <f t="shared" si="85"/>
        <v>9</v>
      </c>
      <c r="E785" s="59">
        <f t="shared" si="86"/>
        <v>36</v>
      </c>
      <c r="F785" s="65" t="s">
        <v>59</v>
      </c>
      <c r="G785" s="65" t="s">
        <v>46</v>
      </c>
      <c r="H785" s="65" t="s">
        <v>1696</v>
      </c>
      <c r="I785" s="65" t="s">
        <v>68</v>
      </c>
      <c r="J785" s="65" t="s">
        <v>123</v>
      </c>
      <c r="K785" s="65" t="s">
        <v>73</v>
      </c>
      <c r="L785" s="65" t="s">
        <v>124</v>
      </c>
      <c r="M785" s="67">
        <v>762</v>
      </c>
      <c r="N785" s="65" t="s">
        <v>136</v>
      </c>
      <c r="O785" s="68">
        <v>80.290000000000006</v>
      </c>
      <c r="P785" s="68">
        <v>61180.98</v>
      </c>
      <c r="Q785" s="68">
        <v>3677.76</v>
      </c>
      <c r="R785" s="62">
        <f t="shared" si="87"/>
        <v>6.0112799762279061E-2</v>
      </c>
      <c r="S785" s="67">
        <v>6</v>
      </c>
      <c r="T785" s="66">
        <v>45547</v>
      </c>
      <c r="U785" s="66">
        <v>45549</v>
      </c>
      <c r="V785" s="63">
        <f t="shared" si="88"/>
        <v>2</v>
      </c>
      <c r="W785" s="65" t="s">
        <v>125</v>
      </c>
      <c r="X785" s="64" t="b">
        <f t="shared" si="89"/>
        <v>0</v>
      </c>
      <c r="Y785" s="67">
        <v>135</v>
      </c>
      <c r="Z785" s="67">
        <v>428</v>
      </c>
      <c r="AA785" s="65" t="s">
        <v>83</v>
      </c>
      <c r="AB785" s="64" t="b">
        <f t="shared" si="90"/>
        <v>1</v>
      </c>
    </row>
    <row r="786" spans="1:28" ht="15" customHeight="1" x14ac:dyDescent="0.3">
      <c r="A786" s="57" t="s">
        <v>1697</v>
      </c>
      <c r="B786" s="82">
        <v>45050</v>
      </c>
      <c r="C786" s="59">
        <f t="shared" si="84"/>
        <v>2023</v>
      </c>
      <c r="D786" s="59">
        <f t="shared" si="85"/>
        <v>5</v>
      </c>
      <c r="E786" s="59">
        <f t="shared" si="86"/>
        <v>18</v>
      </c>
      <c r="F786" s="57" t="s">
        <v>56</v>
      </c>
      <c r="G786" s="57" t="s">
        <v>45</v>
      </c>
      <c r="H786" s="57" t="s">
        <v>1698</v>
      </c>
      <c r="I786" s="57" t="s">
        <v>68</v>
      </c>
      <c r="J786" s="57" t="s">
        <v>139</v>
      </c>
      <c r="K786" s="57" t="s">
        <v>74</v>
      </c>
      <c r="L786" s="57" t="s">
        <v>156</v>
      </c>
      <c r="M786" s="60">
        <v>424</v>
      </c>
      <c r="N786" s="57" t="s">
        <v>120</v>
      </c>
      <c r="O786" s="61">
        <v>278.3</v>
      </c>
      <c r="P786" s="61">
        <v>117999.2</v>
      </c>
      <c r="Q786" s="61">
        <v>8468.36</v>
      </c>
      <c r="R786" s="62">
        <f t="shared" si="87"/>
        <v>7.1766249262706874E-2</v>
      </c>
      <c r="S786" s="60">
        <v>19</v>
      </c>
      <c r="T786" s="58">
        <v>45069</v>
      </c>
      <c r="U786" s="58">
        <v>45069</v>
      </c>
      <c r="V786" s="63">
        <f t="shared" si="88"/>
        <v>0</v>
      </c>
      <c r="W786" s="57" t="s">
        <v>115</v>
      </c>
      <c r="X786" s="64" t="b">
        <f t="shared" si="89"/>
        <v>1</v>
      </c>
      <c r="Y786" s="60">
        <v>86</v>
      </c>
      <c r="Z786" s="60">
        <v>424</v>
      </c>
      <c r="AA786" s="57" t="s">
        <v>116</v>
      </c>
      <c r="AB786" s="64" t="b">
        <f t="shared" si="90"/>
        <v>0</v>
      </c>
    </row>
    <row r="787" spans="1:28" ht="15" customHeight="1" x14ac:dyDescent="0.3">
      <c r="A787" s="65" t="s">
        <v>1699</v>
      </c>
      <c r="B787" s="81">
        <v>45506</v>
      </c>
      <c r="C787" s="59">
        <f t="shared" si="84"/>
        <v>2024</v>
      </c>
      <c r="D787" s="59">
        <f t="shared" si="85"/>
        <v>8</v>
      </c>
      <c r="E787" s="59">
        <f t="shared" si="86"/>
        <v>31</v>
      </c>
      <c r="F787" s="65" t="s">
        <v>53</v>
      </c>
      <c r="G787" s="65" t="s">
        <v>42</v>
      </c>
      <c r="H787" s="65" t="s">
        <v>1700</v>
      </c>
      <c r="I787" s="65" t="s">
        <v>68</v>
      </c>
      <c r="J787" s="65" t="s">
        <v>143</v>
      </c>
      <c r="K787" s="65" t="s">
        <v>75</v>
      </c>
      <c r="L787" s="65" t="s">
        <v>156</v>
      </c>
      <c r="M787" s="67">
        <v>254</v>
      </c>
      <c r="N787" s="65" t="s">
        <v>120</v>
      </c>
      <c r="O787" s="68">
        <v>85.24</v>
      </c>
      <c r="P787" s="68">
        <v>21650.959999999999</v>
      </c>
      <c r="Q787" s="68">
        <v>644.64</v>
      </c>
      <c r="R787" s="62">
        <f t="shared" si="87"/>
        <v>2.977419938884927E-2</v>
      </c>
      <c r="S787" s="67">
        <v>8</v>
      </c>
      <c r="T787" s="66">
        <v>45514</v>
      </c>
      <c r="U787" s="66">
        <v>45513</v>
      </c>
      <c r="V787" s="63">
        <f t="shared" si="88"/>
        <v>-1</v>
      </c>
      <c r="W787" s="65" t="s">
        <v>125</v>
      </c>
      <c r="X787" s="64" t="b">
        <f t="shared" si="89"/>
        <v>0</v>
      </c>
      <c r="Y787" s="67">
        <v>59</v>
      </c>
      <c r="Z787" s="67">
        <v>93</v>
      </c>
      <c r="AA787" s="65" t="s">
        <v>82</v>
      </c>
      <c r="AB787" s="64" t="b">
        <f t="shared" si="90"/>
        <v>1</v>
      </c>
    </row>
    <row r="788" spans="1:28" ht="15" customHeight="1" x14ac:dyDescent="0.3">
      <c r="A788" s="57" t="s">
        <v>1701</v>
      </c>
      <c r="B788" s="82">
        <v>44969</v>
      </c>
      <c r="C788" s="59">
        <f t="shared" si="84"/>
        <v>2023</v>
      </c>
      <c r="D788" s="59">
        <f t="shared" si="85"/>
        <v>2</v>
      </c>
      <c r="E788" s="59">
        <f t="shared" si="86"/>
        <v>7</v>
      </c>
      <c r="F788" s="57" t="s">
        <v>53</v>
      </c>
      <c r="G788" s="57" t="s">
        <v>40</v>
      </c>
      <c r="H788" s="57" t="s">
        <v>1702</v>
      </c>
      <c r="I788" s="57" t="s">
        <v>67</v>
      </c>
      <c r="J788" s="57" t="s">
        <v>112</v>
      </c>
      <c r="K788" s="57" t="s">
        <v>75</v>
      </c>
      <c r="L788" s="57" t="s">
        <v>146</v>
      </c>
      <c r="M788" s="60">
        <v>684</v>
      </c>
      <c r="N788" s="57" t="s">
        <v>132</v>
      </c>
      <c r="O788" s="61">
        <v>864.07</v>
      </c>
      <c r="P788" s="61">
        <v>591023.88</v>
      </c>
      <c r="Q788" s="61">
        <v>40629.83</v>
      </c>
      <c r="R788" s="62">
        <f t="shared" si="87"/>
        <v>6.8744819583262867E-2</v>
      </c>
      <c r="S788" s="60">
        <v>16</v>
      </c>
      <c r="T788" s="58">
        <v>44985</v>
      </c>
      <c r="U788" s="58">
        <v>44986</v>
      </c>
      <c r="V788" s="63">
        <f t="shared" si="88"/>
        <v>1</v>
      </c>
      <c r="W788" s="57" t="s">
        <v>125</v>
      </c>
      <c r="X788" s="64" t="b">
        <f t="shared" si="89"/>
        <v>0</v>
      </c>
      <c r="Y788" s="60">
        <v>163</v>
      </c>
      <c r="Z788" s="60">
        <v>224</v>
      </c>
      <c r="AA788" s="57" t="s">
        <v>82</v>
      </c>
      <c r="AB788" s="64" t="b">
        <f t="shared" si="90"/>
        <v>1</v>
      </c>
    </row>
    <row r="789" spans="1:28" ht="15" customHeight="1" x14ac:dyDescent="0.3">
      <c r="A789" s="65" t="s">
        <v>1703</v>
      </c>
      <c r="B789" s="81">
        <v>45282</v>
      </c>
      <c r="C789" s="59">
        <f t="shared" si="84"/>
        <v>2023</v>
      </c>
      <c r="D789" s="59">
        <f t="shared" si="85"/>
        <v>12</v>
      </c>
      <c r="E789" s="59">
        <f t="shared" si="86"/>
        <v>51</v>
      </c>
      <c r="F789" s="65" t="s">
        <v>60</v>
      </c>
      <c r="G789" s="65" t="s">
        <v>45</v>
      </c>
      <c r="H789" s="65" t="s">
        <v>1704</v>
      </c>
      <c r="I789" s="65" t="s">
        <v>66</v>
      </c>
      <c r="J789" s="65" t="s">
        <v>123</v>
      </c>
      <c r="K789" s="65" t="s">
        <v>71</v>
      </c>
      <c r="L789" s="65" t="s">
        <v>135</v>
      </c>
      <c r="M789" s="67">
        <v>69</v>
      </c>
      <c r="N789" s="65" t="s">
        <v>136</v>
      </c>
      <c r="O789" s="68">
        <v>201.77</v>
      </c>
      <c r="P789" s="68">
        <v>13922.13</v>
      </c>
      <c r="Q789" s="68">
        <v>991.31</v>
      </c>
      <c r="R789" s="62">
        <f t="shared" si="87"/>
        <v>7.1203903425697074E-2</v>
      </c>
      <c r="S789" s="67">
        <v>13</v>
      </c>
      <c r="T789" s="66">
        <v>45295</v>
      </c>
      <c r="U789" s="66">
        <v>45307</v>
      </c>
      <c r="V789" s="63">
        <f t="shared" si="88"/>
        <v>12</v>
      </c>
      <c r="W789" s="65" t="s">
        <v>125</v>
      </c>
      <c r="X789" s="64" t="b">
        <f t="shared" si="89"/>
        <v>0</v>
      </c>
      <c r="Y789" s="67">
        <v>2</v>
      </c>
      <c r="Z789" s="67">
        <v>224</v>
      </c>
      <c r="AA789" s="65" t="s">
        <v>116</v>
      </c>
      <c r="AB789" s="64" t="b">
        <f t="shared" si="90"/>
        <v>0</v>
      </c>
    </row>
    <row r="790" spans="1:28" ht="15" customHeight="1" x14ac:dyDescent="0.3">
      <c r="A790" s="57" t="s">
        <v>1705</v>
      </c>
      <c r="B790" s="82">
        <v>45472</v>
      </c>
      <c r="C790" s="59">
        <f t="shared" si="84"/>
        <v>2024</v>
      </c>
      <c r="D790" s="59">
        <f t="shared" si="85"/>
        <v>6</v>
      </c>
      <c r="E790" s="59">
        <f t="shared" si="86"/>
        <v>26</v>
      </c>
      <c r="F790" s="57" t="s">
        <v>54</v>
      </c>
      <c r="G790" s="57" t="s">
        <v>45</v>
      </c>
      <c r="H790" s="57" t="s">
        <v>1706</v>
      </c>
      <c r="I790" s="57" t="s">
        <v>66</v>
      </c>
      <c r="J790" s="57" t="s">
        <v>123</v>
      </c>
      <c r="K790" s="57" t="s">
        <v>72</v>
      </c>
      <c r="L790" s="57" t="s">
        <v>135</v>
      </c>
      <c r="M790" s="60">
        <v>15</v>
      </c>
      <c r="N790" s="57" t="s">
        <v>140</v>
      </c>
      <c r="O790" s="61">
        <v>294.67</v>
      </c>
      <c r="P790" s="61">
        <v>4420.05</v>
      </c>
      <c r="Q790" s="61">
        <v>330.89</v>
      </c>
      <c r="R790" s="62">
        <f t="shared" si="87"/>
        <v>7.4861144104704694E-2</v>
      </c>
      <c r="S790" s="60">
        <v>1</v>
      </c>
      <c r="T790" s="58">
        <v>45473</v>
      </c>
      <c r="U790" s="58">
        <v>45472</v>
      </c>
      <c r="V790" s="63">
        <f t="shared" si="88"/>
        <v>-1</v>
      </c>
      <c r="W790" s="57" t="s">
        <v>115</v>
      </c>
      <c r="X790" s="64" t="b">
        <f t="shared" si="89"/>
        <v>1</v>
      </c>
      <c r="Y790" s="60">
        <v>14</v>
      </c>
      <c r="Z790" s="60">
        <v>238</v>
      </c>
      <c r="AA790" s="57" t="s">
        <v>116</v>
      </c>
      <c r="AB790" s="64" t="b">
        <f t="shared" si="90"/>
        <v>0</v>
      </c>
    </row>
    <row r="791" spans="1:28" ht="15" customHeight="1" x14ac:dyDescent="0.3">
      <c r="A791" s="65" t="s">
        <v>1707</v>
      </c>
      <c r="B791" s="81">
        <v>45365</v>
      </c>
      <c r="C791" s="59">
        <f t="shared" si="84"/>
        <v>2024</v>
      </c>
      <c r="D791" s="59">
        <f t="shared" si="85"/>
        <v>3</v>
      </c>
      <c r="E791" s="59">
        <f t="shared" si="86"/>
        <v>11</v>
      </c>
      <c r="F791" s="65" t="s">
        <v>61</v>
      </c>
      <c r="G791" s="65" t="s">
        <v>43</v>
      </c>
      <c r="H791" s="65" t="s">
        <v>1708</v>
      </c>
      <c r="I791" s="65" t="s">
        <v>69</v>
      </c>
      <c r="J791" s="65" t="s">
        <v>112</v>
      </c>
      <c r="K791" s="65" t="s">
        <v>74</v>
      </c>
      <c r="L791" s="65" t="s">
        <v>124</v>
      </c>
      <c r="M791" s="67">
        <v>718</v>
      </c>
      <c r="N791" s="65" t="s">
        <v>132</v>
      </c>
      <c r="O791" s="68">
        <v>251.55</v>
      </c>
      <c r="P791" s="68">
        <v>180612.9</v>
      </c>
      <c r="Q791" s="68">
        <v>6487.09</v>
      </c>
      <c r="R791" s="62">
        <f t="shared" si="87"/>
        <v>3.5917091193375446E-2</v>
      </c>
      <c r="S791" s="67">
        <v>22</v>
      </c>
      <c r="T791" s="66">
        <v>45387</v>
      </c>
      <c r="U791" s="66">
        <v>45389</v>
      </c>
      <c r="V791" s="63">
        <f t="shared" si="88"/>
        <v>2</v>
      </c>
      <c r="W791" s="65" t="s">
        <v>125</v>
      </c>
      <c r="X791" s="64" t="b">
        <f t="shared" si="89"/>
        <v>0</v>
      </c>
      <c r="Y791" s="67">
        <v>101</v>
      </c>
      <c r="Z791" s="67">
        <v>117</v>
      </c>
      <c r="AA791" s="65" t="s">
        <v>84</v>
      </c>
      <c r="AB791" s="64" t="b">
        <f t="shared" si="90"/>
        <v>1</v>
      </c>
    </row>
    <row r="792" spans="1:28" ht="15" customHeight="1" x14ac:dyDescent="0.3">
      <c r="A792" s="57" t="s">
        <v>1709</v>
      </c>
      <c r="B792" s="82">
        <v>45604</v>
      </c>
      <c r="C792" s="59">
        <f t="shared" si="84"/>
        <v>2024</v>
      </c>
      <c r="D792" s="59">
        <f t="shared" si="85"/>
        <v>11</v>
      </c>
      <c r="E792" s="59">
        <f t="shared" si="86"/>
        <v>45</v>
      </c>
      <c r="F792" s="57" t="s">
        <v>55</v>
      </c>
      <c r="G792" s="57" t="s">
        <v>44</v>
      </c>
      <c r="H792" s="57" t="s">
        <v>1710</v>
      </c>
      <c r="I792" s="57" t="s">
        <v>67</v>
      </c>
      <c r="J792" s="57" t="s">
        <v>123</v>
      </c>
      <c r="K792" s="57" t="s">
        <v>74</v>
      </c>
      <c r="L792" s="57" t="s">
        <v>146</v>
      </c>
      <c r="M792" s="60">
        <v>991</v>
      </c>
      <c r="N792" s="57" t="s">
        <v>132</v>
      </c>
      <c r="O792" s="61">
        <v>91.99</v>
      </c>
      <c r="P792" s="61">
        <v>91162.09</v>
      </c>
      <c r="Q792" s="61">
        <v>6767.62</v>
      </c>
      <c r="R792" s="62">
        <f t="shared" si="87"/>
        <v>7.4237218563111051E-2</v>
      </c>
      <c r="S792" s="60">
        <v>20</v>
      </c>
      <c r="T792" s="58">
        <v>45624</v>
      </c>
      <c r="U792" s="58">
        <v>45624</v>
      </c>
      <c r="V792" s="63">
        <f t="shared" si="88"/>
        <v>0</v>
      </c>
      <c r="W792" s="57" t="s">
        <v>115</v>
      </c>
      <c r="X792" s="64" t="b">
        <f t="shared" si="89"/>
        <v>1</v>
      </c>
      <c r="Y792" s="60">
        <v>254</v>
      </c>
      <c r="Z792" s="60">
        <v>419</v>
      </c>
      <c r="AA792" s="57" t="s">
        <v>83</v>
      </c>
      <c r="AB792" s="64" t="b">
        <f t="shared" si="90"/>
        <v>1</v>
      </c>
    </row>
    <row r="793" spans="1:28" ht="15" customHeight="1" x14ac:dyDescent="0.3">
      <c r="A793" s="65" t="s">
        <v>1711</v>
      </c>
      <c r="B793" s="81">
        <v>45306</v>
      </c>
      <c r="C793" s="59">
        <f t="shared" si="84"/>
        <v>2024</v>
      </c>
      <c r="D793" s="59">
        <f t="shared" si="85"/>
        <v>1</v>
      </c>
      <c r="E793" s="59">
        <f t="shared" si="86"/>
        <v>3</v>
      </c>
      <c r="F793" s="65" t="s">
        <v>59</v>
      </c>
      <c r="G793" s="65" t="s">
        <v>39</v>
      </c>
      <c r="H793" s="65" t="s">
        <v>1712</v>
      </c>
      <c r="I793" s="65" t="s">
        <v>67</v>
      </c>
      <c r="J793" s="65" t="s">
        <v>123</v>
      </c>
      <c r="K793" s="65" t="s">
        <v>71</v>
      </c>
      <c r="L793" s="65" t="s">
        <v>124</v>
      </c>
      <c r="M793" s="67">
        <v>579</v>
      </c>
      <c r="N793" s="65" t="s">
        <v>140</v>
      </c>
      <c r="O793" s="68">
        <v>2085.5500000000002</v>
      </c>
      <c r="P793" s="68">
        <v>1207533.45</v>
      </c>
      <c r="Q793" s="68">
        <v>47383.33</v>
      </c>
      <c r="R793" s="62">
        <f t="shared" si="87"/>
        <v>3.923976598743497E-2</v>
      </c>
      <c r="S793" s="67">
        <v>17</v>
      </c>
      <c r="T793" s="66">
        <v>45323</v>
      </c>
      <c r="U793" s="66">
        <v>45323</v>
      </c>
      <c r="V793" s="63">
        <f t="shared" si="88"/>
        <v>0</v>
      </c>
      <c r="W793" s="65" t="s">
        <v>115</v>
      </c>
      <c r="X793" s="64" t="b">
        <f t="shared" si="89"/>
        <v>1</v>
      </c>
      <c r="Y793" s="67">
        <v>224</v>
      </c>
      <c r="Z793" s="67">
        <v>90</v>
      </c>
      <c r="AA793" s="65" t="s">
        <v>116</v>
      </c>
      <c r="AB793" s="64" t="b">
        <f t="shared" si="90"/>
        <v>0</v>
      </c>
    </row>
    <row r="794" spans="1:28" ht="15" customHeight="1" x14ac:dyDescent="0.3">
      <c r="A794" s="57" t="s">
        <v>1713</v>
      </c>
      <c r="B794" s="82">
        <v>44997</v>
      </c>
      <c r="C794" s="59">
        <f t="shared" si="84"/>
        <v>2023</v>
      </c>
      <c r="D794" s="59">
        <f t="shared" si="85"/>
        <v>3</v>
      </c>
      <c r="E794" s="59">
        <f t="shared" si="86"/>
        <v>11</v>
      </c>
      <c r="F794" s="57" t="s">
        <v>55</v>
      </c>
      <c r="G794" s="57" t="s">
        <v>43</v>
      </c>
      <c r="H794" s="57" t="s">
        <v>1714</v>
      </c>
      <c r="I794" s="57" t="s">
        <v>66</v>
      </c>
      <c r="J794" s="57" t="s">
        <v>112</v>
      </c>
      <c r="K794" s="57" t="s">
        <v>73</v>
      </c>
      <c r="L794" s="57" t="s">
        <v>119</v>
      </c>
      <c r="M794" s="60">
        <v>826</v>
      </c>
      <c r="N794" s="57" t="s">
        <v>140</v>
      </c>
      <c r="O794" s="61">
        <v>216.89</v>
      </c>
      <c r="P794" s="61">
        <v>179151.14</v>
      </c>
      <c r="Q794" s="61">
        <v>9520.14</v>
      </c>
      <c r="R794" s="62">
        <f t="shared" si="87"/>
        <v>5.3140270276817655E-2</v>
      </c>
      <c r="S794" s="60">
        <v>7</v>
      </c>
      <c r="T794" s="58">
        <v>45004</v>
      </c>
      <c r="U794" s="58">
        <v>45004</v>
      </c>
      <c r="V794" s="63">
        <f t="shared" si="88"/>
        <v>0</v>
      </c>
      <c r="W794" s="57" t="s">
        <v>115</v>
      </c>
      <c r="X794" s="64" t="b">
        <f t="shared" si="89"/>
        <v>1</v>
      </c>
      <c r="Y794" s="60">
        <v>209</v>
      </c>
      <c r="Z794" s="60">
        <v>339</v>
      </c>
      <c r="AA794" s="57" t="s">
        <v>81</v>
      </c>
      <c r="AB794" s="64" t="b">
        <f t="shared" si="90"/>
        <v>1</v>
      </c>
    </row>
    <row r="795" spans="1:28" ht="15" customHeight="1" x14ac:dyDescent="0.3">
      <c r="A795" s="65" t="s">
        <v>1715</v>
      </c>
      <c r="B795" s="81">
        <v>45445</v>
      </c>
      <c r="C795" s="59">
        <f t="shared" si="84"/>
        <v>2024</v>
      </c>
      <c r="D795" s="59">
        <f t="shared" si="85"/>
        <v>6</v>
      </c>
      <c r="E795" s="59">
        <f t="shared" si="86"/>
        <v>23</v>
      </c>
      <c r="F795" s="65" t="s">
        <v>58</v>
      </c>
      <c r="G795" s="65" t="s">
        <v>41</v>
      </c>
      <c r="H795" s="65" t="s">
        <v>1716</v>
      </c>
      <c r="I795" s="65" t="s">
        <v>64</v>
      </c>
      <c r="J795" s="65" t="s">
        <v>131</v>
      </c>
      <c r="K795" s="65" t="s">
        <v>73</v>
      </c>
      <c r="L795" s="65" t="s">
        <v>135</v>
      </c>
      <c r="M795" s="67">
        <v>416</v>
      </c>
      <c r="N795" s="65" t="s">
        <v>132</v>
      </c>
      <c r="O795" s="68">
        <v>377.5</v>
      </c>
      <c r="P795" s="68">
        <v>157040</v>
      </c>
      <c r="Q795" s="68">
        <v>3616.7</v>
      </c>
      <c r="R795" s="62">
        <f t="shared" si="87"/>
        <v>2.3030438104941413E-2</v>
      </c>
      <c r="S795" s="67">
        <v>25</v>
      </c>
      <c r="T795" s="66">
        <v>45470</v>
      </c>
      <c r="U795" s="66">
        <v>45472</v>
      </c>
      <c r="V795" s="63">
        <f t="shared" si="88"/>
        <v>2</v>
      </c>
      <c r="W795" s="65" t="s">
        <v>125</v>
      </c>
      <c r="X795" s="64" t="b">
        <f t="shared" si="89"/>
        <v>0</v>
      </c>
      <c r="Y795" s="67">
        <v>22</v>
      </c>
      <c r="Z795" s="67">
        <v>288</v>
      </c>
      <c r="AA795" s="65" t="s">
        <v>81</v>
      </c>
      <c r="AB795" s="64" t="b">
        <f t="shared" si="90"/>
        <v>1</v>
      </c>
    </row>
    <row r="796" spans="1:28" ht="15" customHeight="1" x14ac:dyDescent="0.3">
      <c r="A796" s="57" t="s">
        <v>1717</v>
      </c>
      <c r="B796" s="82">
        <v>45590</v>
      </c>
      <c r="C796" s="59">
        <f t="shared" si="84"/>
        <v>2024</v>
      </c>
      <c r="D796" s="59">
        <f t="shared" si="85"/>
        <v>10</v>
      </c>
      <c r="E796" s="59">
        <f t="shared" si="86"/>
        <v>43</v>
      </c>
      <c r="F796" s="57" t="s">
        <v>53</v>
      </c>
      <c r="G796" s="57" t="s">
        <v>39</v>
      </c>
      <c r="H796" s="57" t="s">
        <v>1718</v>
      </c>
      <c r="I796" s="57" t="s">
        <v>64</v>
      </c>
      <c r="J796" s="57" t="s">
        <v>143</v>
      </c>
      <c r="K796" s="57" t="s">
        <v>74</v>
      </c>
      <c r="L796" s="57" t="s">
        <v>146</v>
      </c>
      <c r="M796" s="60">
        <v>226</v>
      </c>
      <c r="N796" s="57" t="s">
        <v>120</v>
      </c>
      <c r="O796" s="61">
        <v>1709.66</v>
      </c>
      <c r="P796" s="61">
        <v>386383.16</v>
      </c>
      <c r="Q796" s="61">
        <v>8744.9599999999991</v>
      </c>
      <c r="R796" s="62">
        <f t="shared" si="87"/>
        <v>2.2632870438763428E-2</v>
      </c>
      <c r="S796" s="60">
        <v>13</v>
      </c>
      <c r="T796" s="58">
        <v>45603</v>
      </c>
      <c r="U796" s="58">
        <v>45605</v>
      </c>
      <c r="V796" s="63">
        <f t="shared" si="88"/>
        <v>2</v>
      </c>
      <c r="W796" s="57" t="s">
        <v>125</v>
      </c>
      <c r="X796" s="64" t="b">
        <f t="shared" si="89"/>
        <v>0</v>
      </c>
      <c r="Y796" s="60">
        <v>234</v>
      </c>
      <c r="Z796" s="60">
        <v>280</v>
      </c>
      <c r="AA796" s="57" t="s">
        <v>82</v>
      </c>
      <c r="AB796" s="64" t="b">
        <f t="shared" si="90"/>
        <v>1</v>
      </c>
    </row>
    <row r="797" spans="1:28" ht="15" customHeight="1" x14ac:dyDescent="0.3">
      <c r="A797" s="65" t="s">
        <v>1719</v>
      </c>
      <c r="B797" s="81">
        <v>45276</v>
      </c>
      <c r="C797" s="59">
        <f t="shared" si="84"/>
        <v>2023</v>
      </c>
      <c r="D797" s="59">
        <f t="shared" si="85"/>
        <v>12</v>
      </c>
      <c r="E797" s="59">
        <f t="shared" si="86"/>
        <v>50</v>
      </c>
      <c r="F797" s="65" t="s">
        <v>56</v>
      </c>
      <c r="G797" s="65" t="s">
        <v>43</v>
      </c>
      <c r="H797" s="65" t="s">
        <v>1720</v>
      </c>
      <c r="I797" s="65" t="s">
        <v>69</v>
      </c>
      <c r="J797" s="65" t="s">
        <v>151</v>
      </c>
      <c r="K797" s="65" t="s">
        <v>72</v>
      </c>
      <c r="L797" s="65" t="s">
        <v>146</v>
      </c>
      <c r="M797" s="67">
        <v>939</v>
      </c>
      <c r="N797" s="65" t="s">
        <v>163</v>
      </c>
      <c r="O797" s="68">
        <v>206.75</v>
      </c>
      <c r="P797" s="68">
        <v>194138.25</v>
      </c>
      <c r="Q797" s="68">
        <v>12273.88</v>
      </c>
      <c r="R797" s="62">
        <f t="shared" si="87"/>
        <v>6.3222368595575576E-2</v>
      </c>
      <c r="S797" s="67">
        <v>4</v>
      </c>
      <c r="T797" s="66">
        <v>45280</v>
      </c>
      <c r="U797" s="66">
        <v>45292</v>
      </c>
      <c r="V797" s="63">
        <f t="shared" si="88"/>
        <v>12</v>
      </c>
      <c r="W797" s="65" t="s">
        <v>128</v>
      </c>
      <c r="X797" s="64" t="b">
        <f t="shared" si="89"/>
        <v>0</v>
      </c>
      <c r="Y797" s="67">
        <v>130</v>
      </c>
      <c r="Z797" s="67">
        <v>491</v>
      </c>
      <c r="AA797" s="65" t="s">
        <v>116</v>
      </c>
      <c r="AB797" s="64" t="b">
        <f t="shared" si="90"/>
        <v>0</v>
      </c>
    </row>
    <row r="798" spans="1:28" ht="15" customHeight="1" x14ac:dyDescent="0.3">
      <c r="A798" s="57" t="s">
        <v>1721</v>
      </c>
      <c r="B798" s="82">
        <v>44939</v>
      </c>
      <c r="C798" s="59">
        <f t="shared" si="84"/>
        <v>2023</v>
      </c>
      <c r="D798" s="59">
        <f t="shared" si="85"/>
        <v>1</v>
      </c>
      <c r="E798" s="59">
        <f t="shared" si="86"/>
        <v>2</v>
      </c>
      <c r="F798" s="57" t="s">
        <v>58</v>
      </c>
      <c r="G798" s="57" t="s">
        <v>46</v>
      </c>
      <c r="H798" s="57" t="s">
        <v>1722</v>
      </c>
      <c r="I798" s="57" t="s">
        <v>64</v>
      </c>
      <c r="J798" s="57" t="s">
        <v>139</v>
      </c>
      <c r="K798" s="57" t="s">
        <v>73</v>
      </c>
      <c r="L798" s="57" t="s">
        <v>124</v>
      </c>
      <c r="M798" s="60">
        <v>35</v>
      </c>
      <c r="N798" s="57" t="s">
        <v>163</v>
      </c>
      <c r="O798" s="61">
        <v>84.13</v>
      </c>
      <c r="P798" s="61">
        <v>3302.8089</v>
      </c>
      <c r="Q798" s="61">
        <v>142.36009999999999</v>
      </c>
      <c r="R798" s="62">
        <f t="shared" si="87"/>
        <v>4.3102735977246516E-2</v>
      </c>
      <c r="S798" s="60">
        <v>4</v>
      </c>
      <c r="T798" s="58">
        <v>44943</v>
      </c>
      <c r="U798" s="58">
        <v>44943</v>
      </c>
      <c r="V798" s="63">
        <f t="shared" si="88"/>
        <v>0</v>
      </c>
      <c r="W798" s="57" t="s">
        <v>115</v>
      </c>
      <c r="X798" s="64" t="b">
        <f t="shared" si="89"/>
        <v>1</v>
      </c>
      <c r="Y798" s="60">
        <v>157</v>
      </c>
      <c r="Z798" s="60">
        <v>490</v>
      </c>
      <c r="AA798" s="57" t="s">
        <v>116</v>
      </c>
      <c r="AB798" s="64" t="b">
        <f t="shared" si="90"/>
        <v>0</v>
      </c>
    </row>
    <row r="799" spans="1:28" ht="15" customHeight="1" x14ac:dyDescent="0.3">
      <c r="A799" s="65" t="s">
        <v>1723</v>
      </c>
      <c r="B799" s="81">
        <v>45357</v>
      </c>
      <c r="C799" s="59">
        <f t="shared" si="84"/>
        <v>2024</v>
      </c>
      <c r="D799" s="59">
        <f t="shared" si="85"/>
        <v>3</v>
      </c>
      <c r="E799" s="59">
        <f t="shared" si="86"/>
        <v>10</v>
      </c>
      <c r="F799" s="65" t="s">
        <v>56</v>
      </c>
      <c r="G799" s="65" t="s">
        <v>39</v>
      </c>
      <c r="H799" s="65" t="s">
        <v>1724</v>
      </c>
      <c r="I799" s="65" t="s">
        <v>64</v>
      </c>
      <c r="J799" s="65" t="s">
        <v>151</v>
      </c>
      <c r="K799" s="65" t="s">
        <v>75</v>
      </c>
      <c r="L799" s="65" t="s">
        <v>156</v>
      </c>
      <c r="M799" s="67">
        <v>824</v>
      </c>
      <c r="N799" s="65" t="s">
        <v>132</v>
      </c>
      <c r="O799" s="68">
        <v>1294.79</v>
      </c>
      <c r="P799" s="68">
        <v>1066906.96</v>
      </c>
      <c r="Q799" s="68">
        <v>37744.550000000003</v>
      </c>
      <c r="R799" s="62">
        <f t="shared" si="87"/>
        <v>3.5377545948336489E-2</v>
      </c>
      <c r="S799" s="67">
        <v>6</v>
      </c>
      <c r="T799" s="66">
        <v>45363</v>
      </c>
      <c r="U799" s="66">
        <v>45366</v>
      </c>
      <c r="V799" s="63">
        <f t="shared" si="88"/>
        <v>3</v>
      </c>
      <c r="W799" s="65" t="s">
        <v>128</v>
      </c>
      <c r="X799" s="64" t="b">
        <f t="shared" si="89"/>
        <v>0</v>
      </c>
      <c r="Y799" s="67">
        <v>172</v>
      </c>
      <c r="Z799" s="67">
        <v>18</v>
      </c>
      <c r="AA799" s="65" t="s">
        <v>116</v>
      </c>
      <c r="AB799" s="64" t="b">
        <f t="shared" si="90"/>
        <v>0</v>
      </c>
    </row>
    <row r="800" spans="1:28" ht="15" customHeight="1" x14ac:dyDescent="0.3">
      <c r="A800" s="57" t="s">
        <v>1725</v>
      </c>
      <c r="B800" s="82">
        <v>45428</v>
      </c>
      <c r="C800" s="59">
        <f t="shared" si="84"/>
        <v>2024</v>
      </c>
      <c r="D800" s="59">
        <f t="shared" si="85"/>
        <v>5</v>
      </c>
      <c r="E800" s="59">
        <f t="shared" si="86"/>
        <v>20</v>
      </c>
      <c r="F800" s="57" t="s">
        <v>55</v>
      </c>
      <c r="G800" s="57" t="s">
        <v>39</v>
      </c>
      <c r="H800" s="57" t="s">
        <v>1726</v>
      </c>
      <c r="I800" s="57" t="s">
        <v>64</v>
      </c>
      <c r="J800" s="57" t="s">
        <v>131</v>
      </c>
      <c r="K800" s="57" t="s">
        <v>71</v>
      </c>
      <c r="L800" s="57" t="s">
        <v>146</v>
      </c>
      <c r="M800" s="60">
        <v>14</v>
      </c>
      <c r="N800" s="57" t="s">
        <v>120</v>
      </c>
      <c r="O800" s="61">
        <v>2041.76</v>
      </c>
      <c r="P800" s="61">
        <v>28584.639999999999</v>
      </c>
      <c r="Q800" s="61">
        <v>898.27</v>
      </c>
      <c r="R800" s="62">
        <f t="shared" si="87"/>
        <v>3.1424919117400113E-2</v>
      </c>
      <c r="S800" s="60">
        <v>28</v>
      </c>
      <c r="T800" s="58">
        <v>45456</v>
      </c>
      <c r="U800" s="58">
        <v>45456</v>
      </c>
      <c r="V800" s="63">
        <f t="shared" si="88"/>
        <v>0</v>
      </c>
      <c r="W800" s="57" t="s">
        <v>115</v>
      </c>
      <c r="X800" s="64" t="b">
        <f t="shared" si="89"/>
        <v>1</v>
      </c>
      <c r="Y800" s="60">
        <v>16</v>
      </c>
      <c r="Z800" s="60">
        <v>174</v>
      </c>
      <c r="AA800" s="57" t="s">
        <v>116</v>
      </c>
      <c r="AB800" s="64" t="b">
        <f t="shared" si="90"/>
        <v>0</v>
      </c>
    </row>
    <row r="801" spans="1:28" ht="15" customHeight="1" x14ac:dyDescent="0.3">
      <c r="A801" s="65" t="s">
        <v>1727</v>
      </c>
      <c r="B801" s="81">
        <v>45035</v>
      </c>
      <c r="C801" s="59">
        <f t="shared" si="84"/>
        <v>2023</v>
      </c>
      <c r="D801" s="59">
        <f t="shared" si="85"/>
        <v>4</v>
      </c>
      <c r="E801" s="59">
        <f t="shared" si="86"/>
        <v>16</v>
      </c>
      <c r="F801" s="65" t="s">
        <v>59</v>
      </c>
      <c r="G801" s="65" t="s">
        <v>42</v>
      </c>
      <c r="H801" s="65" t="s">
        <v>1728</v>
      </c>
      <c r="I801" s="65" t="s">
        <v>65</v>
      </c>
      <c r="J801" s="65" t="s">
        <v>131</v>
      </c>
      <c r="K801" s="65" t="s">
        <v>72</v>
      </c>
      <c r="L801" s="65" t="s">
        <v>124</v>
      </c>
      <c r="M801" s="67">
        <v>995</v>
      </c>
      <c r="N801" s="65" t="s">
        <v>140</v>
      </c>
      <c r="O801" s="68">
        <v>91.69</v>
      </c>
      <c r="P801" s="68">
        <v>91231.55</v>
      </c>
      <c r="Q801" s="68">
        <v>5491.88</v>
      </c>
      <c r="R801" s="62">
        <f t="shared" si="87"/>
        <v>6.0197157671879956E-2</v>
      </c>
      <c r="S801" s="67">
        <v>19</v>
      </c>
      <c r="T801" s="66">
        <v>45054</v>
      </c>
      <c r="U801" s="66">
        <v>45054</v>
      </c>
      <c r="V801" s="63">
        <f t="shared" si="88"/>
        <v>0</v>
      </c>
      <c r="W801" s="65" t="s">
        <v>115</v>
      </c>
      <c r="X801" s="64" t="b">
        <f t="shared" si="89"/>
        <v>1</v>
      </c>
      <c r="Y801" s="67">
        <v>369</v>
      </c>
      <c r="Z801" s="67">
        <v>468</v>
      </c>
      <c r="AA801" s="65" t="s">
        <v>116</v>
      </c>
      <c r="AB801" s="64" t="b">
        <f t="shared" si="90"/>
        <v>0</v>
      </c>
    </row>
    <row r="802" spans="1:28" ht="15" customHeight="1" x14ac:dyDescent="0.3">
      <c r="A802" s="57" t="s">
        <v>1729</v>
      </c>
      <c r="B802" s="82">
        <v>45370</v>
      </c>
      <c r="C802" s="59">
        <f t="shared" si="84"/>
        <v>2024</v>
      </c>
      <c r="D802" s="59">
        <f t="shared" si="85"/>
        <v>3</v>
      </c>
      <c r="E802" s="59">
        <f t="shared" si="86"/>
        <v>12</v>
      </c>
      <c r="F802" s="57" t="s">
        <v>53</v>
      </c>
      <c r="G802" s="57" t="s">
        <v>46</v>
      </c>
      <c r="H802" s="57" t="s">
        <v>1730</v>
      </c>
      <c r="I802" s="57" t="s">
        <v>69</v>
      </c>
      <c r="J802" s="57" t="s">
        <v>123</v>
      </c>
      <c r="K802" s="57" t="s">
        <v>73</v>
      </c>
      <c r="L802" s="57" t="s">
        <v>113</v>
      </c>
      <c r="M802" s="60">
        <v>541</v>
      </c>
      <c r="N802" s="57" t="s">
        <v>114</v>
      </c>
      <c r="O802" s="61">
        <v>44.62</v>
      </c>
      <c r="P802" s="61">
        <v>24139.42</v>
      </c>
      <c r="Q802" s="61">
        <v>483.37</v>
      </c>
      <c r="R802" s="62">
        <f t="shared" si="87"/>
        <v>2.0024093370926064E-2</v>
      </c>
      <c r="S802" s="60">
        <v>29</v>
      </c>
      <c r="T802" s="58">
        <v>45399</v>
      </c>
      <c r="U802" s="58">
        <v>45399</v>
      </c>
      <c r="V802" s="63">
        <f t="shared" si="88"/>
        <v>0</v>
      </c>
      <c r="W802" s="57" t="s">
        <v>115</v>
      </c>
      <c r="X802" s="64" t="b">
        <f t="shared" si="89"/>
        <v>1</v>
      </c>
      <c r="Y802" s="60">
        <v>441</v>
      </c>
      <c r="Z802" s="60">
        <v>105</v>
      </c>
      <c r="AA802" s="57" t="s">
        <v>81</v>
      </c>
      <c r="AB802" s="64" t="b">
        <f t="shared" si="90"/>
        <v>1</v>
      </c>
    </row>
    <row r="803" spans="1:28" ht="15" customHeight="1" x14ac:dyDescent="0.3">
      <c r="A803" s="65" t="s">
        <v>1731</v>
      </c>
      <c r="B803" s="81">
        <v>45297</v>
      </c>
      <c r="C803" s="59">
        <f t="shared" si="84"/>
        <v>2024</v>
      </c>
      <c r="D803" s="59">
        <f t="shared" si="85"/>
        <v>1</v>
      </c>
      <c r="E803" s="59">
        <f t="shared" si="86"/>
        <v>1</v>
      </c>
      <c r="F803" s="65" t="s">
        <v>55</v>
      </c>
      <c r="G803" s="65" t="s">
        <v>41</v>
      </c>
      <c r="H803" s="65" t="s">
        <v>1732</v>
      </c>
      <c r="I803" s="65" t="s">
        <v>66</v>
      </c>
      <c r="J803" s="65" t="s">
        <v>151</v>
      </c>
      <c r="K803" s="65" t="s">
        <v>74</v>
      </c>
      <c r="L803" s="65" t="s">
        <v>156</v>
      </c>
      <c r="M803" s="67">
        <v>399</v>
      </c>
      <c r="N803" s="65" t="s">
        <v>132</v>
      </c>
      <c r="O803" s="68">
        <v>738.74</v>
      </c>
      <c r="P803" s="68">
        <v>294757.26</v>
      </c>
      <c r="Q803" s="68">
        <v>20147.68</v>
      </c>
      <c r="R803" s="62">
        <f t="shared" si="87"/>
        <v>6.8353464813725034E-2</v>
      </c>
      <c r="S803" s="67">
        <v>12</v>
      </c>
      <c r="T803" s="66">
        <v>45309</v>
      </c>
      <c r="U803" s="66">
        <v>45309</v>
      </c>
      <c r="V803" s="63">
        <f t="shared" si="88"/>
        <v>0</v>
      </c>
      <c r="W803" s="65" t="s">
        <v>115</v>
      </c>
      <c r="X803" s="64" t="b">
        <f t="shared" si="89"/>
        <v>1</v>
      </c>
      <c r="Y803" s="67">
        <v>313</v>
      </c>
      <c r="Z803" s="67">
        <v>288</v>
      </c>
      <c r="AA803" s="65" t="s">
        <v>116</v>
      </c>
      <c r="AB803" s="64" t="b">
        <f t="shared" si="90"/>
        <v>0</v>
      </c>
    </row>
    <row r="804" spans="1:28" ht="15" customHeight="1" x14ac:dyDescent="0.3">
      <c r="A804" s="57" t="s">
        <v>1733</v>
      </c>
      <c r="B804" s="82">
        <v>45577</v>
      </c>
      <c r="C804" s="59">
        <f t="shared" si="84"/>
        <v>2024</v>
      </c>
      <c r="D804" s="59">
        <f t="shared" si="85"/>
        <v>10</v>
      </c>
      <c r="E804" s="59">
        <f t="shared" si="86"/>
        <v>41</v>
      </c>
      <c r="F804" s="57" t="s">
        <v>53</v>
      </c>
      <c r="G804" s="57" t="s">
        <v>44</v>
      </c>
      <c r="H804" s="57" t="s">
        <v>1734</v>
      </c>
      <c r="I804" s="57" t="s">
        <v>64</v>
      </c>
      <c r="J804" s="57" t="s">
        <v>131</v>
      </c>
      <c r="K804" s="57" t="s">
        <v>71</v>
      </c>
      <c r="L804" s="57" t="s">
        <v>156</v>
      </c>
      <c r="M804" s="60">
        <v>719</v>
      </c>
      <c r="N804" s="57" t="s">
        <v>136</v>
      </c>
      <c r="O804" s="61">
        <v>133.21</v>
      </c>
      <c r="P804" s="61">
        <v>95777.99</v>
      </c>
      <c r="Q804" s="61">
        <v>2370.98</v>
      </c>
      <c r="R804" s="62">
        <f t="shared" si="87"/>
        <v>2.4754956749457782E-2</v>
      </c>
      <c r="S804" s="60">
        <v>22</v>
      </c>
      <c r="T804" s="58">
        <v>45599</v>
      </c>
      <c r="U804" s="58">
        <v>45596</v>
      </c>
      <c r="V804" s="63">
        <f t="shared" si="88"/>
        <v>-3</v>
      </c>
      <c r="W804" s="57" t="s">
        <v>115</v>
      </c>
      <c r="X804" s="64" t="b">
        <f t="shared" si="89"/>
        <v>1</v>
      </c>
      <c r="Y804" s="60">
        <v>479</v>
      </c>
      <c r="Z804" s="60">
        <v>247</v>
      </c>
      <c r="AA804" s="57" t="s">
        <v>116</v>
      </c>
      <c r="AB804" s="64" t="b">
        <f t="shared" si="90"/>
        <v>0</v>
      </c>
    </row>
    <row r="805" spans="1:28" ht="15" customHeight="1" x14ac:dyDescent="0.3">
      <c r="A805" s="65" t="s">
        <v>1735</v>
      </c>
      <c r="B805" s="81">
        <v>45397</v>
      </c>
      <c r="C805" s="59">
        <f t="shared" si="84"/>
        <v>2024</v>
      </c>
      <c r="D805" s="59">
        <f t="shared" si="85"/>
        <v>4</v>
      </c>
      <c r="E805" s="59">
        <f t="shared" si="86"/>
        <v>16</v>
      </c>
      <c r="F805" s="65" t="s">
        <v>60</v>
      </c>
      <c r="G805" s="65" t="s">
        <v>45</v>
      </c>
      <c r="H805" s="65" t="s">
        <v>1736</v>
      </c>
      <c r="I805" s="65" t="s">
        <v>68</v>
      </c>
      <c r="J805" s="65" t="s">
        <v>151</v>
      </c>
      <c r="K805" s="65" t="s">
        <v>73</v>
      </c>
      <c r="L805" s="65" t="s">
        <v>135</v>
      </c>
      <c r="M805" s="67">
        <v>580</v>
      </c>
      <c r="N805" s="65" t="s">
        <v>120</v>
      </c>
      <c r="O805" s="68">
        <v>186.54</v>
      </c>
      <c r="P805" s="68">
        <v>108193.2</v>
      </c>
      <c r="Q805" s="68">
        <v>3406.94</v>
      </c>
      <c r="R805" s="62">
        <f t="shared" si="87"/>
        <v>3.1489409685636439E-2</v>
      </c>
      <c r="S805" s="67">
        <v>7</v>
      </c>
      <c r="T805" s="66">
        <v>45404</v>
      </c>
      <c r="U805" s="66">
        <v>45406</v>
      </c>
      <c r="V805" s="63">
        <f t="shared" si="88"/>
        <v>2</v>
      </c>
      <c r="W805" s="65" t="s">
        <v>125</v>
      </c>
      <c r="X805" s="64" t="b">
        <f t="shared" si="89"/>
        <v>0</v>
      </c>
      <c r="Y805" s="67">
        <v>365</v>
      </c>
      <c r="Z805" s="67">
        <v>322</v>
      </c>
      <c r="AA805" s="65" t="s">
        <v>82</v>
      </c>
      <c r="AB805" s="64" t="b">
        <f t="shared" si="90"/>
        <v>1</v>
      </c>
    </row>
    <row r="806" spans="1:28" ht="15" customHeight="1" x14ac:dyDescent="0.3">
      <c r="A806" s="57" t="s">
        <v>1737</v>
      </c>
      <c r="B806" s="82">
        <v>45651</v>
      </c>
      <c r="C806" s="59">
        <f t="shared" si="84"/>
        <v>2024</v>
      </c>
      <c r="D806" s="59">
        <f t="shared" si="85"/>
        <v>12</v>
      </c>
      <c r="E806" s="59">
        <f t="shared" si="86"/>
        <v>52</v>
      </c>
      <c r="F806" s="57" t="s">
        <v>52</v>
      </c>
      <c r="G806" s="57" t="s">
        <v>40</v>
      </c>
      <c r="H806" s="57" t="s">
        <v>1738</v>
      </c>
      <c r="I806" s="57" t="s">
        <v>65</v>
      </c>
      <c r="J806" s="57" t="s">
        <v>131</v>
      </c>
      <c r="K806" s="57" t="s">
        <v>74</v>
      </c>
      <c r="L806" s="57" t="s">
        <v>119</v>
      </c>
      <c r="M806" s="60">
        <v>457</v>
      </c>
      <c r="N806" s="57" t="s">
        <v>136</v>
      </c>
      <c r="O806" s="61">
        <v>860.42</v>
      </c>
      <c r="P806" s="61">
        <v>393211.94</v>
      </c>
      <c r="Q806" s="61">
        <v>16976.599999999999</v>
      </c>
      <c r="R806" s="62">
        <f t="shared" si="87"/>
        <v>4.3174172177986248E-2</v>
      </c>
      <c r="S806" s="60">
        <v>27</v>
      </c>
      <c r="T806" s="58">
        <v>45678</v>
      </c>
      <c r="U806" s="58">
        <v>45679</v>
      </c>
      <c r="V806" s="63">
        <f t="shared" si="88"/>
        <v>1</v>
      </c>
      <c r="W806" s="57" t="s">
        <v>128</v>
      </c>
      <c r="X806" s="64" t="b">
        <f t="shared" si="89"/>
        <v>0</v>
      </c>
      <c r="Y806" s="60">
        <v>184</v>
      </c>
      <c r="Z806" s="60">
        <v>141</v>
      </c>
      <c r="AA806" s="57" t="s">
        <v>81</v>
      </c>
      <c r="AB806" s="64" t="b">
        <f t="shared" si="90"/>
        <v>1</v>
      </c>
    </row>
    <row r="807" spans="1:28" ht="15" customHeight="1" x14ac:dyDescent="0.3">
      <c r="A807" s="65" t="s">
        <v>1739</v>
      </c>
      <c r="B807" s="81">
        <v>45083</v>
      </c>
      <c r="C807" s="59">
        <f t="shared" si="84"/>
        <v>2023</v>
      </c>
      <c r="D807" s="59">
        <f t="shared" si="85"/>
        <v>6</v>
      </c>
      <c r="E807" s="59">
        <f t="shared" si="86"/>
        <v>23</v>
      </c>
      <c r="F807" s="65" t="s">
        <v>52</v>
      </c>
      <c r="G807" s="65" t="s">
        <v>43</v>
      </c>
      <c r="H807" s="65" t="s">
        <v>1740</v>
      </c>
      <c r="I807" s="65" t="s">
        <v>64</v>
      </c>
      <c r="J807" s="65" t="s">
        <v>139</v>
      </c>
      <c r="K807" s="65" t="s">
        <v>73</v>
      </c>
      <c r="L807" s="65" t="s">
        <v>135</v>
      </c>
      <c r="M807" s="67">
        <v>763</v>
      </c>
      <c r="N807" s="65" t="s">
        <v>136</v>
      </c>
      <c r="O807" s="68">
        <v>277.26</v>
      </c>
      <c r="P807" s="68">
        <v>211549.38</v>
      </c>
      <c r="Q807" s="68">
        <v>10385.280000000001</v>
      </c>
      <c r="R807" s="62">
        <f t="shared" si="87"/>
        <v>4.9091517072751528E-2</v>
      </c>
      <c r="S807" s="67">
        <v>10</v>
      </c>
      <c r="T807" s="66">
        <v>45093</v>
      </c>
      <c r="U807" s="66">
        <v>45088</v>
      </c>
      <c r="V807" s="63">
        <f t="shared" si="88"/>
        <v>-5</v>
      </c>
      <c r="W807" s="65" t="s">
        <v>115</v>
      </c>
      <c r="X807" s="64" t="b">
        <f t="shared" si="89"/>
        <v>1</v>
      </c>
      <c r="Y807" s="67">
        <v>390</v>
      </c>
      <c r="Z807" s="67">
        <v>462</v>
      </c>
      <c r="AA807" s="65" t="s">
        <v>116</v>
      </c>
      <c r="AB807" s="64" t="b">
        <f t="shared" si="90"/>
        <v>0</v>
      </c>
    </row>
    <row r="808" spans="1:28" ht="15" customHeight="1" x14ac:dyDescent="0.3">
      <c r="A808" s="57" t="s">
        <v>1741</v>
      </c>
      <c r="B808" s="82">
        <v>45372</v>
      </c>
      <c r="C808" s="59">
        <f t="shared" si="84"/>
        <v>2024</v>
      </c>
      <c r="D808" s="59">
        <f t="shared" si="85"/>
        <v>3</v>
      </c>
      <c r="E808" s="59">
        <f t="shared" si="86"/>
        <v>12</v>
      </c>
      <c r="F808" s="57" t="s">
        <v>56</v>
      </c>
      <c r="G808" s="57" t="s">
        <v>42</v>
      </c>
      <c r="H808" s="57" t="s">
        <v>1742</v>
      </c>
      <c r="I808" s="57" t="s">
        <v>65</v>
      </c>
      <c r="J808" s="57" t="s">
        <v>131</v>
      </c>
      <c r="K808" s="57" t="s">
        <v>71</v>
      </c>
      <c r="L808" s="57" t="s">
        <v>113</v>
      </c>
      <c r="M808" s="60">
        <v>155</v>
      </c>
      <c r="N808" s="57" t="s">
        <v>132</v>
      </c>
      <c r="O808" s="61">
        <v>75.510000000000005</v>
      </c>
      <c r="P808" s="61">
        <v>11704.05</v>
      </c>
      <c r="Q808" s="61">
        <v>483.37</v>
      </c>
      <c r="R808" s="62">
        <f t="shared" si="87"/>
        <v>4.1299379274695514E-2</v>
      </c>
      <c r="S808" s="60">
        <v>26</v>
      </c>
      <c r="T808" s="58">
        <v>45398</v>
      </c>
      <c r="U808" s="58">
        <v>45398</v>
      </c>
      <c r="V808" s="63">
        <f t="shared" si="88"/>
        <v>0</v>
      </c>
      <c r="W808" s="57" t="s">
        <v>115</v>
      </c>
      <c r="X808" s="64" t="b">
        <f t="shared" si="89"/>
        <v>1</v>
      </c>
      <c r="Y808" s="60">
        <v>422</v>
      </c>
      <c r="Z808" s="60">
        <v>416</v>
      </c>
      <c r="AA808" s="57" t="s">
        <v>116</v>
      </c>
      <c r="AB808" s="64" t="b">
        <f t="shared" si="90"/>
        <v>0</v>
      </c>
    </row>
    <row r="809" spans="1:28" ht="15" customHeight="1" x14ac:dyDescent="0.3">
      <c r="A809" s="65" t="s">
        <v>1743</v>
      </c>
      <c r="B809" s="81">
        <v>45107</v>
      </c>
      <c r="C809" s="59">
        <f t="shared" si="84"/>
        <v>2023</v>
      </c>
      <c r="D809" s="59">
        <f t="shared" si="85"/>
        <v>6</v>
      </c>
      <c r="E809" s="59">
        <f t="shared" si="86"/>
        <v>26</v>
      </c>
      <c r="F809" s="65" t="s">
        <v>55</v>
      </c>
      <c r="G809" s="65" t="s">
        <v>43</v>
      </c>
      <c r="H809" s="65" t="s">
        <v>1744</v>
      </c>
      <c r="I809" s="65" t="s">
        <v>69</v>
      </c>
      <c r="J809" s="65" t="s">
        <v>151</v>
      </c>
      <c r="K809" s="65" t="s">
        <v>75</v>
      </c>
      <c r="L809" s="65" t="s">
        <v>124</v>
      </c>
      <c r="M809" s="67">
        <v>397</v>
      </c>
      <c r="N809" s="65" t="s">
        <v>120</v>
      </c>
      <c r="O809" s="68">
        <v>170.83</v>
      </c>
      <c r="P809" s="68">
        <v>67819.509999999995</v>
      </c>
      <c r="Q809" s="68">
        <v>2661.42</v>
      </c>
      <c r="R809" s="62">
        <f t="shared" si="87"/>
        <v>3.9242689898526258E-2</v>
      </c>
      <c r="S809" s="67">
        <v>19</v>
      </c>
      <c r="T809" s="66">
        <v>45126</v>
      </c>
      <c r="U809" s="66">
        <v>45138</v>
      </c>
      <c r="V809" s="63">
        <f t="shared" si="88"/>
        <v>12</v>
      </c>
      <c r="W809" s="65" t="s">
        <v>125</v>
      </c>
      <c r="X809" s="64" t="b">
        <f t="shared" si="89"/>
        <v>0</v>
      </c>
      <c r="Y809" s="67">
        <v>333</v>
      </c>
      <c r="Z809" s="67">
        <v>297</v>
      </c>
      <c r="AA809" s="65" t="s">
        <v>81</v>
      </c>
      <c r="AB809" s="64" t="b">
        <f t="shared" si="90"/>
        <v>1</v>
      </c>
    </row>
    <row r="810" spans="1:28" ht="15" customHeight="1" x14ac:dyDescent="0.3">
      <c r="A810" s="57" t="s">
        <v>1745</v>
      </c>
      <c r="B810" s="82">
        <v>45461</v>
      </c>
      <c r="C810" s="59">
        <f t="shared" si="84"/>
        <v>2024</v>
      </c>
      <c r="D810" s="59">
        <f t="shared" si="85"/>
        <v>6</v>
      </c>
      <c r="E810" s="59">
        <f t="shared" si="86"/>
        <v>25</v>
      </c>
      <c r="F810" s="57" t="s">
        <v>57</v>
      </c>
      <c r="G810" s="57" t="s">
        <v>41</v>
      </c>
      <c r="H810" s="57" t="s">
        <v>1746</v>
      </c>
      <c r="I810" s="57" t="s">
        <v>68</v>
      </c>
      <c r="J810" s="57" t="s">
        <v>123</v>
      </c>
      <c r="K810" s="57" t="s">
        <v>75</v>
      </c>
      <c r="L810" s="57" t="s">
        <v>156</v>
      </c>
      <c r="M810" s="60">
        <v>794</v>
      </c>
      <c r="N810" s="57" t="s">
        <v>136</v>
      </c>
      <c r="O810" s="61">
        <v>401.63</v>
      </c>
      <c r="P810" s="61">
        <v>318894.21999999997</v>
      </c>
      <c r="Q810" s="61">
        <v>24821.119999999999</v>
      </c>
      <c r="R810" s="62">
        <f t="shared" si="87"/>
        <v>7.7834963581340552E-2</v>
      </c>
      <c r="S810" s="60">
        <v>7</v>
      </c>
      <c r="T810" s="58">
        <v>45468</v>
      </c>
      <c r="U810" s="58">
        <v>45468</v>
      </c>
      <c r="V810" s="63">
        <f t="shared" si="88"/>
        <v>0</v>
      </c>
      <c r="W810" s="57" t="s">
        <v>115</v>
      </c>
      <c r="X810" s="64" t="b">
        <f t="shared" si="89"/>
        <v>1</v>
      </c>
      <c r="Y810" s="60">
        <v>441</v>
      </c>
      <c r="Z810" s="60">
        <v>469</v>
      </c>
      <c r="AA810" s="57" t="s">
        <v>82</v>
      </c>
      <c r="AB810" s="64" t="b">
        <f t="shared" si="90"/>
        <v>1</v>
      </c>
    </row>
    <row r="811" spans="1:28" ht="15" customHeight="1" x14ac:dyDescent="0.3">
      <c r="A811" s="65" t="s">
        <v>1747</v>
      </c>
      <c r="B811" s="81">
        <v>45593</v>
      </c>
      <c r="C811" s="59">
        <f t="shared" si="84"/>
        <v>2024</v>
      </c>
      <c r="D811" s="59">
        <f t="shared" si="85"/>
        <v>10</v>
      </c>
      <c r="E811" s="59">
        <f t="shared" si="86"/>
        <v>44</v>
      </c>
      <c r="F811" s="65" t="s">
        <v>53</v>
      </c>
      <c r="G811" s="65" t="s">
        <v>45</v>
      </c>
      <c r="H811" s="65" t="s">
        <v>1748</v>
      </c>
      <c r="I811" s="65" t="s">
        <v>68</v>
      </c>
      <c r="J811" s="65" t="s">
        <v>151</v>
      </c>
      <c r="K811" s="65" t="s">
        <v>74</v>
      </c>
      <c r="L811" s="65" t="s">
        <v>156</v>
      </c>
      <c r="M811" s="67">
        <v>258</v>
      </c>
      <c r="N811" s="65" t="s">
        <v>120</v>
      </c>
      <c r="O811" s="68">
        <v>187.66</v>
      </c>
      <c r="P811" s="68">
        <v>48416.28</v>
      </c>
      <c r="Q811" s="68">
        <v>2832.1</v>
      </c>
      <c r="R811" s="62">
        <f t="shared" si="87"/>
        <v>5.8494787290555988E-2</v>
      </c>
      <c r="S811" s="67">
        <v>3</v>
      </c>
      <c r="T811" s="66">
        <v>45596</v>
      </c>
      <c r="U811" s="66">
        <v>45596</v>
      </c>
      <c r="V811" s="63">
        <f t="shared" si="88"/>
        <v>0</v>
      </c>
      <c r="W811" s="65" t="s">
        <v>115</v>
      </c>
      <c r="X811" s="64" t="b">
        <f t="shared" si="89"/>
        <v>1</v>
      </c>
      <c r="Y811" s="67">
        <v>183</v>
      </c>
      <c r="Z811" s="67">
        <v>192</v>
      </c>
      <c r="AA811" s="65" t="s">
        <v>83</v>
      </c>
      <c r="AB811" s="64" t="b">
        <f t="shared" si="90"/>
        <v>1</v>
      </c>
    </row>
    <row r="812" spans="1:28" ht="15" customHeight="1" x14ac:dyDescent="0.3">
      <c r="A812" s="57" t="s">
        <v>1749</v>
      </c>
      <c r="B812" s="82">
        <v>45203</v>
      </c>
      <c r="C812" s="59">
        <f t="shared" si="84"/>
        <v>2023</v>
      </c>
      <c r="D812" s="59">
        <f t="shared" si="85"/>
        <v>10</v>
      </c>
      <c r="E812" s="59">
        <f t="shared" si="86"/>
        <v>40</v>
      </c>
      <c r="F812" s="57" t="s">
        <v>53</v>
      </c>
      <c r="G812" s="57" t="s">
        <v>41</v>
      </c>
      <c r="H812" s="57" t="s">
        <v>1750</v>
      </c>
      <c r="I812" s="57" t="s">
        <v>68</v>
      </c>
      <c r="J812" s="57" t="s">
        <v>112</v>
      </c>
      <c r="K812" s="57" t="s">
        <v>75</v>
      </c>
      <c r="L812" s="57" t="s">
        <v>146</v>
      </c>
      <c r="M812" s="60">
        <v>535</v>
      </c>
      <c r="N812" s="57" t="s">
        <v>163</v>
      </c>
      <c r="O812" s="61">
        <v>662.02</v>
      </c>
      <c r="P812" s="61">
        <v>354180.7</v>
      </c>
      <c r="Q812" s="61">
        <v>7581.58</v>
      </c>
      <c r="R812" s="62">
        <f t="shared" si="87"/>
        <v>2.1405965937726139E-2</v>
      </c>
      <c r="S812" s="60">
        <v>13</v>
      </c>
      <c r="T812" s="58">
        <v>45216</v>
      </c>
      <c r="U812" s="58">
        <v>45213</v>
      </c>
      <c r="V812" s="63">
        <f t="shared" si="88"/>
        <v>-3</v>
      </c>
      <c r="W812" s="57" t="s">
        <v>115</v>
      </c>
      <c r="X812" s="64" t="b">
        <f t="shared" si="89"/>
        <v>1</v>
      </c>
      <c r="Y812" s="60">
        <v>142</v>
      </c>
      <c r="Z812" s="60">
        <v>350</v>
      </c>
      <c r="AA812" s="57" t="s">
        <v>84</v>
      </c>
      <c r="AB812" s="64" t="b">
        <f t="shared" si="90"/>
        <v>1</v>
      </c>
    </row>
    <row r="813" spans="1:28" ht="15" customHeight="1" x14ac:dyDescent="0.3">
      <c r="A813" s="65" t="s">
        <v>1751</v>
      </c>
      <c r="B813" s="81">
        <v>45557</v>
      </c>
      <c r="C813" s="59">
        <f t="shared" si="84"/>
        <v>2024</v>
      </c>
      <c r="D813" s="59">
        <f t="shared" si="85"/>
        <v>9</v>
      </c>
      <c r="E813" s="59">
        <f t="shared" si="86"/>
        <v>39</v>
      </c>
      <c r="F813" s="65" t="s">
        <v>57</v>
      </c>
      <c r="G813" s="65" t="s">
        <v>39</v>
      </c>
      <c r="H813" s="65" t="s">
        <v>1752</v>
      </c>
      <c r="I813" s="65" t="s">
        <v>64</v>
      </c>
      <c r="J813" s="65" t="s">
        <v>151</v>
      </c>
      <c r="K813" s="65" t="s">
        <v>71</v>
      </c>
      <c r="L813" s="65" t="s">
        <v>119</v>
      </c>
      <c r="M813" s="67">
        <v>471</v>
      </c>
      <c r="N813" s="65" t="s">
        <v>114</v>
      </c>
      <c r="O813" s="68">
        <v>1615.95</v>
      </c>
      <c r="P813" s="68">
        <v>761112.45</v>
      </c>
      <c r="Q813" s="68">
        <v>34866.980000000003</v>
      </c>
      <c r="R813" s="62">
        <f t="shared" si="87"/>
        <v>4.5810550070492222E-2</v>
      </c>
      <c r="S813" s="67">
        <v>13</v>
      </c>
      <c r="T813" s="66">
        <v>45570</v>
      </c>
      <c r="U813" s="66">
        <v>45570</v>
      </c>
      <c r="V813" s="63">
        <f t="shared" si="88"/>
        <v>0</v>
      </c>
      <c r="W813" s="65" t="s">
        <v>115</v>
      </c>
      <c r="X813" s="64" t="b">
        <f t="shared" si="89"/>
        <v>1</v>
      </c>
      <c r="Y813" s="67">
        <v>43</v>
      </c>
      <c r="Z813" s="67">
        <v>302</v>
      </c>
      <c r="AA813" s="65" t="s">
        <v>81</v>
      </c>
      <c r="AB813" s="64" t="b">
        <f t="shared" si="90"/>
        <v>1</v>
      </c>
    </row>
    <row r="814" spans="1:28" ht="15" customHeight="1" x14ac:dyDescent="0.3">
      <c r="A814" s="57" t="s">
        <v>1753</v>
      </c>
      <c r="B814" s="82">
        <v>45478</v>
      </c>
      <c r="C814" s="59">
        <f t="shared" si="84"/>
        <v>2024</v>
      </c>
      <c r="D814" s="59">
        <f t="shared" si="85"/>
        <v>7</v>
      </c>
      <c r="E814" s="59">
        <f t="shared" si="86"/>
        <v>27</v>
      </c>
      <c r="F814" s="57" t="s">
        <v>54</v>
      </c>
      <c r="G814" s="57" t="s">
        <v>40</v>
      </c>
      <c r="H814" s="57" t="s">
        <v>1754</v>
      </c>
      <c r="I814" s="57" t="s">
        <v>65</v>
      </c>
      <c r="J814" s="57" t="s">
        <v>139</v>
      </c>
      <c r="K814" s="57" t="s">
        <v>74</v>
      </c>
      <c r="L814" s="57" t="s">
        <v>119</v>
      </c>
      <c r="M814" s="60">
        <v>22</v>
      </c>
      <c r="N814" s="57" t="s">
        <v>136</v>
      </c>
      <c r="O814" s="61">
        <v>705.59</v>
      </c>
      <c r="P814" s="61">
        <v>15522.98</v>
      </c>
      <c r="Q814" s="61">
        <v>1125.42</v>
      </c>
      <c r="R814" s="62">
        <f t="shared" si="87"/>
        <v>7.2500254461450059E-2</v>
      </c>
      <c r="S814" s="60">
        <v>18</v>
      </c>
      <c r="T814" s="58">
        <v>45496</v>
      </c>
      <c r="U814" s="58">
        <v>45491</v>
      </c>
      <c r="V814" s="63">
        <f t="shared" si="88"/>
        <v>-5</v>
      </c>
      <c r="W814" s="57" t="s">
        <v>115</v>
      </c>
      <c r="X814" s="64" t="b">
        <f t="shared" si="89"/>
        <v>1</v>
      </c>
      <c r="Y814" s="60">
        <v>11</v>
      </c>
      <c r="Z814" s="60">
        <v>290</v>
      </c>
      <c r="AA814" s="57" t="s">
        <v>84</v>
      </c>
      <c r="AB814" s="64" t="b">
        <f t="shared" si="90"/>
        <v>1</v>
      </c>
    </row>
    <row r="815" spans="1:28" ht="15" customHeight="1" x14ac:dyDescent="0.3">
      <c r="A815" s="65" t="s">
        <v>1755</v>
      </c>
      <c r="B815" s="81">
        <v>45422</v>
      </c>
      <c r="C815" s="59">
        <f t="shared" si="84"/>
        <v>2024</v>
      </c>
      <c r="D815" s="59">
        <f t="shared" si="85"/>
        <v>5</v>
      </c>
      <c r="E815" s="59">
        <f t="shared" si="86"/>
        <v>19</v>
      </c>
      <c r="F815" s="65" t="s">
        <v>55</v>
      </c>
      <c r="G815" s="65" t="s">
        <v>41</v>
      </c>
      <c r="H815" s="65" t="s">
        <v>1756</v>
      </c>
      <c r="I815" s="65" t="s">
        <v>68</v>
      </c>
      <c r="J815" s="65" t="s">
        <v>143</v>
      </c>
      <c r="K815" s="65" t="s">
        <v>73</v>
      </c>
      <c r="L815" s="65" t="s">
        <v>146</v>
      </c>
      <c r="M815" s="67">
        <v>912</v>
      </c>
      <c r="N815" s="65" t="s">
        <v>136</v>
      </c>
      <c r="O815" s="68">
        <v>416.47</v>
      </c>
      <c r="P815" s="68">
        <v>379820.64</v>
      </c>
      <c r="Q815" s="68">
        <v>14466.37</v>
      </c>
      <c r="R815" s="62">
        <f t="shared" si="87"/>
        <v>3.8087371976414972E-2</v>
      </c>
      <c r="S815" s="67">
        <v>28</v>
      </c>
      <c r="T815" s="66">
        <v>45450</v>
      </c>
      <c r="U815" s="66">
        <v>45451</v>
      </c>
      <c r="V815" s="63">
        <f t="shared" si="88"/>
        <v>1</v>
      </c>
      <c r="W815" s="65" t="s">
        <v>125</v>
      </c>
      <c r="X815" s="64" t="b">
        <f t="shared" si="89"/>
        <v>0</v>
      </c>
      <c r="Y815" s="67">
        <v>7</v>
      </c>
      <c r="Z815" s="67">
        <v>372</v>
      </c>
      <c r="AA815" s="65" t="s">
        <v>116</v>
      </c>
      <c r="AB815" s="64" t="b">
        <f t="shared" si="90"/>
        <v>0</v>
      </c>
    </row>
    <row r="816" spans="1:28" ht="15" customHeight="1" x14ac:dyDescent="0.3">
      <c r="A816" s="57" t="s">
        <v>1757</v>
      </c>
      <c r="B816" s="82">
        <v>45403</v>
      </c>
      <c r="C816" s="59">
        <f t="shared" si="84"/>
        <v>2024</v>
      </c>
      <c r="D816" s="59">
        <f t="shared" si="85"/>
        <v>4</v>
      </c>
      <c r="E816" s="59">
        <f t="shared" si="86"/>
        <v>17</v>
      </c>
      <c r="F816" s="57" t="s">
        <v>57</v>
      </c>
      <c r="G816" s="57" t="s">
        <v>43</v>
      </c>
      <c r="H816" s="57" t="s">
        <v>1758</v>
      </c>
      <c r="I816" s="57" t="s">
        <v>67</v>
      </c>
      <c r="J816" s="57" t="s">
        <v>139</v>
      </c>
      <c r="K816" s="57" t="s">
        <v>72</v>
      </c>
      <c r="L816" s="57" t="s">
        <v>113</v>
      </c>
      <c r="M816" s="60">
        <v>393</v>
      </c>
      <c r="N816" s="57" t="s">
        <v>120</v>
      </c>
      <c r="O816" s="61">
        <v>193.24</v>
      </c>
      <c r="P816" s="61">
        <v>75943.320000000007</v>
      </c>
      <c r="Q816" s="61">
        <v>1949.72</v>
      </c>
      <c r="R816" s="62">
        <f t="shared" si="87"/>
        <v>2.5673357446053185E-2</v>
      </c>
      <c r="S816" s="60">
        <v>26</v>
      </c>
      <c r="T816" s="58">
        <v>45429</v>
      </c>
      <c r="U816" s="58">
        <v>45426</v>
      </c>
      <c r="V816" s="63">
        <f t="shared" si="88"/>
        <v>-3</v>
      </c>
      <c r="W816" s="57" t="s">
        <v>115</v>
      </c>
      <c r="X816" s="64" t="b">
        <f t="shared" si="89"/>
        <v>1</v>
      </c>
      <c r="Y816" s="60">
        <v>79</v>
      </c>
      <c r="Z816" s="60">
        <v>467</v>
      </c>
      <c r="AA816" s="57" t="s">
        <v>82</v>
      </c>
      <c r="AB816" s="64" t="b">
        <f t="shared" si="90"/>
        <v>1</v>
      </c>
    </row>
    <row r="817" spans="1:28" ht="15" customHeight="1" x14ac:dyDescent="0.3">
      <c r="A817" s="65" t="s">
        <v>1759</v>
      </c>
      <c r="B817" s="81">
        <v>45373</v>
      </c>
      <c r="C817" s="59">
        <f t="shared" si="84"/>
        <v>2024</v>
      </c>
      <c r="D817" s="59">
        <f t="shared" si="85"/>
        <v>3</v>
      </c>
      <c r="E817" s="59">
        <f t="shared" si="86"/>
        <v>12</v>
      </c>
      <c r="F817" s="65" t="s">
        <v>52</v>
      </c>
      <c r="G817" s="65" t="s">
        <v>46</v>
      </c>
      <c r="H817" s="65" t="s">
        <v>1760</v>
      </c>
      <c r="I817" s="65" t="s">
        <v>67</v>
      </c>
      <c r="J817" s="65" t="s">
        <v>139</v>
      </c>
      <c r="K817" s="65" t="s">
        <v>73</v>
      </c>
      <c r="L817" s="65" t="s">
        <v>119</v>
      </c>
      <c r="M817" s="67">
        <v>565</v>
      </c>
      <c r="N817" s="65" t="s">
        <v>114</v>
      </c>
      <c r="O817" s="68">
        <v>87.12</v>
      </c>
      <c r="P817" s="68">
        <v>49222.8</v>
      </c>
      <c r="Q817" s="68">
        <v>3224.25</v>
      </c>
      <c r="R817" s="62">
        <f t="shared" si="87"/>
        <v>6.5503181452497616E-2</v>
      </c>
      <c r="S817" s="67">
        <v>20</v>
      </c>
      <c r="T817" s="66">
        <v>45393</v>
      </c>
      <c r="U817" s="66">
        <v>45390</v>
      </c>
      <c r="V817" s="63">
        <f t="shared" si="88"/>
        <v>-3</v>
      </c>
      <c r="W817" s="65" t="s">
        <v>115</v>
      </c>
      <c r="X817" s="64" t="b">
        <f t="shared" si="89"/>
        <v>1</v>
      </c>
      <c r="Y817" s="67">
        <v>296</v>
      </c>
      <c r="Z817" s="67">
        <v>415</v>
      </c>
      <c r="AA817" s="65" t="s">
        <v>82</v>
      </c>
      <c r="AB817" s="64" t="b">
        <f t="shared" si="90"/>
        <v>1</v>
      </c>
    </row>
    <row r="818" spans="1:28" ht="15" customHeight="1" x14ac:dyDescent="0.3">
      <c r="A818" s="57" t="s">
        <v>1761</v>
      </c>
      <c r="B818" s="82">
        <v>45533</v>
      </c>
      <c r="C818" s="59">
        <f t="shared" si="84"/>
        <v>2024</v>
      </c>
      <c r="D818" s="59">
        <f t="shared" si="85"/>
        <v>8</v>
      </c>
      <c r="E818" s="59">
        <f t="shared" si="86"/>
        <v>35</v>
      </c>
      <c r="F818" s="57" t="s">
        <v>53</v>
      </c>
      <c r="G818" s="57" t="s">
        <v>46</v>
      </c>
      <c r="H818" s="57" t="s">
        <v>1762</v>
      </c>
      <c r="I818" s="57" t="s">
        <v>65</v>
      </c>
      <c r="J818" s="57" t="s">
        <v>131</v>
      </c>
      <c r="K818" s="57" t="s">
        <v>71</v>
      </c>
      <c r="L818" s="57" t="s">
        <v>156</v>
      </c>
      <c r="M818" s="60">
        <v>896</v>
      </c>
      <c r="N818" s="57" t="s">
        <v>163</v>
      </c>
      <c r="O818" s="61">
        <v>58.47</v>
      </c>
      <c r="P818" s="61">
        <v>52389.120000000003</v>
      </c>
      <c r="Q818" s="61">
        <v>2952.69</v>
      </c>
      <c r="R818" s="62">
        <f t="shared" si="87"/>
        <v>5.6360748185882867E-2</v>
      </c>
      <c r="S818" s="60">
        <v>28</v>
      </c>
      <c r="T818" s="58">
        <v>45561</v>
      </c>
      <c r="U818" s="58">
        <v>45564</v>
      </c>
      <c r="V818" s="63">
        <f t="shared" si="88"/>
        <v>3</v>
      </c>
      <c r="W818" s="57" t="s">
        <v>125</v>
      </c>
      <c r="X818" s="64" t="b">
        <f t="shared" si="89"/>
        <v>0</v>
      </c>
      <c r="Y818" s="60">
        <v>161</v>
      </c>
      <c r="Z818" s="60">
        <v>438</v>
      </c>
      <c r="AA818" s="57" t="s">
        <v>83</v>
      </c>
      <c r="AB818" s="64" t="b">
        <f t="shared" si="90"/>
        <v>1</v>
      </c>
    </row>
    <row r="819" spans="1:28" ht="15" customHeight="1" x14ac:dyDescent="0.3">
      <c r="A819" s="65" t="s">
        <v>1763</v>
      </c>
      <c r="B819" s="81">
        <v>45201</v>
      </c>
      <c r="C819" s="59">
        <f t="shared" si="84"/>
        <v>2023</v>
      </c>
      <c r="D819" s="59">
        <f t="shared" si="85"/>
        <v>10</v>
      </c>
      <c r="E819" s="59">
        <f t="shared" si="86"/>
        <v>40</v>
      </c>
      <c r="F819" s="65" t="s">
        <v>52</v>
      </c>
      <c r="G819" s="65" t="s">
        <v>39</v>
      </c>
      <c r="H819" s="65" t="s">
        <v>1764</v>
      </c>
      <c r="I819" s="65" t="s">
        <v>64</v>
      </c>
      <c r="J819" s="65" t="s">
        <v>139</v>
      </c>
      <c r="K819" s="65" t="s">
        <v>74</v>
      </c>
      <c r="L819" s="65" t="s">
        <v>113</v>
      </c>
      <c r="M819" s="67">
        <v>408</v>
      </c>
      <c r="N819" s="65" t="s">
        <v>136</v>
      </c>
      <c r="O819" s="68">
        <v>2235.75</v>
      </c>
      <c r="P819" s="68">
        <v>912186</v>
      </c>
      <c r="Q819" s="68">
        <v>49457.59</v>
      </c>
      <c r="R819" s="62">
        <f t="shared" si="87"/>
        <v>5.4218755823921869E-2</v>
      </c>
      <c r="S819" s="67">
        <v>8</v>
      </c>
      <c r="T819" s="66">
        <v>45209</v>
      </c>
      <c r="U819" s="66">
        <v>45209</v>
      </c>
      <c r="V819" s="63">
        <f t="shared" si="88"/>
        <v>0</v>
      </c>
      <c r="W819" s="65" t="s">
        <v>115</v>
      </c>
      <c r="X819" s="64" t="b">
        <f t="shared" si="89"/>
        <v>1</v>
      </c>
      <c r="Y819" s="67">
        <v>301</v>
      </c>
      <c r="Z819" s="67">
        <v>437</v>
      </c>
      <c r="AA819" s="65" t="s">
        <v>116</v>
      </c>
      <c r="AB819" s="64" t="b">
        <f t="shared" si="90"/>
        <v>0</v>
      </c>
    </row>
    <row r="820" spans="1:28" ht="15" customHeight="1" x14ac:dyDescent="0.3">
      <c r="A820" s="57" t="s">
        <v>1765</v>
      </c>
      <c r="B820" s="82">
        <v>45257</v>
      </c>
      <c r="C820" s="59">
        <f t="shared" si="84"/>
        <v>2023</v>
      </c>
      <c r="D820" s="59">
        <f t="shared" si="85"/>
        <v>11</v>
      </c>
      <c r="E820" s="59">
        <f t="shared" si="86"/>
        <v>48</v>
      </c>
      <c r="F820" s="57" t="s">
        <v>55</v>
      </c>
      <c r="G820" s="57" t="s">
        <v>44</v>
      </c>
      <c r="H820" s="57" t="s">
        <v>1766</v>
      </c>
      <c r="I820" s="57" t="s">
        <v>64</v>
      </c>
      <c r="J820" s="57" t="s">
        <v>151</v>
      </c>
      <c r="K820" s="57" t="s">
        <v>73</v>
      </c>
      <c r="L820" s="57" t="s">
        <v>135</v>
      </c>
      <c r="M820" s="60">
        <v>28</v>
      </c>
      <c r="N820" s="57" t="s">
        <v>132</v>
      </c>
      <c r="O820" s="61">
        <v>130.58000000000001</v>
      </c>
      <c r="P820" s="61">
        <v>3656.24</v>
      </c>
      <c r="Q820" s="61">
        <v>142.36009999999999</v>
      </c>
      <c r="R820" s="62">
        <f t="shared" si="87"/>
        <v>3.8936202218672736E-2</v>
      </c>
      <c r="S820" s="60">
        <v>29</v>
      </c>
      <c r="T820" s="58">
        <v>45286</v>
      </c>
      <c r="U820" s="58">
        <v>45283</v>
      </c>
      <c r="V820" s="63">
        <f t="shared" si="88"/>
        <v>-3</v>
      </c>
      <c r="W820" s="57" t="s">
        <v>115</v>
      </c>
      <c r="X820" s="64" t="b">
        <f t="shared" si="89"/>
        <v>1</v>
      </c>
      <c r="Y820" s="60">
        <v>215</v>
      </c>
      <c r="Z820" s="60">
        <v>331</v>
      </c>
      <c r="AA820" s="57" t="s">
        <v>83</v>
      </c>
      <c r="AB820" s="64" t="b">
        <f t="shared" si="90"/>
        <v>1</v>
      </c>
    </row>
    <row r="821" spans="1:28" ht="15" customHeight="1" x14ac:dyDescent="0.3">
      <c r="A821" s="65" t="s">
        <v>1767</v>
      </c>
      <c r="B821" s="81">
        <v>45178</v>
      </c>
      <c r="C821" s="59">
        <f t="shared" si="84"/>
        <v>2023</v>
      </c>
      <c r="D821" s="59">
        <f t="shared" si="85"/>
        <v>9</v>
      </c>
      <c r="E821" s="59">
        <f t="shared" si="86"/>
        <v>36</v>
      </c>
      <c r="F821" s="65" t="s">
        <v>59</v>
      </c>
      <c r="G821" s="65" t="s">
        <v>43</v>
      </c>
      <c r="H821" s="65" t="s">
        <v>1768</v>
      </c>
      <c r="I821" s="65" t="s">
        <v>69</v>
      </c>
      <c r="J821" s="65" t="s">
        <v>143</v>
      </c>
      <c r="K821" s="65" t="s">
        <v>74</v>
      </c>
      <c r="L821" s="65" t="s">
        <v>135</v>
      </c>
      <c r="M821" s="67">
        <v>584</v>
      </c>
      <c r="N821" s="65" t="s">
        <v>120</v>
      </c>
      <c r="O821" s="68">
        <v>168.67</v>
      </c>
      <c r="P821" s="68">
        <v>98503.28</v>
      </c>
      <c r="Q821" s="68">
        <v>2800.44</v>
      </c>
      <c r="R821" s="62">
        <f t="shared" si="87"/>
        <v>2.8429916242382995E-2</v>
      </c>
      <c r="S821" s="67">
        <v>9</v>
      </c>
      <c r="T821" s="66">
        <v>45187</v>
      </c>
      <c r="U821" s="66">
        <v>45195</v>
      </c>
      <c r="V821" s="63">
        <f t="shared" si="88"/>
        <v>8</v>
      </c>
      <c r="W821" s="65" t="s">
        <v>125</v>
      </c>
      <c r="X821" s="64" t="b">
        <f t="shared" si="89"/>
        <v>0</v>
      </c>
      <c r="Y821" s="67">
        <v>247</v>
      </c>
      <c r="Z821" s="67">
        <v>434</v>
      </c>
      <c r="AA821" s="65" t="s">
        <v>81</v>
      </c>
      <c r="AB821" s="64" t="b">
        <f t="shared" si="90"/>
        <v>1</v>
      </c>
    </row>
    <row r="822" spans="1:28" ht="15" customHeight="1" x14ac:dyDescent="0.3">
      <c r="A822" s="57" t="s">
        <v>1769</v>
      </c>
      <c r="B822" s="82">
        <v>45015</v>
      </c>
      <c r="C822" s="59">
        <f t="shared" si="84"/>
        <v>2023</v>
      </c>
      <c r="D822" s="59">
        <f t="shared" si="85"/>
        <v>3</v>
      </c>
      <c r="E822" s="59">
        <f t="shared" si="86"/>
        <v>13</v>
      </c>
      <c r="F822" s="57" t="s">
        <v>59</v>
      </c>
      <c r="G822" s="57" t="s">
        <v>43</v>
      </c>
      <c r="H822" s="57" t="s">
        <v>1770</v>
      </c>
      <c r="I822" s="57" t="s">
        <v>69</v>
      </c>
      <c r="J822" s="57" t="s">
        <v>123</v>
      </c>
      <c r="K822" s="57" t="s">
        <v>75</v>
      </c>
      <c r="L822" s="57" t="s">
        <v>113</v>
      </c>
      <c r="M822" s="60">
        <v>500</v>
      </c>
      <c r="N822" s="57" t="s">
        <v>120</v>
      </c>
      <c r="O822" s="61">
        <v>282.58</v>
      </c>
      <c r="P822" s="61">
        <v>141290</v>
      </c>
      <c r="Q822" s="61">
        <v>8103.4</v>
      </c>
      <c r="R822" s="62">
        <f t="shared" si="87"/>
        <v>5.735296199306391E-2</v>
      </c>
      <c r="S822" s="60">
        <v>7</v>
      </c>
      <c r="T822" s="58">
        <v>45022</v>
      </c>
      <c r="U822" s="58">
        <v>45025</v>
      </c>
      <c r="V822" s="63">
        <f t="shared" si="88"/>
        <v>3</v>
      </c>
      <c r="W822" s="57" t="s">
        <v>128</v>
      </c>
      <c r="X822" s="64" t="b">
        <f t="shared" si="89"/>
        <v>0</v>
      </c>
      <c r="Y822" s="60">
        <v>28</v>
      </c>
      <c r="Z822" s="60">
        <v>207</v>
      </c>
      <c r="AA822" s="57" t="s">
        <v>82</v>
      </c>
      <c r="AB822" s="64" t="b">
        <f t="shared" si="90"/>
        <v>1</v>
      </c>
    </row>
    <row r="823" spans="1:28" ht="15" customHeight="1" x14ac:dyDescent="0.3">
      <c r="A823" s="65" t="s">
        <v>1771</v>
      </c>
      <c r="B823" s="81">
        <v>45212</v>
      </c>
      <c r="C823" s="59">
        <f t="shared" si="84"/>
        <v>2023</v>
      </c>
      <c r="D823" s="59">
        <f t="shared" si="85"/>
        <v>10</v>
      </c>
      <c r="E823" s="59">
        <f t="shared" si="86"/>
        <v>41</v>
      </c>
      <c r="F823" s="65" t="s">
        <v>56</v>
      </c>
      <c r="G823" s="65" t="s">
        <v>41</v>
      </c>
      <c r="H823" s="65" t="s">
        <v>1772</v>
      </c>
      <c r="I823" s="65" t="s">
        <v>68</v>
      </c>
      <c r="J823" s="65" t="s">
        <v>139</v>
      </c>
      <c r="K823" s="65" t="s">
        <v>72</v>
      </c>
      <c r="L823" s="65" t="s">
        <v>156</v>
      </c>
      <c r="M823" s="67">
        <v>760</v>
      </c>
      <c r="N823" s="65" t="s">
        <v>136</v>
      </c>
      <c r="O823" s="68">
        <v>534.14</v>
      </c>
      <c r="P823" s="68">
        <v>405946.4</v>
      </c>
      <c r="Q823" s="68">
        <v>13180.85</v>
      </c>
      <c r="R823" s="62">
        <f t="shared" si="87"/>
        <v>3.2469434388382311E-2</v>
      </c>
      <c r="S823" s="67">
        <v>1</v>
      </c>
      <c r="T823" s="66">
        <v>45213</v>
      </c>
      <c r="U823" s="66">
        <v>45216</v>
      </c>
      <c r="V823" s="63">
        <f t="shared" si="88"/>
        <v>3</v>
      </c>
      <c r="W823" s="65" t="s">
        <v>125</v>
      </c>
      <c r="X823" s="64" t="b">
        <f t="shared" si="89"/>
        <v>0</v>
      </c>
      <c r="Y823" s="67">
        <v>271</v>
      </c>
      <c r="Z823" s="67">
        <v>442</v>
      </c>
      <c r="AA823" s="65" t="s">
        <v>116</v>
      </c>
      <c r="AB823" s="64" t="b">
        <f t="shared" si="90"/>
        <v>0</v>
      </c>
    </row>
    <row r="824" spans="1:28" ht="15" customHeight="1" x14ac:dyDescent="0.3">
      <c r="A824" s="57" t="s">
        <v>1773</v>
      </c>
      <c r="B824" s="82">
        <v>45388</v>
      </c>
      <c r="C824" s="59">
        <f t="shared" si="84"/>
        <v>2024</v>
      </c>
      <c r="D824" s="59">
        <f t="shared" si="85"/>
        <v>4</v>
      </c>
      <c r="E824" s="59">
        <f t="shared" si="86"/>
        <v>14</v>
      </c>
      <c r="F824" s="57" t="s">
        <v>52</v>
      </c>
      <c r="G824" s="57" t="s">
        <v>40</v>
      </c>
      <c r="H824" s="57" t="s">
        <v>1774</v>
      </c>
      <c r="I824" s="57" t="s">
        <v>66</v>
      </c>
      <c r="J824" s="57" t="s">
        <v>151</v>
      </c>
      <c r="K824" s="57" t="s">
        <v>71</v>
      </c>
      <c r="L824" s="57" t="s">
        <v>135</v>
      </c>
      <c r="M824" s="60">
        <v>428</v>
      </c>
      <c r="N824" s="57" t="s">
        <v>163</v>
      </c>
      <c r="O824" s="61">
        <v>1014.19</v>
      </c>
      <c r="P824" s="61">
        <v>434073.32</v>
      </c>
      <c r="Q824" s="61">
        <v>21809.67</v>
      </c>
      <c r="R824" s="62">
        <f t="shared" si="87"/>
        <v>5.0244207591473251E-2</v>
      </c>
      <c r="S824" s="60">
        <v>3</v>
      </c>
      <c r="T824" s="58">
        <v>45391</v>
      </c>
      <c r="U824" s="58">
        <v>45391</v>
      </c>
      <c r="V824" s="63">
        <f t="shared" si="88"/>
        <v>0</v>
      </c>
      <c r="W824" s="57" t="s">
        <v>115</v>
      </c>
      <c r="X824" s="64" t="b">
        <f t="shared" si="89"/>
        <v>1</v>
      </c>
      <c r="Y824" s="60">
        <v>132</v>
      </c>
      <c r="Z824" s="60">
        <v>455</v>
      </c>
      <c r="AA824" s="57" t="s">
        <v>83</v>
      </c>
      <c r="AB824" s="64" t="b">
        <f t="shared" si="90"/>
        <v>1</v>
      </c>
    </row>
    <row r="825" spans="1:28" ht="15" customHeight="1" x14ac:dyDescent="0.3">
      <c r="A825" s="65" t="s">
        <v>1775</v>
      </c>
      <c r="B825" s="81">
        <v>45176</v>
      </c>
      <c r="C825" s="59">
        <f t="shared" si="84"/>
        <v>2023</v>
      </c>
      <c r="D825" s="59">
        <f t="shared" si="85"/>
        <v>9</v>
      </c>
      <c r="E825" s="59">
        <f t="shared" si="86"/>
        <v>36</v>
      </c>
      <c r="F825" s="65" t="s">
        <v>52</v>
      </c>
      <c r="G825" s="65" t="s">
        <v>43</v>
      </c>
      <c r="H825" s="65" t="s">
        <v>1776</v>
      </c>
      <c r="I825" s="65" t="s">
        <v>69</v>
      </c>
      <c r="J825" s="65" t="s">
        <v>131</v>
      </c>
      <c r="K825" s="65" t="s">
        <v>73</v>
      </c>
      <c r="L825" s="65" t="s">
        <v>124</v>
      </c>
      <c r="M825" s="67">
        <v>346</v>
      </c>
      <c r="N825" s="65" t="s">
        <v>136</v>
      </c>
      <c r="O825" s="68">
        <v>297.39</v>
      </c>
      <c r="P825" s="68">
        <v>102896.94</v>
      </c>
      <c r="Q825" s="68">
        <v>5421.94</v>
      </c>
      <c r="R825" s="62">
        <f t="shared" si="87"/>
        <v>5.2692917787448293E-2</v>
      </c>
      <c r="S825" s="67">
        <v>13</v>
      </c>
      <c r="T825" s="66">
        <v>45189</v>
      </c>
      <c r="U825" s="66">
        <v>45197</v>
      </c>
      <c r="V825" s="63">
        <f t="shared" si="88"/>
        <v>8</v>
      </c>
      <c r="W825" s="65" t="s">
        <v>125</v>
      </c>
      <c r="X825" s="64" t="b">
        <f t="shared" si="89"/>
        <v>0</v>
      </c>
      <c r="Y825" s="67">
        <v>4</v>
      </c>
      <c r="Z825" s="67">
        <v>247</v>
      </c>
      <c r="AA825" s="65" t="s">
        <v>83</v>
      </c>
      <c r="AB825" s="64" t="b">
        <f t="shared" si="90"/>
        <v>1</v>
      </c>
    </row>
    <row r="826" spans="1:28" ht="15" customHeight="1" x14ac:dyDescent="0.3">
      <c r="A826" s="57" t="s">
        <v>1777</v>
      </c>
      <c r="B826" s="82">
        <v>45402</v>
      </c>
      <c r="C826" s="59">
        <f t="shared" si="84"/>
        <v>2024</v>
      </c>
      <c r="D826" s="59">
        <f t="shared" si="85"/>
        <v>4</v>
      </c>
      <c r="E826" s="59">
        <f t="shared" si="86"/>
        <v>16</v>
      </c>
      <c r="F826" s="57" t="s">
        <v>52</v>
      </c>
      <c r="G826" s="57" t="s">
        <v>42</v>
      </c>
      <c r="H826" s="57" t="s">
        <v>1778</v>
      </c>
      <c r="I826" s="57" t="s">
        <v>64</v>
      </c>
      <c r="J826" s="57" t="s">
        <v>131</v>
      </c>
      <c r="K826" s="57" t="s">
        <v>72</v>
      </c>
      <c r="L826" s="57" t="s">
        <v>156</v>
      </c>
      <c r="M826" s="60">
        <v>428</v>
      </c>
      <c r="N826" s="57" t="s">
        <v>140</v>
      </c>
      <c r="O826" s="61">
        <v>59.21</v>
      </c>
      <c r="P826" s="61">
        <v>25341.88</v>
      </c>
      <c r="Q826" s="61">
        <v>937.91</v>
      </c>
      <c r="R826" s="62">
        <f t="shared" si="87"/>
        <v>3.7010277059160566E-2</v>
      </c>
      <c r="S826" s="60">
        <v>28</v>
      </c>
      <c r="T826" s="58">
        <v>45430</v>
      </c>
      <c r="U826" s="58">
        <v>45429</v>
      </c>
      <c r="V826" s="63">
        <f t="shared" si="88"/>
        <v>-1</v>
      </c>
      <c r="W826" s="57" t="s">
        <v>115</v>
      </c>
      <c r="X826" s="64" t="b">
        <f t="shared" si="89"/>
        <v>1</v>
      </c>
      <c r="Y826" s="60">
        <v>243</v>
      </c>
      <c r="Z826" s="60">
        <v>141</v>
      </c>
      <c r="AA826" s="57" t="s">
        <v>116</v>
      </c>
      <c r="AB826" s="64" t="b">
        <f t="shared" si="90"/>
        <v>0</v>
      </c>
    </row>
    <row r="827" spans="1:28" ht="15" customHeight="1" x14ac:dyDescent="0.3">
      <c r="A827" s="65" t="s">
        <v>1779</v>
      </c>
      <c r="B827" s="81">
        <v>45510</v>
      </c>
      <c r="C827" s="59">
        <f t="shared" si="84"/>
        <v>2024</v>
      </c>
      <c r="D827" s="59">
        <f t="shared" si="85"/>
        <v>8</v>
      </c>
      <c r="E827" s="59">
        <f t="shared" si="86"/>
        <v>32</v>
      </c>
      <c r="F827" s="65" t="s">
        <v>54</v>
      </c>
      <c r="G827" s="65" t="s">
        <v>44</v>
      </c>
      <c r="H827" s="65" t="s">
        <v>1780</v>
      </c>
      <c r="I827" s="65" t="s">
        <v>66</v>
      </c>
      <c r="J827" s="65" t="s">
        <v>123</v>
      </c>
      <c r="K827" s="65" t="s">
        <v>71</v>
      </c>
      <c r="L827" s="65" t="s">
        <v>146</v>
      </c>
      <c r="M827" s="67">
        <v>924</v>
      </c>
      <c r="N827" s="65" t="s">
        <v>136</v>
      </c>
      <c r="O827" s="68">
        <v>93.28</v>
      </c>
      <c r="P827" s="68">
        <v>86190.720000000001</v>
      </c>
      <c r="Q827" s="68">
        <v>6628.54</v>
      </c>
      <c r="R827" s="62">
        <f t="shared" si="87"/>
        <v>7.690549516235623E-2</v>
      </c>
      <c r="S827" s="67">
        <v>25</v>
      </c>
      <c r="T827" s="66">
        <v>45535</v>
      </c>
      <c r="U827" s="66">
        <v>45535</v>
      </c>
      <c r="V827" s="63">
        <f t="shared" si="88"/>
        <v>0</v>
      </c>
      <c r="W827" s="65" t="s">
        <v>115</v>
      </c>
      <c r="X827" s="64" t="b">
        <f t="shared" si="89"/>
        <v>1</v>
      </c>
      <c r="Y827" s="67">
        <v>29</v>
      </c>
      <c r="Z827" s="67">
        <v>401</v>
      </c>
      <c r="AA827" s="65" t="s">
        <v>81</v>
      </c>
      <c r="AB827" s="64" t="b">
        <f t="shared" si="90"/>
        <v>1</v>
      </c>
    </row>
    <row r="828" spans="1:28" ht="15" customHeight="1" x14ac:dyDescent="0.3">
      <c r="A828" s="57" t="s">
        <v>1781</v>
      </c>
      <c r="B828" s="82">
        <v>45551</v>
      </c>
      <c r="C828" s="59">
        <f t="shared" si="84"/>
        <v>2024</v>
      </c>
      <c r="D828" s="59">
        <f t="shared" si="85"/>
        <v>9</v>
      </c>
      <c r="E828" s="59">
        <f t="shared" si="86"/>
        <v>38</v>
      </c>
      <c r="F828" s="57" t="s">
        <v>52</v>
      </c>
      <c r="G828" s="57" t="s">
        <v>41</v>
      </c>
      <c r="H828" s="57" t="s">
        <v>1782</v>
      </c>
      <c r="I828" s="57" t="s">
        <v>69</v>
      </c>
      <c r="J828" s="57" t="s">
        <v>123</v>
      </c>
      <c r="K828" s="57" t="s">
        <v>71</v>
      </c>
      <c r="L828" s="57" t="s">
        <v>119</v>
      </c>
      <c r="M828" s="60">
        <v>925</v>
      </c>
      <c r="N828" s="57" t="s">
        <v>114</v>
      </c>
      <c r="O828" s="61">
        <v>638.17999999999995</v>
      </c>
      <c r="P828" s="61">
        <v>590316.5</v>
      </c>
      <c r="Q828" s="61">
        <v>41645.56</v>
      </c>
      <c r="R828" s="62">
        <f t="shared" si="87"/>
        <v>7.0547850178675334E-2</v>
      </c>
      <c r="S828" s="60">
        <v>28</v>
      </c>
      <c r="T828" s="58">
        <v>45579</v>
      </c>
      <c r="U828" s="58">
        <v>45580</v>
      </c>
      <c r="V828" s="63">
        <f t="shared" si="88"/>
        <v>1</v>
      </c>
      <c r="W828" s="57" t="s">
        <v>128</v>
      </c>
      <c r="X828" s="64" t="b">
        <f t="shared" si="89"/>
        <v>0</v>
      </c>
      <c r="Y828" s="60">
        <v>116</v>
      </c>
      <c r="Z828" s="60">
        <v>383</v>
      </c>
      <c r="AA828" s="57" t="s">
        <v>82</v>
      </c>
      <c r="AB828" s="64" t="b">
        <f t="shared" si="90"/>
        <v>1</v>
      </c>
    </row>
    <row r="829" spans="1:28" ht="15" customHeight="1" x14ac:dyDescent="0.3">
      <c r="A829" s="65" t="s">
        <v>1783</v>
      </c>
      <c r="B829" s="81">
        <v>45611</v>
      </c>
      <c r="C829" s="59">
        <f t="shared" si="84"/>
        <v>2024</v>
      </c>
      <c r="D829" s="59">
        <f t="shared" si="85"/>
        <v>11</v>
      </c>
      <c r="E829" s="59">
        <f t="shared" si="86"/>
        <v>46</v>
      </c>
      <c r="F829" s="65" t="s">
        <v>59</v>
      </c>
      <c r="G829" s="65" t="s">
        <v>42</v>
      </c>
      <c r="H829" s="65" t="s">
        <v>1784</v>
      </c>
      <c r="I829" s="65" t="s">
        <v>65</v>
      </c>
      <c r="J829" s="65" t="s">
        <v>151</v>
      </c>
      <c r="K829" s="65" t="s">
        <v>75</v>
      </c>
      <c r="L829" s="65" t="s">
        <v>113</v>
      </c>
      <c r="M829" s="67">
        <v>621</v>
      </c>
      <c r="N829" s="65" t="s">
        <v>114</v>
      </c>
      <c r="O829" s="68">
        <v>74.040000000000006</v>
      </c>
      <c r="P829" s="68">
        <v>45978.84</v>
      </c>
      <c r="Q829" s="68">
        <v>2912.41</v>
      </c>
      <c r="R829" s="62">
        <f t="shared" si="87"/>
        <v>6.3342398372816716E-2</v>
      </c>
      <c r="S829" s="67">
        <v>17</v>
      </c>
      <c r="T829" s="66">
        <v>45628</v>
      </c>
      <c r="U829" s="66">
        <v>45633</v>
      </c>
      <c r="V829" s="63">
        <f t="shared" si="88"/>
        <v>5</v>
      </c>
      <c r="W829" s="65" t="s">
        <v>125</v>
      </c>
      <c r="X829" s="64" t="b">
        <f t="shared" si="89"/>
        <v>0</v>
      </c>
      <c r="Y829" s="67">
        <v>177</v>
      </c>
      <c r="Z829" s="67">
        <v>310</v>
      </c>
      <c r="AA829" s="65" t="s">
        <v>81</v>
      </c>
      <c r="AB829" s="64" t="b">
        <f t="shared" si="90"/>
        <v>1</v>
      </c>
    </row>
    <row r="830" spans="1:28" ht="15" customHeight="1" x14ac:dyDescent="0.3">
      <c r="A830" s="57" t="s">
        <v>1785</v>
      </c>
      <c r="B830" s="82">
        <v>45315</v>
      </c>
      <c r="C830" s="59">
        <f t="shared" si="84"/>
        <v>2024</v>
      </c>
      <c r="D830" s="59">
        <f t="shared" si="85"/>
        <v>1</v>
      </c>
      <c r="E830" s="59">
        <f t="shared" si="86"/>
        <v>4</v>
      </c>
      <c r="F830" s="57" t="s">
        <v>54</v>
      </c>
      <c r="G830" s="57" t="s">
        <v>39</v>
      </c>
      <c r="H830" s="57" t="s">
        <v>1786</v>
      </c>
      <c r="I830" s="57" t="s">
        <v>67</v>
      </c>
      <c r="J830" s="57" t="s">
        <v>123</v>
      </c>
      <c r="K830" s="57" t="s">
        <v>74</v>
      </c>
      <c r="L830" s="57" t="s">
        <v>119</v>
      </c>
      <c r="M830" s="60">
        <v>684</v>
      </c>
      <c r="N830" s="57" t="s">
        <v>140</v>
      </c>
      <c r="O830" s="61">
        <v>1271.1600000000001</v>
      </c>
      <c r="P830" s="61">
        <v>869473.44</v>
      </c>
      <c r="Q830" s="61">
        <v>21458.28</v>
      </c>
      <c r="R830" s="62">
        <f t="shared" si="87"/>
        <v>2.4679626786529556E-2</v>
      </c>
      <c r="S830" s="60">
        <v>25</v>
      </c>
      <c r="T830" s="58">
        <v>45340</v>
      </c>
      <c r="U830" s="58">
        <v>45340</v>
      </c>
      <c r="V830" s="63">
        <f t="shared" si="88"/>
        <v>0</v>
      </c>
      <c r="W830" s="57" t="s">
        <v>115</v>
      </c>
      <c r="X830" s="64" t="b">
        <f t="shared" si="89"/>
        <v>1</v>
      </c>
      <c r="Y830" s="60">
        <v>497</v>
      </c>
      <c r="Z830" s="60">
        <v>221</v>
      </c>
      <c r="AA830" s="57" t="s">
        <v>81</v>
      </c>
      <c r="AB830" s="64" t="b">
        <f t="shared" si="90"/>
        <v>1</v>
      </c>
    </row>
    <row r="831" spans="1:28" ht="15" customHeight="1" x14ac:dyDescent="0.3">
      <c r="A831" s="65" t="s">
        <v>1787</v>
      </c>
      <c r="B831" s="81">
        <v>45271</v>
      </c>
      <c r="C831" s="59">
        <f t="shared" si="84"/>
        <v>2023</v>
      </c>
      <c r="D831" s="59">
        <f t="shared" si="85"/>
        <v>12</v>
      </c>
      <c r="E831" s="59">
        <f t="shared" si="86"/>
        <v>50</v>
      </c>
      <c r="F831" s="65" t="s">
        <v>56</v>
      </c>
      <c r="G831" s="65" t="s">
        <v>46</v>
      </c>
      <c r="H831" s="65" t="s">
        <v>1788</v>
      </c>
      <c r="I831" s="65" t="s">
        <v>69</v>
      </c>
      <c r="J831" s="65" t="s">
        <v>123</v>
      </c>
      <c r="K831" s="65" t="s">
        <v>74</v>
      </c>
      <c r="L831" s="65" t="s">
        <v>146</v>
      </c>
      <c r="M831" s="67">
        <v>937</v>
      </c>
      <c r="N831" s="65" t="s">
        <v>114</v>
      </c>
      <c r="O831" s="68">
        <v>43.89</v>
      </c>
      <c r="P831" s="68">
        <v>41124.93</v>
      </c>
      <c r="Q831" s="68">
        <v>1084.3699999999999</v>
      </c>
      <c r="R831" s="62">
        <f t="shared" si="87"/>
        <v>2.6367704455667156E-2</v>
      </c>
      <c r="S831" s="67">
        <v>24</v>
      </c>
      <c r="T831" s="66">
        <v>45295</v>
      </c>
      <c r="U831" s="66">
        <v>45292</v>
      </c>
      <c r="V831" s="63">
        <f t="shared" si="88"/>
        <v>-3</v>
      </c>
      <c r="W831" s="65" t="s">
        <v>115</v>
      </c>
      <c r="X831" s="64" t="b">
        <f t="shared" si="89"/>
        <v>1</v>
      </c>
      <c r="Y831" s="67">
        <v>260</v>
      </c>
      <c r="Z831" s="67">
        <v>224</v>
      </c>
      <c r="AA831" s="65" t="s">
        <v>116</v>
      </c>
      <c r="AB831" s="64" t="b">
        <f t="shared" si="90"/>
        <v>0</v>
      </c>
    </row>
    <row r="832" spans="1:28" ht="15" customHeight="1" x14ac:dyDescent="0.3">
      <c r="A832" s="57" t="s">
        <v>1789</v>
      </c>
      <c r="B832" s="82">
        <v>44956</v>
      </c>
      <c r="C832" s="59">
        <f t="shared" si="84"/>
        <v>2023</v>
      </c>
      <c r="D832" s="59">
        <f t="shared" si="85"/>
        <v>1</v>
      </c>
      <c r="E832" s="59">
        <f t="shared" si="86"/>
        <v>5</v>
      </c>
      <c r="F832" s="57" t="s">
        <v>60</v>
      </c>
      <c r="G832" s="57" t="s">
        <v>39</v>
      </c>
      <c r="H832" s="57" t="s">
        <v>1790</v>
      </c>
      <c r="I832" s="57" t="s">
        <v>69</v>
      </c>
      <c r="J832" s="57" t="s">
        <v>131</v>
      </c>
      <c r="K832" s="57" t="s">
        <v>72</v>
      </c>
      <c r="L832" s="57" t="s">
        <v>135</v>
      </c>
      <c r="M832" s="60">
        <v>131</v>
      </c>
      <c r="N832" s="57" t="s">
        <v>114</v>
      </c>
      <c r="O832" s="61">
        <v>1076.22</v>
      </c>
      <c r="P832" s="61">
        <v>140984.82</v>
      </c>
      <c r="Q832" s="61">
        <v>6988.18</v>
      </c>
      <c r="R832" s="62">
        <f t="shared" si="87"/>
        <v>4.9566896634687337E-2</v>
      </c>
      <c r="S832" s="60">
        <v>1</v>
      </c>
      <c r="T832" s="58">
        <v>44957</v>
      </c>
      <c r="U832" s="58">
        <v>44958</v>
      </c>
      <c r="V832" s="63">
        <f t="shared" si="88"/>
        <v>1</v>
      </c>
      <c r="W832" s="57" t="s">
        <v>125</v>
      </c>
      <c r="X832" s="64" t="b">
        <f t="shared" si="89"/>
        <v>0</v>
      </c>
      <c r="Y832" s="60">
        <v>234</v>
      </c>
      <c r="Z832" s="60">
        <v>353</v>
      </c>
      <c r="AA832" s="57" t="s">
        <v>83</v>
      </c>
      <c r="AB832" s="64" t="b">
        <f t="shared" si="90"/>
        <v>1</v>
      </c>
    </row>
    <row r="833" spans="1:28" ht="15" customHeight="1" x14ac:dyDescent="0.3">
      <c r="A833" s="65" t="s">
        <v>1791</v>
      </c>
      <c r="B833" s="81">
        <v>45433</v>
      </c>
      <c r="C833" s="59">
        <f t="shared" si="84"/>
        <v>2024</v>
      </c>
      <c r="D833" s="59">
        <f t="shared" si="85"/>
        <v>5</v>
      </c>
      <c r="E833" s="59">
        <f t="shared" si="86"/>
        <v>21</v>
      </c>
      <c r="F833" s="65" t="s">
        <v>58</v>
      </c>
      <c r="G833" s="65" t="s">
        <v>46</v>
      </c>
      <c r="H833" s="65" t="s">
        <v>1792</v>
      </c>
      <c r="I833" s="65" t="s">
        <v>65</v>
      </c>
      <c r="J833" s="65" t="s">
        <v>151</v>
      </c>
      <c r="K833" s="65" t="s">
        <v>75</v>
      </c>
      <c r="L833" s="65" t="s">
        <v>124</v>
      </c>
      <c r="M833" s="67">
        <v>441</v>
      </c>
      <c r="N833" s="65" t="s">
        <v>132</v>
      </c>
      <c r="O833" s="68">
        <v>79.180000000000007</v>
      </c>
      <c r="P833" s="68">
        <v>34918.379999999997</v>
      </c>
      <c r="Q833" s="68">
        <v>1035.08</v>
      </c>
      <c r="R833" s="62">
        <f t="shared" si="87"/>
        <v>2.9642841391840057E-2</v>
      </c>
      <c r="S833" s="67">
        <v>6</v>
      </c>
      <c r="T833" s="66">
        <v>45439</v>
      </c>
      <c r="U833" s="66">
        <v>45439</v>
      </c>
      <c r="V833" s="63">
        <f t="shared" si="88"/>
        <v>0</v>
      </c>
      <c r="W833" s="65" t="s">
        <v>115</v>
      </c>
      <c r="X833" s="64" t="b">
        <f t="shared" si="89"/>
        <v>1</v>
      </c>
      <c r="Y833" s="67">
        <v>140</v>
      </c>
      <c r="Z833" s="67">
        <v>183</v>
      </c>
      <c r="AA833" s="65" t="s">
        <v>81</v>
      </c>
      <c r="AB833" s="64" t="b">
        <f t="shared" si="90"/>
        <v>1</v>
      </c>
    </row>
    <row r="834" spans="1:28" ht="15" customHeight="1" x14ac:dyDescent="0.3">
      <c r="A834" s="57" t="s">
        <v>1793</v>
      </c>
      <c r="B834" s="82">
        <v>45259</v>
      </c>
      <c r="C834" s="59">
        <f t="shared" ref="C834:C897" si="91">YEAR(B834)</f>
        <v>2023</v>
      </c>
      <c r="D834" s="59">
        <f t="shared" ref="D834:D897" si="92">MONTH(B834)</f>
        <v>11</v>
      </c>
      <c r="E834" s="59">
        <f t="shared" ref="E834:E897" si="93">WEEKNUM(B834,1)</f>
        <v>48</v>
      </c>
      <c r="F834" s="57" t="s">
        <v>56</v>
      </c>
      <c r="G834" s="57" t="s">
        <v>39</v>
      </c>
      <c r="H834" s="57" t="s">
        <v>1794</v>
      </c>
      <c r="I834" s="57" t="s">
        <v>64</v>
      </c>
      <c r="J834" s="57" t="s">
        <v>143</v>
      </c>
      <c r="K834" s="57" t="s">
        <v>71</v>
      </c>
      <c r="L834" s="57" t="s">
        <v>156</v>
      </c>
      <c r="M834" s="60">
        <v>53</v>
      </c>
      <c r="N834" s="57" t="s">
        <v>120</v>
      </c>
      <c r="O834" s="61">
        <v>1211.32</v>
      </c>
      <c r="P834" s="61">
        <v>64199.96</v>
      </c>
      <c r="Q834" s="61">
        <v>5052.28</v>
      </c>
      <c r="R834" s="62">
        <f t="shared" ref="R834:R897" si="94">Q834/P834</f>
        <v>7.8695999187538432E-2</v>
      </c>
      <c r="S834" s="60">
        <v>21</v>
      </c>
      <c r="T834" s="58">
        <v>45280</v>
      </c>
      <c r="U834" s="58">
        <v>45279</v>
      </c>
      <c r="V834" s="63">
        <f t="shared" ref="V834:V897" si="95">U834-T834</f>
        <v>-1</v>
      </c>
      <c r="W834" s="57" t="s">
        <v>115</v>
      </c>
      <c r="X834" s="64" t="b">
        <f t="shared" ref="X834:X897" si="96">IF(W834="Entregado", TRUE(), FALSE())</f>
        <v>1</v>
      </c>
      <c r="Y834" s="60">
        <v>482</v>
      </c>
      <c r="Z834" s="60">
        <v>363</v>
      </c>
      <c r="AA834" s="57" t="s">
        <v>116</v>
      </c>
      <c r="AB834" s="64" t="b">
        <f t="shared" ref="AB834:AB897" si="97">IF(AA834="Ninguna",FALSE(),TRUE())</f>
        <v>0</v>
      </c>
    </row>
    <row r="835" spans="1:28" ht="15" customHeight="1" x14ac:dyDescent="0.3">
      <c r="A835" s="65" t="s">
        <v>1795</v>
      </c>
      <c r="B835" s="81">
        <v>45113</v>
      </c>
      <c r="C835" s="59">
        <f t="shared" si="91"/>
        <v>2023</v>
      </c>
      <c r="D835" s="59">
        <f t="shared" si="92"/>
        <v>7</v>
      </c>
      <c r="E835" s="59">
        <f t="shared" si="93"/>
        <v>27</v>
      </c>
      <c r="F835" s="65" t="s">
        <v>61</v>
      </c>
      <c r="G835" s="65" t="s">
        <v>43</v>
      </c>
      <c r="H835" s="65" t="s">
        <v>1796</v>
      </c>
      <c r="I835" s="65" t="s">
        <v>68</v>
      </c>
      <c r="J835" s="65" t="s">
        <v>123</v>
      </c>
      <c r="K835" s="65" t="s">
        <v>75</v>
      </c>
      <c r="L835" s="65" t="s">
        <v>156</v>
      </c>
      <c r="M835" s="67">
        <v>881</v>
      </c>
      <c r="N835" s="65" t="s">
        <v>114</v>
      </c>
      <c r="O835" s="68">
        <v>214.84</v>
      </c>
      <c r="P835" s="68">
        <v>189274.04</v>
      </c>
      <c r="Q835" s="68">
        <v>5585.71</v>
      </c>
      <c r="R835" s="62">
        <f t="shared" si="94"/>
        <v>2.9511231439874164E-2</v>
      </c>
      <c r="S835" s="67">
        <v>6</v>
      </c>
      <c r="T835" s="66">
        <v>45119</v>
      </c>
      <c r="U835" s="66">
        <v>45119</v>
      </c>
      <c r="V835" s="63">
        <f t="shared" si="95"/>
        <v>0</v>
      </c>
      <c r="W835" s="65" t="s">
        <v>115</v>
      </c>
      <c r="X835" s="64" t="b">
        <f t="shared" si="96"/>
        <v>1</v>
      </c>
      <c r="Y835" s="67">
        <v>304</v>
      </c>
      <c r="Z835" s="67">
        <v>304</v>
      </c>
      <c r="AA835" s="65" t="s">
        <v>82</v>
      </c>
      <c r="AB835" s="64" t="b">
        <f t="shared" si="97"/>
        <v>1</v>
      </c>
    </row>
    <row r="836" spans="1:28" ht="15" customHeight="1" x14ac:dyDescent="0.3">
      <c r="A836" s="57" t="s">
        <v>1797</v>
      </c>
      <c r="B836" s="82">
        <v>45426</v>
      </c>
      <c r="C836" s="59">
        <f t="shared" si="91"/>
        <v>2024</v>
      </c>
      <c r="D836" s="59">
        <f t="shared" si="92"/>
        <v>5</v>
      </c>
      <c r="E836" s="59">
        <f t="shared" si="93"/>
        <v>20</v>
      </c>
      <c r="F836" s="57" t="s">
        <v>54</v>
      </c>
      <c r="G836" s="57" t="s">
        <v>42</v>
      </c>
      <c r="H836" s="57" t="s">
        <v>1798</v>
      </c>
      <c r="I836" s="57" t="s">
        <v>65</v>
      </c>
      <c r="J836" s="57" t="s">
        <v>151</v>
      </c>
      <c r="K836" s="57" t="s">
        <v>75</v>
      </c>
      <c r="L836" s="57" t="s">
        <v>146</v>
      </c>
      <c r="M836" s="60">
        <v>929</v>
      </c>
      <c r="N836" s="57" t="s">
        <v>120</v>
      </c>
      <c r="O836" s="61">
        <v>94.78</v>
      </c>
      <c r="P836" s="61">
        <v>88050.62</v>
      </c>
      <c r="Q836" s="61">
        <v>4336.32</v>
      </c>
      <c r="R836" s="62">
        <f t="shared" si="94"/>
        <v>4.9248034823604875E-2</v>
      </c>
      <c r="S836" s="60">
        <v>26</v>
      </c>
      <c r="T836" s="58">
        <v>45452</v>
      </c>
      <c r="U836" s="58">
        <v>45460</v>
      </c>
      <c r="V836" s="63">
        <f t="shared" si="95"/>
        <v>8</v>
      </c>
      <c r="W836" s="57" t="s">
        <v>128</v>
      </c>
      <c r="X836" s="64" t="b">
        <f t="shared" si="96"/>
        <v>0</v>
      </c>
      <c r="Y836" s="60">
        <v>344</v>
      </c>
      <c r="Z836" s="60">
        <v>481</v>
      </c>
      <c r="AA836" s="57" t="s">
        <v>81</v>
      </c>
      <c r="AB836" s="64" t="b">
        <f t="shared" si="97"/>
        <v>1</v>
      </c>
    </row>
    <row r="837" spans="1:28" ht="15" customHeight="1" x14ac:dyDescent="0.3">
      <c r="A837" s="65" t="s">
        <v>1799</v>
      </c>
      <c r="B837" s="81">
        <v>45144</v>
      </c>
      <c r="C837" s="59">
        <f t="shared" si="91"/>
        <v>2023</v>
      </c>
      <c r="D837" s="59">
        <f t="shared" si="92"/>
        <v>8</v>
      </c>
      <c r="E837" s="59">
        <f t="shared" si="93"/>
        <v>32</v>
      </c>
      <c r="F837" s="65" t="s">
        <v>59</v>
      </c>
      <c r="G837" s="65" t="s">
        <v>46</v>
      </c>
      <c r="H837" s="65" t="s">
        <v>1800</v>
      </c>
      <c r="I837" s="65" t="s">
        <v>68</v>
      </c>
      <c r="J837" s="65" t="s">
        <v>139</v>
      </c>
      <c r="K837" s="65" t="s">
        <v>72</v>
      </c>
      <c r="L837" s="65" t="s">
        <v>113</v>
      </c>
      <c r="M837" s="67">
        <v>326</v>
      </c>
      <c r="N837" s="65" t="s">
        <v>163</v>
      </c>
      <c r="O837" s="68">
        <v>62.56</v>
      </c>
      <c r="P837" s="68">
        <v>20394.560000000001</v>
      </c>
      <c r="Q837" s="68">
        <v>853.46</v>
      </c>
      <c r="R837" s="62">
        <f t="shared" si="94"/>
        <v>4.1847433825490721E-2</v>
      </c>
      <c r="S837" s="67">
        <v>12</v>
      </c>
      <c r="T837" s="66">
        <v>45156</v>
      </c>
      <c r="U837" s="66">
        <v>45156</v>
      </c>
      <c r="V837" s="63">
        <f t="shared" si="95"/>
        <v>0</v>
      </c>
      <c r="W837" s="65" t="s">
        <v>115</v>
      </c>
      <c r="X837" s="64" t="b">
        <f t="shared" si="96"/>
        <v>1</v>
      </c>
      <c r="Y837" s="67">
        <v>49</v>
      </c>
      <c r="Z837" s="67">
        <v>187</v>
      </c>
      <c r="AA837" s="65" t="s">
        <v>116</v>
      </c>
      <c r="AB837" s="64" t="b">
        <f t="shared" si="97"/>
        <v>0</v>
      </c>
    </row>
    <row r="838" spans="1:28" ht="15" customHeight="1" x14ac:dyDescent="0.3">
      <c r="A838" s="57" t="s">
        <v>1801</v>
      </c>
      <c r="B838" s="82">
        <v>45290</v>
      </c>
      <c r="C838" s="59">
        <f t="shared" si="91"/>
        <v>2023</v>
      </c>
      <c r="D838" s="59">
        <f t="shared" si="92"/>
        <v>12</v>
      </c>
      <c r="E838" s="59">
        <f t="shared" si="93"/>
        <v>52</v>
      </c>
      <c r="F838" s="57" t="s">
        <v>59</v>
      </c>
      <c r="G838" s="57" t="s">
        <v>41</v>
      </c>
      <c r="H838" s="57" t="s">
        <v>1802</v>
      </c>
      <c r="I838" s="57" t="s">
        <v>69</v>
      </c>
      <c r="J838" s="57" t="s">
        <v>131</v>
      </c>
      <c r="K838" s="57" t="s">
        <v>74</v>
      </c>
      <c r="L838" s="57" t="s">
        <v>119</v>
      </c>
      <c r="M838" s="60">
        <v>390</v>
      </c>
      <c r="N838" s="57" t="s">
        <v>136</v>
      </c>
      <c r="O838" s="61">
        <v>360.84</v>
      </c>
      <c r="P838" s="61">
        <v>140727.6</v>
      </c>
      <c r="Q838" s="61">
        <v>8213.31</v>
      </c>
      <c r="R838" s="62">
        <f t="shared" si="94"/>
        <v>5.8363178225166915E-2</v>
      </c>
      <c r="S838" s="60">
        <v>13</v>
      </c>
      <c r="T838" s="58">
        <v>45303</v>
      </c>
      <c r="U838" s="58">
        <v>45315</v>
      </c>
      <c r="V838" s="63">
        <f t="shared" si="95"/>
        <v>12</v>
      </c>
      <c r="W838" s="57" t="s">
        <v>125</v>
      </c>
      <c r="X838" s="64" t="b">
        <f t="shared" si="96"/>
        <v>0</v>
      </c>
      <c r="Y838" s="60">
        <v>269</v>
      </c>
      <c r="Z838" s="60">
        <v>112</v>
      </c>
      <c r="AA838" s="57" t="s">
        <v>84</v>
      </c>
      <c r="AB838" s="64" t="b">
        <f t="shared" si="97"/>
        <v>1</v>
      </c>
    </row>
    <row r="839" spans="1:28" ht="15" customHeight="1" x14ac:dyDescent="0.3">
      <c r="A839" s="65" t="s">
        <v>1803</v>
      </c>
      <c r="B839" s="81">
        <v>45191</v>
      </c>
      <c r="C839" s="59">
        <f t="shared" si="91"/>
        <v>2023</v>
      </c>
      <c r="D839" s="59">
        <f t="shared" si="92"/>
        <v>9</v>
      </c>
      <c r="E839" s="59">
        <f t="shared" si="93"/>
        <v>38</v>
      </c>
      <c r="F839" s="65" t="s">
        <v>55</v>
      </c>
      <c r="G839" s="65" t="s">
        <v>42</v>
      </c>
      <c r="H839" s="65" t="s">
        <v>1804</v>
      </c>
      <c r="I839" s="65" t="s">
        <v>64</v>
      </c>
      <c r="J839" s="65" t="s">
        <v>143</v>
      </c>
      <c r="K839" s="65" t="s">
        <v>75</v>
      </c>
      <c r="L839" s="65" t="s">
        <v>124</v>
      </c>
      <c r="M839" s="67">
        <v>154</v>
      </c>
      <c r="N839" s="65" t="s">
        <v>132</v>
      </c>
      <c r="O839" s="68">
        <v>106.14</v>
      </c>
      <c r="P839" s="68">
        <v>16345.56</v>
      </c>
      <c r="Q839" s="68">
        <v>453.46</v>
      </c>
      <c r="R839" s="62">
        <f t="shared" si="94"/>
        <v>2.7742090206759513E-2</v>
      </c>
      <c r="S839" s="67">
        <v>13</v>
      </c>
      <c r="T839" s="66">
        <v>45204</v>
      </c>
      <c r="U839" s="66">
        <v>45204</v>
      </c>
      <c r="V839" s="63">
        <f t="shared" si="95"/>
        <v>0</v>
      </c>
      <c r="W839" s="65" t="s">
        <v>115</v>
      </c>
      <c r="X839" s="64" t="b">
        <f t="shared" si="96"/>
        <v>1</v>
      </c>
      <c r="Y839" s="67">
        <v>107</v>
      </c>
      <c r="Z839" s="67">
        <v>180</v>
      </c>
      <c r="AA839" s="65" t="s">
        <v>116</v>
      </c>
      <c r="AB839" s="64" t="b">
        <f t="shared" si="97"/>
        <v>0</v>
      </c>
    </row>
    <row r="840" spans="1:28" ht="15" customHeight="1" x14ac:dyDescent="0.3">
      <c r="A840" s="57" t="s">
        <v>1805</v>
      </c>
      <c r="B840" s="82">
        <v>45275</v>
      </c>
      <c r="C840" s="59">
        <f t="shared" si="91"/>
        <v>2023</v>
      </c>
      <c r="D840" s="59">
        <f t="shared" si="92"/>
        <v>12</v>
      </c>
      <c r="E840" s="59">
        <f t="shared" si="93"/>
        <v>50</v>
      </c>
      <c r="F840" s="57" t="s">
        <v>53</v>
      </c>
      <c r="G840" s="57" t="s">
        <v>41</v>
      </c>
      <c r="H840" s="57" t="s">
        <v>1806</v>
      </c>
      <c r="I840" s="57" t="s">
        <v>66</v>
      </c>
      <c r="J840" s="57" t="s">
        <v>131</v>
      </c>
      <c r="K840" s="57" t="s">
        <v>75</v>
      </c>
      <c r="L840" s="57" t="s">
        <v>135</v>
      </c>
      <c r="M840" s="60">
        <v>336</v>
      </c>
      <c r="N840" s="57" t="s">
        <v>140</v>
      </c>
      <c r="O840" s="61">
        <v>354.21</v>
      </c>
      <c r="P840" s="61">
        <v>119014.56</v>
      </c>
      <c r="Q840" s="61">
        <v>5453.13</v>
      </c>
      <c r="R840" s="62">
        <f t="shared" si="94"/>
        <v>4.5819015757399766E-2</v>
      </c>
      <c r="S840" s="60">
        <v>29</v>
      </c>
      <c r="T840" s="58">
        <v>45304</v>
      </c>
      <c r="U840" s="58">
        <v>45304</v>
      </c>
      <c r="V840" s="63">
        <f t="shared" si="95"/>
        <v>0</v>
      </c>
      <c r="W840" s="57" t="s">
        <v>115</v>
      </c>
      <c r="X840" s="64" t="b">
        <f t="shared" si="96"/>
        <v>1</v>
      </c>
      <c r="Y840" s="60">
        <v>45</v>
      </c>
      <c r="Z840" s="60">
        <v>198</v>
      </c>
      <c r="AA840" s="57" t="s">
        <v>116</v>
      </c>
      <c r="AB840" s="64" t="b">
        <f t="shared" si="97"/>
        <v>0</v>
      </c>
    </row>
    <row r="841" spans="1:28" ht="15" customHeight="1" x14ac:dyDescent="0.3">
      <c r="A841" s="65" t="s">
        <v>1807</v>
      </c>
      <c r="B841" s="81">
        <v>45213</v>
      </c>
      <c r="C841" s="59">
        <f t="shared" si="91"/>
        <v>2023</v>
      </c>
      <c r="D841" s="59">
        <f t="shared" si="92"/>
        <v>10</v>
      </c>
      <c r="E841" s="59">
        <f t="shared" si="93"/>
        <v>41</v>
      </c>
      <c r="F841" s="65" t="s">
        <v>52</v>
      </c>
      <c r="G841" s="65" t="s">
        <v>42</v>
      </c>
      <c r="H841" s="65" t="s">
        <v>1808</v>
      </c>
      <c r="I841" s="65" t="s">
        <v>69</v>
      </c>
      <c r="J841" s="65" t="s">
        <v>131</v>
      </c>
      <c r="K841" s="65" t="s">
        <v>75</v>
      </c>
      <c r="L841" s="65" t="s">
        <v>113</v>
      </c>
      <c r="M841" s="67">
        <v>372</v>
      </c>
      <c r="N841" s="65" t="s">
        <v>163</v>
      </c>
      <c r="O841" s="68">
        <v>104.76</v>
      </c>
      <c r="P841" s="68">
        <v>38970.720000000001</v>
      </c>
      <c r="Q841" s="68">
        <v>1421.74</v>
      </c>
      <c r="R841" s="62">
        <f t="shared" si="94"/>
        <v>3.6482261554315651E-2</v>
      </c>
      <c r="S841" s="67">
        <v>15</v>
      </c>
      <c r="T841" s="66">
        <v>45228</v>
      </c>
      <c r="U841" s="66">
        <v>45233</v>
      </c>
      <c r="V841" s="63">
        <f t="shared" si="95"/>
        <v>5</v>
      </c>
      <c r="W841" s="65" t="s">
        <v>125</v>
      </c>
      <c r="X841" s="64" t="b">
        <f t="shared" si="96"/>
        <v>0</v>
      </c>
      <c r="Y841" s="67">
        <v>473</v>
      </c>
      <c r="Z841" s="67">
        <v>389</v>
      </c>
      <c r="AA841" s="65" t="s">
        <v>82</v>
      </c>
      <c r="AB841" s="64" t="b">
        <f t="shared" si="97"/>
        <v>1</v>
      </c>
    </row>
    <row r="842" spans="1:28" ht="15" customHeight="1" x14ac:dyDescent="0.3">
      <c r="A842" s="57" t="s">
        <v>1809</v>
      </c>
      <c r="B842" s="82">
        <v>45537</v>
      </c>
      <c r="C842" s="59">
        <f t="shared" si="91"/>
        <v>2024</v>
      </c>
      <c r="D842" s="59">
        <f t="shared" si="92"/>
        <v>9</v>
      </c>
      <c r="E842" s="59">
        <f t="shared" si="93"/>
        <v>36</v>
      </c>
      <c r="F842" s="57" t="s">
        <v>59</v>
      </c>
      <c r="G842" s="57" t="s">
        <v>42</v>
      </c>
      <c r="H842" s="57" t="s">
        <v>1810</v>
      </c>
      <c r="I842" s="57" t="s">
        <v>65</v>
      </c>
      <c r="J842" s="57" t="s">
        <v>112</v>
      </c>
      <c r="K842" s="57" t="s">
        <v>73</v>
      </c>
      <c r="L842" s="57" t="s">
        <v>124</v>
      </c>
      <c r="M842" s="60">
        <v>59</v>
      </c>
      <c r="N842" s="57" t="s">
        <v>132</v>
      </c>
      <c r="O842" s="61">
        <v>113.17</v>
      </c>
      <c r="P842" s="61">
        <v>6677.03</v>
      </c>
      <c r="Q842" s="61">
        <v>489.19</v>
      </c>
      <c r="R842" s="62">
        <f t="shared" si="94"/>
        <v>7.3264610163500846E-2</v>
      </c>
      <c r="S842" s="60">
        <v>21</v>
      </c>
      <c r="T842" s="58">
        <v>45558</v>
      </c>
      <c r="U842" s="58">
        <v>45570</v>
      </c>
      <c r="V842" s="63">
        <f t="shared" si="95"/>
        <v>12</v>
      </c>
      <c r="W842" s="57" t="s">
        <v>128</v>
      </c>
      <c r="X842" s="64" t="b">
        <f t="shared" si="96"/>
        <v>0</v>
      </c>
      <c r="Y842" s="60">
        <v>81</v>
      </c>
      <c r="Z842" s="60">
        <v>69</v>
      </c>
      <c r="AA842" s="57" t="s">
        <v>83</v>
      </c>
      <c r="AB842" s="64" t="b">
        <f t="shared" si="97"/>
        <v>1</v>
      </c>
    </row>
    <row r="843" spans="1:28" ht="15" customHeight="1" x14ac:dyDescent="0.3">
      <c r="A843" s="65" t="s">
        <v>1811</v>
      </c>
      <c r="B843" s="81">
        <v>45645</v>
      </c>
      <c r="C843" s="59">
        <f t="shared" si="91"/>
        <v>2024</v>
      </c>
      <c r="D843" s="59">
        <f t="shared" si="92"/>
        <v>12</v>
      </c>
      <c r="E843" s="59">
        <f t="shared" si="93"/>
        <v>51</v>
      </c>
      <c r="F843" s="65" t="s">
        <v>52</v>
      </c>
      <c r="G843" s="65" t="s">
        <v>39</v>
      </c>
      <c r="H843" s="65" t="s">
        <v>1812</v>
      </c>
      <c r="I843" s="65" t="s">
        <v>66</v>
      </c>
      <c r="J843" s="65" t="s">
        <v>151</v>
      </c>
      <c r="K843" s="65" t="s">
        <v>75</v>
      </c>
      <c r="L843" s="65" t="s">
        <v>124</v>
      </c>
      <c r="M843" s="67">
        <v>74</v>
      </c>
      <c r="N843" s="65" t="s">
        <v>132</v>
      </c>
      <c r="O843" s="68">
        <v>1569.41</v>
      </c>
      <c r="P843" s="68">
        <v>116136.34</v>
      </c>
      <c r="Q843" s="68">
        <v>2605.54</v>
      </c>
      <c r="R843" s="62">
        <f t="shared" si="94"/>
        <v>2.2435182648256353E-2</v>
      </c>
      <c r="S843" s="67">
        <v>16</v>
      </c>
      <c r="T843" s="66">
        <v>45661</v>
      </c>
      <c r="U843" s="66">
        <v>45656</v>
      </c>
      <c r="V843" s="63">
        <f t="shared" si="95"/>
        <v>-5</v>
      </c>
      <c r="W843" s="65" t="s">
        <v>115</v>
      </c>
      <c r="X843" s="64" t="b">
        <f t="shared" si="96"/>
        <v>1</v>
      </c>
      <c r="Y843" s="67">
        <v>125</v>
      </c>
      <c r="Z843" s="67">
        <v>85</v>
      </c>
      <c r="AA843" s="65" t="s">
        <v>116</v>
      </c>
      <c r="AB843" s="64" t="b">
        <f t="shared" si="97"/>
        <v>0</v>
      </c>
    </row>
    <row r="844" spans="1:28" ht="15" customHeight="1" x14ac:dyDescent="0.3">
      <c r="A844" s="57" t="s">
        <v>1813</v>
      </c>
      <c r="B844" s="82">
        <v>45209</v>
      </c>
      <c r="C844" s="59">
        <f t="shared" si="91"/>
        <v>2023</v>
      </c>
      <c r="D844" s="59">
        <f t="shared" si="92"/>
        <v>10</v>
      </c>
      <c r="E844" s="59">
        <f t="shared" si="93"/>
        <v>41</v>
      </c>
      <c r="F844" s="57" t="s">
        <v>57</v>
      </c>
      <c r="G844" s="57" t="s">
        <v>46</v>
      </c>
      <c r="H844" s="57" t="s">
        <v>1814</v>
      </c>
      <c r="I844" s="57" t="s">
        <v>67</v>
      </c>
      <c r="J844" s="57" t="s">
        <v>139</v>
      </c>
      <c r="K844" s="57" t="s">
        <v>75</v>
      </c>
      <c r="L844" s="57" t="s">
        <v>146</v>
      </c>
      <c r="M844" s="60">
        <v>364</v>
      </c>
      <c r="N844" s="57" t="s">
        <v>140</v>
      </c>
      <c r="O844" s="61">
        <v>67.709999999999994</v>
      </c>
      <c r="P844" s="61">
        <v>24646.44</v>
      </c>
      <c r="Q844" s="61">
        <v>1844.14</v>
      </c>
      <c r="R844" s="62">
        <f t="shared" si="94"/>
        <v>7.4823787938542038E-2</v>
      </c>
      <c r="S844" s="60">
        <v>22</v>
      </c>
      <c r="T844" s="58">
        <v>45231</v>
      </c>
      <c r="U844" s="58">
        <v>45236</v>
      </c>
      <c r="V844" s="63">
        <f t="shared" si="95"/>
        <v>5</v>
      </c>
      <c r="W844" s="57" t="s">
        <v>128</v>
      </c>
      <c r="X844" s="64" t="b">
        <f t="shared" si="96"/>
        <v>0</v>
      </c>
      <c r="Y844" s="60">
        <v>83</v>
      </c>
      <c r="Z844" s="60">
        <v>391</v>
      </c>
      <c r="AA844" s="57" t="s">
        <v>81</v>
      </c>
      <c r="AB844" s="64" t="b">
        <f t="shared" si="97"/>
        <v>1</v>
      </c>
    </row>
    <row r="845" spans="1:28" ht="15" customHeight="1" x14ac:dyDescent="0.3">
      <c r="A845" s="65" t="s">
        <v>1815</v>
      </c>
      <c r="B845" s="81">
        <v>45496</v>
      </c>
      <c r="C845" s="59">
        <f t="shared" si="91"/>
        <v>2024</v>
      </c>
      <c r="D845" s="59">
        <f t="shared" si="92"/>
        <v>7</v>
      </c>
      <c r="E845" s="59">
        <f t="shared" si="93"/>
        <v>30</v>
      </c>
      <c r="F845" s="65" t="s">
        <v>53</v>
      </c>
      <c r="G845" s="65" t="s">
        <v>46</v>
      </c>
      <c r="H845" s="65" t="s">
        <v>1816</v>
      </c>
      <c r="I845" s="65" t="s">
        <v>66</v>
      </c>
      <c r="J845" s="65" t="s">
        <v>123</v>
      </c>
      <c r="K845" s="65" t="s">
        <v>71</v>
      </c>
      <c r="L845" s="65" t="s">
        <v>146</v>
      </c>
      <c r="M845" s="67">
        <v>809</v>
      </c>
      <c r="N845" s="65" t="s">
        <v>140</v>
      </c>
      <c r="O845" s="68">
        <v>64.900000000000006</v>
      </c>
      <c r="P845" s="68">
        <v>52504.1</v>
      </c>
      <c r="Q845" s="68">
        <v>3674.22</v>
      </c>
      <c r="R845" s="62">
        <f t="shared" si="94"/>
        <v>6.9979677777544991E-2</v>
      </c>
      <c r="S845" s="67">
        <v>21</v>
      </c>
      <c r="T845" s="66">
        <v>45517</v>
      </c>
      <c r="U845" s="66">
        <v>45517</v>
      </c>
      <c r="V845" s="63">
        <f t="shared" si="95"/>
        <v>0</v>
      </c>
      <c r="W845" s="65" t="s">
        <v>115</v>
      </c>
      <c r="X845" s="64" t="b">
        <f t="shared" si="96"/>
        <v>1</v>
      </c>
      <c r="Y845" s="67">
        <v>289</v>
      </c>
      <c r="Z845" s="67">
        <v>484</v>
      </c>
      <c r="AA845" s="65" t="s">
        <v>84</v>
      </c>
      <c r="AB845" s="64" t="b">
        <f t="shared" si="97"/>
        <v>1</v>
      </c>
    </row>
    <row r="846" spans="1:28" ht="15" customHeight="1" x14ac:dyDescent="0.3">
      <c r="A846" s="57" t="s">
        <v>1817</v>
      </c>
      <c r="B846" s="82">
        <v>44937</v>
      </c>
      <c r="C846" s="59">
        <f t="shared" si="91"/>
        <v>2023</v>
      </c>
      <c r="D846" s="59">
        <f t="shared" si="92"/>
        <v>1</v>
      </c>
      <c r="E846" s="59">
        <f t="shared" si="93"/>
        <v>2</v>
      </c>
      <c r="F846" s="57" t="s">
        <v>57</v>
      </c>
      <c r="G846" s="57" t="s">
        <v>40</v>
      </c>
      <c r="H846" s="57" t="s">
        <v>1288</v>
      </c>
      <c r="I846" s="57" t="s">
        <v>65</v>
      </c>
      <c r="J846" s="57" t="s">
        <v>139</v>
      </c>
      <c r="K846" s="57" t="s">
        <v>73</v>
      </c>
      <c r="L846" s="57" t="s">
        <v>156</v>
      </c>
      <c r="M846" s="60">
        <v>173</v>
      </c>
      <c r="N846" s="57" t="s">
        <v>120</v>
      </c>
      <c r="O846" s="61">
        <v>809.09</v>
      </c>
      <c r="P846" s="61">
        <v>139972.57</v>
      </c>
      <c r="Q846" s="61">
        <v>5298.56</v>
      </c>
      <c r="R846" s="62">
        <f t="shared" si="94"/>
        <v>3.7854273876660266E-2</v>
      </c>
      <c r="S846" s="60">
        <v>11</v>
      </c>
      <c r="T846" s="58">
        <v>44948</v>
      </c>
      <c r="U846" s="58">
        <v>44945</v>
      </c>
      <c r="V846" s="63">
        <f t="shared" si="95"/>
        <v>-3</v>
      </c>
      <c r="W846" s="57" t="s">
        <v>115</v>
      </c>
      <c r="X846" s="64" t="b">
        <f t="shared" si="96"/>
        <v>1</v>
      </c>
      <c r="Y846" s="60">
        <v>70</v>
      </c>
      <c r="Z846" s="60">
        <v>398</v>
      </c>
      <c r="AA846" s="57" t="s">
        <v>84</v>
      </c>
      <c r="AB846" s="64" t="b">
        <f t="shared" si="97"/>
        <v>1</v>
      </c>
    </row>
    <row r="847" spans="1:28" ht="15" customHeight="1" x14ac:dyDescent="0.3">
      <c r="A847" s="65" t="s">
        <v>1818</v>
      </c>
      <c r="B847" s="81">
        <v>45456</v>
      </c>
      <c r="C847" s="59">
        <f t="shared" si="91"/>
        <v>2024</v>
      </c>
      <c r="D847" s="59">
        <f t="shared" si="92"/>
        <v>6</v>
      </c>
      <c r="E847" s="59">
        <f t="shared" si="93"/>
        <v>24</v>
      </c>
      <c r="F847" s="65" t="s">
        <v>52</v>
      </c>
      <c r="G847" s="65" t="s">
        <v>42</v>
      </c>
      <c r="H847" s="65" t="s">
        <v>1819</v>
      </c>
      <c r="I847" s="65" t="s">
        <v>66</v>
      </c>
      <c r="J847" s="65" t="s">
        <v>151</v>
      </c>
      <c r="K847" s="65" t="s">
        <v>75</v>
      </c>
      <c r="L847" s="65" t="s">
        <v>135</v>
      </c>
      <c r="M847" s="67">
        <v>150</v>
      </c>
      <c r="N847" s="65" t="s">
        <v>136</v>
      </c>
      <c r="O847" s="68">
        <v>112.8</v>
      </c>
      <c r="P847" s="68">
        <v>16920</v>
      </c>
      <c r="Q847" s="68">
        <v>1139.69</v>
      </c>
      <c r="R847" s="62">
        <f t="shared" si="94"/>
        <v>6.7357565011820331E-2</v>
      </c>
      <c r="S847" s="67">
        <v>28</v>
      </c>
      <c r="T847" s="66">
        <v>45484</v>
      </c>
      <c r="U847" s="66">
        <v>45483</v>
      </c>
      <c r="V847" s="63">
        <f t="shared" si="95"/>
        <v>-1</v>
      </c>
      <c r="W847" s="65" t="s">
        <v>115</v>
      </c>
      <c r="X847" s="64" t="b">
        <f t="shared" si="96"/>
        <v>1</v>
      </c>
      <c r="Y847" s="67">
        <v>174</v>
      </c>
      <c r="Z847" s="67">
        <v>409</v>
      </c>
      <c r="AA847" s="65" t="s">
        <v>84</v>
      </c>
      <c r="AB847" s="64" t="b">
        <f t="shared" si="97"/>
        <v>1</v>
      </c>
    </row>
    <row r="848" spans="1:28" ht="15" customHeight="1" x14ac:dyDescent="0.3">
      <c r="A848" s="57" t="s">
        <v>1820</v>
      </c>
      <c r="B848" s="82">
        <v>45122</v>
      </c>
      <c r="C848" s="59">
        <f t="shared" si="91"/>
        <v>2023</v>
      </c>
      <c r="D848" s="59">
        <f t="shared" si="92"/>
        <v>7</v>
      </c>
      <c r="E848" s="59">
        <f t="shared" si="93"/>
        <v>28</v>
      </c>
      <c r="F848" s="57" t="s">
        <v>54</v>
      </c>
      <c r="G848" s="57" t="s">
        <v>43</v>
      </c>
      <c r="H848" s="57" t="s">
        <v>1821</v>
      </c>
      <c r="I848" s="57" t="s">
        <v>65</v>
      </c>
      <c r="J848" s="57" t="s">
        <v>131</v>
      </c>
      <c r="K848" s="57" t="s">
        <v>75</v>
      </c>
      <c r="L848" s="57" t="s">
        <v>113</v>
      </c>
      <c r="M848" s="60">
        <v>975</v>
      </c>
      <c r="N848" s="57" t="s">
        <v>163</v>
      </c>
      <c r="O848" s="61">
        <v>283.02999999999997</v>
      </c>
      <c r="P848" s="61">
        <v>275954.25</v>
      </c>
      <c r="Q848" s="61">
        <v>6035.9</v>
      </c>
      <c r="R848" s="62">
        <f t="shared" si="94"/>
        <v>2.1872828557632288E-2</v>
      </c>
      <c r="S848" s="60">
        <v>5</v>
      </c>
      <c r="T848" s="58">
        <v>45127</v>
      </c>
      <c r="U848" s="58">
        <v>45129</v>
      </c>
      <c r="V848" s="63">
        <f t="shared" si="95"/>
        <v>2</v>
      </c>
      <c r="W848" s="57" t="s">
        <v>128</v>
      </c>
      <c r="X848" s="64" t="b">
        <f t="shared" si="96"/>
        <v>0</v>
      </c>
      <c r="Y848" s="60">
        <v>315</v>
      </c>
      <c r="Z848" s="60">
        <v>38</v>
      </c>
      <c r="AA848" s="57" t="s">
        <v>83</v>
      </c>
      <c r="AB848" s="64" t="b">
        <f t="shared" si="97"/>
        <v>1</v>
      </c>
    </row>
    <row r="849" spans="1:28" ht="15" customHeight="1" x14ac:dyDescent="0.3">
      <c r="A849" s="65" t="s">
        <v>1822</v>
      </c>
      <c r="B849" s="81">
        <v>45014</v>
      </c>
      <c r="C849" s="59">
        <f t="shared" si="91"/>
        <v>2023</v>
      </c>
      <c r="D849" s="59">
        <f t="shared" si="92"/>
        <v>3</v>
      </c>
      <c r="E849" s="59">
        <f t="shared" si="93"/>
        <v>13</v>
      </c>
      <c r="F849" s="65" t="s">
        <v>61</v>
      </c>
      <c r="G849" s="65" t="s">
        <v>43</v>
      </c>
      <c r="H849" s="65" t="s">
        <v>1823</v>
      </c>
      <c r="I849" s="65" t="s">
        <v>69</v>
      </c>
      <c r="J849" s="65" t="s">
        <v>112</v>
      </c>
      <c r="K849" s="65" t="s">
        <v>72</v>
      </c>
      <c r="L849" s="65" t="s">
        <v>156</v>
      </c>
      <c r="M849" s="67">
        <v>835</v>
      </c>
      <c r="N849" s="65" t="s">
        <v>136</v>
      </c>
      <c r="O849" s="68">
        <v>193.73</v>
      </c>
      <c r="P849" s="68">
        <v>161764.54999999999</v>
      </c>
      <c r="Q849" s="68">
        <v>12619.57</v>
      </c>
      <c r="R849" s="62">
        <f t="shared" si="94"/>
        <v>7.8011962447891089E-2</v>
      </c>
      <c r="S849" s="67">
        <v>4</v>
      </c>
      <c r="T849" s="66">
        <v>45018</v>
      </c>
      <c r="U849" s="66">
        <v>45023</v>
      </c>
      <c r="V849" s="63">
        <f t="shared" si="95"/>
        <v>5</v>
      </c>
      <c r="W849" s="65" t="s">
        <v>125</v>
      </c>
      <c r="X849" s="64" t="b">
        <f t="shared" si="96"/>
        <v>0</v>
      </c>
      <c r="Y849" s="67">
        <v>329</v>
      </c>
      <c r="Z849" s="67">
        <v>130</v>
      </c>
      <c r="AA849" s="65" t="s">
        <v>116</v>
      </c>
      <c r="AB849" s="64" t="b">
        <f t="shared" si="97"/>
        <v>0</v>
      </c>
    </row>
    <row r="850" spans="1:28" ht="15" customHeight="1" x14ac:dyDescent="0.3">
      <c r="A850" s="57" t="s">
        <v>1824</v>
      </c>
      <c r="B850" s="82">
        <v>45174</v>
      </c>
      <c r="C850" s="59">
        <f t="shared" si="91"/>
        <v>2023</v>
      </c>
      <c r="D850" s="59">
        <f t="shared" si="92"/>
        <v>9</v>
      </c>
      <c r="E850" s="59">
        <f t="shared" si="93"/>
        <v>36</v>
      </c>
      <c r="F850" s="57" t="s">
        <v>53</v>
      </c>
      <c r="G850" s="57" t="s">
        <v>41</v>
      </c>
      <c r="H850" s="57" t="s">
        <v>1825</v>
      </c>
      <c r="I850" s="57" t="s">
        <v>64</v>
      </c>
      <c r="J850" s="57" t="s">
        <v>151</v>
      </c>
      <c r="K850" s="57" t="s">
        <v>72</v>
      </c>
      <c r="L850" s="57" t="s">
        <v>135</v>
      </c>
      <c r="M850" s="60">
        <v>137</v>
      </c>
      <c r="N850" s="57" t="s">
        <v>163</v>
      </c>
      <c r="O850" s="61">
        <v>596.03</v>
      </c>
      <c r="P850" s="61">
        <v>81656.11</v>
      </c>
      <c r="Q850" s="61">
        <v>4213.1000000000004</v>
      </c>
      <c r="R850" s="62">
        <f t="shared" si="94"/>
        <v>5.1595649119214722E-2</v>
      </c>
      <c r="S850" s="60">
        <v>3</v>
      </c>
      <c r="T850" s="58">
        <v>45177</v>
      </c>
      <c r="U850" s="58">
        <v>45177</v>
      </c>
      <c r="V850" s="63">
        <f t="shared" si="95"/>
        <v>0</v>
      </c>
      <c r="W850" s="57" t="s">
        <v>115</v>
      </c>
      <c r="X850" s="64" t="b">
        <f t="shared" si="96"/>
        <v>1</v>
      </c>
      <c r="Y850" s="60">
        <v>462</v>
      </c>
      <c r="Z850" s="60">
        <v>440</v>
      </c>
      <c r="AA850" s="57" t="s">
        <v>83</v>
      </c>
      <c r="AB850" s="64" t="b">
        <f t="shared" si="97"/>
        <v>1</v>
      </c>
    </row>
    <row r="851" spans="1:28" ht="15" customHeight="1" x14ac:dyDescent="0.3">
      <c r="A851" s="65" t="s">
        <v>1826</v>
      </c>
      <c r="B851" s="81">
        <v>45343</v>
      </c>
      <c r="C851" s="59">
        <f t="shared" si="91"/>
        <v>2024</v>
      </c>
      <c r="D851" s="59">
        <f t="shared" si="92"/>
        <v>2</v>
      </c>
      <c r="E851" s="59">
        <f t="shared" si="93"/>
        <v>8</v>
      </c>
      <c r="F851" s="65" t="s">
        <v>54</v>
      </c>
      <c r="G851" s="65" t="s">
        <v>41</v>
      </c>
      <c r="H851" s="65" t="s">
        <v>1827</v>
      </c>
      <c r="I851" s="65" t="s">
        <v>67</v>
      </c>
      <c r="J851" s="65" t="s">
        <v>143</v>
      </c>
      <c r="K851" s="65" t="s">
        <v>73</v>
      </c>
      <c r="L851" s="65" t="s">
        <v>119</v>
      </c>
      <c r="M851" s="67">
        <v>407</v>
      </c>
      <c r="N851" s="65" t="s">
        <v>132</v>
      </c>
      <c r="O851" s="68">
        <v>720.76</v>
      </c>
      <c r="P851" s="68">
        <v>293349.32</v>
      </c>
      <c r="Q851" s="68">
        <v>11205.02</v>
      </c>
      <c r="R851" s="62">
        <f t="shared" si="94"/>
        <v>3.8196850089851922E-2</v>
      </c>
      <c r="S851" s="67">
        <v>19</v>
      </c>
      <c r="T851" s="66">
        <v>45362</v>
      </c>
      <c r="U851" s="66">
        <v>45361</v>
      </c>
      <c r="V851" s="63">
        <f t="shared" si="95"/>
        <v>-1</v>
      </c>
      <c r="W851" s="65" t="s">
        <v>115</v>
      </c>
      <c r="X851" s="64" t="b">
        <f t="shared" si="96"/>
        <v>1</v>
      </c>
      <c r="Y851" s="67">
        <v>336</v>
      </c>
      <c r="Z851" s="67">
        <v>9</v>
      </c>
      <c r="AA851" s="65" t="s">
        <v>81</v>
      </c>
      <c r="AB851" s="64" t="b">
        <f t="shared" si="97"/>
        <v>1</v>
      </c>
    </row>
    <row r="852" spans="1:28" ht="15" customHeight="1" x14ac:dyDescent="0.3">
      <c r="A852" s="57" t="s">
        <v>1828</v>
      </c>
      <c r="B852" s="82">
        <v>45427</v>
      </c>
      <c r="C852" s="59">
        <f t="shared" si="91"/>
        <v>2024</v>
      </c>
      <c r="D852" s="59">
        <f t="shared" si="92"/>
        <v>5</v>
      </c>
      <c r="E852" s="59">
        <f t="shared" si="93"/>
        <v>20</v>
      </c>
      <c r="F852" s="57" t="s">
        <v>59</v>
      </c>
      <c r="G852" s="57" t="s">
        <v>39</v>
      </c>
      <c r="H852" s="57" t="s">
        <v>1829</v>
      </c>
      <c r="I852" s="57" t="s">
        <v>64</v>
      </c>
      <c r="J852" s="57" t="s">
        <v>143</v>
      </c>
      <c r="K852" s="57" t="s">
        <v>71</v>
      </c>
      <c r="L852" s="57" t="s">
        <v>119</v>
      </c>
      <c r="M852" s="60">
        <v>942</v>
      </c>
      <c r="N852" s="57" t="s">
        <v>114</v>
      </c>
      <c r="O852" s="61">
        <v>2204.4699999999998</v>
      </c>
      <c r="P852" s="61">
        <v>1639255.3774000001</v>
      </c>
      <c r="Q852" s="61">
        <v>86708.87</v>
      </c>
      <c r="R852" s="62">
        <f t="shared" si="94"/>
        <v>5.2895278670689931E-2</v>
      </c>
      <c r="S852" s="60">
        <v>20</v>
      </c>
      <c r="T852" s="58">
        <v>45447</v>
      </c>
      <c r="U852" s="58">
        <v>45448</v>
      </c>
      <c r="V852" s="63">
        <f t="shared" si="95"/>
        <v>1</v>
      </c>
      <c r="W852" s="57" t="s">
        <v>128</v>
      </c>
      <c r="X852" s="64" t="b">
        <f t="shared" si="96"/>
        <v>0</v>
      </c>
      <c r="Y852" s="60">
        <v>394</v>
      </c>
      <c r="Z852" s="60">
        <v>2</v>
      </c>
      <c r="AA852" s="57" t="s">
        <v>116</v>
      </c>
      <c r="AB852" s="64" t="b">
        <f t="shared" si="97"/>
        <v>0</v>
      </c>
    </row>
    <row r="853" spans="1:28" ht="15" customHeight="1" x14ac:dyDescent="0.3">
      <c r="A853" s="65" t="s">
        <v>1830</v>
      </c>
      <c r="B853" s="81">
        <v>45495</v>
      </c>
      <c r="C853" s="59">
        <f t="shared" si="91"/>
        <v>2024</v>
      </c>
      <c r="D853" s="59">
        <f t="shared" si="92"/>
        <v>7</v>
      </c>
      <c r="E853" s="59">
        <f t="shared" si="93"/>
        <v>30</v>
      </c>
      <c r="F853" s="65" t="s">
        <v>61</v>
      </c>
      <c r="G853" s="65" t="s">
        <v>42</v>
      </c>
      <c r="H853" s="65" t="s">
        <v>1831</v>
      </c>
      <c r="I853" s="65" t="s">
        <v>64</v>
      </c>
      <c r="J853" s="65" t="s">
        <v>151</v>
      </c>
      <c r="K853" s="65" t="s">
        <v>73</v>
      </c>
      <c r="L853" s="65" t="s">
        <v>156</v>
      </c>
      <c r="M853" s="67">
        <v>889</v>
      </c>
      <c r="N853" s="65" t="s">
        <v>114</v>
      </c>
      <c r="O853" s="68">
        <v>88.57</v>
      </c>
      <c r="P853" s="68">
        <v>78738.73</v>
      </c>
      <c r="Q853" s="68">
        <v>1888.49</v>
      </c>
      <c r="R853" s="62">
        <f t="shared" si="94"/>
        <v>2.3984257810609848E-2</v>
      </c>
      <c r="S853" s="67">
        <v>25</v>
      </c>
      <c r="T853" s="66">
        <v>45520</v>
      </c>
      <c r="U853" s="66">
        <v>45520</v>
      </c>
      <c r="V853" s="63">
        <f t="shared" si="95"/>
        <v>0</v>
      </c>
      <c r="W853" s="65" t="s">
        <v>128</v>
      </c>
      <c r="X853" s="64" t="b">
        <f t="shared" si="96"/>
        <v>0</v>
      </c>
      <c r="Y853" s="67">
        <v>353</v>
      </c>
      <c r="Z853" s="67">
        <v>477</v>
      </c>
      <c r="AA853" s="65" t="s">
        <v>84</v>
      </c>
      <c r="AB853" s="64" t="b">
        <f t="shared" si="97"/>
        <v>1</v>
      </c>
    </row>
    <row r="854" spans="1:28" ht="15" customHeight="1" x14ac:dyDescent="0.3">
      <c r="A854" s="57" t="s">
        <v>1832</v>
      </c>
      <c r="B854" s="82">
        <v>45173</v>
      </c>
      <c r="C854" s="59">
        <f t="shared" si="91"/>
        <v>2023</v>
      </c>
      <c r="D854" s="59">
        <f t="shared" si="92"/>
        <v>9</v>
      </c>
      <c r="E854" s="59">
        <f t="shared" si="93"/>
        <v>36</v>
      </c>
      <c r="F854" s="57" t="s">
        <v>60</v>
      </c>
      <c r="G854" s="57" t="s">
        <v>41</v>
      </c>
      <c r="H854" s="57" t="s">
        <v>1833</v>
      </c>
      <c r="I854" s="57" t="s">
        <v>64</v>
      </c>
      <c r="J854" s="57" t="s">
        <v>123</v>
      </c>
      <c r="K854" s="57" t="s">
        <v>73</v>
      </c>
      <c r="L854" s="57" t="s">
        <v>113</v>
      </c>
      <c r="M854" s="60">
        <v>472</v>
      </c>
      <c r="N854" s="57" t="s">
        <v>140</v>
      </c>
      <c r="O854" s="61">
        <v>531.13</v>
      </c>
      <c r="P854" s="61">
        <v>250693.36</v>
      </c>
      <c r="Q854" s="61">
        <v>19895.27</v>
      </c>
      <c r="R854" s="62">
        <f t="shared" si="94"/>
        <v>7.9360977091694818E-2</v>
      </c>
      <c r="S854" s="60">
        <v>18</v>
      </c>
      <c r="T854" s="58">
        <v>45191</v>
      </c>
      <c r="U854" s="58">
        <v>45194</v>
      </c>
      <c r="V854" s="63">
        <f t="shared" si="95"/>
        <v>3</v>
      </c>
      <c r="W854" s="57" t="s">
        <v>125</v>
      </c>
      <c r="X854" s="64" t="b">
        <f t="shared" si="96"/>
        <v>0</v>
      </c>
      <c r="Y854" s="60">
        <v>90</v>
      </c>
      <c r="Z854" s="60">
        <v>301</v>
      </c>
      <c r="AA854" s="57" t="s">
        <v>116</v>
      </c>
      <c r="AB854" s="64" t="b">
        <f t="shared" si="97"/>
        <v>0</v>
      </c>
    </row>
    <row r="855" spans="1:28" ht="15" customHeight="1" x14ac:dyDescent="0.3">
      <c r="A855" s="65" t="s">
        <v>1834</v>
      </c>
      <c r="B855" s="81">
        <v>45634</v>
      </c>
      <c r="C855" s="59">
        <f t="shared" si="91"/>
        <v>2024</v>
      </c>
      <c r="D855" s="59">
        <f t="shared" si="92"/>
        <v>12</v>
      </c>
      <c r="E855" s="59">
        <f t="shared" si="93"/>
        <v>50</v>
      </c>
      <c r="F855" s="65" t="s">
        <v>59</v>
      </c>
      <c r="G855" s="65" t="s">
        <v>41</v>
      </c>
      <c r="H855" s="65" t="s">
        <v>1835</v>
      </c>
      <c r="I855" s="65" t="s">
        <v>65</v>
      </c>
      <c r="J855" s="65" t="s">
        <v>139</v>
      </c>
      <c r="K855" s="65" t="s">
        <v>72</v>
      </c>
      <c r="L855" s="65" t="s">
        <v>135</v>
      </c>
      <c r="M855" s="67">
        <v>760</v>
      </c>
      <c r="N855" s="65" t="s">
        <v>140</v>
      </c>
      <c r="O855" s="68">
        <v>461.48</v>
      </c>
      <c r="P855" s="68">
        <v>350724.8</v>
      </c>
      <c r="Q855" s="68">
        <v>7841.34</v>
      </c>
      <c r="R855" s="62">
        <f t="shared" si="94"/>
        <v>2.2357529322135191E-2</v>
      </c>
      <c r="S855" s="67">
        <v>15</v>
      </c>
      <c r="T855" s="66">
        <v>45649</v>
      </c>
      <c r="U855" s="66">
        <v>45649</v>
      </c>
      <c r="V855" s="63">
        <f t="shared" si="95"/>
        <v>0</v>
      </c>
      <c r="W855" s="65" t="s">
        <v>115</v>
      </c>
      <c r="X855" s="64" t="b">
        <f t="shared" si="96"/>
        <v>1</v>
      </c>
      <c r="Y855" s="67">
        <v>468</v>
      </c>
      <c r="Z855" s="67">
        <v>149</v>
      </c>
      <c r="AA855" s="65" t="s">
        <v>81</v>
      </c>
      <c r="AB855" s="64" t="b">
        <f t="shared" si="97"/>
        <v>1</v>
      </c>
    </row>
    <row r="856" spans="1:28" ht="15" customHeight="1" x14ac:dyDescent="0.3">
      <c r="A856" s="57" t="s">
        <v>1836</v>
      </c>
      <c r="B856" s="82">
        <v>45414</v>
      </c>
      <c r="C856" s="59">
        <f t="shared" si="91"/>
        <v>2024</v>
      </c>
      <c r="D856" s="59">
        <f t="shared" si="92"/>
        <v>5</v>
      </c>
      <c r="E856" s="59">
        <f t="shared" si="93"/>
        <v>18</v>
      </c>
      <c r="F856" s="57" t="s">
        <v>58</v>
      </c>
      <c r="G856" s="57" t="s">
        <v>44</v>
      </c>
      <c r="H856" s="57" t="s">
        <v>1837</v>
      </c>
      <c r="I856" s="57" t="s">
        <v>65</v>
      </c>
      <c r="J856" s="57" t="s">
        <v>139</v>
      </c>
      <c r="K856" s="57" t="s">
        <v>72</v>
      </c>
      <c r="L856" s="57" t="s">
        <v>119</v>
      </c>
      <c r="M856" s="60">
        <v>845</v>
      </c>
      <c r="N856" s="57" t="s">
        <v>132</v>
      </c>
      <c r="O856" s="61">
        <v>176.05</v>
      </c>
      <c r="P856" s="61">
        <v>148762.25</v>
      </c>
      <c r="Q856" s="61">
        <v>8820.77</v>
      </c>
      <c r="R856" s="62">
        <f t="shared" si="94"/>
        <v>5.9294411048501888E-2</v>
      </c>
      <c r="S856" s="60">
        <v>9</v>
      </c>
      <c r="T856" s="58">
        <v>45423</v>
      </c>
      <c r="U856" s="58">
        <v>45422</v>
      </c>
      <c r="V856" s="63">
        <f t="shared" si="95"/>
        <v>-1</v>
      </c>
      <c r="W856" s="57" t="s">
        <v>115</v>
      </c>
      <c r="X856" s="64" t="b">
        <f t="shared" si="96"/>
        <v>1</v>
      </c>
      <c r="Y856" s="60">
        <v>350</v>
      </c>
      <c r="Z856" s="60">
        <v>66</v>
      </c>
      <c r="AA856" s="57" t="s">
        <v>116</v>
      </c>
      <c r="AB856" s="64" t="b">
        <f t="shared" si="97"/>
        <v>0</v>
      </c>
    </row>
    <row r="857" spans="1:28" ht="15" customHeight="1" x14ac:dyDescent="0.3">
      <c r="A857" s="65" t="s">
        <v>1838</v>
      </c>
      <c r="B857" s="81">
        <v>45588</v>
      </c>
      <c r="C857" s="59">
        <f t="shared" si="91"/>
        <v>2024</v>
      </c>
      <c r="D857" s="59">
        <f t="shared" si="92"/>
        <v>10</v>
      </c>
      <c r="E857" s="59">
        <f t="shared" si="93"/>
        <v>43</v>
      </c>
      <c r="F857" s="65" t="s">
        <v>56</v>
      </c>
      <c r="G857" s="65" t="s">
        <v>42</v>
      </c>
      <c r="H857" s="65" t="s">
        <v>1839</v>
      </c>
      <c r="I857" s="65" t="s">
        <v>67</v>
      </c>
      <c r="J857" s="65" t="s">
        <v>123</v>
      </c>
      <c r="K857" s="65" t="s">
        <v>71</v>
      </c>
      <c r="L857" s="65" t="s">
        <v>119</v>
      </c>
      <c r="M857" s="67">
        <v>817</v>
      </c>
      <c r="N857" s="65" t="s">
        <v>132</v>
      </c>
      <c r="O857" s="68">
        <v>65.14</v>
      </c>
      <c r="P857" s="68">
        <v>53219.38</v>
      </c>
      <c r="Q857" s="68">
        <v>2478.12</v>
      </c>
      <c r="R857" s="62">
        <f t="shared" si="94"/>
        <v>4.6564240319973665E-2</v>
      </c>
      <c r="S857" s="67">
        <v>17</v>
      </c>
      <c r="T857" s="66">
        <v>45605</v>
      </c>
      <c r="U857" s="66">
        <v>45602</v>
      </c>
      <c r="V857" s="63">
        <f t="shared" si="95"/>
        <v>-3</v>
      </c>
      <c r="W857" s="65" t="s">
        <v>115</v>
      </c>
      <c r="X857" s="64" t="b">
        <f t="shared" si="96"/>
        <v>1</v>
      </c>
      <c r="Y857" s="67">
        <v>433</v>
      </c>
      <c r="Z857" s="67">
        <v>192</v>
      </c>
      <c r="AA857" s="65" t="s">
        <v>84</v>
      </c>
      <c r="AB857" s="64" t="b">
        <f t="shared" si="97"/>
        <v>1</v>
      </c>
    </row>
    <row r="858" spans="1:28" ht="15" customHeight="1" x14ac:dyDescent="0.3">
      <c r="A858" s="57" t="s">
        <v>1840</v>
      </c>
      <c r="B858" s="82">
        <v>45655</v>
      </c>
      <c r="C858" s="59">
        <f t="shared" si="91"/>
        <v>2024</v>
      </c>
      <c r="D858" s="59">
        <f t="shared" si="92"/>
        <v>12</v>
      </c>
      <c r="E858" s="59">
        <f t="shared" si="93"/>
        <v>53</v>
      </c>
      <c r="F858" s="57" t="s">
        <v>53</v>
      </c>
      <c r="G858" s="57" t="s">
        <v>45</v>
      </c>
      <c r="H858" s="57" t="s">
        <v>1841</v>
      </c>
      <c r="I858" s="57" t="s">
        <v>65</v>
      </c>
      <c r="J858" s="57" t="s">
        <v>112</v>
      </c>
      <c r="K858" s="57" t="s">
        <v>75</v>
      </c>
      <c r="L858" s="57" t="s">
        <v>113</v>
      </c>
      <c r="M858" s="60">
        <v>196</v>
      </c>
      <c r="N858" s="57" t="s">
        <v>163</v>
      </c>
      <c r="O858" s="61">
        <v>232.77</v>
      </c>
      <c r="P858" s="61">
        <v>45622.92</v>
      </c>
      <c r="Q858" s="61">
        <v>3510</v>
      </c>
      <c r="R858" s="62">
        <f t="shared" si="94"/>
        <v>7.6935014242841104E-2</v>
      </c>
      <c r="S858" s="60">
        <v>14</v>
      </c>
      <c r="T858" s="58">
        <v>45669</v>
      </c>
      <c r="U858" s="58">
        <v>45677</v>
      </c>
      <c r="V858" s="63">
        <f t="shared" si="95"/>
        <v>8</v>
      </c>
      <c r="W858" s="57" t="s">
        <v>128</v>
      </c>
      <c r="X858" s="64" t="b">
        <f t="shared" si="96"/>
        <v>0</v>
      </c>
      <c r="Y858" s="60">
        <v>248</v>
      </c>
      <c r="Z858" s="60">
        <v>96</v>
      </c>
      <c r="AA858" s="57" t="s">
        <v>81</v>
      </c>
      <c r="AB858" s="64" t="b">
        <f t="shared" si="97"/>
        <v>1</v>
      </c>
    </row>
    <row r="859" spans="1:28" ht="15" customHeight="1" x14ac:dyDescent="0.3">
      <c r="A859" s="65" t="s">
        <v>1842</v>
      </c>
      <c r="B859" s="81">
        <v>45429</v>
      </c>
      <c r="C859" s="59">
        <f t="shared" si="91"/>
        <v>2024</v>
      </c>
      <c r="D859" s="59">
        <f t="shared" si="92"/>
        <v>5</v>
      </c>
      <c r="E859" s="59">
        <f t="shared" si="93"/>
        <v>20</v>
      </c>
      <c r="F859" s="65" t="s">
        <v>58</v>
      </c>
      <c r="G859" s="65" t="s">
        <v>39</v>
      </c>
      <c r="H859" s="65" t="s">
        <v>1843</v>
      </c>
      <c r="I859" s="65" t="s">
        <v>68</v>
      </c>
      <c r="J859" s="65" t="s">
        <v>131</v>
      </c>
      <c r="K859" s="65" t="s">
        <v>71</v>
      </c>
      <c r="L859" s="65" t="s">
        <v>156</v>
      </c>
      <c r="M859" s="67">
        <v>729</v>
      </c>
      <c r="N859" s="65" t="s">
        <v>132</v>
      </c>
      <c r="O859" s="68">
        <v>1389.06</v>
      </c>
      <c r="P859" s="68">
        <v>1012624.74</v>
      </c>
      <c r="Q859" s="68">
        <v>35198.82</v>
      </c>
      <c r="R859" s="62">
        <f t="shared" si="94"/>
        <v>3.4759984236608719E-2</v>
      </c>
      <c r="S859" s="67">
        <v>15</v>
      </c>
      <c r="T859" s="66">
        <v>45444</v>
      </c>
      <c r="U859" s="66">
        <v>45441</v>
      </c>
      <c r="V859" s="63">
        <f t="shared" si="95"/>
        <v>-3</v>
      </c>
      <c r="W859" s="65" t="s">
        <v>115</v>
      </c>
      <c r="X859" s="64" t="b">
        <f t="shared" si="96"/>
        <v>1</v>
      </c>
      <c r="Y859" s="67">
        <v>131</v>
      </c>
      <c r="Z859" s="67">
        <v>18</v>
      </c>
      <c r="AA859" s="65" t="s">
        <v>116</v>
      </c>
      <c r="AB859" s="64" t="b">
        <f t="shared" si="97"/>
        <v>0</v>
      </c>
    </row>
    <row r="860" spans="1:28" ht="15" customHeight="1" x14ac:dyDescent="0.3">
      <c r="A860" s="57" t="s">
        <v>1844</v>
      </c>
      <c r="B860" s="82">
        <v>45385</v>
      </c>
      <c r="C860" s="59">
        <f t="shared" si="91"/>
        <v>2024</v>
      </c>
      <c r="D860" s="59">
        <f t="shared" si="92"/>
        <v>4</v>
      </c>
      <c r="E860" s="59">
        <f t="shared" si="93"/>
        <v>14</v>
      </c>
      <c r="F860" s="57" t="s">
        <v>52</v>
      </c>
      <c r="G860" s="57" t="s">
        <v>41</v>
      </c>
      <c r="H860" s="57" t="s">
        <v>1845</v>
      </c>
      <c r="I860" s="57" t="s">
        <v>65</v>
      </c>
      <c r="J860" s="57" t="s">
        <v>131</v>
      </c>
      <c r="K860" s="57" t="s">
        <v>75</v>
      </c>
      <c r="L860" s="57" t="s">
        <v>146</v>
      </c>
      <c r="M860" s="60">
        <v>741</v>
      </c>
      <c r="N860" s="57" t="s">
        <v>163</v>
      </c>
      <c r="O860" s="61">
        <v>461.6</v>
      </c>
      <c r="P860" s="61">
        <v>342045.6</v>
      </c>
      <c r="Q860" s="61">
        <v>17760.79</v>
      </c>
      <c r="R860" s="62">
        <f t="shared" si="94"/>
        <v>5.1925211141438457E-2</v>
      </c>
      <c r="S860" s="60">
        <v>1</v>
      </c>
      <c r="T860" s="58">
        <v>45386</v>
      </c>
      <c r="U860" s="58">
        <v>45385</v>
      </c>
      <c r="V860" s="63">
        <f t="shared" si="95"/>
        <v>-1</v>
      </c>
      <c r="W860" s="57" t="s">
        <v>125</v>
      </c>
      <c r="X860" s="64" t="b">
        <f t="shared" si="96"/>
        <v>0</v>
      </c>
      <c r="Y860" s="60">
        <v>168</v>
      </c>
      <c r="Z860" s="60">
        <v>483</v>
      </c>
      <c r="AA860" s="57" t="s">
        <v>116</v>
      </c>
      <c r="AB860" s="64" t="b">
        <f t="shared" si="97"/>
        <v>0</v>
      </c>
    </row>
    <row r="861" spans="1:28" ht="15" customHeight="1" x14ac:dyDescent="0.3">
      <c r="A861" s="65" t="s">
        <v>1846</v>
      </c>
      <c r="B861" s="81">
        <v>44944</v>
      </c>
      <c r="C861" s="59">
        <f t="shared" si="91"/>
        <v>2023</v>
      </c>
      <c r="D861" s="59">
        <f t="shared" si="92"/>
        <v>1</v>
      </c>
      <c r="E861" s="59">
        <f t="shared" si="93"/>
        <v>3</v>
      </c>
      <c r="F861" s="65" t="s">
        <v>53</v>
      </c>
      <c r="G861" s="65" t="s">
        <v>39</v>
      </c>
      <c r="H861" s="65" t="s">
        <v>1847</v>
      </c>
      <c r="I861" s="65" t="s">
        <v>65</v>
      </c>
      <c r="J861" s="65" t="s">
        <v>143</v>
      </c>
      <c r="K861" s="65" t="s">
        <v>74</v>
      </c>
      <c r="L861" s="65" t="s">
        <v>124</v>
      </c>
      <c r="M861" s="67">
        <v>921</v>
      </c>
      <c r="N861" s="65" t="s">
        <v>136</v>
      </c>
      <c r="O861" s="68">
        <v>1535.96</v>
      </c>
      <c r="P861" s="68">
        <v>1414619.16</v>
      </c>
      <c r="Q861" s="68">
        <v>69233.399999999994</v>
      </c>
      <c r="R861" s="62">
        <f t="shared" si="94"/>
        <v>4.8941370198888015E-2</v>
      </c>
      <c r="S861" s="67">
        <v>21</v>
      </c>
      <c r="T861" s="66">
        <v>44965</v>
      </c>
      <c r="U861" s="66">
        <v>44962</v>
      </c>
      <c r="V861" s="63">
        <f t="shared" si="95"/>
        <v>-3</v>
      </c>
      <c r="W861" s="65" t="s">
        <v>115</v>
      </c>
      <c r="X861" s="64" t="b">
        <f t="shared" si="96"/>
        <v>1</v>
      </c>
      <c r="Y861" s="67">
        <v>442</v>
      </c>
      <c r="Z861" s="67">
        <v>317</v>
      </c>
      <c r="AA861" s="65" t="s">
        <v>116</v>
      </c>
      <c r="AB861" s="64" t="b">
        <f t="shared" si="97"/>
        <v>0</v>
      </c>
    </row>
    <row r="862" spans="1:28" ht="15" customHeight="1" x14ac:dyDescent="0.3">
      <c r="A862" s="57" t="s">
        <v>1848</v>
      </c>
      <c r="B862" s="82">
        <v>45022</v>
      </c>
      <c r="C862" s="59">
        <f t="shared" si="91"/>
        <v>2023</v>
      </c>
      <c r="D862" s="59">
        <f t="shared" si="92"/>
        <v>4</v>
      </c>
      <c r="E862" s="59">
        <f t="shared" si="93"/>
        <v>14</v>
      </c>
      <c r="F862" s="57" t="s">
        <v>56</v>
      </c>
      <c r="G862" s="57" t="s">
        <v>46</v>
      </c>
      <c r="H862" s="57" t="s">
        <v>1849</v>
      </c>
      <c r="I862" s="57" t="s">
        <v>65</v>
      </c>
      <c r="J862" s="57" t="s">
        <v>112</v>
      </c>
      <c r="K862" s="57" t="s">
        <v>72</v>
      </c>
      <c r="L862" s="57" t="s">
        <v>135</v>
      </c>
      <c r="M862" s="60">
        <v>199</v>
      </c>
      <c r="N862" s="57" t="s">
        <v>140</v>
      </c>
      <c r="O862" s="61">
        <v>89.94</v>
      </c>
      <c r="P862" s="61">
        <v>17898.060000000001</v>
      </c>
      <c r="Q862" s="61">
        <v>1112.76</v>
      </c>
      <c r="R862" s="62">
        <f t="shared" si="94"/>
        <v>6.2172101333887578E-2</v>
      </c>
      <c r="S862" s="60">
        <v>22</v>
      </c>
      <c r="T862" s="58">
        <v>45044</v>
      </c>
      <c r="U862" s="58">
        <v>45044</v>
      </c>
      <c r="V862" s="63">
        <f t="shared" si="95"/>
        <v>0</v>
      </c>
      <c r="W862" s="57" t="s">
        <v>115</v>
      </c>
      <c r="X862" s="64" t="b">
        <f t="shared" si="96"/>
        <v>1</v>
      </c>
      <c r="Y862" s="60">
        <v>59</v>
      </c>
      <c r="Z862" s="60">
        <v>97</v>
      </c>
      <c r="AA862" s="57" t="s">
        <v>82</v>
      </c>
      <c r="AB862" s="64" t="b">
        <f t="shared" si="97"/>
        <v>1</v>
      </c>
    </row>
    <row r="863" spans="1:28" ht="15" customHeight="1" x14ac:dyDescent="0.3">
      <c r="A863" s="65" t="s">
        <v>1850</v>
      </c>
      <c r="B863" s="81">
        <v>45228</v>
      </c>
      <c r="C863" s="59">
        <f t="shared" si="91"/>
        <v>2023</v>
      </c>
      <c r="D863" s="59">
        <f t="shared" si="92"/>
        <v>10</v>
      </c>
      <c r="E863" s="59">
        <f t="shared" si="93"/>
        <v>44</v>
      </c>
      <c r="F863" s="65" t="s">
        <v>53</v>
      </c>
      <c r="G863" s="65" t="s">
        <v>39</v>
      </c>
      <c r="H863" s="65" t="s">
        <v>1851</v>
      </c>
      <c r="I863" s="65" t="s">
        <v>69</v>
      </c>
      <c r="J863" s="65" t="s">
        <v>123</v>
      </c>
      <c r="K863" s="65" t="s">
        <v>74</v>
      </c>
      <c r="L863" s="65" t="s">
        <v>119</v>
      </c>
      <c r="M863" s="67">
        <v>397</v>
      </c>
      <c r="N863" s="65" t="s">
        <v>140</v>
      </c>
      <c r="O863" s="68">
        <v>1115.96</v>
      </c>
      <c r="P863" s="68">
        <v>443036.12</v>
      </c>
      <c r="Q863" s="68">
        <v>10668.58</v>
      </c>
      <c r="R863" s="62">
        <f t="shared" si="94"/>
        <v>2.4080609951170572E-2</v>
      </c>
      <c r="S863" s="67">
        <v>22</v>
      </c>
      <c r="T863" s="66">
        <v>45250</v>
      </c>
      <c r="U863" s="66">
        <v>45247</v>
      </c>
      <c r="V863" s="63">
        <f t="shared" si="95"/>
        <v>-3</v>
      </c>
      <c r="W863" s="65" t="s">
        <v>115</v>
      </c>
      <c r="X863" s="64" t="b">
        <f t="shared" si="96"/>
        <v>1</v>
      </c>
      <c r="Y863" s="67">
        <v>368</v>
      </c>
      <c r="Z863" s="67">
        <v>56</v>
      </c>
      <c r="AA863" s="65" t="s">
        <v>116</v>
      </c>
      <c r="AB863" s="64" t="b">
        <f t="shared" si="97"/>
        <v>0</v>
      </c>
    </row>
    <row r="864" spans="1:28" ht="15" customHeight="1" x14ac:dyDescent="0.3">
      <c r="A864" s="57" t="s">
        <v>1852</v>
      </c>
      <c r="B864" s="82">
        <v>45153</v>
      </c>
      <c r="C864" s="59">
        <f t="shared" si="91"/>
        <v>2023</v>
      </c>
      <c r="D864" s="59">
        <f t="shared" si="92"/>
        <v>8</v>
      </c>
      <c r="E864" s="59">
        <f t="shared" si="93"/>
        <v>33</v>
      </c>
      <c r="F864" s="57" t="s">
        <v>54</v>
      </c>
      <c r="G864" s="57" t="s">
        <v>45</v>
      </c>
      <c r="H864" s="57" t="s">
        <v>1853</v>
      </c>
      <c r="I864" s="57" t="s">
        <v>67</v>
      </c>
      <c r="J864" s="57" t="s">
        <v>151</v>
      </c>
      <c r="K864" s="57" t="s">
        <v>74</v>
      </c>
      <c r="L864" s="57" t="s">
        <v>124</v>
      </c>
      <c r="M864" s="60">
        <v>438</v>
      </c>
      <c r="N864" s="57" t="s">
        <v>114</v>
      </c>
      <c r="O864" s="61">
        <v>232.57</v>
      </c>
      <c r="P864" s="61">
        <v>101865.66</v>
      </c>
      <c r="Q864" s="61">
        <v>3221.74</v>
      </c>
      <c r="R864" s="62">
        <f t="shared" si="94"/>
        <v>3.1627341343491024E-2</v>
      </c>
      <c r="S864" s="60">
        <v>3</v>
      </c>
      <c r="T864" s="58">
        <v>45156</v>
      </c>
      <c r="U864" s="58">
        <v>45161</v>
      </c>
      <c r="V864" s="63">
        <f t="shared" si="95"/>
        <v>5</v>
      </c>
      <c r="W864" s="57" t="s">
        <v>125</v>
      </c>
      <c r="X864" s="64" t="b">
        <f t="shared" si="96"/>
        <v>0</v>
      </c>
      <c r="Y864" s="60">
        <v>336</v>
      </c>
      <c r="Z864" s="60">
        <v>350</v>
      </c>
      <c r="AA864" s="57" t="s">
        <v>82</v>
      </c>
      <c r="AB864" s="64" t="b">
        <f t="shared" si="97"/>
        <v>1</v>
      </c>
    </row>
    <row r="865" spans="1:28" ht="15" customHeight="1" x14ac:dyDescent="0.3">
      <c r="A865" s="65" t="s">
        <v>1854</v>
      </c>
      <c r="B865" s="81">
        <v>45341</v>
      </c>
      <c r="C865" s="59">
        <f t="shared" si="91"/>
        <v>2024</v>
      </c>
      <c r="D865" s="59">
        <f t="shared" si="92"/>
        <v>2</v>
      </c>
      <c r="E865" s="59">
        <f t="shared" si="93"/>
        <v>8</v>
      </c>
      <c r="F865" s="65" t="s">
        <v>57</v>
      </c>
      <c r="G865" s="65" t="s">
        <v>43</v>
      </c>
      <c r="H865" s="65" t="s">
        <v>365</v>
      </c>
      <c r="I865" s="65" t="s">
        <v>68</v>
      </c>
      <c r="J865" s="65" t="s">
        <v>139</v>
      </c>
      <c r="K865" s="65" t="s">
        <v>72</v>
      </c>
      <c r="L865" s="65" t="s">
        <v>124</v>
      </c>
      <c r="M865" s="67">
        <v>867</v>
      </c>
      <c r="N865" s="65" t="s">
        <v>114</v>
      </c>
      <c r="O865" s="68">
        <v>153.21</v>
      </c>
      <c r="P865" s="68">
        <v>132833.07</v>
      </c>
      <c r="Q865" s="68">
        <v>4366.74</v>
      </c>
      <c r="R865" s="62">
        <f t="shared" si="94"/>
        <v>3.2873892021015545E-2</v>
      </c>
      <c r="S865" s="67">
        <v>16</v>
      </c>
      <c r="T865" s="66">
        <v>45357</v>
      </c>
      <c r="U865" s="66">
        <v>45360</v>
      </c>
      <c r="V865" s="63">
        <f t="shared" si="95"/>
        <v>3</v>
      </c>
      <c r="W865" s="65" t="s">
        <v>128</v>
      </c>
      <c r="X865" s="64" t="b">
        <f t="shared" si="96"/>
        <v>0</v>
      </c>
      <c r="Y865" s="67">
        <v>240</v>
      </c>
      <c r="Z865" s="67">
        <v>106</v>
      </c>
      <c r="AA865" s="65" t="s">
        <v>84</v>
      </c>
      <c r="AB865" s="64" t="b">
        <f t="shared" si="97"/>
        <v>1</v>
      </c>
    </row>
    <row r="866" spans="1:28" ht="15" customHeight="1" x14ac:dyDescent="0.3">
      <c r="A866" s="57" t="s">
        <v>1855</v>
      </c>
      <c r="B866" s="82">
        <v>45635</v>
      </c>
      <c r="C866" s="59">
        <f t="shared" si="91"/>
        <v>2024</v>
      </c>
      <c r="D866" s="59">
        <f t="shared" si="92"/>
        <v>12</v>
      </c>
      <c r="E866" s="59">
        <f t="shared" si="93"/>
        <v>50</v>
      </c>
      <c r="F866" s="57" t="s">
        <v>55</v>
      </c>
      <c r="G866" s="57" t="s">
        <v>45</v>
      </c>
      <c r="H866" s="57" t="s">
        <v>1856</v>
      </c>
      <c r="I866" s="57" t="s">
        <v>65</v>
      </c>
      <c r="J866" s="57" t="s">
        <v>151</v>
      </c>
      <c r="K866" s="57" t="s">
        <v>74</v>
      </c>
      <c r="L866" s="57" t="s">
        <v>146</v>
      </c>
      <c r="M866" s="60">
        <v>293</v>
      </c>
      <c r="N866" s="57" t="s">
        <v>140</v>
      </c>
      <c r="O866" s="61">
        <v>164.72</v>
      </c>
      <c r="P866" s="61">
        <v>48262.96</v>
      </c>
      <c r="Q866" s="61">
        <v>3102.78</v>
      </c>
      <c r="R866" s="62">
        <f t="shared" si="94"/>
        <v>6.4289053137229879E-2</v>
      </c>
      <c r="S866" s="60">
        <v>23</v>
      </c>
      <c r="T866" s="58">
        <v>45658</v>
      </c>
      <c r="U866" s="58">
        <v>45655</v>
      </c>
      <c r="V866" s="63">
        <f t="shared" si="95"/>
        <v>-3</v>
      </c>
      <c r="W866" s="57" t="s">
        <v>115</v>
      </c>
      <c r="X866" s="64" t="b">
        <f t="shared" si="96"/>
        <v>1</v>
      </c>
      <c r="Y866" s="60">
        <v>189</v>
      </c>
      <c r="Z866" s="60">
        <v>87</v>
      </c>
      <c r="AA866" s="57" t="s">
        <v>116</v>
      </c>
      <c r="AB866" s="64" t="b">
        <f t="shared" si="97"/>
        <v>0</v>
      </c>
    </row>
    <row r="867" spans="1:28" ht="15" customHeight="1" x14ac:dyDescent="0.3">
      <c r="A867" s="65" t="s">
        <v>1857</v>
      </c>
      <c r="B867" s="81">
        <v>45176</v>
      </c>
      <c r="C867" s="59">
        <f t="shared" si="91"/>
        <v>2023</v>
      </c>
      <c r="D867" s="59">
        <f t="shared" si="92"/>
        <v>9</v>
      </c>
      <c r="E867" s="59">
        <f t="shared" si="93"/>
        <v>36</v>
      </c>
      <c r="F867" s="65" t="s">
        <v>54</v>
      </c>
      <c r="G867" s="65" t="s">
        <v>43</v>
      </c>
      <c r="H867" s="65" t="s">
        <v>1858</v>
      </c>
      <c r="I867" s="65" t="s">
        <v>67</v>
      </c>
      <c r="J867" s="65" t="s">
        <v>139</v>
      </c>
      <c r="K867" s="65" t="s">
        <v>73</v>
      </c>
      <c r="L867" s="65" t="s">
        <v>124</v>
      </c>
      <c r="M867" s="67">
        <v>873</v>
      </c>
      <c r="N867" s="65" t="s">
        <v>136</v>
      </c>
      <c r="O867" s="68">
        <v>210.33</v>
      </c>
      <c r="P867" s="68">
        <v>183618.09</v>
      </c>
      <c r="Q867" s="68">
        <v>5756.12</v>
      </c>
      <c r="R867" s="62">
        <f t="shared" si="94"/>
        <v>3.1348327389746841E-2</v>
      </c>
      <c r="S867" s="67">
        <v>25</v>
      </c>
      <c r="T867" s="66">
        <v>45201</v>
      </c>
      <c r="U867" s="66">
        <v>45204</v>
      </c>
      <c r="V867" s="63">
        <f t="shared" si="95"/>
        <v>3</v>
      </c>
      <c r="W867" s="65" t="s">
        <v>128</v>
      </c>
      <c r="X867" s="64" t="b">
        <f t="shared" si="96"/>
        <v>0</v>
      </c>
      <c r="Y867" s="67">
        <v>495</v>
      </c>
      <c r="Z867" s="67">
        <v>459</v>
      </c>
      <c r="AA867" s="65" t="s">
        <v>116</v>
      </c>
      <c r="AB867" s="64" t="b">
        <f t="shared" si="97"/>
        <v>0</v>
      </c>
    </row>
    <row r="868" spans="1:28" ht="15" customHeight="1" x14ac:dyDescent="0.3">
      <c r="A868" s="57" t="s">
        <v>1859</v>
      </c>
      <c r="B868" s="82">
        <v>45240</v>
      </c>
      <c r="C868" s="59">
        <f t="shared" si="91"/>
        <v>2023</v>
      </c>
      <c r="D868" s="59">
        <f t="shared" si="92"/>
        <v>11</v>
      </c>
      <c r="E868" s="59">
        <f t="shared" si="93"/>
        <v>45</v>
      </c>
      <c r="F868" s="57" t="s">
        <v>56</v>
      </c>
      <c r="G868" s="57" t="s">
        <v>39</v>
      </c>
      <c r="H868" s="57" t="s">
        <v>1860</v>
      </c>
      <c r="I868" s="57" t="s">
        <v>66</v>
      </c>
      <c r="J868" s="57" t="s">
        <v>151</v>
      </c>
      <c r="K868" s="57" t="s">
        <v>75</v>
      </c>
      <c r="L868" s="57" t="s">
        <v>113</v>
      </c>
      <c r="M868" s="60">
        <v>246</v>
      </c>
      <c r="N868" s="57" t="s">
        <v>136</v>
      </c>
      <c r="O868" s="61">
        <v>1662.55</v>
      </c>
      <c r="P868" s="61">
        <v>408987.3</v>
      </c>
      <c r="Q868" s="61">
        <v>22252.799999999999</v>
      </c>
      <c r="R868" s="62">
        <f t="shared" si="94"/>
        <v>5.4409513449439631E-2</v>
      </c>
      <c r="S868" s="60">
        <v>11</v>
      </c>
      <c r="T868" s="58">
        <v>45251</v>
      </c>
      <c r="U868" s="58">
        <v>45251</v>
      </c>
      <c r="V868" s="63">
        <f t="shared" si="95"/>
        <v>0</v>
      </c>
      <c r="W868" s="57" t="s">
        <v>115</v>
      </c>
      <c r="X868" s="64" t="b">
        <f t="shared" si="96"/>
        <v>1</v>
      </c>
      <c r="Y868" s="60">
        <v>339</v>
      </c>
      <c r="Z868" s="60">
        <v>140</v>
      </c>
      <c r="AA868" s="57" t="s">
        <v>116</v>
      </c>
      <c r="AB868" s="64" t="b">
        <f t="shared" si="97"/>
        <v>0</v>
      </c>
    </row>
    <row r="869" spans="1:28" ht="15" customHeight="1" x14ac:dyDescent="0.3">
      <c r="A869" s="65" t="s">
        <v>1861</v>
      </c>
      <c r="B869" s="81">
        <v>45606</v>
      </c>
      <c r="C869" s="59">
        <f t="shared" si="91"/>
        <v>2024</v>
      </c>
      <c r="D869" s="59">
        <f t="shared" si="92"/>
        <v>11</v>
      </c>
      <c r="E869" s="59">
        <f t="shared" si="93"/>
        <v>46</v>
      </c>
      <c r="F869" s="65" t="s">
        <v>53</v>
      </c>
      <c r="G869" s="65" t="s">
        <v>43</v>
      </c>
      <c r="H869" s="65" t="s">
        <v>1862</v>
      </c>
      <c r="I869" s="65" t="s">
        <v>69</v>
      </c>
      <c r="J869" s="65" t="s">
        <v>123</v>
      </c>
      <c r="K869" s="65" t="s">
        <v>71</v>
      </c>
      <c r="L869" s="65" t="s">
        <v>156</v>
      </c>
      <c r="M869" s="67">
        <v>203</v>
      </c>
      <c r="N869" s="65" t="s">
        <v>120</v>
      </c>
      <c r="O869" s="68">
        <v>181.41</v>
      </c>
      <c r="P869" s="68">
        <v>36826.230000000003</v>
      </c>
      <c r="Q869" s="68">
        <v>1212.1199999999999</v>
      </c>
      <c r="R869" s="62">
        <f t="shared" si="94"/>
        <v>3.2914582893768918E-2</v>
      </c>
      <c r="S869" s="67">
        <v>12</v>
      </c>
      <c r="T869" s="66">
        <v>45618</v>
      </c>
      <c r="U869" s="66">
        <v>45613</v>
      </c>
      <c r="V869" s="63">
        <f t="shared" si="95"/>
        <v>-5</v>
      </c>
      <c r="W869" s="65" t="s">
        <v>115</v>
      </c>
      <c r="X869" s="64" t="b">
        <f t="shared" si="96"/>
        <v>1</v>
      </c>
      <c r="Y869" s="67">
        <v>280</v>
      </c>
      <c r="Z869" s="67">
        <v>143</v>
      </c>
      <c r="AA869" s="65" t="s">
        <v>116</v>
      </c>
      <c r="AB869" s="64" t="b">
        <f t="shared" si="97"/>
        <v>0</v>
      </c>
    </row>
    <row r="870" spans="1:28" ht="15" customHeight="1" x14ac:dyDescent="0.3">
      <c r="A870" s="57" t="s">
        <v>1863</v>
      </c>
      <c r="B870" s="82">
        <v>45522</v>
      </c>
      <c r="C870" s="59">
        <f t="shared" si="91"/>
        <v>2024</v>
      </c>
      <c r="D870" s="59">
        <f t="shared" si="92"/>
        <v>8</v>
      </c>
      <c r="E870" s="59">
        <f t="shared" si="93"/>
        <v>34</v>
      </c>
      <c r="F870" s="57" t="s">
        <v>54</v>
      </c>
      <c r="G870" s="57" t="s">
        <v>46</v>
      </c>
      <c r="H870" s="57" t="s">
        <v>1864</v>
      </c>
      <c r="I870" s="57" t="s">
        <v>65</v>
      </c>
      <c r="J870" s="57" t="s">
        <v>123</v>
      </c>
      <c r="K870" s="57" t="s">
        <v>72</v>
      </c>
      <c r="L870" s="57" t="s">
        <v>135</v>
      </c>
      <c r="M870" s="60">
        <v>296</v>
      </c>
      <c r="N870" s="57" t="s">
        <v>163</v>
      </c>
      <c r="O870" s="61">
        <v>57.19</v>
      </c>
      <c r="P870" s="61">
        <v>16928.240000000002</v>
      </c>
      <c r="Q870" s="61">
        <v>1213.71</v>
      </c>
      <c r="R870" s="62">
        <f t="shared" si="94"/>
        <v>7.1697353062102134E-2</v>
      </c>
      <c r="S870" s="60">
        <v>10</v>
      </c>
      <c r="T870" s="58">
        <v>45532</v>
      </c>
      <c r="U870" s="58">
        <v>45532</v>
      </c>
      <c r="V870" s="63">
        <f t="shared" si="95"/>
        <v>0</v>
      </c>
      <c r="W870" s="57" t="s">
        <v>128</v>
      </c>
      <c r="X870" s="64" t="b">
        <f t="shared" si="96"/>
        <v>0</v>
      </c>
      <c r="Y870" s="60">
        <v>231</v>
      </c>
      <c r="Z870" s="60">
        <v>399</v>
      </c>
      <c r="AA870" s="57" t="s">
        <v>81</v>
      </c>
      <c r="AB870" s="64" t="b">
        <f t="shared" si="97"/>
        <v>1</v>
      </c>
    </row>
    <row r="871" spans="1:28" ht="15" customHeight="1" x14ac:dyDescent="0.3">
      <c r="A871" s="65" t="s">
        <v>1865</v>
      </c>
      <c r="B871" s="81">
        <v>45304</v>
      </c>
      <c r="C871" s="59">
        <f t="shared" si="91"/>
        <v>2024</v>
      </c>
      <c r="D871" s="59">
        <f t="shared" si="92"/>
        <v>1</v>
      </c>
      <c r="E871" s="59">
        <f t="shared" si="93"/>
        <v>2</v>
      </c>
      <c r="F871" s="65" t="s">
        <v>57</v>
      </c>
      <c r="G871" s="65" t="s">
        <v>42</v>
      </c>
      <c r="H871" s="65" t="s">
        <v>1866</v>
      </c>
      <c r="I871" s="65" t="s">
        <v>68</v>
      </c>
      <c r="J871" s="65" t="s">
        <v>112</v>
      </c>
      <c r="K871" s="65" t="s">
        <v>73</v>
      </c>
      <c r="L871" s="65" t="s">
        <v>113</v>
      </c>
      <c r="M871" s="67">
        <v>780</v>
      </c>
      <c r="N871" s="65" t="s">
        <v>114</v>
      </c>
      <c r="O871" s="68">
        <v>61.57</v>
      </c>
      <c r="P871" s="68">
        <v>48024.6</v>
      </c>
      <c r="Q871" s="68">
        <v>3675.38</v>
      </c>
      <c r="R871" s="62">
        <f t="shared" si="94"/>
        <v>7.653119442952154E-2</v>
      </c>
      <c r="S871" s="67">
        <v>16</v>
      </c>
      <c r="T871" s="66">
        <v>45320</v>
      </c>
      <c r="U871" s="66">
        <v>45315</v>
      </c>
      <c r="V871" s="63">
        <f t="shared" si="95"/>
        <v>-5</v>
      </c>
      <c r="W871" s="65" t="s">
        <v>115</v>
      </c>
      <c r="X871" s="64" t="b">
        <f t="shared" si="96"/>
        <v>1</v>
      </c>
      <c r="Y871" s="67">
        <v>470</v>
      </c>
      <c r="Z871" s="67">
        <v>370</v>
      </c>
      <c r="AA871" s="65" t="s">
        <v>84</v>
      </c>
      <c r="AB871" s="64" t="b">
        <f t="shared" si="97"/>
        <v>1</v>
      </c>
    </row>
    <row r="872" spans="1:28" ht="15" customHeight="1" x14ac:dyDescent="0.3">
      <c r="A872" s="57" t="s">
        <v>1867</v>
      </c>
      <c r="B872" s="82">
        <v>45411</v>
      </c>
      <c r="C872" s="59">
        <f t="shared" si="91"/>
        <v>2024</v>
      </c>
      <c r="D872" s="59">
        <f t="shared" si="92"/>
        <v>4</v>
      </c>
      <c r="E872" s="59">
        <f t="shared" si="93"/>
        <v>18</v>
      </c>
      <c r="F872" s="57" t="s">
        <v>58</v>
      </c>
      <c r="G872" s="57" t="s">
        <v>43</v>
      </c>
      <c r="H872" s="57" t="s">
        <v>1868</v>
      </c>
      <c r="I872" s="57" t="s">
        <v>69</v>
      </c>
      <c r="J872" s="57" t="s">
        <v>151</v>
      </c>
      <c r="K872" s="57" t="s">
        <v>71</v>
      </c>
      <c r="L872" s="57" t="s">
        <v>156</v>
      </c>
      <c r="M872" s="60">
        <v>767</v>
      </c>
      <c r="N872" s="57" t="s">
        <v>163</v>
      </c>
      <c r="O872" s="61">
        <v>188.52</v>
      </c>
      <c r="P872" s="61">
        <v>144594.84</v>
      </c>
      <c r="Q872" s="61">
        <v>7390.18</v>
      </c>
      <c r="R872" s="62">
        <f t="shared" si="94"/>
        <v>5.1109569331796355E-2</v>
      </c>
      <c r="S872" s="60">
        <v>8</v>
      </c>
      <c r="T872" s="58">
        <v>45419</v>
      </c>
      <c r="U872" s="58">
        <v>45419</v>
      </c>
      <c r="V872" s="63">
        <f t="shared" si="95"/>
        <v>0</v>
      </c>
      <c r="W872" s="57" t="s">
        <v>115</v>
      </c>
      <c r="X872" s="64" t="b">
        <f t="shared" si="96"/>
        <v>1</v>
      </c>
      <c r="Y872" s="60">
        <v>462</v>
      </c>
      <c r="Z872" s="60">
        <v>374</v>
      </c>
      <c r="AA872" s="57" t="s">
        <v>81</v>
      </c>
      <c r="AB872" s="64" t="b">
        <f t="shared" si="97"/>
        <v>1</v>
      </c>
    </row>
    <row r="873" spans="1:28" ht="15" customHeight="1" x14ac:dyDescent="0.3">
      <c r="A873" s="65" t="s">
        <v>1869</v>
      </c>
      <c r="B873" s="81">
        <v>45493</v>
      </c>
      <c r="C873" s="59">
        <f t="shared" si="91"/>
        <v>2024</v>
      </c>
      <c r="D873" s="59">
        <f t="shared" si="92"/>
        <v>7</v>
      </c>
      <c r="E873" s="59">
        <f t="shared" si="93"/>
        <v>29</v>
      </c>
      <c r="F873" s="65" t="s">
        <v>54</v>
      </c>
      <c r="G873" s="65" t="s">
        <v>43</v>
      </c>
      <c r="H873" s="65" t="s">
        <v>1870</v>
      </c>
      <c r="I873" s="65" t="s">
        <v>68</v>
      </c>
      <c r="J873" s="65" t="s">
        <v>151</v>
      </c>
      <c r="K873" s="65" t="s">
        <v>71</v>
      </c>
      <c r="L873" s="65" t="s">
        <v>113</v>
      </c>
      <c r="M873" s="67">
        <v>145</v>
      </c>
      <c r="N873" s="65" t="s">
        <v>114</v>
      </c>
      <c r="O873" s="68">
        <v>294.64999999999998</v>
      </c>
      <c r="P873" s="68">
        <v>42724.25</v>
      </c>
      <c r="Q873" s="68">
        <v>1757.61</v>
      </c>
      <c r="R873" s="62">
        <f t="shared" si="94"/>
        <v>4.1138463518961714E-2</v>
      </c>
      <c r="S873" s="67">
        <v>6</v>
      </c>
      <c r="T873" s="66">
        <v>45499</v>
      </c>
      <c r="U873" s="66">
        <v>45499</v>
      </c>
      <c r="V873" s="63">
        <f t="shared" si="95"/>
        <v>0</v>
      </c>
      <c r="W873" s="65" t="s">
        <v>115</v>
      </c>
      <c r="X873" s="64" t="b">
        <f t="shared" si="96"/>
        <v>1</v>
      </c>
      <c r="Y873" s="67">
        <v>288</v>
      </c>
      <c r="Z873" s="67">
        <v>51</v>
      </c>
      <c r="AA873" s="65" t="s">
        <v>116</v>
      </c>
      <c r="AB873" s="64" t="b">
        <f t="shared" si="97"/>
        <v>0</v>
      </c>
    </row>
    <row r="874" spans="1:28" ht="15" customHeight="1" x14ac:dyDescent="0.3">
      <c r="A874" s="57" t="s">
        <v>1871</v>
      </c>
      <c r="B874" s="82">
        <v>45470</v>
      </c>
      <c r="C874" s="59">
        <f t="shared" si="91"/>
        <v>2024</v>
      </c>
      <c r="D874" s="59">
        <f t="shared" si="92"/>
        <v>6</v>
      </c>
      <c r="E874" s="59">
        <f t="shared" si="93"/>
        <v>26</v>
      </c>
      <c r="F874" s="57" t="s">
        <v>52</v>
      </c>
      <c r="G874" s="57" t="s">
        <v>39</v>
      </c>
      <c r="H874" s="57" t="s">
        <v>1872</v>
      </c>
      <c r="I874" s="57" t="s">
        <v>69</v>
      </c>
      <c r="J874" s="57" t="s">
        <v>112</v>
      </c>
      <c r="K874" s="57" t="s">
        <v>71</v>
      </c>
      <c r="L874" s="57" t="s">
        <v>119</v>
      </c>
      <c r="M874" s="60">
        <v>801</v>
      </c>
      <c r="N874" s="57" t="s">
        <v>120</v>
      </c>
      <c r="O874" s="61">
        <v>2183.65</v>
      </c>
      <c r="P874" s="61">
        <v>1639255.3774000001</v>
      </c>
      <c r="Q874" s="61">
        <v>59545.55</v>
      </c>
      <c r="R874" s="62">
        <f t="shared" si="94"/>
        <v>3.6324755020443709E-2</v>
      </c>
      <c r="S874" s="60">
        <v>12</v>
      </c>
      <c r="T874" s="58">
        <v>45482</v>
      </c>
      <c r="U874" s="58">
        <v>45481</v>
      </c>
      <c r="V874" s="63">
        <f t="shared" si="95"/>
        <v>-1</v>
      </c>
      <c r="W874" s="57" t="s">
        <v>115</v>
      </c>
      <c r="X874" s="64" t="b">
        <f t="shared" si="96"/>
        <v>1</v>
      </c>
      <c r="Y874" s="60">
        <v>274</v>
      </c>
      <c r="Z874" s="60">
        <v>211</v>
      </c>
      <c r="AA874" s="57" t="s">
        <v>84</v>
      </c>
      <c r="AB874" s="64" t="b">
        <f t="shared" si="97"/>
        <v>1</v>
      </c>
    </row>
    <row r="875" spans="1:28" ht="15" customHeight="1" x14ac:dyDescent="0.3">
      <c r="A875" s="65" t="s">
        <v>1873</v>
      </c>
      <c r="B875" s="81">
        <v>45279</v>
      </c>
      <c r="C875" s="59">
        <f t="shared" si="91"/>
        <v>2023</v>
      </c>
      <c r="D875" s="59">
        <f t="shared" si="92"/>
        <v>12</v>
      </c>
      <c r="E875" s="59">
        <f t="shared" si="93"/>
        <v>51</v>
      </c>
      <c r="F875" s="65" t="s">
        <v>58</v>
      </c>
      <c r="G875" s="65" t="s">
        <v>46</v>
      </c>
      <c r="H875" s="65" t="s">
        <v>1874</v>
      </c>
      <c r="I875" s="65" t="s">
        <v>66</v>
      </c>
      <c r="J875" s="65" t="s">
        <v>112</v>
      </c>
      <c r="K875" s="65" t="s">
        <v>74</v>
      </c>
      <c r="L875" s="65" t="s">
        <v>119</v>
      </c>
      <c r="M875" s="67">
        <v>792</v>
      </c>
      <c r="N875" s="65" t="s">
        <v>140</v>
      </c>
      <c r="O875" s="68">
        <v>58.07</v>
      </c>
      <c r="P875" s="68">
        <v>45991.44</v>
      </c>
      <c r="Q875" s="68">
        <v>1057.2</v>
      </c>
      <c r="R875" s="62">
        <f t="shared" si="94"/>
        <v>2.2986886255355343E-2</v>
      </c>
      <c r="S875" s="67">
        <v>24</v>
      </c>
      <c r="T875" s="66">
        <v>45303</v>
      </c>
      <c r="U875" s="66">
        <v>45302</v>
      </c>
      <c r="V875" s="63">
        <f t="shared" si="95"/>
        <v>-1</v>
      </c>
      <c r="W875" s="65" t="s">
        <v>115</v>
      </c>
      <c r="X875" s="64" t="b">
        <f t="shared" si="96"/>
        <v>1</v>
      </c>
      <c r="Y875" s="67">
        <v>312</v>
      </c>
      <c r="Z875" s="67">
        <v>40</v>
      </c>
      <c r="AA875" s="65" t="s">
        <v>81</v>
      </c>
      <c r="AB875" s="64" t="b">
        <f t="shared" si="97"/>
        <v>1</v>
      </c>
    </row>
    <row r="876" spans="1:28" ht="15" customHeight="1" x14ac:dyDescent="0.3">
      <c r="A876" s="57" t="s">
        <v>1875</v>
      </c>
      <c r="B876" s="82">
        <v>45362</v>
      </c>
      <c r="C876" s="59">
        <f t="shared" si="91"/>
        <v>2024</v>
      </c>
      <c r="D876" s="59">
        <f t="shared" si="92"/>
        <v>3</v>
      </c>
      <c r="E876" s="59">
        <f t="shared" si="93"/>
        <v>11</v>
      </c>
      <c r="F876" s="57" t="s">
        <v>56</v>
      </c>
      <c r="G876" s="57" t="s">
        <v>40</v>
      </c>
      <c r="H876" s="57" t="s">
        <v>1876</v>
      </c>
      <c r="I876" s="57" t="s">
        <v>67</v>
      </c>
      <c r="J876" s="57" t="s">
        <v>123</v>
      </c>
      <c r="K876" s="57" t="s">
        <v>74</v>
      </c>
      <c r="L876" s="57" t="s">
        <v>146</v>
      </c>
      <c r="M876" s="60">
        <v>180</v>
      </c>
      <c r="N876" s="57" t="s">
        <v>163</v>
      </c>
      <c r="O876" s="61">
        <v>925.35</v>
      </c>
      <c r="P876" s="61">
        <v>166563</v>
      </c>
      <c r="Q876" s="61">
        <v>6014.59</v>
      </c>
      <c r="R876" s="62">
        <f t="shared" si="94"/>
        <v>3.6110000420261405E-2</v>
      </c>
      <c r="S876" s="60">
        <v>28</v>
      </c>
      <c r="T876" s="58">
        <v>45390</v>
      </c>
      <c r="U876" s="58">
        <v>45393</v>
      </c>
      <c r="V876" s="63">
        <f t="shared" si="95"/>
        <v>3</v>
      </c>
      <c r="W876" s="57" t="s">
        <v>125</v>
      </c>
      <c r="X876" s="64" t="b">
        <f t="shared" si="96"/>
        <v>0</v>
      </c>
      <c r="Y876" s="60">
        <v>14</v>
      </c>
      <c r="Z876" s="60">
        <v>303</v>
      </c>
      <c r="AA876" s="57" t="s">
        <v>83</v>
      </c>
      <c r="AB876" s="64" t="b">
        <f t="shared" si="97"/>
        <v>1</v>
      </c>
    </row>
    <row r="877" spans="1:28" ht="15" customHeight="1" x14ac:dyDescent="0.3">
      <c r="A877" s="65" t="s">
        <v>1877</v>
      </c>
      <c r="B877" s="81">
        <v>45490</v>
      </c>
      <c r="C877" s="59">
        <f t="shared" si="91"/>
        <v>2024</v>
      </c>
      <c r="D877" s="59">
        <f t="shared" si="92"/>
        <v>7</v>
      </c>
      <c r="E877" s="59">
        <f t="shared" si="93"/>
        <v>29</v>
      </c>
      <c r="F877" s="65" t="s">
        <v>58</v>
      </c>
      <c r="G877" s="65" t="s">
        <v>40</v>
      </c>
      <c r="H877" s="65" t="s">
        <v>1878</v>
      </c>
      <c r="I877" s="65" t="s">
        <v>69</v>
      </c>
      <c r="J877" s="65" t="s">
        <v>123</v>
      </c>
      <c r="K877" s="65" t="s">
        <v>74</v>
      </c>
      <c r="L877" s="65" t="s">
        <v>113</v>
      </c>
      <c r="M877" s="67">
        <v>168</v>
      </c>
      <c r="N877" s="65" t="s">
        <v>114</v>
      </c>
      <c r="O877" s="68">
        <v>1142.1400000000001</v>
      </c>
      <c r="P877" s="68">
        <v>191879.52</v>
      </c>
      <c r="Q877" s="68">
        <v>11369.66</v>
      </c>
      <c r="R877" s="62">
        <f t="shared" si="94"/>
        <v>5.9254161152790044E-2</v>
      </c>
      <c r="S877" s="67">
        <v>21</v>
      </c>
      <c r="T877" s="66">
        <v>45511</v>
      </c>
      <c r="U877" s="66">
        <v>45511</v>
      </c>
      <c r="V877" s="63">
        <f t="shared" si="95"/>
        <v>0</v>
      </c>
      <c r="W877" s="65" t="s">
        <v>115</v>
      </c>
      <c r="X877" s="64" t="b">
        <f t="shared" si="96"/>
        <v>1</v>
      </c>
      <c r="Y877" s="67">
        <v>40</v>
      </c>
      <c r="Z877" s="67">
        <v>90</v>
      </c>
      <c r="AA877" s="65" t="s">
        <v>116</v>
      </c>
      <c r="AB877" s="64" t="b">
        <f t="shared" si="97"/>
        <v>0</v>
      </c>
    </row>
    <row r="878" spans="1:28" ht="15" customHeight="1" x14ac:dyDescent="0.3">
      <c r="A878" s="57" t="s">
        <v>1879</v>
      </c>
      <c r="B878" s="82">
        <v>45265</v>
      </c>
      <c r="C878" s="59">
        <f t="shared" si="91"/>
        <v>2023</v>
      </c>
      <c r="D878" s="59">
        <f t="shared" si="92"/>
        <v>12</v>
      </c>
      <c r="E878" s="59">
        <f t="shared" si="93"/>
        <v>49</v>
      </c>
      <c r="F878" s="57" t="s">
        <v>53</v>
      </c>
      <c r="G878" s="57" t="s">
        <v>40</v>
      </c>
      <c r="H878" s="57" t="s">
        <v>1880</v>
      </c>
      <c r="I878" s="57" t="s">
        <v>64</v>
      </c>
      <c r="J878" s="57" t="s">
        <v>143</v>
      </c>
      <c r="K878" s="57" t="s">
        <v>74</v>
      </c>
      <c r="L878" s="57" t="s">
        <v>124</v>
      </c>
      <c r="M878" s="60">
        <v>210</v>
      </c>
      <c r="N878" s="57" t="s">
        <v>163</v>
      </c>
      <c r="O878" s="61">
        <v>563.96</v>
      </c>
      <c r="P878" s="61">
        <v>118431.6</v>
      </c>
      <c r="Q878" s="61">
        <v>6160.46</v>
      </c>
      <c r="R878" s="62">
        <f t="shared" si="94"/>
        <v>5.2017029238818013E-2</v>
      </c>
      <c r="S878" s="60">
        <v>8</v>
      </c>
      <c r="T878" s="58">
        <v>45273</v>
      </c>
      <c r="U878" s="58">
        <v>45276</v>
      </c>
      <c r="V878" s="63">
        <f t="shared" si="95"/>
        <v>3</v>
      </c>
      <c r="W878" s="57" t="s">
        <v>125</v>
      </c>
      <c r="X878" s="64" t="b">
        <f t="shared" si="96"/>
        <v>0</v>
      </c>
      <c r="Y878" s="60">
        <v>452</v>
      </c>
      <c r="Z878" s="60">
        <v>38</v>
      </c>
      <c r="AA878" s="57" t="s">
        <v>116</v>
      </c>
      <c r="AB878" s="64" t="b">
        <f t="shared" si="97"/>
        <v>0</v>
      </c>
    </row>
    <row r="879" spans="1:28" ht="15" customHeight="1" x14ac:dyDescent="0.3">
      <c r="A879" s="65" t="s">
        <v>1881</v>
      </c>
      <c r="B879" s="81">
        <v>45287</v>
      </c>
      <c r="C879" s="59">
        <f t="shared" si="91"/>
        <v>2023</v>
      </c>
      <c r="D879" s="59">
        <f t="shared" si="92"/>
        <v>12</v>
      </c>
      <c r="E879" s="59">
        <f t="shared" si="93"/>
        <v>52</v>
      </c>
      <c r="F879" s="65" t="s">
        <v>61</v>
      </c>
      <c r="G879" s="65" t="s">
        <v>40</v>
      </c>
      <c r="H879" s="65" t="s">
        <v>1882</v>
      </c>
      <c r="I879" s="65" t="s">
        <v>66</v>
      </c>
      <c r="J879" s="65" t="s">
        <v>151</v>
      </c>
      <c r="K879" s="65" t="s">
        <v>73</v>
      </c>
      <c r="L879" s="65" t="s">
        <v>119</v>
      </c>
      <c r="M879" s="67">
        <v>496</v>
      </c>
      <c r="N879" s="65" t="s">
        <v>140</v>
      </c>
      <c r="O879" s="68">
        <v>1078.8399999999999</v>
      </c>
      <c r="P879" s="68">
        <v>535104.64</v>
      </c>
      <c r="Q879" s="68">
        <v>41011.74</v>
      </c>
      <c r="R879" s="62">
        <f t="shared" si="94"/>
        <v>7.6642467536816722E-2</v>
      </c>
      <c r="S879" s="67">
        <v>26</v>
      </c>
      <c r="T879" s="66">
        <v>45313</v>
      </c>
      <c r="U879" s="66">
        <v>45313</v>
      </c>
      <c r="V879" s="63">
        <f t="shared" si="95"/>
        <v>0</v>
      </c>
      <c r="W879" s="65" t="s">
        <v>115</v>
      </c>
      <c r="X879" s="64" t="b">
        <f t="shared" si="96"/>
        <v>1</v>
      </c>
      <c r="Y879" s="67">
        <v>207</v>
      </c>
      <c r="Z879" s="67">
        <v>12</v>
      </c>
      <c r="AA879" s="65" t="s">
        <v>116</v>
      </c>
      <c r="AB879" s="64" t="b">
        <f t="shared" si="97"/>
        <v>0</v>
      </c>
    </row>
    <row r="880" spans="1:28" ht="15" customHeight="1" x14ac:dyDescent="0.3">
      <c r="A880" s="57" t="s">
        <v>1883</v>
      </c>
      <c r="B880" s="82">
        <v>45646</v>
      </c>
      <c r="C880" s="59">
        <f t="shared" si="91"/>
        <v>2024</v>
      </c>
      <c r="D880" s="59">
        <f t="shared" si="92"/>
        <v>12</v>
      </c>
      <c r="E880" s="59">
        <f t="shared" si="93"/>
        <v>51</v>
      </c>
      <c r="F880" s="57" t="s">
        <v>61</v>
      </c>
      <c r="G880" s="57" t="s">
        <v>42</v>
      </c>
      <c r="H880" s="57" t="s">
        <v>1884</v>
      </c>
      <c r="I880" s="57" t="s">
        <v>64</v>
      </c>
      <c r="J880" s="57" t="s">
        <v>123</v>
      </c>
      <c r="K880" s="57" t="s">
        <v>74</v>
      </c>
      <c r="L880" s="57" t="s">
        <v>156</v>
      </c>
      <c r="M880" s="60">
        <v>566</v>
      </c>
      <c r="N880" s="57" t="s">
        <v>132</v>
      </c>
      <c r="O880" s="61">
        <v>116.7</v>
      </c>
      <c r="P880" s="61">
        <v>66052.2</v>
      </c>
      <c r="Q880" s="61">
        <v>2891.54</v>
      </c>
      <c r="R880" s="62">
        <f t="shared" si="94"/>
        <v>4.3776588819146069E-2</v>
      </c>
      <c r="S880" s="60">
        <v>28</v>
      </c>
      <c r="T880" s="58">
        <v>45674</v>
      </c>
      <c r="U880" s="58">
        <v>45671</v>
      </c>
      <c r="V880" s="63">
        <f t="shared" si="95"/>
        <v>-3</v>
      </c>
      <c r="W880" s="57" t="s">
        <v>115</v>
      </c>
      <c r="X880" s="64" t="b">
        <f t="shared" si="96"/>
        <v>1</v>
      </c>
      <c r="Y880" s="60">
        <v>59</v>
      </c>
      <c r="Z880" s="60">
        <v>387</v>
      </c>
      <c r="AA880" s="57" t="s">
        <v>116</v>
      </c>
      <c r="AB880" s="64" t="b">
        <f t="shared" si="97"/>
        <v>0</v>
      </c>
    </row>
    <row r="881" spans="1:28" ht="15" customHeight="1" x14ac:dyDescent="0.3">
      <c r="A881" s="65" t="s">
        <v>1885</v>
      </c>
      <c r="B881" s="81">
        <v>45391</v>
      </c>
      <c r="C881" s="59">
        <f t="shared" si="91"/>
        <v>2024</v>
      </c>
      <c r="D881" s="59">
        <f t="shared" si="92"/>
        <v>4</v>
      </c>
      <c r="E881" s="59">
        <f t="shared" si="93"/>
        <v>15</v>
      </c>
      <c r="F881" s="65" t="s">
        <v>60</v>
      </c>
      <c r="G881" s="65" t="s">
        <v>45</v>
      </c>
      <c r="H881" s="65" t="s">
        <v>1886</v>
      </c>
      <c r="I881" s="65" t="s">
        <v>66</v>
      </c>
      <c r="J881" s="65" t="s">
        <v>123</v>
      </c>
      <c r="K881" s="65" t="s">
        <v>72</v>
      </c>
      <c r="L881" s="65" t="s">
        <v>146</v>
      </c>
      <c r="M881" s="67">
        <v>971</v>
      </c>
      <c r="N881" s="65" t="s">
        <v>114</v>
      </c>
      <c r="O881" s="68">
        <v>154.61000000000001</v>
      </c>
      <c r="P881" s="68">
        <v>150126.31</v>
      </c>
      <c r="Q881" s="68">
        <v>9252.5499999999993</v>
      </c>
      <c r="R881" s="62">
        <f t="shared" si="94"/>
        <v>6.1631768608713555E-2</v>
      </c>
      <c r="S881" s="67">
        <v>4</v>
      </c>
      <c r="T881" s="66">
        <v>45395</v>
      </c>
      <c r="U881" s="66">
        <v>45397</v>
      </c>
      <c r="V881" s="63">
        <f t="shared" si="95"/>
        <v>2</v>
      </c>
      <c r="W881" s="65" t="s">
        <v>125</v>
      </c>
      <c r="X881" s="64" t="b">
        <f t="shared" si="96"/>
        <v>0</v>
      </c>
      <c r="Y881" s="67">
        <v>364</v>
      </c>
      <c r="Z881" s="67">
        <v>95</v>
      </c>
      <c r="AA881" s="65" t="s">
        <v>84</v>
      </c>
      <c r="AB881" s="64" t="b">
        <f t="shared" si="97"/>
        <v>1</v>
      </c>
    </row>
    <row r="882" spans="1:28" ht="15" customHeight="1" x14ac:dyDescent="0.3">
      <c r="A882" s="57" t="s">
        <v>1887</v>
      </c>
      <c r="B882" s="82">
        <v>45204</v>
      </c>
      <c r="C882" s="59">
        <f t="shared" si="91"/>
        <v>2023</v>
      </c>
      <c r="D882" s="59">
        <f t="shared" si="92"/>
        <v>10</v>
      </c>
      <c r="E882" s="59">
        <f t="shared" si="93"/>
        <v>40</v>
      </c>
      <c r="F882" s="57" t="s">
        <v>52</v>
      </c>
      <c r="G882" s="57" t="s">
        <v>39</v>
      </c>
      <c r="H882" s="57" t="s">
        <v>1888</v>
      </c>
      <c r="I882" s="57" t="s">
        <v>64</v>
      </c>
      <c r="J882" s="57" t="s">
        <v>151</v>
      </c>
      <c r="K882" s="57" t="s">
        <v>71</v>
      </c>
      <c r="L882" s="57" t="s">
        <v>124</v>
      </c>
      <c r="M882" s="60">
        <v>785</v>
      </c>
      <c r="N882" s="57" t="s">
        <v>132</v>
      </c>
      <c r="O882" s="61">
        <v>1243.74</v>
      </c>
      <c r="P882" s="61">
        <v>976335.9</v>
      </c>
      <c r="Q882" s="61">
        <v>48191.32</v>
      </c>
      <c r="R882" s="62">
        <f t="shared" si="94"/>
        <v>4.9359364948067565E-2</v>
      </c>
      <c r="S882" s="60">
        <v>26</v>
      </c>
      <c r="T882" s="58">
        <v>45230</v>
      </c>
      <c r="U882" s="58">
        <v>45230</v>
      </c>
      <c r="V882" s="63">
        <f t="shared" si="95"/>
        <v>0</v>
      </c>
      <c r="W882" s="57" t="s">
        <v>115</v>
      </c>
      <c r="X882" s="64" t="b">
        <f t="shared" si="96"/>
        <v>1</v>
      </c>
      <c r="Y882" s="60">
        <v>239</v>
      </c>
      <c r="Z882" s="60">
        <v>108</v>
      </c>
      <c r="AA882" s="57" t="s">
        <v>116</v>
      </c>
      <c r="AB882" s="64" t="b">
        <f t="shared" si="97"/>
        <v>0</v>
      </c>
    </row>
    <row r="883" spans="1:28" ht="15" customHeight="1" x14ac:dyDescent="0.3">
      <c r="A883" s="65" t="s">
        <v>1889</v>
      </c>
      <c r="B883" s="81">
        <v>45240</v>
      </c>
      <c r="C883" s="59">
        <f t="shared" si="91"/>
        <v>2023</v>
      </c>
      <c r="D883" s="59">
        <f t="shared" si="92"/>
        <v>11</v>
      </c>
      <c r="E883" s="59">
        <f t="shared" si="93"/>
        <v>45</v>
      </c>
      <c r="F883" s="65" t="s">
        <v>53</v>
      </c>
      <c r="G883" s="65" t="s">
        <v>39</v>
      </c>
      <c r="H883" s="65" t="s">
        <v>1890</v>
      </c>
      <c r="I883" s="65" t="s">
        <v>64</v>
      </c>
      <c r="J883" s="65" t="s">
        <v>112</v>
      </c>
      <c r="K883" s="65" t="s">
        <v>73</v>
      </c>
      <c r="L883" s="65" t="s">
        <v>135</v>
      </c>
      <c r="M883" s="67">
        <v>592</v>
      </c>
      <c r="N883" s="65" t="s">
        <v>120</v>
      </c>
      <c r="O883" s="68">
        <v>2202.9</v>
      </c>
      <c r="P883" s="68">
        <v>1304116.8</v>
      </c>
      <c r="Q883" s="68">
        <v>66189.89</v>
      </c>
      <c r="R883" s="62">
        <f t="shared" si="94"/>
        <v>5.0754571983122984E-2</v>
      </c>
      <c r="S883" s="67">
        <v>8</v>
      </c>
      <c r="T883" s="66">
        <v>45248</v>
      </c>
      <c r="U883" s="66">
        <v>45245</v>
      </c>
      <c r="V883" s="63">
        <f t="shared" si="95"/>
        <v>-3</v>
      </c>
      <c r="W883" s="65" t="s">
        <v>115</v>
      </c>
      <c r="X883" s="64" t="b">
        <f t="shared" si="96"/>
        <v>1</v>
      </c>
      <c r="Y883" s="67">
        <v>95</v>
      </c>
      <c r="Z883" s="67">
        <v>103</v>
      </c>
      <c r="AA883" s="65" t="s">
        <v>81</v>
      </c>
      <c r="AB883" s="64" t="b">
        <f t="shared" si="97"/>
        <v>1</v>
      </c>
    </row>
    <row r="884" spans="1:28" ht="15" customHeight="1" x14ac:dyDescent="0.3">
      <c r="A884" s="57" t="s">
        <v>1891</v>
      </c>
      <c r="B884" s="82">
        <v>45184</v>
      </c>
      <c r="C884" s="59">
        <f t="shared" si="91"/>
        <v>2023</v>
      </c>
      <c r="D884" s="59">
        <f t="shared" si="92"/>
        <v>9</v>
      </c>
      <c r="E884" s="59">
        <f t="shared" si="93"/>
        <v>37</v>
      </c>
      <c r="F884" s="57" t="s">
        <v>56</v>
      </c>
      <c r="G884" s="57" t="s">
        <v>44</v>
      </c>
      <c r="H884" s="57" t="s">
        <v>1892</v>
      </c>
      <c r="I884" s="57" t="s">
        <v>68</v>
      </c>
      <c r="J884" s="57" t="s">
        <v>151</v>
      </c>
      <c r="K884" s="57" t="s">
        <v>74</v>
      </c>
      <c r="L884" s="57" t="s">
        <v>113</v>
      </c>
      <c r="M884" s="60">
        <v>513</v>
      </c>
      <c r="N884" s="57" t="s">
        <v>136</v>
      </c>
      <c r="O884" s="61">
        <v>135.6</v>
      </c>
      <c r="P884" s="61">
        <v>69562.8</v>
      </c>
      <c r="Q884" s="61">
        <v>2508.88</v>
      </c>
      <c r="R884" s="62">
        <f t="shared" si="94"/>
        <v>3.6066403307514934E-2</v>
      </c>
      <c r="S884" s="60">
        <v>26</v>
      </c>
      <c r="T884" s="58">
        <v>45210</v>
      </c>
      <c r="U884" s="58">
        <v>45210</v>
      </c>
      <c r="V884" s="63">
        <f t="shared" si="95"/>
        <v>0</v>
      </c>
      <c r="W884" s="57" t="s">
        <v>115</v>
      </c>
      <c r="X884" s="64" t="b">
        <f t="shared" si="96"/>
        <v>1</v>
      </c>
      <c r="Y884" s="60">
        <v>277</v>
      </c>
      <c r="Z884" s="60">
        <v>353</v>
      </c>
      <c r="AA884" s="57" t="s">
        <v>82</v>
      </c>
      <c r="AB884" s="64" t="b">
        <f t="shared" si="97"/>
        <v>1</v>
      </c>
    </row>
    <row r="885" spans="1:28" ht="15" customHeight="1" x14ac:dyDescent="0.3">
      <c r="A885" s="65" t="s">
        <v>1893</v>
      </c>
      <c r="B885" s="81">
        <v>45163</v>
      </c>
      <c r="C885" s="59">
        <f t="shared" si="91"/>
        <v>2023</v>
      </c>
      <c r="D885" s="59">
        <f t="shared" si="92"/>
        <v>8</v>
      </c>
      <c r="E885" s="59">
        <f t="shared" si="93"/>
        <v>34</v>
      </c>
      <c r="F885" s="65" t="s">
        <v>59</v>
      </c>
      <c r="G885" s="65" t="s">
        <v>46</v>
      </c>
      <c r="H885" s="65" t="s">
        <v>1894</v>
      </c>
      <c r="I885" s="65" t="s">
        <v>69</v>
      </c>
      <c r="J885" s="65" t="s">
        <v>131</v>
      </c>
      <c r="K885" s="65" t="s">
        <v>71</v>
      </c>
      <c r="L885" s="65" t="s">
        <v>119</v>
      </c>
      <c r="M885" s="67">
        <v>885</v>
      </c>
      <c r="N885" s="65" t="s">
        <v>163</v>
      </c>
      <c r="O885" s="68">
        <v>42.68</v>
      </c>
      <c r="P885" s="68">
        <v>37771.800000000003</v>
      </c>
      <c r="Q885" s="68">
        <v>1786.49</v>
      </c>
      <c r="R885" s="62">
        <f t="shared" si="94"/>
        <v>4.7296925219343526E-2</v>
      </c>
      <c r="S885" s="67">
        <v>28</v>
      </c>
      <c r="T885" s="66">
        <v>45191</v>
      </c>
      <c r="U885" s="66">
        <v>45194</v>
      </c>
      <c r="V885" s="63">
        <f t="shared" si="95"/>
        <v>3</v>
      </c>
      <c r="W885" s="65" t="s">
        <v>128</v>
      </c>
      <c r="X885" s="64" t="b">
        <f t="shared" si="96"/>
        <v>0</v>
      </c>
      <c r="Y885" s="67">
        <v>426</v>
      </c>
      <c r="Z885" s="67">
        <v>230</v>
      </c>
      <c r="AA885" s="65" t="s">
        <v>81</v>
      </c>
      <c r="AB885" s="64" t="b">
        <f t="shared" si="97"/>
        <v>1</v>
      </c>
    </row>
    <row r="886" spans="1:28" ht="15" customHeight="1" x14ac:dyDescent="0.3">
      <c r="A886" s="57" t="s">
        <v>1895</v>
      </c>
      <c r="B886" s="82">
        <v>45050</v>
      </c>
      <c r="C886" s="59">
        <f t="shared" si="91"/>
        <v>2023</v>
      </c>
      <c r="D886" s="59">
        <f t="shared" si="92"/>
        <v>5</v>
      </c>
      <c r="E886" s="59">
        <f t="shared" si="93"/>
        <v>18</v>
      </c>
      <c r="F886" s="57" t="s">
        <v>61</v>
      </c>
      <c r="G886" s="57" t="s">
        <v>40</v>
      </c>
      <c r="H886" s="57" t="s">
        <v>1896</v>
      </c>
      <c r="I886" s="57" t="s">
        <v>69</v>
      </c>
      <c r="J886" s="57" t="s">
        <v>151</v>
      </c>
      <c r="K886" s="57" t="s">
        <v>73</v>
      </c>
      <c r="L886" s="57" t="s">
        <v>124</v>
      </c>
      <c r="M886" s="60">
        <v>380</v>
      </c>
      <c r="N886" s="57" t="s">
        <v>114</v>
      </c>
      <c r="O886" s="61">
        <v>724.88</v>
      </c>
      <c r="P886" s="61">
        <v>275454.40000000002</v>
      </c>
      <c r="Q886" s="61">
        <v>13289.88</v>
      </c>
      <c r="R886" s="62">
        <f t="shared" si="94"/>
        <v>4.8247114585935086E-2</v>
      </c>
      <c r="S886" s="60">
        <v>18</v>
      </c>
      <c r="T886" s="58">
        <v>45068</v>
      </c>
      <c r="U886" s="58">
        <v>45068</v>
      </c>
      <c r="V886" s="63">
        <f t="shared" si="95"/>
        <v>0</v>
      </c>
      <c r="W886" s="57" t="s">
        <v>115</v>
      </c>
      <c r="X886" s="64" t="b">
        <f t="shared" si="96"/>
        <v>1</v>
      </c>
      <c r="Y886" s="60">
        <v>159</v>
      </c>
      <c r="Z886" s="60">
        <v>42</v>
      </c>
      <c r="AA886" s="57" t="s">
        <v>83</v>
      </c>
      <c r="AB886" s="64" t="b">
        <f t="shared" si="97"/>
        <v>1</v>
      </c>
    </row>
    <row r="887" spans="1:28" ht="15" customHeight="1" x14ac:dyDescent="0.3">
      <c r="A887" s="65" t="s">
        <v>1897</v>
      </c>
      <c r="B887" s="81">
        <v>45124</v>
      </c>
      <c r="C887" s="59">
        <f t="shared" si="91"/>
        <v>2023</v>
      </c>
      <c r="D887" s="59">
        <f t="shared" si="92"/>
        <v>7</v>
      </c>
      <c r="E887" s="59">
        <f t="shared" si="93"/>
        <v>29</v>
      </c>
      <c r="F887" s="65" t="s">
        <v>56</v>
      </c>
      <c r="G887" s="65" t="s">
        <v>42</v>
      </c>
      <c r="H887" s="65" t="s">
        <v>1898</v>
      </c>
      <c r="I887" s="65" t="s">
        <v>66</v>
      </c>
      <c r="J887" s="65" t="s">
        <v>131</v>
      </c>
      <c r="K887" s="65" t="s">
        <v>71</v>
      </c>
      <c r="L887" s="65" t="s">
        <v>156</v>
      </c>
      <c r="M887" s="67">
        <v>112</v>
      </c>
      <c r="N887" s="65" t="s">
        <v>163</v>
      </c>
      <c r="O887" s="68">
        <v>84.8</v>
      </c>
      <c r="P887" s="68">
        <v>9497.6</v>
      </c>
      <c r="Q887" s="68">
        <v>592.64</v>
      </c>
      <c r="R887" s="62">
        <f t="shared" si="94"/>
        <v>6.2398921832884091E-2</v>
      </c>
      <c r="S887" s="67">
        <v>28</v>
      </c>
      <c r="T887" s="66">
        <v>45152</v>
      </c>
      <c r="U887" s="66">
        <v>45164</v>
      </c>
      <c r="V887" s="63">
        <f t="shared" si="95"/>
        <v>12</v>
      </c>
      <c r="W887" s="65" t="s">
        <v>128</v>
      </c>
      <c r="X887" s="64" t="b">
        <f t="shared" si="96"/>
        <v>0</v>
      </c>
      <c r="Y887" s="67">
        <v>396</v>
      </c>
      <c r="Z887" s="67">
        <v>208</v>
      </c>
      <c r="AA887" s="65" t="s">
        <v>84</v>
      </c>
      <c r="AB887" s="64" t="b">
        <f t="shared" si="97"/>
        <v>1</v>
      </c>
    </row>
    <row r="888" spans="1:28" ht="15" customHeight="1" x14ac:dyDescent="0.3">
      <c r="A888" s="57" t="s">
        <v>1899</v>
      </c>
      <c r="B888" s="82">
        <v>45250</v>
      </c>
      <c r="C888" s="59">
        <f t="shared" si="91"/>
        <v>2023</v>
      </c>
      <c r="D888" s="59">
        <f t="shared" si="92"/>
        <v>11</v>
      </c>
      <c r="E888" s="59">
        <f t="shared" si="93"/>
        <v>47</v>
      </c>
      <c r="F888" s="57" t="s">
        <v>58</v>
      </c>
      <c r="G888" s="57" t="s">
        <v>46</v>
      </c>
      <c r="H888" s="57" t="s">
        <v>1900</v>
      </c>
      <c r="I888" s="57" t="s">
        <v>67</v>
      </c>
      <c r="J888" s="57" t="s">
        <v>151</v>
      </c>
      <c r="K888" s="57" t="s">
        <v>73</v>
      </c>
      <c r="L888" s="57" t="s">
        <v>113</v>
      </c>
      <c r="M888" s="60">
        <v>134</v>
      </c>
      <c r="N888" s="57" t="s">
        <v>120</v>
      </c>
      <c r="O888" s="61">
        <v>75.260000000000005</v>
      </c>
      <c r="P888" s="61">
        <v>10084.84</v>
      </c>
      <c r="Q888" s="61">
        <v>770.87</v>
      </c>
      <c r="R888" s="62">
        <f t="shared" si="94"/>
        <v>7.6438495801619058E-2</v>
      </c>
      <c r="S888" s="60">
        <v>28</v>
      </c>
      <c r="T888" s="58">
        <v>45278</v>
      </c>
      <c r="U888" s="58">
        <v>45290</v>
      </c>
      <c r="V888" s="63">
        <f t="shared" si="95"/>
        <v>12</v>
      </c>
      <c r="W888" s="57" t="s">
        <v>128</v>
      </c>
      <c r="X888" s="64" t="b">
        <f t="shared" si="96"/>
        <v>0</v>
      </c>
      <c r="Y888" s="60">
        <v>421</v>
      </c>
      <c r="Z888" s="60">
        <v>87</v>
      </c>
      <c r="AA888" s="57" t="s">
        <v>83</v>
      </c>
      <c r="AB888" s="64" t="b">
        <f t="shared" si="97"/>
        <v>1</v>
      </c>
    </row>
    <row r="889" spans="1:28" ht="15" customHeight="1" x14ac:dyDescent="0.3">
      <c r="A889" s="65" t="s">
        <v>1901</v>
      </c>
      <c r="B889" s="81">
        <v>45049</v>
      </c>
      <c r="C889" s="59">
        <f t="shared" si="91"/>
        <v>2023</v>
      </c>
      <c r="D889" s="59">
        <f t="shared" si="92"/>
        <v>5</v>
      </c>
      <c r="E889" s="59">
        <f t="shared" si="93"/>
        <v>18</v>
      </c>
      <c r="F889" s="65" t="s">
        <v>54</v>
      </c>
      <c r="G889" s="65" t="s">
        <v>40</v>
      </c>
      <c r="H889" s="65" t="s">
        <v>1902</v>
      </c>
      <c r="I889" s="65" t="s">
        <v>68</v>
      </c>
      <c r="J889" s="65" t="s">
        <v>131</v>
      </c>
      <c r="K889" s="65" t="s">
        <v>75</v>
      </c>
      <c r="L889" s="65" t="s">
        <v>156</v>
      </c>
      <c r="M889" s="67">
        <v>322</v>
      </c>
      <c r="N889" s="65" t="s">
        <v>120</v>
      </c>
      <c r="O889" s="68">
        <v>1029.22</v>
      </c>
      <c r="P889" s="68">
        <v>331408.84000000003</v>
      </c>
      <c r="Q889" s="68">
        <v>13176.58</v>
      </c>
      <c r="R889" s="62">
        <f t="shared" si="94"/>
        <v>3.9759289462526104E-2</v>
      </c>
      <c r="S889" s="67">
        <v>5</v>
      </c>
      <c r="T889" s="66">
        <v>45054</v>
      </c>
      <c r="U889" s="66">
        <v>45066</v>
      </c>
      <c r="V889" s="63">
        <f t="shared" si="95"/>
        <v>12</v>
      </c>
      <c r="W889" s="65" t="s">
        <v>128</v>
      </c>
      <c r="X889" s="64" t="b">
        <f t="shared" si="96"/>
        <v>0</v>
      </c>
      <c r="Y889" s="67">
        <v>281</v>
      </c>
      <c r="Z889" s="67">
        <v>92</v>
      </c>
      <c r="AA889" s="65" t="s">
        <v>81</v>
      </c>
      <c r="AB889" s="64" t="b">
        <f t="shared" si="97"/>
        <v>1</v>
      </c>
    </row>
    <row r="890" spans="1:28" ht="15" customHeight="1" x14ac:dyDescent="0.3">
      <c r="A890" s="57" t="s">
        <v>1903</v>
      </c>
      <c r="B890" s="82">
        <v>45475</v>
      </c>
      <c r="C890" s="59">
        <f t="shared" si="91"/>
        <v>2024</v>
      </c>
      <c r="D890" s="59">
        <f t="shared" si="92"/>
        <v>7</v>
      </c>
      <c r="E890" s="59">
        <f t="shared" si="93"/>
        <v>27</v>
      </c>
      <c r="F890" s="57" t="s">
        <v>61</v>
      </c>
      <c r="G890" s="57" t="s">
        <v>42</v>
      </c>
      <c r="H890" s="57" t="s">
        <v>1904</v>
      </c>
      <c r="I890" s="57" t="s">
        <v>69</v>
      </c>
      <c r="J890" s="57" t="s">
        <v>131</v>
      </c>
      <c r="K890" s="57" t="s">
        <v>73</v>
      </c>
      <c r="L890" s="57" t="s">
        <v>146</v>
      </c>
      <c r="M890" s="60">
        <v>985</v>
      </c>
      <c r="N890" s="57" t="s">
        <v>163</v>
      </c>
      <c r="O890" s="61">
        <v>119.71</v>
      </c>
      <c r="P890" s="61">
        <v>117914.35</v>
      </c>
      <c r="Q890" s="61">
        <v>2656.85</v>
      </c>
      <c r="R890" s="62">
        <f t="shared" si="94"/>
        <v>2.2532032784813721E-2</v>
      </c>
      <c r="S890" s="60">
        <v>9</v>
      </c>
      <c r="T890" s="58">
        <v>45484</v>
      </c>
      <c r="U890" s="58">
        <v>45484</v>
      </c>
      <c r="V890" s="63">
        <f t="shared" si="95"/>
        <v>0</v>
      </c>
      <c r="W890" s="57" t="s">
        <v>115</v>
      </c>
      <c r="X890" s="64" t="b">
        <f t="shared" si="96"/>
        <v>1</v>
      </c>
      <c r="Y890" s="60">
        <v>499</v>
      </c>
      <c r="Z890" s="60">
        <v>173</v>
      </c>
      <c r="AA890" s="57" t="s">
        <v>116</v>
      </c>
      <c r="AB890" s="64" t="b">
        <f t="shared" si="97"/>
        <v>0</v>
      </c>
    </row>
    <row r="891" spans="1:28" ht="15" customHeight="1" x14ac:dyDescent="0.3">
      <c r="A891" s="65" t="s">
        <v>1905</v>
      </c>
      <c r="B891" s="81">
        <v>45633</v>
      </c>
      <c r="C891" s="59">
        <f t="shared" si="91"/>
        <v>2024</v>
      </c>
      <c r="D891" s="59">
        <f t="shared" si="92"/>
        <v>12</v>
      </c>
      <c r="E891" s="59">
        <f t="shared" si="93"/>
        <v>49</v>
      </c>
      <c r="F891" s="65" t="s">
        <v>53</v>
      </c>
      <c r="G891" s="65" t="s">
        <v>46</v>
      </c>
      <c r="H891" s="65" t="s">
        <v>1906</v>
      </c>
      <c r="I891" s="65" t="s">
        <v>69</v>
      </c>
      <c r="J891" s="65" t="s">
        <v>151</v>
      </c>
      <c r="K891" s="65" t="s">
        <v>74</v>
      </c>
      <c r="L891" s="65" t="s">
        <v>119</v>
      </c>
      <c r="M891" s="67">
        <v>807</v>
      </c>
      <c r="N891" s="65" t="s">
        <v>114</v>
      </c>
      <c r="O891" s="68">
        <v>55.8</v>
      </c>
      <c r="P891" s="68">
        <v>45030.6</v>
      </c>
      <c r="Q891" s="68">
        <v>2241.52</v>
      </c>
      <c r="R891" s="62">
        <f t="shared" si="94"/>
        <v>4.9777706714989364E-2</v>
      </c>
      <c r="S891" s="67">
        <v>4</v>
      </c>
      <c r="T891" s="66">
        <v>45637</v>
      </c>
      <c r="U891" s="66">
        <v>45634</v>
      </c>
      <c r="V891" s="63">
        <f t="shared" si="95"/>
        <v>-3</v>
      </c>
      <c r="W891" s="65" t="s">
        <v>115</v>
      </c>
      <c r="X891" s="64" t="b">
        <f t="shared" si="96"/>
        <v>1</v>
      </c>
      <c r="Y891" s="67">
        <v>208</v>
      </c>
      <c r="Z891" s="67">
        <v>475</v>
      </c>
      <c r="AA891" s="65" t="s">
        <v>83</v>
      </c>
      <c r="AB891" s="64" t="b">
        <f t="shared" si="97"/>
        <v>1</v>
      </c>
    </row>
    <row r="892" spans="1:28" ht="15" customHeight="1" x14ac:dyDescent="0.3">
      <c r="A892" s="57" t="s">
        <v>1907</v>
      </c>
      <c r="B892" s="82">
        <v>45116</v>
      </c>
      <c r="C892" s="59">
        <f t="shared" si="91"/>
        <v>2023</v>
      </c>
      <c r="D892" s="59">
        <f t="shared" si="92"/>
        <v>7</v>
      </c>
      <c r="E892" s="59">
        <f t="shared" si="93"/>
        <v>28</v>
      </c>
      <c r="F892" s="57" t="s">
        <v>61</v>
      </c>
      <c r="G892" s="57" t="s">
        <v>39</v>
      </c>
      <c r="H892" s="57" t="s">
        <v>1908</v>
      </c>
      <c r="I892" s="57" t="s">
        <v>68</v>
      </c>
      <c r="J892" s="57" t="s">
        <v>143</v>
      </c>
      <c r="K892" s="57" t="s">
        <v>71</v>
      </c>
      <c r="L892" s="57" t="s">
        <v>119</v>
      </c>
      <c r="M892" s="60">
        <v>467</v>
      </c>
      <c r="N892" s="57" t="s">
        <v>140</v>
      </c>
      <c r="O892" s="61">
        <v>1695.86</v>
      </c>
      <c r="P892" s="61">
        <v>791966.62</v>
      </c>
      <c r="Q892" s="61">
        <v>41711.040000000001</v>
      </c>
      <c r="R892" s="62">
        <f t="shared" si="94"/>
        <v>5.2667674301727516E-2</v>
      </c>
      <c r="S892" s="60">
        <v>27</v>
      </c>
      <c r="T892" s="58">
        <v>45143</v>
      </c>
      <c r="U892" s="58">
        <v>45155</v>
      </c>
      <c r="V892" s="63">
        <f t="shared" si="95"/>
        <v>12</v>
      </c>
      <c r="W892" s="57" t="s">
        <v>125</v>
      </c>
      <c r="X892" s="64" t="b">
        <f t="shared" si="96"/>
        <v>0</v>
      </c>
      <c r="Y892" s="60">
        <v>132</v>
      </c>
      <c r="Z892" s="60">
        <v>125</v>
      </c>
      <c r="AA892" s="57" t="s">
        <v>81</v>
      </c>
      <c r="AB892" s="64" t="b">
        <f t="shared" si="97"/>
        <v>1</v>
      </c>
    </row>
    <row r="893" spans="1:28" ht="15" customHeight="1" x14ac:dyDescent="0.3">
      <c r="A893" s="65" t="s">
        <v>1909</v>
      </c>
      <c r="B893" s="81">
        <v>45123</v>
      </c>
      <c r="C893" s="59">
        <f t="shared" si="91"/>
        <v>2023</v>
      </c>
      <c r="D893" s="59">
        <f t="shared" si="92"/>
        <v>7</v>
      </c>
      <c r="E893" s="59">
        <f t="shared" si="93"/>
        <v>29</v>
      </c>
      <c r="F893" s="65" t="s">
        <v>57</v>
      </c>
      <c r="G893" s="65" t="s">
        <v>39</v>
      </c>
      <c r="H893" s="65" t="s">
        <v>1910</v>
      </c>
      <c r="I893" s="65" t="s">
        <v>65</v>
      </c>
      <c r="J893" s="65" t="s">
        <v>123</v>
      </c>
      <c r="K893" s="65" t="s">
        <v>71</v>
      </c>
      <c r="L893" s="65" t="s">
        <v>146</v>
      </c>
      <c r="M893" s="67">
        <v>239</v>
      </c>
      <c r="N893" s="65" t="s">
        <v>140</v>
      </c>
      <c r="O893" s="68">
        <v>1689.99</v>
      </c>
      <c r="P893" s="68">
        <v>403907.61</v>
      </c>
      <c r="Q893" s="68">
        <v>12160.22</v>
      </c>
      <c r="R893" s="62">
        <f t="shared" si="94"/>
        <v>3.0106439440445304E-2</v>
      </c>
      <c r="S893" s="67">
        <v>22</v>
      </c>
      <c r="T893" s="66">
        <v>45145</v>
      </c>
      <c r="U893" s="66">
        <v>45145</v>
      </c>
      <c r="V893" s="63">
        <f t="shared" si="95"/>
        <v>0</v>
      </c>
      <c r="W893" s="65" t="s">
        <v>115</v>
      </c>
      <c r="X893" s="64" t="b">
        <f t="shared" si="96"/>
        <v>1</v>
      </c>
      <c r="Y893" s="67">
        <v>380</v>
      </c>
      <c r="Z893" s="67">
        <v>108</v>
      </c>
      <c r="AA893" s="65" t="s">
        <v>83</v>
      </c>
      <c r="AB893" s="64" t="b">
        <f t="shared" si="97"/>
        <v>1</v>
      </c>
    </row>
    <row r="894" spans="1:28" ht="15" customHeight="1" x14ac:dyDescent="0.3">
      <c r="A894" s="57" t="s">
        <v>1911</v>
      </c>
      <c r="B894" s="82">
        <v>45148</v>
      </c>
      <c r="C894" s="59">
        <f t="shared" si="91"/>
        <v>2023</v>
      </c>
      <c r="D894" s="59">
        <f t="shared" si="92"/>
        <v>8</v>
      </c>
      <c r="E894" s="59">
        <f t="shared" si="93"/>
        <v>32</v>
      </c>
      <c r="F894" s="57" t="s">
        <v>57</v>
      </c>
      <c r="G894" s="57" t="s">
        <v>45</v>
      </c>
      <c r="H894" s="57" t="s">
        <v>1912</v>
      </c>
      <c r="I894" s="57" t="s">
        <v>68</v>
      </c>
      <c r="J894" s="57" t="s">
        <v>139</v>
      </c>
      <c r="K894" s="57" t="s">
        <v>71</v>
      </c>
      <c r="L894" s="57" t="s">
        <v>156</v>
      </c>
      <c r="M894" s="60">
        <v>667</v>
      </c>
      <c r="N894" s="57" t="s">
        <v>136</v>
      </c>
      <c r="O894" s="61">
        <v>204.9</v>
      </c>
      <c r="P894" s="61">
        <v>136668.29999999999</v>
      </c>
      <c r="Q894" s="61">
        <v>8969.25</v>
      </c>
      <c r="R894" s="62">
        <f t="shared" si="94"/>
        <v>6.5627874203454645E-2</v>
      </c>
      <c r="S894" s="60">
        <v>17</v>
      </c>
      <c r="T894" s="58">
        <v>45165</v>
      </c>
      <c r="U894" s="58">
        <v>45173</v>
      </c>
      <c r="V894" s="63">
        <f t="shared" si="95"/>
        <v>8</v>
      </c>
      <c r="W894" s="57" t="s">
        <v>125</v>
      </c>
      <c r="X894" s="64" t="b">
        <f t="shared" si="96"/>
        <v>0</v>
      </c>
      <c r="Y894" s="60">
        <v>432</v>
      </c>
      <c r="Z894" s="60">
        <v>46</v>
      </c>
      <c r="AA894" s="57" t="s">
        <v>116</v>
      </c>
      <c r="AB894" s="64" t="b">
        <f t="shared" si="97"/>
        <v>0</v>
      </c>
    </row>
    <row r="895" spans="1:28" ht="15" customHeight="1" x14ac:dyDescent="0.3">
      <c r="A895" s="65" t="s">
        <v>1913</v>
      </c>
      <c r="B895" s="81">
        <v>45422</v>
      </c>
      <c r="C895" s="59">
        <f t="shared" si="91"/>
        <v>2024</v>
      </c>
      <c r="D895" s="59">
        <f t="shared" si="92"/>
        <v>5</v>
      </c>
      <c r="E895" s="59">
        <f t="shared" si="93"/>
        <v>19</v>
      </c>
      <c r="F895" s="65" t="s">
        <v>57</v>
      </c>
      <c r="G895" s="65" t="s">
        <v>41</v>
      </c>
      <c r="H895" s="65" t="s">
        <v>1914</v>
      </c>
      <c r="I895" s="65" t="s">
        <v>69</v>
      </c>
      <c r="J895" s="65" t="s">
        <v>123</v>
      </c>
      <c r="K895" s="65" t="s">
        <v>72</v>
      </c>
      <c r="L895" s="65" t="s">
        <v>113</v>
      </c>
      <c r="M895" s="67">
        <v>891</v>
      </c>
      <c r="N895" s="65" t="s">
        <v>163</v>
      </c>
      <c r="O895" s="68">
        <v>417.66</v>
      </c>
      <c r="P895" s="68">
        <v>372135.06</v>
      </c>
      <c r="Q895" s="68">
        <v>29434.3</v>
      </c>
      <c r="R895" s="62">
        <f t="shared" si="94"/>
        <v>7.9095745507021031E-2</v>
      </c>
      <c r="S895" s="67">
        <v>9</v>
      </c>
      <c r="T895" s="66">
        <v>45431</v>
      </c>
      <c r="U895" s="66">
        <v>45428</v>
      </c>
      <c r="V895" s="63">
        <f t="shared" si="95"/>
        <v>-3</v>
      </c>
      <c r="W895" s="65" t="s">
        <v>115</v>
      </c>
      <c r="X895" s="64" t="b">
        <f t="shared" si="96"/>
        <v>1</v>
      </c>
      <c r="Y895" s="67">
        <v>96</v>
      </c>
      <c r="Z895" s="67">
        <v>213</v>
      </c>
      <c r="AA895" s="65" t="s">
        <v>116</v>
      </c>
      <c r="AB895" s="64" t="b">
        <f t="shared" si="97"/>
        <v>0</v>
      </c>
    </row>
    <row r="896" spans="1:28" ht="15" customHeight="1" x14ac:dyDescent="0.3">
      <c r="A896" s="57" t="s">
        <v>1915</v>
      </c>
      <c r="B896" s="82">
        <v>45210</v>
      </c>
      <c r="C896" s="59">
        <f t="shared" si="91"/>
        <v>2023</v>
      </c>
      <c r="D896" s="59">
        <f t="shared" si="92"/>
        <v>10</v>
      </c>
      <c r="E896" s="59">
        <f t="shared" si="93"/>
        <v>41</v>
      </c>
      <c r="F896" s="57" t="s">
        <v>52</v>
      </c>
      <c r="G896" s="57" t="s">
        <v>45</v>
      </c>
      <c r="H896" s="57" t="s">
        <v>1916</v>
      </c>
      <c r="I896" s="57" t="s">
        <v>67</v>
      </c>
      <c r="J896" s="57" t="s">
        <v>131</v>
      </c>
      <c r="K896" s="57" t="s">
        <v>72</v>
      </c>
      <c r="L896" s="57" t="s">
        <v>156</v>
      </c>
      <c r="M896" s="60">
        <v>206</v>
      </c>
      <c r="N896" s="57" t="s">
        <v>163</v>
      </c>
      <c r="O896" s="61">
        <v>296.39</v>
      </c>
      <c r="P896" s="61">
        <v>61056.34</v>
      </c>
      <c r="Q896" s="61">
        <v>4685.8599999999997</v>
      </c>
      <c r="R896" s="62">
        <f t="shared" si="94"/>
        <v>7.6746493484542308E-2</v>
      </c>
      <c r="S896" s="60">
        <v>1</v>
      </c>
      <c r="T896" s="58">
        <v>45211</v>
      </c>
      <c r="U896" s="58">
        <v>45223</v>
      </c>
      <c r="V896" s="63">
        <f t="shared" si="95"/>
        <v>12</v>
      </c>
      <c r="W896" s="57" t="s">
        <v>128</v>
      </c>
      <c r="X896" s="64" t="b">
        <f t="shared" si="96"/>
        <v>0</v>
      </c>
      <c r="Y896" s="60">
        <v>218</v>
      </c>
      <c r="Z896" s="60">
        <v>91</v>
      </c>
      <c r="AA896" s="57" t="s">
        <v>116</v>
      </c>
      <c r="AB896" s="64" t="b">
        <f t="shared" si="97"/>
        <v>0</v>
      </c>
    </row>
    <row r="897" spans="1:28" ht="15" customHeight="1" x14ac:dyDescent="0.3">
      <c r="A897" s="65" t="s">
        <v>1917</v>
      </c>
      <c r="B897" s="81">
        <v>45530</v>
      </c>
      <c r="C897" s="59">
        <f t="shared" si="91"/>
        <v>2024</v>
      </c>
      <c r="D897" s="59">
        <f t="shared" si="92"/>
        <v>8</v>
      </c>
      <c r="E897" s="59">
        <f t="shared" si="93"/>
        <v>35</v>
      </c>
      <c r="F897" s="65" t="s">
        <v>61</v>
      </c>
      <c r="G897" s="65" t="s">
        <v>43</v>
      </c>
      <c r="H897" s="65" t="s">
        <v>1918</v>
      </c>
      <c r="I897" s="65" t="s">
        <v>65</v>
      </c>
      <c r="J897" s="65" t="s">
        <v>151</v>
      </c>
      <c r="K897" s="65" t="s">
        <v>74</v>
      </c>
      <c r="L897" s="65" t="s">
        <v>113</v>
      </c>
      <c r="M897" s="67">
        <v>894</v>
      </c>
      <c r="N897" s="65" t="s">
        <v>114</v>
      </c>
      <c r="O897" s="68">
        <v>276.52999999999997</v>
      </c>
      <c r="P897" s="68">
        <v>247217.82</v>
      </c>
      <c r="Q897" s="68">
        <v>7868.04</v>
      </c>
      <c r="R897" s="62">
        <f t="shared" si="94"/>
        <v>3.1826346498808215E-2</v>
      </c>
      <c r="S897" s="67">
        <v>21</v>
      </c>
      <c r="T897" s="66">
        <v>45551</v>
      </c>
      <c r="U897" s="66">
        <v>45552</v>
      </c>
      <c r="V897" s="63">
        <f t="shared" si="95"/>
        <v>1</v>
      </c>
      <c r="W897" s="65" t="s">
        <v>128</v>
      </c>
      <c r="X897" s="64" t="b">
        <f t="shared" si="96"/>
        <v>0</v>
      </c>
      <c r="Y897" s="67">
        <v>388</v>
      </c>
      <c r="Z897" s="67">
        <v>180</v>
      </c>
      <c r="AA897" s="65" t="s">
        <v>116</v>
      </c>
      <c r="AB897" s="64" t="b">
        <f t="shared" si="97"/>
        <v>0</v>
      </c>
    </row>
    <row r="898" spans="1:28" ht="15" customHeight="1" x14ac:dyDescent="0.3">
      <c r="A898" s="57" t="s">
        <v>1919</v>
      </c>
      <c r="B898" s="82">
        <v>45464</v>
      </c>
      <c r="C898" s="59">
        <f t="shared" ref="C898:C961" si="98">YEAR(B898)</f>
        <v>2024</v>
      </c>
      <c r="D898" s="59">
        <f t="shared" ref="D898:D961" si="99">MONTH(B898)</f>
        <v>6</v>
      </c>
      <c r="E898" s="59">
        <f t="shared" ref="E898:E961" si="100">WEEKNUM(B898,1)</f>
        <v>25</v>
      </c>
      <c r="F898" s="57" t="s">
        <v>60</v>
      </c>
      <c r="G898" s="57" t="s">
        <v>45</v>
      </c>
      <c r="H898" s="57" t="s">
        <v>1920</v>
      </c>
      <c r="I898" s="57" t="s">
        <v>64</v>
      </c>
      <c r="J898" s="57" t="s">
        <v>151</v>
      </c>
      <c r="K898" s="57" t="s">
        <v>75</v>
      </c>
      <c r="L898" s="57" t="s">
        <v>124</v>
      </c>
      <c r="M898" s="60">
        <v>742</v>
      </c>
      <c r="N898" s="57" t="s">
        <v>163</v>
      </c>
      <c r="O898" s="61">
        <v>219.73</v>
      </c>
      <c r="P898" s="61">
        <v>163039.66</v>
      </c>
      <c r="Q898" s="61">
        <v>11823.93</v>
      </c>
      <c r="R898" s="62">
        <f t="shared" ref="R898:R961" si="101">Q898/P898</f>
        <v>7.252180236391563E-2</v>
      </c>
      <c r="S898" s="60">
        <v>20</v>
      </c>
      <c r="T898" s="58">
        <v>45484</v>
      </c>
      <c r="U898" s="58">
        <v>45483</v>
      </c>
      <c r="V898" s="63">
        <f t="shared" ref="V898:V961" si="102">U898-T898</f>
        <v>-1</v>
      </c>
      <c r="W898" s="57" t="s">
        <v>125</v>
      </c>
      <c r="X898" s="64" t="b">
        <f t="shared" ref="X898:X961" si="103">IF(W898="Entregado", TRUE(), FALSE())</f>
        <v>0</v>
      </c>
      <c r="Y898" s="60">
        <v>484</v>
      </c>
      <c r="Z898" s="60">
        <v>408</v>
      </c>
      <c r="AA898" s="57" t="s">
        <v>84</v>
      </c>
      <c r="AB898" s="64" t="b">
        <f t="shared" ref="AB898:AB961" si="104">IF(AA898="Ninguna",FALSE(),TRUE())</f>
        <v>1</v>
      </c>
    </row>
    <row r="899" spans="1:28" ht="15" customHeight="1" x14ac:dyDescent="0.3">
      <c r="A899" s="65" t="s">
        <v>1921</v>
      </c>
      <c r="B899" s="81">
        <v>45538</v>
      </c>
      <c r="C899" s="59">
        <f t="shared" si="98"/>
        <v>2024</v>
      </c>
      <c r="D899" s="59">
        <f t="shared" si="99"/>
        <v>9</v>
      </c>
      <c r="E899" s="59">
        <f t="shared" si="100"/>
        <v>36</v>
      </c>
      <c r="F899" s="65" t="s">
        <v>56</v>
      </c>
      <c r="G899" s="65" t="s">
        <v>40</v>
      </c>
      <c r="H899" s="65" t="s">
        <v>1922</v>
      </c>
      <c r="I899" s="65" t="s">
        <v>68</v>
      </c>
      <c r="J899" s="65" t="s">
        <v>151</v>
      </c>
      <c r="K899" s="65" t="s">
        <v>72</v>
      </c>
      <c r="L899" s="65" t="s">
        <v>146</v>
      </c>
      <c r="M899" s="67">
        <v>432</v>
      </c>
      <c r="N899" s="65" t="s">
        <v>114</v>
      </c>
      <c r="O899" s="68">
        <v>946.08</v>
      </c>
      <c r="P899" s="68">
        <v>408706.56</v>
      </c>
      <c r="Q899" s="68">
        <v>25450</v>
      </c>
      <c r="R899" s="62">
        <f t="shared" si="101"/>
        <v>6.2269614659475982E-2</v>
      </c>
      <c r="S899" s="67">
        <v>13</v>
      </c>
      <c r="T899" s="66">
        <v>45551</v>
      </c>
      <c r="U899" s="66">
        <v>45550</v>
      </c>
      <c r="V899" s="63">
        <f t="shared" si="102"/>
        <v>-1</v>
      </c>
      <c r="W899" s="65" t="s">
        <v>115</v>
      </c>
      <c r="X899" s="64" t="b">
        <f t="shared" si="103"/>
        <v>1</v>
      </c>
      <c r="Y899" s="67">
        <v>70</v>
      </c>
      <c r="Z899" s="67">
        <v>40</v>
      </c>
      <c r="AA899" s="65" t="s">
        <v>81</v>
      </c>
      <c r="AB899" s="64" t="b">
        <f t="shared" si="104"/>
        <v>1</v>
      </c>
    </row>
    <row r="900" spans="1:28" ht="15" customHeight="1" x14ac:dyDescent="0.3">
      <c r="A900" s="57" t="s">
        <v>1923</v>
      </c>
      <c r="B900" s="82">
        <v>45216</v>
      </c>
      <c r="C900" s="59">
        <f t="shared" si="98"/>
        <v>2023</v>
      </c>
      <c r="D900" s="59">
        <f t="shared" si="99"/>
        <v>10</v>
      </c>
      <c r="E900" s="59">
        <f t="shared" si="100"/>
        <v>42</v>
      </c>
      <c r="F900" s="57" t="s">
        <v>57</v>
      </c>
      <c r="G900" s="57" t="s">
        <v>44</v>
      </c>
      <c r="H900" s="57" t="s">
        <v>1924</v>
      </c>
      <c r="I900" s="57" t="s">
        <v>64</v>
      </c>
      <c r="J900" s="57" t="s">
        <v>151</v>
      </c>
      <c r="K900" s="57" t="s">
        <v>73</v>
      </c>
      <c r="L900" s="57" t="s">
        <v>135</v>
      </c>
      <c r="M900" s="60">
        <v>581</v>
      </c>
      <c r="N900" s="57" t="s">
        <v>163</v>
      </c>
      <c r="O900" s="61">
        <v>105.82</v>
      </c>
      <c r="P900" s="61">
        <v>61481.42</v>
      </c>
      <c r="Q900" s="61">
        <v>2903.82</v>
      </c>
      <c r="R900" s="62">
        <f t="shared" si="101"/>
        <v>4.7230854459770127E-2</v>
      </c>
      <c r="S900" s="60">
        <v>28</v>
      </c>
      <c r="T900" s="58">
        <v>45244</v>
      </c>
      <c r="U900" s="58">
        <v>45244</v>
      </c>
      <c r="V900" s="63">
        <f t="shared" si="102"/>
        <v>0</v>
      </c>
      <c r="W900" s="57" t="s">
        <v>115</v>
      </c>
      <c r="X900" s="64" t="b">
        <f t="shared" si="103"/>
        <v>1</v>
      </c>
      <c r="Y900" s="60">
        <v>431</v>
      </c>
      <c r="Z900" s="60">
        <v>258</v>
      </c>
      <c r="AA900" s="57" t="s">
        <v>82</v>
      </c>
      <c r="AB900" s="64" t="b">
        <f t="shared" si="104"/>
        <v>1</v>
      </c>
    </row>
    <row r="901" spans="1:28" ht="15" customHeight="1" x14ac:dyDescent="0.3">
      <c r="A901" s="65" t="s">
        <v>1925</v>
      </c>
      <c r="B901" s="81">
        <v>45029</v>
      </c>
      <c r="C901" s="59">
        <f t="shared" si="98"/>
        <v>2023</v>
      </c>
      <c r="D901" s="59">
        <f t="shared" si="99"/>
        <v>4</v>
      </c>
      <c r="E901" s="59">
        <f t="shared" si="100"/>
        <v>15</v>
      </c>
      <c r="F901" s="65" t="s">
        <v>58</v>
      </c>
      <c r="G901" s="65" t="s">
        <v>46</v>
      </c>
      <c r="H901" s="65" t="s">
        <v>1926</v>
      </c>
      <c r="I901" s="65" t="s">
        <v>65</v>
      </c>
      <c r="J901" s="65" t="s">
        <v>143</v>
      </c>
      <c r="K901" s="65" t="s">
        <v>74</v>
      </c>
      <c r="L901" s="65" t="s">
        <v>113</v>
      </c>
      <c r="M901" s="67">
        <v>619</v>
      </c>
      <c r="N901" s="65" t="s">
        <v>120</v>
      </c>
      <c r="O901" s="68">
        <v>68.099999999999994</v>
      </c>
      <c r="P901" s="68">
        <v>42153.9</v>
      </c>
      <c r="Q901" s="68">
        <v>2210.41</v>
      </c>
      <c r="R901" s="62">
        <f t="shared" si="101"/>
        <v>5.2436666595498872E-2</v>
      </c>
      <c r="S901" s="67">
        <v>16</v>
      </c>
      <c r="T901" s="66">
        <v>45045</v>
      </c>
      <c r="U901" s="66">
        <v>45044</v>
      </c>
      <c r="V901" s="63">
        <f t="shared" si="102"/>
        <v>-1</v>
      </c>
      <c r="W901" s="65" t="s">
        <v>115</v>
      </c>
      <c r="X901" s="64" t="b">
        <f t="shared" si="103"/>
        <v>1</v>
      </c>
      <c r="Y901" s="67">
        <v>273</v>
      </c>
      <c r="Z901" s="67">
        <v>120</v>
      </c>
      <c r="AA901" s="65" t="s">
        <v>116</v>
      </c>
      <c r="AB901" s="64" t="b">
        <f t="shared" si="104"/>
        <v>0</v>
      </c>
    </row>
    <row r="902" spans="1:28" ht="15" customHeight="1" x14ac:dyDescent="0.3">
      <c r="A902" s="57" t="s">
        <v>1927</v>
      </c>
      <c r="B902" s="82">
        <v>45125</v>
      </c>
      <c r="C902" s="59">
        <f t="shared" si="98"/>
        <v>2023</v>
      </c>
      <c r="D902" s="59">
        <f t="shared" si="99"/>
        <v>7</v>
      </c>
      <c r="E902" s="59">
        <f t="shared" si="100"/>
        <v>29</v>
      </c>
      <c r="F902" s="57" t="s">
        <v>53</v>
      </c>
      <c r="G902" s="57" t="s">
        <v>44</v>
      </c>
      <c r="H902" s="57" t="s">
        <v>1928</v>
      </c>
      <c r="I902" s="57" t="s">
        <v>65</v>
      </c>
      <c r="J902" s="57" t="s">
        <v>139</v>
      </c>
      <c r="K902" s="57" t="s">
        <v>75</v>
      </c>
      <c r="L902" s="57" t="s">
        <v>119</v>
      </c>
      <c r="M902" s="60">
        <v>180</v>
      </c>
      <c r="N902" s="57" t="s">
        <v>132</v>
      </c>
      <c r="O902" s="61">
        <v>150.72</v>
      </c>
      <c r="P902" s="61">
        <v>27129.599999999999</v>
      </c>
      <c r="Q902" s="61">
        <v>1925.55</v>
      </c>
      <c r="R902" s="62">
        <f t="shared" si="101"/>
        <v>7.097598195329087E-2</v>
      </c>
      <c r="S902" s="60">
        <v>29</v>
      </c>
      <c r="T902" s="58">
        <v>45154</v>
      </c>
      <c r="U902" s="58">
        <v>45151</v>
      </c>
      <c r="V902" s="63">
        <f t="shared" si="102"/>
        <v>-3</v>
      </c>
      <c r="W902" s="57" t="s">
        <v>115</v>
      </c>
      <c r="X902" s="64" t="b">
        <f t="shared" si="103"/>
        <v>1</v>
      </c>
      <c r="Y902" s="60">
        <v>350</v>
      </c>
      <c r="Z902" s="60">
        <v>76</v>
      </c>
      <c r="AA902" s="57" t="s">
        <v>116</v>
      </c>
      <c r="AB902" s="64" t="b">
        <f t="shared" si="104"/>
        <v>0</v>
      </c>
    </row>
    <row r="903" spans="1:28" ht="15" customHeight="1" x14ac:dyDescent="0.3">
      <c r="A903" s="65" t="s">
        <v>1929</v>
      </c>
      <c r="B903" s="81">
        <v>45230</v>
      </c>
      <c r="C903" s="59">
        <f t="shared" si="98"/>
        <v>2023</v>
      </c>
      <c r="D903" s="59">
        <f t="shared" si="99"/>
        <v>10</v>
      </c>
      <c r="E903" s="59">
        <f t="shared" si="100"/>
        <v>44</v>
      </c>
      <c r="F903" s="65" t="s">
        <v>52</v>
      </c>
      <c r="G903" s="65" t="s">
        <v>41</v>
      </c>
      <c r="H903" s="65" t="s">
        <v>1930</v>
      </c>
      <c r="I903" s="65" t="s">
        <v>65</v>
      </c>
      <c r="J903" s="65" t="s">
        <v>112</v>
      </c>
      <c r="K903" s="65" t="s">
        <v>73</v>
      </c>
      <c r="L903" s="65" t="s">
        <v>124</v>
      </c>
      <c r="M903" s="67">
        <v>391</v>
      </c>
      <c r="N903" s="65" t="s">
        <v>163</v>
      </c>
      <c r="O903" s="68">
        <v>556.07000000000005</v>
      </c>
      <c r="P903" s="68">
        <v>217423.37</v>
      </c>
      <c r="Q903" s="68">
        <v>10612.02</v>
      </c>
      <c r="R903" s="62">
        <f t="shared" si="101"/>
        <v>4.8808092708709283E-2</v>
      </c>
      <c r="S903" s="67">
        <v>13</v>
      </c>
      <c r="T903" s="66">
        <v>45243</v>
      </c>
      <c r="U903" s="66">
        <v>45248</v>
      </c>
      <c r="V903" s="63">
        <f t="shared" si="102"/>
        <v>5</v>
      </c>
      <c r="W903" s="65" t="s">
        <v>128</v>
      </c>
      <c r="X903" s="64" t="b">
        <f t="shared" si="103"/>
        <v>0</v>
      </c>
      <c r="Y903" s="67">
        <v>133</v>
      </c>
      <c r="Z903" s="67">
        <v>94</v>
      </c>
      <c r="AA903" s="65" t="s">
        <v>116</v>
      </c>
      <c r="AB903" s="64" t="b">
        <f t="shared" si="104"/>
        <v>0</v>
      </c>
    </row>
    <row r="904" spans="1:28" ht="15" customHeight="1" x14ac:dyDescent="0.3">
      <c r="A904" s="57" t="s">
        <v>1931</v>
      </c>
      <c r="B904" s="82">
        <v>45159</v>
      </c>
      <c r="C904" s="59">
        <f t="shared" si="98"/>
        <v>2023</v>
      </c>
      <c r="D904" s="59">
        <f t="shared" si="99"/>
        <v>8</v>
      </c>
      <c r="E904" s="59">
        <f t="shared" si="100"/>
        <v>34</v>
      </c>
      <c r="F904" s="57" t="s">
        <v>55</v>
      </c>
      <c r="G904" s="57" t="s">
        <v>43</v>
      </c>
      <c r="H904" s="57" t="s">
        <v>1932</v>
      </c>
      <c r="I904" s="57" t="s">
        <v>66</v>
      </c>
      <c r="J904" s="57" t="s">
        <v>131</v>
      </c>
      <c r="K904" s="57" t="s">
        <v>71</v>
      </c>
      <c r="L904" s="57" t="s">
        <v>119</v>
      </c>
      <c r="M904" s="60">
        <v>182</v>
      </c>
      <c r="N904" s="57" t="s">
        <v>132</v>
      </c>
      <c r="O904" s="61">
        <v>298.45</v>
      </c>
      <c r="P904" s="61">
        <v>54317.9</v>
      </c>
      <c r="Q904" s="61">
        <v>2302.67</v>
      </c>
      <c r="R904" s="62">
        <f t="shared" si="101"/>
        <v>4.2392470990226055E-2</v>
      </c>
      <c r="S904" s="60">
        <v>14</v>
      </c>
      <c r="T904" s="58">
        <v>45173</v>
      </c>
      <c r="U904" s="58">
        <v>45176</v>
      </c>
      <c r="V904" s="63">
        <f t="shared" si="102"/>
        <v>3</v>
      </c>
      <c r="W904" s="57" t="s">
        <v>125</v>
      </c>
      <c r="X904" s="64" t="b">
        <f t="shared" si="103"/>
        <v>0</v>
      </c>
      <c r="Y904" s="60">
        <v>65</v>
      </c>
      <c r="Z904" s="60">
        <v>268</v>
      </c>
      <c r="AA904" s="57" t="s">
        <v>116</v>
      </c>
      <c r="AB904" s="64" t="b">
        <f t="shared" si="104"/>
        <v>0</v>
      </c>
    </row>
    <row r="905" spans="1:28" ht="15" customHeight="1" x14ac:dyDescent="0.3">
      <c r="A905" s="65" t="s">
        <v>1933</v>
      </c>
      <c r="B905" s="81">
        <v>45296</v>
      </c>
      <c r="C905" s="59">
        <f t="shared" si="98"/>
        <v>2024</v>
      </c>
      <c r="D905" s="59">
        <f t="shared" si="99"/>
        <v>1</v>
      </c>
      <c r="E905" s="59">
        <f t="shared" si="100"/>
        <v>1</v>
      </c>
      <c r="F905" s="65" t="s">
        <v>57</v>
      </c>
      <c r="G905" s="65" t="s">
        <v>46</v>
      </c>
      <c r="H905" s="65" t="s">
        <v>1934</v>
      </c>
      <c r="I905" s="65" t="s">
        <v>68</v>
      </c>
      <c r="J905" s="65" t="s">
        <v>139</v>
      </c>
      <c r="K905" s="65" t="s">
        <v>72</v>
      </c>
      <c r="L905" s="65" t="s">
        <v>124</v>
      </c>
      <c r="M905" s="67">
        <v>672</v>
      </c>
      <c r="N905" s="65" t="s">
        <v>140</v>
      </c>
      <c r="O905" s="68">
        <v>71.34</v>
      </c>
      <c r="P905" s="68">
        <v>47940.480000000003</v>
      </c>
      <c r="Q905" s="68">
        <v>2377.6</v>
      </c>
      <c r="R905" s="62">
        <f t="shared" si="101"/>
        <v>4.9594830923678689E-2</v>
      </c>
      <c r="S905" s="67">
        <v>3</v>
      </c>
      <c r="T905" s="66">
        <v>45299</v>
      </c>
      <c r="U905" s="66">
        <v>45296</v>
      </c>
      <c r="V905" s="63">
        <f t="shared" si="102"/>
        <v>-3</v>
      </c>
      <c r="W905" s="65" t="s">
        <v>115</v>
      </c>
      <c r="X905" s="64" t="b">
        <f t="shared" si="103"/>
        <v>1</v>
      </c>
      <c r="Y905" s="67">
        <v>126</v>
      </c>
      <c r="Z905" s="67">
        <v>360</v>
      </c>
      <c r="AA905" s="65" t="s">
        <v>116</v>
      </c>
      <c r="AB905" s="64" t="b">
        <f t="shared" si="104"/>
        <v>0</v>
      </c>
    </row>
    <row r="906" spans="1:28" ht="15" customHeight="1" x14ac:dyDescent="0.3">
      <c r="A906" s="57" t="s">
        <v>1935</v>
      </c>
      <c r="B906" s="82">
        <v>45110</v>
      </c>
      <c r="C906" s="59">
        <f t="shared" si="98"/>
        <v>2023</v>
      </c>
      <c r="D906" s="59">
        <f t="shared" si="99"/>
        <v>7</v>
      </c>
      <c r="E906" s="59">
        <f t="shared" si="100"/>
        <v>27</v>
      </c>
      <c r="F906" s="57" t="s">
        <v>56</v>
      </c>
      <c r="G906" s="57" t="s">
        <v>42</v>
      </c>
      <c r="H906" s="57" t="s">
        <v>1936</v>
      </c>
      <c r="I906" s="57" t="s">
        <v>67</v>
      </c>
      <c r="J906" s="57" t="s">
        <v>123</v>
      </c>
      <c r="K906" s="57" t="s">
        <v>73</v>
      </c>
      <c r="L906" s="57" t="s">
        <v>119</v>
      </c>
      <c r="M906" s="60">
        <v>462</v>
      </c>
      <c r="N906" s="57" t="s">
        <v>136</v>
      </c>
      <c r="O906" s="61">
        <v>79.739999999999995</v>
      </c>
      <c r="P906" s="61">
        <v>36839.879999999997</v>
      </c>
      <c r="Q906" s="61">
        <v>2016.9</v>
      </c>
      <c r="R906" s="62">
        <f t="shared" si="101"/>
        <v>5.4747735334642791E-2</v>
      </c>
      <c r="S906" s="60">
        <v>29</v>
      </c>
      <c r="T906" s="58">
        <v>45139</v>
      </c>
      <c r="U906" s="58">
        <v>45147</v>
      </c>
      <c r="V906" s="63">
        <f t="shared" si="102"/>
        <v>8</v>
      </c>
      <c r="W906" s="57" t="s">
        <v>125</v>
      </c>
      <c r="X906" s="64" t="b">
        <f t="shared" si="103"/>
        <v>0</v>
      </c>
      <c r="Y906" s="60">
        <v>204</v>
      </c>
      <c r="Z906" s="60">
        <v>17</v>
      </c>
      <c r="AA906" s="57" t="s">
        <v>82</v>
      </c>
      <c r="AB906" s="64" t="b">
        <f t="shared" si="104"/>
        <v>1</v>
      </c>
    </row>
    <row r="907" spans="1:28" ht="15" customHeight="1" x14ac:dyDescent="0.3">
      <c r="A907" s="65" t="s">
        <v>1937</v>
      </c>
      <c r="B907" s="81">
        <v>45236</v>
      </c>
      <c r="C907" s="59">
        <f t="shared" si="98"/>
        <v>2023</v>
      </c>
      <c r="D907" s="59">
        <f t="shared" si="99"/>
        <v>11</v>
      </c>
      <c r="E907" s="59">
        <f t="shared" si="100"/>
        <v>45</v>
      </c>
      <c r="F907" s="65" t="s">
        <v>58</v>
      </c>
      <c r="G907" s="65" t="s">
        <v>40</v>
      </c>
      <c r="H907" s="65" t="s">
        <v>1938</v>
      </c>
      <c r="I907" s="65" t="s">
        <v>67</v>
      </c>
      <c r="J907" s="65" t="s">
        <v>112</v>
      </c>
      <c r="K907" s="65" t="s">
        <v>75</v>
      </c>
      <c r="L907" s="65" t="s">
        <v>156</v>
      </c>
      <c r="M907" s="67">
        <v>359</v>
      </c>
      <c r="N907" s="65" t="s">
        <v>140</v>
      </c>
      <c r="O907" s="68">
        <v>1054.18</v>
      </c>
      <c r="P907" s="68">
        <v>378450.62</v>
      </c>
      <c r="Q907" s="68">
        <v>11862.41</v>
      </c>
      <c r="R907" s="62">
        <f t="shared" si="101"/>
        <v>3.1344670541165978E-2</v>
      </c>
      <c r="S907" s="67">
        <v>6</v>
      </c>
      <c r="T907" s="66">
        <v>45242</v>
      </c>
      <c r="U907" s="66">
        <v>45239</v>
      </c>
      <c r="V907" s="63">
        <f t="shared" si="102"/>
        <v>-3</v>
      </c>
      <c r="W907" s="65" t="s">
        <v>115</v>
      </c>
      <c r="X907" s="64" t="b">
        <f t="shared" si="103"/>
        <v>1</v>
      </c>
      <c r="Y907" s="67">
        <v>297</v>
      </c>
      <c r="Z907" s="67">
        <v>292</v>
      </c>
      <c r="AA907" s="65" t="s">
        <v>82</v>
      </c>
      <c r="AB907" s="64" t="b">
        <f t="shared" si="104"/>
        <v>1</v>
      </c>
    </row>
    <row r="908" spans="1:28" ht="15" customHeight="1" x14ac:dyDescent="0.3">
      <c r="A908" s="57" t="s">
        <v>1939</v>
      </c>
      <c r="B908" s="82">
        <v>44941</v>
      </c>
      <c r="C908" s="59">
        <f t="shared" si="98"/>
        <v>2023</v>
      </c>
      <c r="D908" s="59">
        <f t="shared" si="99"/>
        <v>1</v>
      </c>
      <c r="E908" s="59">
        <f t="shared" si="100"/>
        <v>3</v>
      </c>
      <c r="F908" s="57" t="s">
        <v>53</v>
      </c>
      <c r="G908" s="57" t="s">
        <v>43</v>
      </c>
      <c r="H908" s="57" t="s">
        <v>1940</v>
      </c>
      <c r="I908" s="57" t="s">
        <v>64</v>
      </c>
      <c r="J908" s="57" t="s">
        <v>112</v>
      </c>
      <c r="K908" s="57" t="s">
        <v>74</v>
      </c>
      <c r="L908" s="57" t="s">
        <v>156</v>
      </c>
      <c r="M908" s="60">
        <v>911</v>
      </c>
      <c r="N908" s="57" t="s">
        <v>163</v>
      </c>
      <c r="O908" s="61">
        <v>167.27</v>
      </c>
      <c r="P908" s="61">
        <v>152382.97</v>
      </c>
      <c r="Q908" s="61">
        <v>11284.64</v>
      </c>
      <c r="R908" s="62">
        <f t="shared" si="101"/>
        <v>7.405446947254013E-2</v>
      </c>
      <c r="S908" s="60">
        <v>18</v>
      </c>
      <c r="T908" s="58">
        <v>44959</v>
      </c>
      <c r="U908" s="58">
        <v>44961</v>
      </c>
      <c r="V908" s="63">
        <f t="shared" si="102"/>
        <v>2</v>
      </c>
      <c r="W908" s="57" t="s">
        <v>125</v>
      </c>
      <c r="X908" s="64" t="b">
        <f t="shared" si="103"/>
        <v>0</v>
      </c>
      <c r="Y908" s="60">
        <v>116</v>
      </c>
      <c r="Z908" s="60">
        <v>170</v>
      </c>
      <c r="AA908" s="57" t="s">
        <v>84</v>
      </c>
      <c r="AB908" s="64" t="b">
        <f t="shared" si="104"/>
        <v>1</v>
      </c>
    </row>
    <row r="909" spans="1:28" ht="15" customHeight="1" x14ac:dyDescent="0.3">
      <c r="A909" s="65" t="s">
        <v>1941</v>
      </c>
      <c r="B909" s="81">
        <v>45652</v>
      </c>
      <c r="C909" s="59">
        <f t="shared" si="98"/>
        <v>2024</v>
      </c>
      <c r="D909" s="59">
        <f t="shared" si="99"/>
        <v>12</v>
      </c>
      <c r="E909" s="59">
        <f t="shared" si="100"/>
        <v>52</v>
      </c>
      <c r="F909" s="65" t="s">
        <v>54</v>
      </c>
      <c r="G909" s="65" t="s">
        <v>39</v>
      </c>
      <c r="H909" s="65" t="s">
        <v>1942</v>
      </c>
      <c r="I909" s="65" t="s">
        <v>64</v>
      </c>
      <c r="J909" s="65" t="s">
        <v>151</v>
      </c>
      <c r="K909" s="65" t="s">
        <v>73</v>
      </c>
      <c r="L909" s="65" t="s">
        <v>156</v>
      </c>
      <c r="M909" s="67">
        <v>961</v>
      </c>
      <c r="N909" s="65" t="s">
        <v>114</v>
      </c>
      <c r="O909" s="68">
        <v>1511.42</v>
      </c>
      <c r="P909" s="68">
        <v>1452474.62</v>
      </c>
      <c r="Q909" s="68">
        <v>87803.86</v>
      </c>
      <c r="R909" s="62">
        <f t="shared" si="101"/>
        <v>6.0451218073607371E-2</v>
      </c>
      <c r="S909" s="67">
        <v>19</v>
      </c>
      <c r="T909" s="66">
        <v>45671</v>
      </c>
      <c r="U909" s="66">
        <v>45674</v>
      </c>
      <c r="V909" s="63">
        <f t="shared" si="102"/>
        <v>3</v>
      </c>
      <c r="W909" s="65" t="s">
        <v>128</v>
      </c>
      <c r="X909" s="64" t="b">
        <f t="shared" si="103"/>
        <v>0</v>
      </c>
      <c r="Y909" s="67">
        <v>435</v>
      </c>
      <c r="Z909" s="67">
        <v>161</v>
      </c>
      <c r="AA909" s="65" t="s">
        <v>84</v>
      </c>
      <c r="AB909" s="64" t="b">
        <f t="shared" si="104"/>
        <v>1</v>
      </c>
    </row>
    <row r="910" spans="1:28" ht="15" customHeight="1" x14ac:dyDescent="0.3">
      <c r="A910" s="57" t="s">
        <v>1943</v>
      </c>
      <c r="B910" s="82">
        <v>45473</v>
      </c>
      <c r="C910" s="59">
        <f t="shared" si="98"/>
        <v>2024</v>
      </c>
      <c r="D910" s="59">
        <f t="shared" si="99"/>
        <v>6</v>
      </c>
      <c r="E910" s="59">
        <f t="shared" si="100"/>
        <v>27</v>
      </c>
      <c r="F910" s="57" t="s">
        <v>59</v>
      </c>
      <c r="G910" s="57" t="s">
        <v>41</v>
      </c>
      <c r="H910" s="57" t="s">
        <v>1944</v>
      </c>
      <c r="I910" s="57" t="s">
        <v>64</v>
      </c>
      <c r="J910" s="57" t="s">
        <v>139</v>
      </c>
      <c r="K910" s="57" t="s">
        <v>74</v>
      </c>
      <c r="L910" s="57" t="s">
        <v>124</v>
      </c>
      <c r="M910" s="60">
        <v>643</v>
      </c>
      <c r="N910" s="57" t="s">
        <v>140</v>
      </c>
      <c r="O910" s="61">
        <v>488.78</v>
      </c>
      <c r="P910" s="61">
        <v>314285.53999999998</v>
      </c>
      <c r="Q910" s="61">
        <v>18227.349999999999</v>
      </c>
      <c r="R910" s="62">
        <f t="shared" si="101"/>
        <v>5.7996145797862671E-2</v>
      </c>
      <c r="S910" s="60">
        <v>5</v>
      </c>
      <c r="T910" s="58">
        <v>45478</v>
      </c>
      <c r="U910" s="58">
        <v>45479</v>
      </c>
      <c r="V910" s="63">
        <f t="shared" si="102"/>
        <v>1</v>
      </c>
      <c r="W910" s="57" t="s">
        <v>128</v>
      </c>
      <c r="X910" s="64" t="b">
        <f t="shared" si="103"/>
        <v>0</v>
      </c>
      <c r="Y910" s="60">
        <v>266</v>
      </c>
      <c r="Z910" s="60">
        <v>464</v>
      </c>
      <c r="AA910" s="57" t="s">
        <v>83</v>
      </c>
      <c r="AB910" s="64" t="b">
        <f t="shared" si="104"/>
        <v>1</v>
      </c>
    </row>
    <row r="911" spans="1:28" ht="15" customHeight="1" x14ac:dyDescent="0.3">
      <c r="A911" s="65" t="s">
        <v>1945</v>
      </c>
      <c r="B911" s="81">
        <v>45056</v>
      </c>
      <c r="C911" s="59">
        <f t="shared" si="98"/>
        <v>2023</v>
      </c>
      <c r="D911" s="59">
        <f t="shared" si="99"/>
        <v>5</v>
      </c>
      <c r="E911" s="59">
        <f t="shared" si="100"/>
        <v>19</v>
      </c>
      <c r="F911" s="65" t="s">
        <v>58</v>
      </c>
      <c r="G911" s="65" t="s">
        <v>43</v>
      </c>
      <c r="H911" s="65" t="s">
        <v>1946</v>
      </c>
      <c r="I911" s="65" t="s">
        <v>68</v>
      </c>
      <c r="J911" s="65" t="s">
        <v>123</v>
      </c>
      <c r="K911" s="65" t="s">
        <v>71</v>
      </c>
      <c r="L911" s="65" t="s">
        <v>124</v>
      </c>
      <c r="M911" s="67">
        <v>503</v>
      </c>
      <c r="N911" s="65" t="s">
        <v>120</v>
      </c>
      <c r="O911" s="68">
        <v>209.09</v>
      </c>
      <c r="P911" s="68">
        <v>105172.27</v>
      </c>
      <c r="Q911" s="68">
        <v>2731.3</v>
      </c>
      <c r="R911" s="62">
        <f t="shared" si="101"/>
        <v>2.5969773211132554E-2</v>
      </c>
      <c r="S911" s="67">
        <v>15</v>
      </c>
      <c r="T911" s="66">
        <v>45071</v>
      </c>
      <c r="U911" s="66">
        <v>45070</v>
      </c>
      <c r="V911" s="63">
        <f t="shared" si="102"/>
        <v>-1</v>
      </c>
      <c r="W911" s="65" t="s">
        <v>115</v>
      </c>
      <c r="X911" s="64" t="b">
        <f t="shared" si="103"/>
        <v>1</v>
      </c>
      <c r="Y911" s="67">
        <v>281</v>
      </c>
      <c r="Z911" s="67">
        <v>310</v>
      </c>
      <c r="AA911" s="65" t="s">
        <v>116</v>
      </c>
      <c r="AB911" s="64" t="b">
        <f t="shared" si="104"/>
        <v>0</v>
      </c>
    </row>
    <row r="912" spans="1:28" ht="15" customHeight="1" x14ac:dyDescent="0.3">
      <c r="A912" s="57" t="s">
        <v>1947</v>
      </c>
      <c r="B912" s="82">
        <v>45207</v>
      </c>
      <c r="C912" s="59">
        <f t="shared" si="98"/>
        <v>2023</v>
      </c>
      <c r="D912" s="59">
        <f t="shared" si="99"/>
        <v>10</v>
      </c>
      <c r="E912" s="59">
        <f t="shared" si="100"/>
        <v>41</v>
      </c>
      <c r="F912" s="57" t="s">
        <v>60</v>
      </c>
      <c r="G912" s="57" t="s">
        <v>40</v>
      </c>
      <c r="H912" s="57" t="s">
        <v>1948</v>
      </c>
      <c r="I912" s="57" t="s">
        <v>69</v>
      </c>
      <c r="J912" s="57" t="s">
        <v>151</v>
      </c>
      <c r="K912" s="57" t="s">
        <v>75</v>
      </c>
      <c r="L912" s="57" t="s">
        <v>119</v>
      </c>
      <c r="M912" s="60">
        <v>629</v>
      </c>
      <c r="N912" s="57" t="s">
        <v>132</v>
      </c>
      <c r="O912" s="61">
        <v>1060.3399999999999</v>
      </c>
      <c r="P912" s="61">
        <v>666953.86</v>
      </c>
      <c r="Q912" s="61">
        <v>37516.449999999997</v>
      </c>
      <c r="R912" s="62">
        <f t="shared" si="101"/>
        <v>5.6250442871715288E-2</v>
      </c>
      <c r="S912" s="60">
        <v>25</v>
      </c>
      <c r="T912" s="58">
        <v>45232</v>
      </c>
      <c r="U912" s="58">
        <v>45235</v>
      </c>
      <c r="V912" s="63">
        <f t="shared" si="102"/>
        <v>3</v>
      </c>
      <c r="W912" s="57" t="s">
        <v>128</v>
      </c>
      <c r="X912" s="64" t="b">
        <f t="shared" si="103"/>
        <v>0</v>
      </c>
      <c r="Y912" s="60">
        <v>148</v>
      </c>
      <c r="Z912" s="60">
        <v>51</v>
      </c>
      <c r="AA912" s="57" t="s">
        <v>82</v>
      </c>
      <c r="AB912" s="64" t="b">
        <f t="shared" si="104"/>
        <v>1</v>
      </c>
    </row>
    <row r="913" spans="1:28" ht="15" customHeight="1" x14ac:dyDescent="0.3">
      <c r="A913" s="65" t="s">
        <v>1949</v>
      </c>
      <c r="B913" s="81">
        <v>44973</v>
      </c>
      <c r="C913" s="59">
        <f t="shared" si="98"/>
        <v>2023</v>
      </c>
      <c r="D913" s="59">
        <f t="shared" si="99"/>
        <v>2</v>
      </c>
      <c r="E913" s="59">
        <f t="shared" si="100"/>
        <v>7</v>
      </c>
      <c r="F913" s="65" t="s">
        <v>58</v>
      </c>
      <c r="G913" s="65" t="s">
        <v>45</v>
      </c>
      <c r="H913" s="65" t="s">
        <v>1950</v>
      </c>
      <c r="I913" s="65" t="s">
        <v>64</v>
      </c>
      <c r="J913" s="65" t="s">
        <v>151</v>
      </c>
      <c r="K913" s="65" t="s">
        <v>75</v>
      </c>
      <c r="L913" s="65" t="s">
        <v>113</v>
      </c>
      <c r="M913" s="67">
        <v>13</v>
      </c>
      <c r="N913" s="65" t="s">
        <v>114</v>
      </c>
      <c r="O913" s="68">
        <v>217.47</v>
      </c>
      <c r="P913" s="68">
        <v>3302.8089</v>
      </c>
      <c r="Q913" s="68">
        <v>142.36009999999999</v>
      </c>
      <c r="R913" s="62">
        <f t="shared" si="101"/>
        <v>4.3102735977246516E-2</v>
      </c>
      <c r="S913" s="67">
        <v>2</v>
      </c>
      <c r="T913" s="66">
        <v>44975</v>
      </c>
      <c r="U913" s="66">
        <v>44974</v>
      </c>
      <c r="V913" s="63">
        <f t="shared" si="102"/>
        <v>-1</v>
      </c>
      <c r="W913" s="65" t="s">
        <v>115</v>
      </c>
      <c r="X913" s="64" t="b">
        <f t="shared" si="103"/>
        <v>1</v>
      </c>
      <c r="Y913" s="67">
        <v>193</v>
      </c>
      <c r="Z913" s="67">
        <v>468</v>
      </c>
      <c r="AA913" s="65" t="s">
        <v>81</v>
      </c>
      <c r="AB913" s="64" t="b">
        <f t="shared" si="104"/>
        <v>1</v>
      </c>
    </row>
    <row r="914" spans="1:28" ht="15" customHeight="1" x14ac:dyDescent="0.3">
      <c r="A914" s="57" t="s">
        <v>1951</v>
      </c>
      <c r="B914" s="82">
        <v>44982</v>
      </c>
      <c r="C914" s="59">
        <f t="shared" si="98"/>
        <v>2023</v>
      </c>
      <c r="D914" s="59">
        <f t="shared" si="99"/>
        <v>2</v>
      </c>
      <c r="E914" s="59">
        <f t="shared" si="100"/>
        <v>8</v>
      </c>
      <c r="F914" s="57" t="s">
        <v>58</v>
      </c>
      <c r="G914" s="57" t="s">
        <v>43</v>
      </c>
      <c r="H914" s="57" t="s">
        <v>1952</v>
      </c>
      <c r="I914" s="57" t="s">
        <v>65</v>
      </c>
      <c r="J914" s="57" t="s">
        <v>143</v>
      </c>
      <c r="K914" s="57" t="s">
        <v>72</v>
      </c>
      <c r="L914" s="57" t="s">
        <v>124</v>
      </c>
      <c r="M914" s="60">
        <v>102</v>
      </c>
      <c r="N914" s="57" t="s">
        <v>114</v>
      </c>
      <c r="O914" s="61">
        <v>267.04000000000002</v>
      </c>
      <c r="P914" s="61">
        <v>27238.080000000002</v>
      </c>
      <c r="Q914" s="61">
        <v>673.38</v>
      </c>
      <c r="R914" s="62">
        <f t="shared" si="101"/>
        <v>2.4722006837486342E-2</v>
      </c>
      <c r="S914" s="60">
        <v>10</v>
      </c>
      <c r="T914" s="58">
        <v>44992</v>
      </c>
      <c r="U914" s="58">
        <v>44992</v>
      </c>
      <c r="V914" s="63">
        <f t="shared" si="102"/>
        <v>0</v>
      </c>
      <c r="W914" s="57" t="s">
        <v>115</v>
      </c>
      <c r="X914" s="64" t="b">
        <f t="shared" si="103"/>
        <v>1</v>
      </c>
      <c r="Y914" s="60">
        <v>167</v>
      </c>
      <c r="Z914" s="60">
        <v>35</v>
      </c>
      <c r="AA914" s="57" t="s">
        <v>84</v>
      </c>
      <c r="AB914" s="64" t="b">
        <f t="shared" si="104"/>
        <v>1</v>
      </c>
    </row>
    <row r="915" spans="1:28" ht="15" customHeight="1" x14ac:dyDescent="0.3">
      <c r="A915" s="65" t="s">
        <v>1953</v>
      </c>
      <c r="B915" s="81">
        <v>45493</v>
      </c>
      <c r="C915" s="59">
        <f t="shared" si="98"/>
        <v>2024</v>
      </c>
      <c r="D915" s="59">
        <f t="shared" si="99"/>
        <v>7</v>
      </c>
      <c r="E915" s="59">
        <f t="shared" si="100"/>
        <v>29</v>
      </c>
      <c r="F915" s="65" t="s">
        <v>60</v>
      </c>
      <c r="G915" s="65" t="s">
        <v>45</v>
      </c>
      <c r="H915" s="65" t="s">
        <v>1954</v>
      </c>
      <c r="I915" s="65" t="s">
        <v>64</v>
      </c>
      <c r="J915" s="65" t="s">
        <v>131</v>
      </c>
      <c r="K915" s="65" t="s">
        <v>75</v>
      </c>
      <c r="L915" s="65" t="s">
        <v>119</v>
      </c>
      <c r="M915" s="67">
        <v>928</v>
      </c>
      <c r="N915" s="65" t="s">
        <v>163</v>
      </c>
      <c r="O915" s="68">
        <v>232.24</v>
      </c>
      <c r="P915" s="68">
        <v>215518.72</v>
      </c>
      <c r="Q915" s="68">
        <v>11129.1</v>
      </c>
      <c r="R915" s="62">
        <f t="shared" si="101"/>
        <v>5.1638669717414806E-2</v>
      </c>
      <c r="S915" s="67">
        <v>24</v>
      </c>
      <c r="T915" s="66">
        <v>45517</v>
      </c>
      <c r="U915" s="66">
        <v>45520</v>
      </c>
      <c r="V915" s="63">
        <f t="shared" si="102"/>
        <v>3</v>
      </c>
      <c r="W915" s="65" t="s">
        <v>128</v>
      </c>
      <c r="X915" s="64" t="b">
        <f t="shared" si="103"/>
        <v>0</v>
      </c>
      <c r="Y915" s="67">
        <v>311</v>
      </c>
      <c r="Z915" s="67">
        <v>437</v>
      </c>
      <c r="AA915" s="65" t="s">
        <v>81</v>
      </c>
      <c r="AB915" s="64" t="b">
        <f t="shared" si="104"/>
        <v>1</v>
      </c>
    </row>
    <row r="916" spans="1:28" ht="15" customHeight="1" x14ac:dyDescent="0.3">
      <c r="A916" s="57" t="s">
        <v>1955</v>
      </c>
      <c r="B916" s="82">
        <v>45226</v>
      </c>
      <c r="C916" s="59">
        <f t="shared" si="98"/>
        <v>2023</v>
      </c>
      <c r="D916" s="59">
        <f t="shared" si="99"/>
        <v>10</v>
      </c>
      <c r="E916" s="59">
        <f t="shared" si="100"/>
        <v>43</v>
      </c>
      <c r="F916" s="57" t="s">
        <v>54</v>
      </c>
      <c r="G916" s="57" t="s">
        <v>40</v>
      </c>
      <c r="H916" s="57" t="s">
        <v>1956</v>
      </c>
      <c r="I916" s="57" t="s">
        <v>65</v>
      </c>
      <c r="J916" s="57" t="s">
        <v>112</v>
      </c>
      <c r="K916" s="57" t="s">
        <v>73</v>
      </c>
      <c r="L916" s="57" t="s">
        <v>113</v>
      </c>
      <c r="M916" s="60">
        <v>15</v>
      </c>
      <c r="N916" s="57" t="s">
        <v>120</v>
      </c>
      <c r="O916" s="61">
        <v>778.92</v>
      </c>
      <c r="P916" s="61">
        <v>11683.8</v>
      </c>
      <c r="Q916" s="61">
        <v>516.04</v>
      </c>
      <c r="R916" s="62">
        <f t="shared" si="101"/>
        <v>4.4167137403926804E-2</v>
      </c>
      <c r="S916" s="60">
        <v>18</v>
      </c>
      <c r="T916" s="58">
        <v>45244</v>
      </c>
      <c r="U916" s="58">
        <v>45256</v>
      </c>
      <c r="V916" s="63">
        <f t="shared" si="102"/>
        <v>12</v>
      </c>
      <c r="W916" s="57" t="s">
        <v>128</v>
      </c>
      <c r="X916" s="64" t="b">
        <f t="shared" si="103"/>
        <v>0</v>
      </c>
      <c r="Y916" s="60">
        <v>373</v>
      </c>
      <c r="Z916" s="60">
        <v>186</v>
      </c>
      <c r="AA916" s="57" t="s">
        <v>83</v>
      </c>
      <c r="AB916" s="64" t="b">
        <f t="shared" si="104"/>
        <v>1</v>
      </c>
    </row>
    <row r="917" spans="1:28" ht="15" customHeight="1" x14ac:dyDescent="0.3">
      <c r="A917" s="65" t="s">
        <v>1957</v>
      </c>
      <c r="B917" s="81">
        <v>45641</v>
      </c>
      <c r="C917" s="59">
        <f t="shared" si="98"/>
        <v>2024</v>
      </c>
      <c r="D917" s="59">
        <f t="shared" si="99"/>
        <v>12</v>
      </c>
      <c r="E917" s="59">
        <f t="shared" si="100"/>
        <v>51</v>
      </c>
      <c r="F917" s="65" t="s">
        <v>52</v>
      </c>
      <c r="G917" s="65" t="s">
        <v>39</v>
      </c>
      <c r="H917" s="65" t="s">
        <v>1958</v>
      </c>
      <c r="I917" s="65" t="s">
        <v>66</v>
      </c>
      <c r="J917" s="65" t="s">
        <v>123</v>
      </c>
      <c r="K917" s="65" t="s">
        <v>73</v>
      </c>
      <c r="L917" s="65" t="s">
        <v>156</v>
      </c>
      <c r="M917" s="67">
        <v>297</v>
      </c>
      <c r="N917" s="65" t="s">
        <v>132</v>
      </c>
      <c r="O917" s="68">
        <v>2021.97</v>
      </c>
      <c r="P917" s="68">
        <v>600525.09</v>
      </c>
      <c r="Q917" s="68">
        <v>33226.22</v>
      </c>
      <c r="R917" s="62">
        <f t="shared" si="101"/>
        <v>5.5328612498105618E-2</v>
      </c>
      <c r="S917" s="67">
        <v>27</v>
      </c>
      <c r="T917" s="66">
        <v>45668</v>
      </c>
      <c r="U917" s="66">
        <v>45667</v>
      </c>
      <c r="V917" s="63">
        <f t="shared" si="102"/>
        <v>-1</v>
      </c>
      <c r="W917" s="65" t="s">
        <v>115</v>
      </c>
      <c r="X917" s="64" t="b">
        <f t="shared" si="103"/>
        <v>1</v>
      </c>
      <c r="Y917" s="67">
        <v>178</v>
      </c>
      <c r="Z917" s="67">
        <v>369</v>
      </c>
      <c r="AA917" s="65" t="s">
        <v>84</v>
      </c>
      <c r="AB917" s="64" t="b">
        <f t="shared" si="104"/>
        <v>1</v>
      </c>
    </row>
    <row r="918" spans="1:28" ht="15" customHeight="1" x14ac:dyDescent="0.3">
      <c r="A918" s="57" t="s">
        <v>1959</v>
      </c>
      <c r="B918" s="82">
        <v>45056</v>
      </c>
      <c r="C918" s="59">
        <f t="shared" si="98"/>
        <v>2023</v>
      </c>
      <c r="D918" s="59">
        <f t="shared" si="99"/>
        <v>5</v>
      </c>
      <c r="E918" s="59">
        <f t="shared" si="100"/>
        <v>19</v>
      </c>
      <c r="F918" s="57" t="s">
        <v>61</v>
      </c>
      <c r="G918" s="57" t="s">
        <v>46</v>
      </c>
      <c r="H918" s="57" t="s">
        <v>1960</v>
      </c>
      <c r="I918" s="57" t="s">
        <v>69</v>
      </c>
      <c r="J918" s="57" t="s">
        <v>112</v>
      </c>
      <c r="K918" s="57" t="s">
        <v>73</v>
      </c>
      <c r="L918" s="57" t="s">
        <v>124</v>
      </c>
      <c r="M918" s="60">
        <v>627</v>
      </c>
      <c r="N918" s="57" t="s">
        <v>120</v>
      </c>
      <c r="O918" s="61">
        <v>53.44</v>
      </c>
      <c r="P918" s="61">
        <v>33506.879999999997</v>
      </c>
      <c r="Q918" s="61">
        <v>849.51</v>
      </c>
      <c r="R918" s="62">
        <f t="shared" si="101"/>
        <v>2.535330057588173E-2</v>
      </c>
      <c r="S918" s="60">
        <v>13</v>
      </c>
      <c r="T918" s="58">
        <v>45069</v>
      </c>
      <c r="U918" s="58">
        <v>45070</v>
      </c>
      <c r="V918" s="63">
        <f t="shared" si="102"/>
        <v>1</v>
      </c>
      <c r="W918" s="57" t="s">
        <v>128</v>
      </c>
      <c r="X918" s="64" t="b">
        <f t="shared" si="103"/>
        <v>0</v>
      </c>
      <c r="Y918" s="60">
        <v>147</v>
      </c>
      <c r="Z918" s="60">
        <v>247</v>
      </c>
      <c r="AA918" s="57" t="s">
        <v>116</v>
      </c>
      <c r="AB918" s="64" t="b">
        <f t="shared" si="104"/>
        <v>0</v>
      </c>
    </row>
    <row r="919" spans="1:28" ht="15" customHeight="1" x14ac:dyDescent="0.3">
      <c r="A919" s="65" t="s">
        <v>1961</v>
      </c>
      <c r="B919" s="81">
        <v>45580</v>
      </c>
      <c r="C919" s="59">
        <f t="shared" si="98"/>
        <v>2024</v>
      </c>
      <c r="D919" s="59">
        <f t="shared" si="99"/>
        <v>10</v>
      </c>
      <c r="E919" s="59">
        <f t="shared" si="100"/>
        <v>42</v>
      </c>
      <c r="F919" s="65" t="s">
        <v>53</v>
      </c>
      <c r="G919" s="65" t="s">
        <v>42</v>
      </c>
      <c r="H919" s="65" t="s">
        <v>1466</v>
      </c>
      <c r="I919" s="65" t="s">
        <v>69</v>
      </c>
      <c r="J919" s="65" t="s">
        <v>139</v>
      </c>
      <c r="K919" s="65" t="s">
        <v>71</v>
      </c>
      <c r="L919" s="65" t="s">
        <v>135</v>
      </c>
      <c r="M919" s="67">
        <v>155</v>
      </c>
      <c r="N919" s="65" t="s">
        <v>140</v>
      </c>
      <c r="O919" s="68">
        <v>70.36</v>
      </c>
      <c r="P919" s="68">
        <v>10905.8</v>
      </c>
      <c r="Q919" s="68">
        <v>500.13</v>
      </c>
      <c r="R919" s="62">
        <f t="shared" si="101"/>
        <v>4.5859084157054045E-2</v>
      </c>
      <c r="S919" s="67">
        <v>5</v>
      </c>
      <c r="T919" s="66">
        <v>45585</v>
      </c>
      <c r="U919" s="66">
        <v>45597</v>
      </c>
      <c r="V919" s="63">
        <f t="shared" si="102"/>
        <v>12</v>
      </c>
      <c r="W919" s="65" t="s">
        <v>128</v>
      </c>
      <c r="X919" s="64" t="b">
        <f t="shared" si="103"/>
        <v>0</v>
      </c>
      <c r="Y919" s="67">
        <v>464</v>
      </c>
      <c r="Z919" s="67">
        <v>51</v>
      </c>
      <c r="AA919" s="65" t="s">
        <v>82</v>
      </c>
      <c r="AB919" s="64" t="b">
        <f t="shared" si="104"/>
        <v>1</v>
      </c>
    </row>
    <row r="920" spans="1:28" ht="15" customHeight="1" x14ac:dyDescent="0.3">
      <c r="A920" s="57" t="s">
        <v>1962</v>
      </c>
      <c r="B920" s="82">
        <v>45429</v>
      </c>
      <c r="C920" s="59">
        <f t="shared" si="98"/>
        <v>2024</v>
      </c>
      <c r="D920" s="59">
        <f t="shared" si="99"/>
        <v>5</v>
      </c>
      <c r="E920" s="59">
        <f t="shared" si="100"/>
        <v>20</v>
      </c>
      <c r="F920" s="57" t="s">
        <v>58</v>
      </c>
      <c r="G920" s="57" t="s">
        <v>39</v>
      </c>
      <c r="H920" s="57" t="s">
        <v>1963</v>
      </c>
      <c r="I920" s="57" t="s">
        <v>68</v>
      </c>
      <c r="J920" s="57" t="s">
        <v>131</v>
      </c>
      <c r="K920" s="57" t="s">
        <v>75</v>
      </c>
      <c r="L920" s="57" t="s">
        <v>156</v>
      </c>
      <c r="M920" s="60">
        <v>792</v>
      </c>
      <c r="N920" s="57" t="s">
        <v>163</v>
      </c>
      <c r="O920" s="61">
        <v>1655.4</v>
      </c>
      <c r="P920" s="61">
        <v>1311076.8</v>
      </c>
      <c r="Q920" s="61">
        <v>39971.06</v>
      </c>
      <c r="R920" s="62">
        <f t="shared" si="101"/>
        <v>3.0487199529424972E-2</v>
      </c>
      <c r="S920" s="60">
        <v>23</v>
      </c>
      <c r="T920" s="58">
        <v>45452</v>
      </c>
      <c r="U920" s="58">
        <v>45447</v>
      </c>
      <c r="V920" s="63">
        <f t="shared" si="102"/>
        <v>-5</v>
      </c>
      <c r="W920" s="57" t="s">
        <v>115</v>
      </c>
      <c r="X920" s="64" t="b">
        <f t="shared" si="103"/>
        <v>1</v>
      </c>
      <c r="Y920" s="60">
        <v>463</v>
      </c>
      <c r="Z920" s="60">
        <v>487</v>
      </c>
      <c r="AA920" s="57" t="s">
        <v>84</v>
      </c>
      <c r="AB920" s="64" t="b">
        <f t="shared" si="104"/>
        <v>1</v>
      </c>
    </row>
    <row r="921" spans="1:28" ht="15" customHeight="1" x14ac:dyDescent="0.3">
      <c r="A921" s="65" t="s">
        <v>1964</v>
      </c>
      <c r="B921" s="81">
        <v>45032</v>
      </c>
      <c r="C921" s="59">
        <f t="shared" si="98"/>
        <v>2023</v>
      </c>
      <c r="D921" s="59">
        <f t="shared" si="99"/>
        <v>4</v>
      </c>
      <c r="E921" s="59">
        <f t="shared" si="100"/>
        <v>16</v>
      </c>
      <c r="F921" s="65" t="s">
        <v>58</v>
      </c>
      <c r="G921" s="65" t="s">
        <v>45</v>
      </c>
      <c r="H921" s="65" t="s">
        <v>1965</v>
      </c>
      <c r="I921" s="65" t="s">
        <v>68</v>
      </c>
      <c r="J921" s="65" t="s">
        <v>151</v>
      </c>
      <c r="K921" s="65" t="s">
        <v>75</v>
      </c>
      <c r="L921" s="65" t="s">
        <v>146</v>
      </c>
      <c r="M921" s="67">
        <v>433</v>
      </c>
      <c r="N921" s="65" t="s">
        <v>114</v>
      </c>
      <c r="O921" s="68">
        <v>181.74</v>
      </c>
      <c r="P921" s="68">
        <v>78693.42</v>
      </c>
      <c r="Q921" s="68">
        <v>6234.57</v>
      </c>
      <c r="R921" s="62">
        <f t="shared" si="101"/>
        <v>7.9226064898437504E-2</v>
      </c>
      <c r="S921" s="67">
        <v>24</v>
      </c>
      <c r="T921" s="66">
        <v>45056</v>
      </c>
      <c r="U921" s="66">
        <v>45056</v>
      </c>
      <c r="V921" s="63">
        <f t="shared" si="102"/>
        <v>0</v>
      </c>
      <c r="W921" s="65" t="s">
        <v>115</v>
      </c>
      <c r="X921" s="64" t="b">
        <f t="shared" si="103"/>
        <v>1</v>
      </c>
      <c r="Y921" s="67">
        <v>56</v>
      </c>
      <c r="Z921" s="67">
        <v>18</v>
      </c>
      <c r="AA921" s="65" t="s">
        <v>116</v>
      </c>
      <c r="AB921" s="64" t="b">
        <f t="shared" si="104"/>
        <v>0</v>
      </c>
    </row>
    <row r="922" spans="1:28" ht="15" customHeight="1" x14ac:dyDescent="0.3">
      <c r="A922" s="57" t="s">
        <v>1966</v>
      </c>
      <c r="B922" s="82">
        <v>44939</v>
      </c>
      <c r="C922" s="59">
        <f t="shared" si="98"/>
        <v>2023</v>
      </c>
      <c r="D922" s="59">
        <f t="shared" si="99"/>
        <v>1</v>
      </c>
      <c r="E922" s="59">
        <f t="shared" si="100"/>
        <v>2</v>
      </c>
      <c r="F922" s="57" t="s">
        <v>60</v>
      </c>
      <c r="G922" s="57" t="s">
        <v>45</v>
      </c>
      <c r="H922" s="57" t="s">
        <v>1967</v>
      </c>
      <c r="I922" s="57" t="s">
        <v>67</v>
      </c>
      <c r="J922" s="57" t="s">
        <v>131</v>
      </c>
      <c r="K922" s="57" t="s">
        <v>73</v>
      </c>
      <c r="L922" s="57" t="s">
        <v>113</v>
      </c>
      <c r="M922" s="60">
        <v>899</v>
      </c>
      <c r="N922" s="57" t="s">
        <v>114</v>
      </c>
      <c r="O922" s="61">
        <v>141.44999999999999</v>
      </c>
      <c r="P922" s="61">
        <v>127163.55</v>
      </c>
      <c r="Q922" s="61">
        <v>6824.74</v>
      </c>
      <c r="R922" s="62">
        <f t="shared" si="101"/>
        <v>5.3668995557296095E-2</v>
      </c>
      <c r="S922" s="60">
        <v>1</v>
      </c>
      <c r="T922" s="58">
        <v>44940</v>
      </c>
      <c r="U922" s="58">
        <v>44940</v>
      </c>
      <c r="V922" s="63">
        <f t="shared" si="102"/>
        <v>0</v>
      </c>
      <c r="W922" s="57" t="s">
        <v>115</v>
      </c>
      <c r="X922" s="64" t="b">
        <f t="shared" si="103"/>
        <v>1</v>
      </c>
      <c r="Y922" s="60">
        <v>489</v>
      </c>
      <c r="Z922" s="60">
        <v>395</v>
      </c>
      <c r="AA922" s="57" t="s">
        <v>83</v>
      </c>
      <c r="AB922" s="64" t="b">
        <f t="shared" si="104"/>
        <v>1</v>
      </c>
    </row>
    <row r="923" spans="1:28" ht="15" customHeight="1" x14ac:dyDescent="0.3">
      <c r="A923" s="65" t="s">
        <v>1968</v>
      </c>
      <c r="B923" s="81">
        <v>45514</v>
      </c>
      <c r="C923" s="59">
        <f t="shared" si="98"/>
        <v>2024</v>
      </c>
      <c r="D923" s="59">
        <f t="shared" si="99"/>
        <v>8</v>
      </c>
      <c r="E923" s="59">
        <f t="shared" si="100"/>
        <v>32</v>
      </c>
      <c r="F923" s="65" t="s">
        <v>56</v>
      </c>
      <c r="G923" s="65" t="s">
        <v>42</v>
      </c>
      <c r="H923" s="65" t="s">
        <v>1969</v>
      </c>
      <c r="I923" s="65" t="s">
        <v>66</v>
      </c>
      <c r="J923" s="65" t="s">
        <v>151</v>
      </c>
      <c r="K923" s="65" t="s">
        <v>72</v>
      </c>
      <c r="L923" s="65" t="s">
        <v>135</v>
      </c>
      <c r="M923" s="67">
        <v>617</v>
      </c>
      <c r="N923" s="65" t="s">
        <v>140</v>
      </c>
      <c r="O923" s="68">
        <v>97.49</v>
      </c>
      <c r="P923" s="68">
        <v>60151.33</v>
      </c>
      <c r="Q923" s="68">
        <v>3684.04</v>
      </c>
      <c r="R923" s="62">
        <f t="shared" si="101"/>
        <v>6.124619355881241E-2</v>
      </c>
      <c r="S923" s="67">
        <v>22</v>
      </c>
      <c r="T923" s="66">
        <v>45536</v>
      </c>
      <c r="U923" s="66">
        <v>45537</v>
      </c>
      <c r="V923" s="63">
        <f t="shared" si="102"/>
        <v>1</v>
      </c>
      <c r="W923" s="65" t="s">
        <v>128</v>
      </c>
      <c r="X923" s="64" t="b">
        <f t="shared" si="103"/>
        <v>0</v>
      </c>
      <c r="Y923" s="67">
        <v>4</v>
      </c>
      <c r="Z923" s="67">
        <v>91</v>
      </c>
      <c r="AA923" s="65" t="s">
        <v>81</v>
      </c>
      <c r="AB923" s="64" t="b">
        <f t="shared" si="104"/>
        <v>1</v>
      </c>
    </row>
    <row r="924" spans="1:28" ht="15" customHeight="1" x14ac:dyDescent="0.3">
      <c r="A924" s="57" t="s">
        <v>1970</v>
      </c>
      <c r="B924" s="82">
        <v>45218</v>
      </c>
      <c r="C924" s="59">
        <f t="shared" si="98"/>
        <v>2023</v>
      </c>
      <c r="D924" s="59">
        <f t="shared" si="99"/>
        <v>10</v>
      </c>
      <c r="E924" s="59">
        <f t="shared" si="100"/>
        <v>42</v>
      </c>
      <c r="F924" s="57" t="s">
        <v>58</v>
      </c>
      <c r="G924" s="57" t="s">
        <v>46</v>
      </c>
      <c r="H924" s="57" t="s">
        <v>1971</v>
      </c>
      <c r="I924" s="57" t="s">
        <v>68</v>
      </c>
      <c r="J924" s="57" t="s">
        <v>131</v>
      </c>
      <c r="K924" s="57" t="s">
        <v>72</v>
      </c>
      <c r="L924" s="57" t="s">
        <v>156</v>
      </c>
      <c r="M924" s="60">
        <v>466</v>
      </c>
      <c r="N924" s="57" t="s">
        <v>114</v>
      </c>
      <c r="O924" s="61">
        <v>66.53</v>
      </c>
      <c r="P924" s="61">
        <v>31002.98</v>
      </c>
      <c r="Q924" s="61">
        <v>1225.4000000000001</v>
      </c>
      <c r="R924" s="62">
        <f t="shared" si="101"/>
        <v>3.9525232735691862E-2</v>
      </c>
      <c r="S924" s="60">
        <v>1</v>
      </c>
      <c r="T924" s="58">
        <v>45219</v>
      </c>
      <c r="U924" s="58">
        <v>45221</v>
      </c>
      <c r="V924" s="63">
        <f t="shared" si="102"/>
        <v>2</v>
      </c>
      <c r="W924" s="57" t="s">
        <v>125</v>
      </c>
      <c r="X924" s="64" t="b">
        <f t="shared" si="103"/>
        <v>0</v>
      </c>
      <c r="Y924" s="60">
        <v>13</v>
      </c>
      <c r="Z924" s="60">
        <v>138</v>
      </c>
      <c r="AA924" s="57" t="s">
        <v>81</v>
      </c>
      <c r="AB924" s="64" t="b">
        <f t="shared" si="104"/>
        <v>1</v>
      </c>
    </row>
    <row r="925" spans="1:28" ht="15" customHeight="1" x14ac:dyDescent="0.3">
      <c r="A925" s="65" t="s">
        <v>1972</v>
      </c>
      <c r="B925" s="81">
        <v>45407</v>
      </c>
      <c r="C925" s="59">
        <f t="shared" si="98"/>
        <v>2024</v>
      </c>
      <c r="D925" s="59">
        <f t="shared" si="99"/>
        <v>4</v>
      </c>
      <c r="E925" s="59">
        <f t="shared" si="100"/>
        <v>17</v>
      </c>
      <c r="F925" s="65" t="s">
        <v>58</v>
      </c>
      <c r="G925" s="65" t="s">
        <v>43</v>
      </c>
      <c r="H925" s="65" t="s">
        <v>1973</v>
      </c>
      <c r="I925" s="65" t="s">
        <v>65</v>
      </c>
      <c r="J925" s="65" t="s">
        <v>151</v>
      </c>
      <c r="K925" s="65" t="s">
        <v>75</v>
      </c>
      <c r="L925" s="65" t="s">
        <v>124</v>
      </c>
      <c r="M925" s="67">
        <v>750</v>
      </c>
      <c r="N925" s="65" t="s">
        <v>136</v>
      </c>
      <c r="O925" s="68">
        <v>211.28</v>
      </c>
      <c r="P925" s="68">
        <v>158460</v>
      </c>
      <c r="Q925" s="68">
        <v>4069.94</v>
      </c>
      <c r="R925" s="62">
        <f t="shared" si="101"/>
        <v>2.568433674113341E-2</v>
      </c>
      <c r="S925" s="67">
        <v>18</v>
      </c>
      <c r="T925" s="66">
        <v>45425</v>
      </c>
      <c r="U925" s="66">
        <v>45420</v>
      </c>
      <c r="V925" s="63">
        <f t="shared" si="102"/>
        <v>-5</v>
      </c>
      <c r="W925" s="65" t="s">
        <v>115</v>
      </c>
      <c r="X925" s="64" t="b">
        <f t="shared" si="103"/>
        <v>1</v>
      </c>
      <c r="Y925" s="67">
        <v>279</v>
      </c>
      <c r="Z925" s="67">
        <v>303</v>
      </c>
      <c r="AA925" s="65" t="s">
        <v>83</v>
      </c>
      <c r="AB925" s="64" t="b">
        <f t="shared" si="104"/>
        <v>1</v>
      </c>
    </row>
    <row r="926" spans="1:28" ht="15" customHeight="1" x14ac:dyDescent="0.3">
      <c r="A926" s="57" t="s">
        <v>1974</v>
      </c>
      <c r="B926" s="82">
        <v>45417</v>
      </c>
      <c r="C926" s="59">
        <f t="shared" si="98"/>
        <v>2024</v>
      </c>
      <c r="D926" s="59">
        <f t="shared" si="99"/>
        <v>5</v>
      </c>
      <c r="E926" s="59">
        <f t="shared" si="100"/>
        <v>19</v>
      </c>
      <c r="F926" s="57" t="s">
        <v>60</v>
      </c>
      <c r="G926" s="57" t="s">
        <v>42</v>
      </c>
      <c r="H926" s="57" t="s">
        <v>1975</v>
      </c>
      <c r="I926" s="57" t="s">
        <v>66</v>
      </c>
      <c r="J926" s="57" t="s">
        <v>112</v>
      </c>
      <c r="K926" s="57" t="s">
        <v>75</v>
      </c>
      <c r="L926" s="57" t="s">
        <v>135</v>
      </c>
      <c r="M926" s="60">
        <v>211</v>
      </c>
      <c r="N926" s="57" t="s">
        <v>163</v>
      </c>
      <c r="O926" s="61">
        <v>117.89</v>
      </c>
      <c r="P926" s="61">
        <v>24874.79</v>
      </c>
      <c r="Q926" s="61">
        <v>1953.97</v>
      </c>
      <c r="R926" s="62">
        <f t="shared" si="101"/>
        <v>7.8552220943372789E-2</v>
      </c>
      <c r="S926" s="60">
        <v>15</v>
      </c>
      <c r="T926" s="58">
        <v>45432</v>
      </c>
      <c r="U926" s="58">
        <v>45432</v>
      </c>
      <c r="V926" s="63">
        <f t="shared" si="102"/>
        <v>0</v>
      </c>
      <c r="W926" s="57" t="s">
        <v>125</v>
      </c>
      <c r="X926" s="64" t="b">
        <f t="shared" si="103"/>
        <v>0</v>
      </c>
      <c r="Y926" s="60">
        <v>498</v>
      </c>
      <c r="Z926" s="60">
        <v>356</v>
      </c>
      <c r="AA926" s="57" t="s">
        <v>116</v>
      </c>
      <c r="AB926" s="64" t="b">
        <f t="shared" si="104"/>
        <v>0</v>
      </c>
    </row>
    <row r="927" spans="1:28" ht="15" customHeight="1" x14ac:dyDescent="0.3">
      <c r="A927" s="65" t="s">
        <v>1976</v>
      </c>
      <c r="B927" s="81">
        <v>45378</v>
      </c>
      <c r="C927" s="59">
        <f t="shared" si="98"/>
        <v>2024</v>
      </c>
      <c r="D927" s="59">
        <f t="shared" si="99"/>
        <v>3</v>
      </c>
      <c r="E927" s="59">
        <f t="shared" si="100"/>
        <v>13</v>
      </c>
      <c r="F927" s="65" t="s">
        <v>56</v>
      </c>
      <c r="G927" s="65" t="s">
        <v>41</v>
      </c>
      <c r="H927" s="65" t="s">
        <v>1977</v>
      </c>
      <c r="I927" s="65" t="s">
        <v>69</v>
      </c>
      <c r="J927" s="65" t="s">
        <v>112</v>
      </c>
      <c r="K927" s="65" t="s">
        <v>74</v>
      </c>
      <c r="L927" s="65" t="s">
        <v>119</v>
      </c>
      <c r="M927" s="67">
        <v>221</v>
      </c>
      <c r="N927" s="65" t="s">
        <v>140</v>
      </c>
      <c r="O927" s="68">
        <v>578.48</v>
      </c>
      <c r="P927" s="68">
        <v>127844.08</v>
      </c>
      <c r="Q927" s="68">
        <v>4752.67</v>
      </c>
      <c r="R927" s="62">
        <f t="shared" si="101"/>
        <v>3.7175518803842934E-2</v>
      </c>
      <c r="S927" s="67">
        <v>17</v>
      </c>
      <c r="T927" s="66">
        <v>45395</v>
      </c>
      <c r="U927" s="66">
        <v>45396</v>
      </c>
      <c r="V927" s="63">
        <f t="shared" si="102"/>
        <v>1</v>
      </c>
      <c r="W927" s="65" t="s">
        <v>128</v>
      </c>
      <c r="X927" s="64" t="b">
        <f t="shared" si="103"/>
        <v>0</v>
      </c>
      <c r="Y927" s="67">
        <v>323</v>
      </c>
      <c r="Z927" s="67">
        <v>219</v>
      </c>
      <c r="AA927" s="65" t="s">
        <v>116</v>
      </c>
      <c r="AB927" s="64" t="b">
        <f t="shared" si="104"/>
        <v>0</v>
      </c>
    </row>
    <row r="928" spans="1:28" ht="15" customHeight="1" x14ac:dyDescent="0.3">
      <c r="A928" s="57" t="s">
        <v>1978</v>
      </c>
      <c r="B928" s="82">
        <v>45275</v>
      </c>
      <c r="C928" s="59">
        <f t="shared" si="98"/>
        <v>2023</v>
      </c>
      <c r="D928" s="59">
        <f t="shared" si="99"/>
        <v>12</v>
      </c>
      <c r="E928" s="59">
        <f t="shared" si="100"/>
        <v>50</v>
      </c>
      <c r="F928" s="57" t="s">
        <v>60</v>
      </c>
      <c r="G928" s="57" t="s">
        <v>41</v>
      </c>
      <c r="H928" s="57" t="s">
        <v>1979</v>
      </c>
      <c r="I928" s="57" t="s">
        <v>65</v>
      </c>
      <c r="J928" s="57" t="s">
        <v>112</v>
      </c>
      <c r="K928" s="57" t="s">
        <v>75</v>
      </c>
      <c r="L928" s="57" t="s">
        <v>113</v>
      </c>
      <c r="M928" s="60">
        <v>15</v>
      </c>
      <c r="N928" s="57" t="s">
        <v>163</v>
      </c>
      <c r="O928" s="61">
        <v>695.37</v>
      </c>
      <c r="P928" s="61">
        <v>10430.549999999999</v>
      </c>
      <c r="Q928" s="61">
        <v>473.84</v>
      </c>
      <c r="R928" s="62">
        <f t="shared" si="101"/>
        <v>4.542809343706708E-2</v>
      </c>
      <c r="S928" s="60">
        <v>11</v>
      </c>
      <c r="T928" s="58">
        <v>45286</v>
      </c>
      <c r="U928" s="58">
        <v>45298</v>
      </c>
      <c r="V928" s="63">
        <f t="shared" si="102"/>
        <v>12</v>
      </c>
      <c r="W928" s="57" t="s">
        <v>125</v>
      </c>
      <c r="X928" s="64" t="b">
        <f t="shared" si="103"/>
        <v>0</v>
      </c>
      <c r="Y928" s="60">
        <v>435</v>
      </c>
      <c r="Z928" s="60">
        <v>98</v>
      </c>
      <c r="AA928" s="57" t="s">
        <v>82</v>
      </c>
      <c r="AB928" s="64" t="b">
        <f t="shared" si="104"/>
        <v>1</v>
      </c>
    </row>
    <row r="929" spans="1:28" ht="15" customHeight="1" x14ac:dyDescent="0.3">
      <c r="A929" s="65" t="s">
        <v>1980</v>
      </c>
      <c r="B929" s="81">
        <v>45115</v>
      </c>
      <c r="C929" s="59">
        <f t="shared" si="98"/>
        <v>2023</v>
      </c>
      <c r="D929" s="59">
        <f t="shared" si="99"/>
        <v>7</v>
      </c>
      <c r="E929" s="59">
        <f t="shared" si="100"/>
        <v>27</v>
      </c>
      <c r="F929" s="65" t="s">
        <v>52</v>
      </c>
      <c r="G929" s="65" t="s">
        <v>40</v>
      </c>
      <c r="H929" s="65" t="s">
        <v>1981</v>
      </c>
      <c r="I929" s="65" t="s">
        <v>66</v>
      </c>
      <c r="J929" s="65" t="s">
        <v>112</v>
      </c>
      <c r="K929" s="65" t="s">
        <v>73</v>
      </c>
      <c r="L929" s="65" t="s">
        <v>146</v>
      </c>
      <c r="M929" s="67">
        <v>633</v>
      </c>
      <c r="N929" s="65" t="s">
        <v>132</v>
      </c>
      <c r="O929" s="68">
        <v>649.25</v>
      </c>
      <c r="P929" s="68">
        <v>410975.25</v>
      </c>
      <c r="Q929" s="68">
        <v>24244.18</v>
      </c>
      <c r="R929" s="62">
        <f t="shared" si="101"/>
        <v>5.8991824933496605E-2</v>
      </c>
      <c r="S929" s="67">
        <v>21</v>
      </c>
      <c r="T929" s="66">
        <v>45136</v>
      </c>
      <c r="U929" s="66">
        <v>45136</v>
      </c>
      <c r="V929" s="63">
        <f t="shared" si="102"/>
        <v>0</v>
      </c>
      <c r="W929" s="65" t="s">
        <v>115</v>
      </c>
      <c r="X929" s="64" t="b">
        <f t="shared" si="103"/>
        <v>1</v>
      </c>
      <c r="Y929" s="67">
        <v>303</v>
      </c>
      <c r="Z929" s="67">
        <v>235</v>
      </c>
      <c r="AA929" s="65" t="s">
        <v>116</v>
      </c>
      <c r="AB929" s="64" t="b">
        <f t="shared" si="104"/>
        <v>0</v>
      </c>
    </row>
    <row r="930" spans="1:28" ht="15" customHeight="1" x14ac:dyDescent="0.3">
      <c r="A930" s="57" t="s">
        <v>1982</v>
      </c>
      <c r="B930" s="82">
        <v>44979</v>
      </c>
      <c r="C930" s="59">
        <f t="shared" si="98"/>
        <v>2023</v>
      </c>
      <c r="D930" s="59">
        <f t="shared" si="99"/>
        <v>2</v>
      </c>
      <c r="E930" s="59">
        <f t="shared" si="100"/>
        <v>8</v>
      </c>
      <c r="F930" s="57" t="s">
        <v>58</v>
      </c>
      <c r="G930" s="57" t="s">
        <v>39</v>
      </c>
      <c r="H930" s="57" t="s">
        <v>1983</v>
      </c>
      <c r="I930" s="57" t="s">
        <v>69</v>
      </c>
      <c r="J930" s="57" t="s">
        <v>131</v>
      </c>
      <c r="K930" s="57" t="s">
        <v>71</v>
      </c>
      <c r="L930" s="57" t="s">
        <v>119</v>
      </c>
      <c r="M930" s="60">
        <v>385</v>
      </c>
      <c r="N930" s="57" t="s">
        <v>163</v>
      </c>
      <c r="O930" s="61">
        <v>1733.05</v>
      </c>
      <c r="P930" s="61">
        <v>667224.25</v>
      </c>
      <c r="Q930" s="61">
        <v>14333.2</v>
      </c>
      <c r="R930" s="62">
        <f t="shared" si="101"/>
        <v>2.1481833131814381E-2</v>
      </c>
      <c r="S930" s="60">
        <v>26</v>
      </c>
      <c r="T930" s="58">
        <v>45005</v>
      </c>
      <c r="U930" s="58">
        <v>45005</v>
      </c>
      <c r="V930" s="63">
        <f t="shared" si="102"/>
        <v>0</v>
      </c>
      <c r="W930" s="57" t="s">
        <v>115</v>
      </c>
      <c r="X930" s="64" t="b">
        <f t="shared" si="103"/>
        <v>1</v>
      </c>
      <c r="Y930" s="60">
        <v>215</v>
      </c>
      <c r="Z930" s="60">
        <v>206</v>
      </c>
      <c r="AA930" s="57" t="s">
        <v>116</v>
      </c>
      <c r="AB930" s="64" t="b">
        <f t="shared" si="104"/>
        <v>0</v>
      </c>
    </row>
    <row r="931" spans="1:28" ht="15" customHeight="1" x14ac:dyDescent="0.3">
      <c r="A931" s="65" t="s">
        <v>1984</v>
      </c>
      <c r="B931" s="81">
        <v>45185</v>
      </c>
      <c r="C931" s="59">
        <f t="shared" si="98"/>
        <v>2023</v>
      </c>
      <c r="D931" s="59">
        <f t="shared" si="99"/>
        <v>9</v>
      </c>
      <c r="E931" s="59">
        <f t="shared" si="100"/>
        <v>37</v>
      </c>
      <c r="F931" s="65" t="s">
        <v>57</v>
      </c>
      <c r="G931" s="65" t="s">
        <v>45</v>
      </c>
      <c r="H931" s="65" t="s">
        <v>1985</v>
      </c>
      <c r="I931" s="65" t="s">
        <v>68</v>
      </c>
      <c r="J931" s="65" t="s">
        <v>151</v>
      </c>
      <c r="K931" s="65" t="s">
        <v>75</v>
      </c>
      <c r="L931" s="65" t="s">
        <v>135</v>
      </c>
      <c r="M931" s="67">
        <v>900</v>
      </c>
      <c r="N931" s="65" t="s">
        <v>163</v>
      </c>
      <c r="O931" s="68">
        <v>278.88</v>
      </c>
      <c r="P931" s="68">
        <v>250992</v>
      </c>
      <c r="Q931" s="68">
        <v>17221.95</v>
      </c>
      <c r="R931" s="62">
        <f t="shared" si="101"/>
        <v>6.8615533562822725E-2</v>
      </c>
      <c r="S931" s="67">
        <v>25</v>
      </c>
      <c r="T931" s="66">
        <v>45210</v>
      </c>
      <c r="U931" s="66">
        <v>45210</v>
      </c>
      <c r="V931" s="63">
        <f t="shared" si="102"/>
        <v>0</v>
      </c>
      <c r="W931" s="65" t="s">
        <v>115</v>
      </c>
      <c r="X931" s="64" t="b">
        <f t="shared" si="103"/>
        <v>1</v>
      </c>
      <c r="Y931" s="67">
        <v>174</v>
      </c>
      <c r="Z931" s="67">
        <v>143</v>
      </c>
      <c r="AA931" s="65" t="s">
        <v>82</v>
      </c>
      <c r="AB931" s="64" t="b">
        <f t="shared" si="104"/>
        <v>1</v>
      </c>
    </row>
    <row r="932" spans="1:28" ht="15" customHeight="1" x14ac:dyDescent="0.3">
      <c r="A932" s="57" t="s">
        <v>1986</v>
      </c>
      <c r="B932" s="82">
        <v>45416</v>
      </c>
      <c r="C932" s="59">
        <f t="shared" si="98"/>
        <v>2024</v>
      </c>
      <c r="D932" s="59">
        <f t="shared" si="99"/>
        <v>5</v>
      </c>
      <c r="E932" s="59">
        <f t="shared" si="100"/>
        <v>18</v>
      </c>
      <c r="F932" s="57" t="s">
        <v>53</v>
      </c>
      <c r="G932" s="57" t="s">
        <v>46</v>
      </c>
      <c r="H932" s="57" t="s">
        <v>1987</v>
      </c>
      <c r="I932" s="57" t="s">
        <v>65</v>
      </c>
      <c r="J932" s="57" t="s">
        <v>112</v>
      </c>
      <c r="K932" s="57" t="s">
        <v>75</v>
      </c>
      <c r="L932" s="57" t="s">
        <v>156</v>
      </c>
      <c r="M932" s="60">
        <v>456</v>
      </c>
      <c r="N932" s="57" t="s">
        <v>132</v>
      </c>
      <c r="O932" s="61">
        <v>69.989999999999995</v>
      </c>
      <c r="P932" s="61">
        <v>31915.439999999999</v>
      </c>
      <c r="Q932" s="61">
        <v>1665.82</v>
      </c>
      <c r="R932" s="62">
        <f t="shared" si="101"/>
        <v>5.2194799758361471E-2</v>
      </c>
      <c r="S932" s="60">
        <v>22</v>
      </c>
      <c r="T932" s="58">
        <v>45438</v>
      </c>
      <c r="U932" s="58">
        <v>45450</v>
      </c>
      <c r="V932" s="63">
        <f t="shared" si="102"/>
        <v>12</v>
      </c>
      <c r="W932" s="57" t="s">
        <v>125</v>
      </c>
      <c r="X932" s="64" t="b">
        <f t="shared" si="103"/>
        <v>0</v>
      </c>
      <c r="Y932" s="60">
        <v>315</v>
      </c>
      <c r="Z932" s="60">
        <v>492</v>
      </c>
      <c r="AA932" s="57" t="s">
        <v>116</v>
      </c>
      <c r="AB932" s="64" t="b">
        <f t="shared" si="104"/>
        <v>0</v>
      </c>
    </row>
    <row r="933" spans="1:28" ht="15" customHeight="1" x14ac:dyDescent="0.3">
      <c r="A933" s="65" t="s">
        <v>1988</v>
      </c>
      <c r="B933" s="81">
        <v>45043</v>
      </c>
      <c r="C933" s="59">
        <f t="shared" si="98"/>
        <v>2023</v>
      </c>
      <c r="D933" s="59">
        <f t="shared" si="99"/>
        <v>4</v>
      </c>
      <c r="E933" s="59">
        <f t="shared" si="100"/>
        <v>17</v>
      </c>
      <c r="F933" s="65" t="s">
        <v>56</v>
      </c>
      <c r="G933" s="65" t="s">
        <v>40</v>
      </c>
      <c r="H933" s="65" t="s">
        <v>1989</v>
      </c>
      <c r="I933" s="65" t="s">
        <v>65</v>
      </c>
      <c r="J933" s="65" t="s">
        <v>131</v>
      </c>
      <c r="K933" s="65" t="s">
        <v>73</v>
      </c>
      <c r="L933" s="65" t="s">
        <v>113</v>
      </c>
      <c r="M933" s="67">
        <v>844</v>
      </c>
      <c r="N933" s="65" t="s">
        <v>140</v>
      </c>
      <c r="O933" s="68">
        <v>1019.53</v>
      </c>
      <c r="P933" s="68">
        <v>860483.32</v>
      </c>
      <c r="Q933" s="68">
        <v>31573.74</v>
      </c>
      <c r="R933" s="62">
        <f t="shared" si="101"/>
        <v>3.6693029680110477E-2</v>
      </c>
      <c r="S933" s="67">
        <v>27</v>
      </c>
      <c r="T933" s="66">
        <v>45070</v>
      </c>
      <c r="U933" s="66">
        <v>45070</v>
      </c>
      <c r="V933" s="63">
        <f t="shared" si="102"/>
        <v>0</v>
      </c>
      <c r="W933" s="65" t="s">
        <v>115</v>
      </c>
      <c r="X933" s="64" t="b">
        <f t="shared" si="103"/>
        <v>1</v>
      </c>
      <c r="Y933" s="67">
        <v>456</v>
      </c>
      <c r="Z933" s="67">
        <v>198</v>
      </c>
      <c r="AA933" s="65" t="s">
        <v>116</v>
      </c>
      <c r="AB933" s="64" t="b">
        <f t="shared" si="104"/>
        <v>0</v>
      </c>
    </row>
    <row r="934" spans="1:28" ht="15" customHeight="1" x14ac:dyDescent="0.3">
      <c r="A934" s="57" t="s">
        <v>1990</v>
      </c>
      <c r="B934" s="82">
        <v>44993</v>
      </c>
      <c r="C934" s="59">
        <f t="shared" si="98"/>
        <v>2023</v>
      </c>
      <c r="D934" s="59">
        <f t="shared" si="99"/>
        <v>3</v>
      </c>
      <c r="E934" s="59">
        <f t="shared" si="100"/>
        <v>10</v>
      </c>
      <c r="F934" s="57" t="s">
        <v>57</v>
      </c>
      <c r="G934" s="57" t="s">
        <v>39</v>
      </c>
      <c r="H934" s="57" t="s">
        <v>1991</v>
      </c>
      <c r="I934" s="57" t="s">
        <v>69</v>
      </c>
      <c r="J934" s="57" t="s">
        <v>151</v>
      </c>
      <c r="K934" s="57" t="s">
        <v>74</v>
      </c>
      <c r="L934" s="57" t="s">
        <v>124</v>
      </c>
      <c r="M934" s="60">
        <v>115</v>
      </c>
      <c r="N934" s="57" t="s">
        <v>163</v>
      </c>
      <c r="O934" s="61">
        <v>1496.45</v>
      </c>
      <c r="P934" s="61">
        <v>172091.75</v>
      </c>
      <c r="Q934" s="61">
        <v>4077.97</v>
      </c>
      <c r="R934" s="62">
        <f t="shared" si="101"/>
        <v>2.3696487484147263E-2</v>
      </c>
      <c r="S934" s="60">
        <v>27</v>
      </c>
      <c r="T934" s="58">
        <v>45020</v>
      </c>
      <c r="U934" s="58">
        <v>45021</v>
      </c>
      <c r="V934" s="63">
        <f t="shared" si="102"/>
        <v>1</v>
      </c>
      <c r="W934" s="57" t="s">
        <v>128</v>
      </c>
      <c r="X934" s="64" t="b">
        <f t="shared" si="103"/>
        <v>0</v>
      </c>
      <c r="Y934" s="60">
        <v>2</v>
      </c>
      <c r="Z934" s="60">
        <v>302</v>
      </c>
      <c r="AA934" s="57" t="s">
        <v>116</v>
      </c>
      <c r="AB934" s="64" t="b">
        <f t="shared" si="104"/>
        <v>0</v>
      </c>
    </row>
    <row r="935" spans="1:28" ht="15" customHeight="1" x14ac:dyDescent="0.3">
      <c r="A935" s="65" t="s">
        <v>1992</v>
      </c>
      <c r="B935" s="81">
        <v>45337</v>
      </c>
      <c r="C935" s="59">
        <f t="shared" si="98"/>
        <v>2024</v>
      </c>
      <c r="D935" s="59">
        <f t="shared" si="99"/>
        <v>2</v>
      </c>
      <c r="E935" s="59">
        <f t="shared" si="100"/>
        <v>7</v>
      </c>
      <c r="F935" s="65" t="s">
        <v>60</v>
      </c>
      <c r="G935" s="65" t="s">
        <v>39</v>
      </c>
      <c r="H935" s="65" t="s">
        <v>1993</v>
      </c>
      <c r="I935" s="65" t="s">
        <v>65</v>
      </c>
      <c r="J935" s="65" t="s">
        <v>131</v>
      </c>
      <c r="K935" s="65" t="s">
        <v>75</v>
      </c>
      <c r="L935" s="65" t="s">
        <v>146</v>
      </c>
      <c r="M935" s="67">
        <v>660</v>
      </c>
      <c r="N935" s="65" t="s">
        <v>120</v>
      </c>
      <c r="O935" s="68">
        <v>1160.94</v>
      </c>
      <c r="P935" s="68">
        <v>766220.4</v>
      </c>
      <c r="Q935" s="68">
        <v>22794.98</v>
      </c>
      <c r="R935" s="62">
        <f t="shared" si="101"/>
        <v>2.9749899637232315E-2</v>
      </c>
      <c r="S935" s="67">
        <v>17</v>
      </c>
      <c r="T935" s="66">
        <v>45354</v>
      </c>
      <c r="U935" s="66">
        <v>45351</v>
      </c>
      <c r="V935" s="63">
        <f t="shared" si="102"/>
        <v>-3</v>
      </c>
      <c r="W935" s="65" t="s">
        <v>115</v>
      </c>
      <c r="X935" s="64" t="b">
        <f t="shared" si="103"/>
        <v>1</v>
      </c>
      <c r="Y935" s="67">
        <v>374</v>
      </c>
      <c r="Z935" s="67">
        <v>322</v>
      </c>
      <c r="AA935" s="65" t="s">
        <v>116</v>
      </c>
      <c r="AB935" s="64" t="b">
        <f t="shared" si="104"/>
        <v>0</v>
      </c>
    </row>
    <row r="936" spans="1:28" ht="15" customHeight="1" x14ac:dyDescent="0.3">
      <c r="A936" s="57" t="s">
        <v>1994</v>
      </c>
      <c r="B936" s="82">
        <v>45430</v>
      </c>
      <c r="C936" s="59">
        <f t="shared" si="98"/>
        <v>2024</v>
      </c>
      <c r="D936" s="59">
        <f t="shared" si="99"/>
        <v>5</v>
      </c>
      <c r="E936" s="59">
        <f t="shared" si="100"/>
        <v>20</v>
      </c>
      <c r="F936" s="57" t="s">
        <v>58</v>
      </c>
      <c r="G936" s="57" t="s">
        <v>40</v>
      </c>
      <c r="H936" s="57" t="s">
        <v>1995</v>
      </c>
      <c r="I936" s="57" t="s">
        <v>68</v>
      </c>
      <c r="J936" s="57" t="s">
        <v>143</v>
      </c>
      <c r="K936" s="57" t="s">
        <v>72</v>
      </c>
      <c r="L936" s="57" t="s">
        <v>156</v>
      </c>
      <c r="M936" s="60">
        <v>820</v>
      </c>
      <c r="N936" s="57" t="s">
        <v>163</v>
      </c>
      <c r="O936" s="61">
        <v>853.06</v>
      </c>
      <c r="P936" s="61">
        <v>699509.2</v>
      </c>
      <c r="Q936" s="61">
        <v>51555.25</v>
      </c>
      <c r="R936" s="62">
        <f t="shared" si="101"/>
        <v>7.3702032796709463E-2</v>
      </c>
      <c r="S936" s="60">
        <v>13</v>
      </c>
      <c r="T936" s="58">
        <v>45443</v>
      </c>
      <c r="U936" s="58">
        <v>45443</v>
      </c>
      <c r="V936" s="63">
        <f t="shared" si="102"/>
        <v>0</v>
      </c>
      <c r="W936" s="57" t="s">
        <v>115</v>
      </c>
      <c r="X936" s="64" t="b">
        <f t="shared" si="103"/>
        <v>1</v>
      </c>
      <c r="Y936" s="60">
        <v>136</v>
      </c>
      <c r="Z936" s="60">
        <v>286</v>
      </c>
      <c r="AA936" s="57" t="s">
        <v>116</v>
      </c>
      <c r="AB936" s="64" t="b">
        <f t="shared" si="104"/>
        <v>0</v>
      </c>
    </row>
    <row r="937" spans="1:28" ht="15" customHeight="1" x14ac:dyDescent="0.3">
      <c r="A937" s="65" t="s">
        <v>1996</v>
      </c>
      <c r="B937" s="81">
        <v>45002</v>
      </c>
      <c r="C937" s="59">
        <f t="shared" si="98"/>
        <v>2023</v>
      </c>
      <c r="D937" s="59">
        <f t="shared" si="99"/>
        <v>3</v>
      </c>
      <c r="E937" s="59">
        <f t="shared" si="100"/>
        <v>11</v>
      </c>
      <c r="F937" s="65" t="s">
        <v>60</v>
      </c>
      <c r="G937" s="65" t="s">
        <v>44</v>
      </c>
      <c r="H937" s="65" t="s">
        <v>1997</v>
      </c>
      <c r="I937" s="65" t="s">
        <v>68</v>
      </c>
      <c r="J937" s="65" t="s">
        <v>112</v>
      </c>
      <c r="K937" s="65" t="s">
        <v>72</v>
      </c>
      <c r="L937" s="65" t="s">
        <v>146</v>
      </c>
      <c r="M937" s="67">
        <v>410</v>
      </c>
      <c r="N937" s="65" t="s">
        <v>140</v>
      </c>
      <c r="O937" s="68">
        <v>121.87</v>
      </c>
      <c r="P937" s="68">
        <v>49966.7</v>
      </c>
      <c r="Q937" s="68">
        <v>3056.04</v>
      </c>
      <c r="R937" s="62">
        <f t="shared" si="101"/>
        <v>6.1161533581365189E-2</v>
      </c>
      <c r="S937" s="67">
        <v>1</v>
      </c>
      <c r="T937" s="66">
        <v>45003</v>
      </c>
      <c r="U937" s="66">
        <v>45003</v>
      </c>
      <c r="V937" s="63">
        <f t="shared" si="102"/>
        <v>0</v>
      </c>
      <c r="W937" s="65" t="s">
        <v>115</v>
      </c>
      <c r="X937" s="64" t="b">
        <f t="shared" si="103"/>
        <v>1</v>
      </c>
      <c r="Y937" s="67">
        <v>465</v>
      </c>
      <c r="Z937" s="67">
        <v>331</v>
      </c>
      <c r="AA937" s="65" t="s">
        <v>116</v>
      </c>
      <c r="AB937" s="64" t="b">
        <f t="shared" si="104"/>
        <v>0</v>
      </c>
    </row>
    <row r="938" spans="1:28" ht="15" customHeight="1" x14ac:dyDescent="0.3">
      <c r="A938" s="57" t="s">
        <v>1998</v>
      </c>
      <c r="B938" s="82">
        <v>45517</v>
      </c>
      <c r="C938" s="59">
        <f t="shared" si="98"/>
        <v>2024</v>
      </c>
      <c r="D938" s="59">
        <f t="shared" si="99"/>
        <v>8</v>
      </c>
      <c r="E938" s="59">
        <f t="shared" si="100"/>
        <v>33</v>
      </c>
      <c r="F938" s="57" t="s">
        <v>61</v>
      </c>
      <c r="G938" s="57" t="s">
        <v>39</v>
      </c>
      <c r="H938" s="57" t="s">
        <v>1999</v>
      </c>
      <c r="I938" s="57" t="s">
        <v>68</v>
      </c>
      <c r="J938" s="57" t="s">
        <v>139</v>
      </c>
      <c r="K938" s="57" t="s">
        <v>72</v>
      </c>
      <c r="L938" s="57" t="s">
        <v>124</v>
      </c>
      <c r="M938" s="60">
        <v>105</v>
      </c>
      <c r="N938" s="57" t="s">
        <v>114</v>
      </c>
      <c r="O938" s="61">
        <v>2090.4699999999998</v>
      </c>
      <c r="P938" s="61">
        <v>219499.35</v>
      </c>
      <c r="Q938" s="61">
        <v>7681.18</v>
      </c>
      <c r="R938" s="62">
        <f t="shared" si="101"/>
        <v>3.4994089959719699E-2</v>
      </c>
      <c r="S938" s="60">
        <v>2</v>
      </c>
      <c r="T938" s="58">
        <v>45519</v>
      </c>
      <c r="U938" s="58">
        <v>45518</v>
      </c>
      <c r="V938" s="63">
        <f t="shared" si="102"/>
        <v>-1</v>
      </c>
      <c r="W938" s="57" t="s">
        <v>115</v>
      </c>
      <c r="X938" s="64" t="b">
        <f t="shared" si="103"/>
        <v>1</v>
      </c>
      <c r="Y938" s="60">
        <v>99</v>
      </c>
      <c r="Z938" s="60">
        <v>263</v>
      </c>
      <c r="AA938" s="57" t="s">
        <v>116</v>
      </c>
      <c r="AB938" s="64" t="b">
        <f t="shared" si="104"/>
        <v>0</v>
      </c>
    </row>
    <row r="939" spans="1:28" ht="15" customHeight="1" x14ac:dyDescent="0.3">
      <c r="A939" s="65" t="s">
        <v>2000</v>
      </c>
      <c r="B939" s="81">
        <v>45571</v>
      </c>
      <c r="C939" s="59">
        <f t="shared" si="98"/>
        <v>2024</v>
      </c>
      <c r="D939" s="59">
        <f t="shared" si="99"/>
        <v>10</v>
      </c>
      <c r="E939" s="59">
        <f t="shared" si="100"/>
        <v>41</v>
      </c>
      <c r="F939" s="65" t="s">
        <v>61</v>
      </c>
      <c r="G939" s="65" t="s">
        <v>44</v>
      </c>
      <c r="H939" s="65" t="s">
        <v>2001</v>
      </c>
      <c r="I939" s="65" t="s">
        <v>69</v>
      </c>
      <c r="J939" s="65" t="s">
        <v>131</v>
      </c>
      <c r="K939" s="65" t="s">
        <v>71</v>
      </c>
      <c r="L939" s="65" t="s">
        <v>113</v>
      </c>
      <c r="M939" s="67">
        <v>397</v>
      </c>
      <c r="N939" s="65" t="s">
        <v>132</v>
      </c>
      <c r="O939" s="68">
        <v>107.42</v>
      </c>
      <c r="P939" s="68">
        <v>42645.74</v>
      </c>
      <c r="Q939" s="68">
        <v>1020.77</v>
      </c>
      <c r="R939" s="62">
        <f t="shared" si="101"/>
        <v>2.3936036753026212E-2</v>
      </c>
      <c r="S939" s="67">
        <v>9</v>
      </c>
      <c r="T939" s="66">
        <v>45580</v>
      </c>
      <c r="U939" s="66">
        <v>45581</v>
      </c>
      <c r="V939" s="63">
        <f t="shared" si="102"/>
        <v>1</v>
      </c>
      <c r="W939" s="65" t="s">
        <v>125</v>
      </c>
      <c r="X939" s="64" t="b">
        <f t="shared" si="103"/>
        <v>0</v>
      </c>
      <c r="Y939" s="67">
        <v>82</v>
      </c>
      <c r="Z939" s="67">
        <v>216</v>
      </c>
      <c r="AA939" s="65" t="s">
        <v>81</v>
      </c>
      <c r="AB939" s="64" t="b">
        <f t="shared" si="104"/>
        <v>1</v>
      </c>
    </row>
    <row r="940" spans="1:28" ht="15" customHeight="1" x14ac:dyDescent="0.3">
      <c r="A940" s="57" t="s">
        <v>2002</v>
      </c>
      <c r="B940" s="82">
        <v>45629</v>
      </c>
      <c r="C940" s="59">
        <f t="shared" si="98"/>
        <v>2024</v>
      </c>
      <c r="D940" s="59">
        <f t="shared" si="99"/>
        <v>12</v>
      </c>
      <c r="E940" s="59">
        <f t="shared" si="100"/>
        <v>49</v>
      </c>
      <c r="F940" s="57" t="s">
        <v>52</v>
      </c>
      <c r="G940" s="57" t="s">
        <v>41</v>
      </c>
      <c r="H940" s="57" t="s">
        <v>2003</v>
      </c>
      <c r="I940" s="57" t="s">
        <v>64</v>
      </c>
      <c r="J940" s="57" t="s">
        <v>112</v>
      </c>
      <c r="K940" s="57" t="s">
        <v>71</v>
      </c>
      <c r="L940" s="57" t="s">
        <v>135</v>
      </c>
      <c r="M940" s="60">
        <v>968</v>
      </c>
      <c r="N940" s="57" t="s">
        <v>114</v>
      </c>
      <c r="O940" s="61">
        <v>736.69</v>
      </c>
      <c r="P940" s="61">
        <v>713115.92</v>
      </c>
      <c r="Q940" s="61">
        <v>43811.64</v>
      </c>
      <c r="R940" s="62">
        <f t="shared" si="101"/>
        <v>6.1436911967972886E-2</v>
      </c>
      <c r="S940" s="60">
        <v>3</v>
      </c>
      <c r="T940" s="58">
        <v>45632</v>
      </c>
      <c r="U940" s="58">
        <v>45640</v>
      </c>
      <c r="V940" s="63">
        <f t="shared" si="102"/>
        <v>8</v>
      </c>
      <c r="W940" s="57" t="s">
        <v>128</v>
      </c>
      <c r="X940" s="64" t="b">
        <f t="shared" si="103"/>
        <v>0</v>
      </c>
      <c r="Y940" s="60">
        <v>279</v>
      </c>
      <c r="Z940" s="60">
        <v>188</v>
      </c>
      <c r="AA940" s="57" t="s">
        <v>116</v>
      </c>
      <c r="AB940" s="64" t="b">
        <f t="shared" si="104"/>
        <v>0</v>
      </c>
    </row>
    <row r="941" spans="1:28" ht="15" customHeight="1" x14ac:dyDescent="0.3">
      <c r="A941" s="65" t="s">
        <v>2004</v>
      </c>
      <c r="B941" s="81">
        <v>44981</v>
      </c>
      <c r="C941" s="59">
        <f t="shared" si="98"/>
        <v>2023</v>
      </c>
      <c r="D941" s="59">
        <f t="shared" si="99"/>
        <v>2</v>
      </c>
      <c r="E941" s="59">
        <f t="shared" si="100"/>
        <v>8</v>
      </c>
      <c r="F941" s="65" t="s">
        <v>58</v>
      </c>
      <c r="G941" s="65" t="s">
        <v>41</v>
      </c>
      <c r="H941" s="65" t="s">
        <v>2005</v>
      </c>
      <c r="I941" s="65" t="s">
        <v>64</v>
      </c>
      <c r="J941" s="65" t="s">
        <v>123</v>
      </c>
      <c r="K941" s="65" t="s">
        <v>75</v>
      </c>
      <c r="L941" s="65" t="s">
        <v>146</v>
      </c>
      <c r="M941" s="67">
        <v>461</v>
      </c>
      <c r="N941" s="65" t="s">
        <v>140</v>
      </c>
      <c r="O941" s="68">
        <v>733.26</v>
      </c>
      <c r="P941" s="68">
        <v>338032.86</v>
      </c>
      <c r="Q941" s="68">
        <v>18370.21</v>
      </c>
      <c r="R941" s="62">
        <f t="shared" si="101"/>
        <v>5.4344450418222653E-2</v>
      </c>
      <c r="S941" s="67">
        <v>1</v>
      </c>
      <c r="T941" s="66">
        <v>44982</v>
      </c>
      <c r="U941" s="66">
        <v>44994</v>
      </c>
      <c r="V941" s="63">
        <f t="shared" si="102"/>
        <v>12</v>
      </c>
      <c r="W941" s="65" t="s">
        <v>128</v>
      </c>
      <c r="X941" s="64" t="b">
        <f t="shared" si="103"/>
        <v>0</v>
      </c>
      <c r="Y941" s="67">
        <v>131</v>
      </c>
      <c r="Z941" s="67">
        <v>43</v>
      </c>
      <c r="AA941" s="65" t="s">
        <v>82</v>
      </c>
      <c r="AB941" s="64" t="b">
        <f t="shared" si="104"/>
        <v>1</v>
      </c>
    </row>
    <row r="942" spans="1:28" ht="15" customHeight="1" x14ac:dyDescent="0.3">
      <c r="A942" s="57" t="s">
        <v>2006</v>
      </c>
      <c r="B942" s="82">
        <v>45082</v>
      </c>
      <c r="C942" s="59">
        <f t="shared" si="98"/>
        <v>2023</v>
      </c>
      <c r="D942" s="59">
        <f t="shared" si="99"/>
        <v>6</v>
      </c>
      <c r="E942" s="59">
        <f t="shared" si="100"/>
        <v>23</v>
      </c>
      <c r="F942" s="57" t="s">
        <v>58</v>
      </c>
      <c r="G942" s="57" t="s">
        <v>39</v>
      </c>
      <c r="H942" s="57" t="s">
        <v>2007</v>
      </c>
      <c r="I942" s="57" t="s">
        <v>65</v>
      </c>
      <c r="J942" s="57" t="s">
        <v>151</v>
      </c>
      <c r="K942" s="57" t="s">
        <v>75</v>
      </c>
      <c r="L942" s="57" t="s">
        <v>113</v>
      </c>
      <c r="M942" s="60">
        <v>858</v>
      </c>
      <c r="N942" s="57" t="s">
        <v>136</v>
      </c>
      <c r="O942" s="61">
        <v>1347.16</v>
      </c>
      <c r="P942" s="61">
        <v>1155863.28</v>
      </c>
      <c r="Q942" s="61">
        <v>51171.42</v>
      </c>
      <c r="R942" s="62">
        <f t="shared" si="101"/>
        <v>4.427117020275962E-2</v>
      </c>
      <c r="S942" s="60">
        <v>21</v>
      </c>
      <c r="T942" s="58">
        <v>45103</v>
      </c>
      <c r="U942" s="58">
        <v>45103</v>
      </c>
      <c r="V942" s="63">
        <f t="shared" si="102"/>
        <v>0</v>
      </c>
      <c r="W942" s="57" t="s">
        <v>115</v>
      </c>
      <c r="X942" s="64" t="b">
        <f t="shared" si="103"/>
        <v>1</v>
      </c>
      <c r="Y942" s="60">
        <v>392</v>
      </c>
      <c r="Z942" s="60">
        <v>433</v>
      </c>
      <c r="AA942" s="57" t="s">
        <v>116</v>
      </c>
      <c r="AB942" s="64" t="b">
        <f t="shared" si="104"/>
        <v>0</v>
      </c>
    </row>
    <row r="943" spans="1:28" ht="15" customHeight="1" x14ac:dyDescent="0.3">
      <c r="A943" s="65" t="s">
        <v>2008</v>
      </c>
      <c r="B943" s="81">
        <v>45079</v>
      </c>
      <c r="C943" s="59">
        <f t="shared" si="98"/>
        <v>2023</v>
      </c>
      <c r="D943" s="59">
        <f t="shared" si="99"/>
        <v>6</v>
      </c>
      <c r="E943" s="59">
        <f t="shared" si="100"/>
        <v>22</v>
      </c>
      <c r="F943" s="65" t="s">
        <v>57</v>
      </c>
      <c r="G943" s="65" t="s">
        <v>41</v>
      </c>
      <c r="H943" s="65" t="s">
        <v>2009</v>
      </c>
      <c r="I943" s="65" t="s">
        <v>68</v>
      </c>
      <c r="J943" s="65" t="s">
        <v>143</v>
      </c>
      <c r="K943" s="65" t="s">
        <v>75</v>
      </c>
      <c r="L943" s="65" t="s">
        <v>146</v>
      </c>
      <c r="M943" s="67">
        <v>818</v>
      </c>
      <c r="N943" s="65" t="s">
        <v>114</v>
      </c>
      <c r="O943" s="68">
        <v>489.22</v>
      </c>
      <c r="P943" s="68">
        <v>400181.96</v>
      </c>
      <c r="Q943" s="68">
        <v>16734.28</v>
      </c>
      <c r="R943" s="62">
        <f t="shared" si="101"/>
        <v>4.1816677593362772E-2</v>
      </c>
      <c r="S943" s="67">
        <v>16</v>
      </c>
      <c r="T943" s="66">
        <v>45095</v>
      </c>
      <c r="U943" s="66">
        <v>45096</v>
      </c>
      <c r="V943" s="63">
        <f t="shared" si="102"/>
        <v>1</v>
      </c>
      <c r="W943" s="65" t="s">
        <v>125</v>
      </c>
      <c r="X943" s="64" t="b">
        <f t="shared" si="103"/>
        <v>0</v>
      </c>
      <c r="Y943" s="67">
        <v>480</v>
      </c>
      <c r="Z943" s="67">
        <v>290</v>
      </c>
      <c r="AA943" s="65" t="s">
        <v>83</v>
      </c>
      <c r="AB943" s="64" t="b">
        <f t="shared" si="104"/>
        <v>1</v>
      </c>
    </row>
    <row r="944" spans="1:28" ht="15" customHeight="1" x14ac:dyDescent="0.3">
      <c r="A944" s="57" t="s">
        <v>2010</v>
      </c>
      <c r="B944" s="82">
        <v>45503</v>
      </c>
      <c r="C944" s="59">
        <f t="shared" si="98"/>
        <v>2024</v>
      </c>
      <c r="D944" s="59">
        <f t="shared" si="99"/>
        <v>7</v>
      </c>
      <c r="E944" s="59">
        <f t="shared" si="100"/>
        <v>31</v>
      </c>
      <c r="F944" s="57" t="s">
        <v>55</v>
      </c>
      <c r="G944" s="57" t="s">
        <v>46</v>
      </c>
      <c r="H944" s="57" t="s">
        <v>2011</v>
      </c>
      <c r="I944" s="57" t="s">
        <v>65</v>
      </c>
      <c r="J944" s="57" t="s">
        <v>112</v>
      </c>
      <c r="K944" s="57" t="s">
        <v>71</v>
      </c>
      <c r="L944" s="57" t="s">
        <v>156</v>
      </c>
      <c r="M944" s="60">
        <v>988</v>
      </c>
      <c r="N944" s="57" t="s">
        <v>163</v>
      </c>
      <c r="O944" s="61">
        <v>84.99</v>
      </c>
      <c r="P944" s="61">
        <v>83970.12</v>
      </c>
      <c r="Q944" s="61">
        <v>2771.76</v>
      </c>
      <c r="R944" s="62">
        <f t="shared" si="101"/>
        <v>3.3008884588946644E-2</v>
      </c>
      <c r="S944" s="60">
        <v>23</v>
      </c>
      <c r="T944" s="58">
        <v>45526</v>
      </c>
      <c r="U944" s="58">
        <v>45526</v>
      </c>
      <c r="V944" s="63">
        <f t="shared" si="102"/>
        <v>0</v>
      </c>
      <c r="W944" s="57" t="s">
        <v>115</v>
      </c>
      <c r="X944" s="64" t="b">
        <f t="shared" si="103"/>
        <v>1</v>
      </c>
      <c r="Y944" s="60">
        <v>0</v>
      </c>
      <c r="Z944" s="60">
        <v>459</v>
      </c>
      <c r="AA944" s="57" t="s">
        <v>116</v>
      </c>
      <c r="AB944" s="64" t="b">
        <f t="shared" si="104"/>
        <v>0</v>
      </c>
    </row>
    <row r="945" spans="1:28" ht="15" customHeight="1" x14ac:dyDescent="0.3">
      <c r="A945" s="65" t="s">
        <v>2012</v>
      </c>
      <c r="B945" s="81">
        <v>45238</v>
      </c>
      <c r="C945" s="59">
        <f t="shared" si="98"/>
        <v>2023</v>
      </c>
      <c r="D945" s="59">
        <f t="shared" si="99"/>
        <v>11</v>
      </c>
      <c r="E945" s="59">
        <f t="shared" si="100"/>
        <v>45</v>
      </c>
      <c r="F945" s="65" t="s">
        <v>58</v>
      </c>
      <c r="G945" s="65" t="s">
        <v>44</v>
      </c>
      <c r="H945" s="65" t="s">
        <v>2013</v>
      </c>
      <c r="I945" s="65" t="s">
        <v>69</v>
      </c>
      <c r="J945" s="65" t="s">
        <v>123</v>
      </c>
      <c r="K945" s="65" t="s">
        <v>75</v>
      </c>
      <c r="L945" s="65" t="s">
        <v>146</v>
      </c>
      <c r="M945" s="67">
        <v>910</v>
      </c>
      <c r="N945" s="65" t="s">
        <v>163</v>
      </c>
      <c r="O945" s="68">
        <v>176.8</v>
      </c>
      <c r="P945" s="68">
        <v>160888</v>
      </c>
      <c r="Q945" s="68">
        <v>9681.7000000000007</v>
      </c>
      <c r="R945" s="62">
        <f t="shared" si="101"/>
        <v>6.0176644622345982E-2</v>
      </c>
      <c r="S945" s="67">
        <v>6</v>
      </c>
      <c r="T945" s="66">
        <v>45244</v>
      </c>
      <c r="U945" s="66">
        <v>45244</v>
      </c>
      <c r="V945" s="63">
        <f t="shared" si="102"/>
        <v>0</v>
      </c>
      <c r="W945" s="65" t="s">
        <v>115</v>
      </c>
      <c r="X945" s="64" t="b">
        <f t="shared" si="103"/>
        <v>1</v>
      </c>
      <c r="Y945" s="67">
        <v>115</v>
      </c>
      <c r="Z945" s="67">
        <v>188</v>
      </c>
      <c r="AA945" s="65" t="s">
        <v>84</v>
      </c>
      <c r="AB945" s="64" t="b">
        <f t="shared" si="104"/>
        <v>1</v>
      </c>
    </row>
    <row r="946" spans="1:28" ht="15" customHeight="1" x14ac:dyDescent="0.3">
      <c r="A946" s="57" t="s">
        <v>2014</v>
      </c>
      <c r="B946" s="82">
        <v>45014</v>
      </c>
      <c r="C946" s="59">
        <f t="shared" si="98"/>
        <v>2023</v>
      </c>
      <c r="D946" s="59">
        <f t="shared" si="99"/>
        <v>3</v>
      </c>
      <c r="E946" s="59">
        <f t="shared" si="100"/>
        <v>13</v>
      </c>
      <c r="F946" s="57" t="s">
        <v>52</v>
      </c>
      <c r="G946" s="57" t="s">
        <v>44</v>
      </c>
      <c r="H946" s="57" t="s">
        <v>2015</v>
      </c>
      <c r="I946" s="57" t="s">
        <v>65</v>
      </c>
      <c r="J946" s="57" t="s">
        <v>131</v>
      </c>
      <c r="K946" s="57" t="s">
        <v>73</v>
      </c>
      <c r="L946" s="57" t="s">
        <v>156</v>
      </c>
      <c r="M946" s="60">
        <v>425</v>
      </c>
      <c r="N946" s="57" t="s">
        <v>132</v>
      </c>
      <c r="O946" s="61">
        <v>126.57</v>
      </c>
      <c r="P946" s="61">
        <v>53792.25</v>
      </c>
      <c r="Q946" s="61">
        <v>4208.71</v>
      </c>
      <c r="R946" s="62">
        <f t="shared" si="101"/>
        <v>7.8240081052567981E-2</v>
      </c>
      <c r="S946" s="60">
        <v>28</v>
      </c>
      <c r="T946" s="58">
        <v>45042</v>
      </c>
      <c r="U946" s="58">
        <v>45042</v>
      </c>
      <c r="V946" s="63">
        <f t="shared" si="102"/>
        <v>0</v>
      </c>
      <c r="W946" s="57" t="s">
        <v>115</v>
      </c>
      <c r="X946" s="64" t="b">
        <f t="shared" si="103"/>
        <v>1</v>
      </c>
      <c r="Y946" s="60">
        <v>498</v>
      </c>
      <c r="Z946" s="60">
        <v>468</v>
      </c>
      <c r="AA946" s="57" t="s">
        <v>81</v>
      </c>
      <c r="AB946" s="64" t="b">
        <f t="shared" si="104"/>
        <v>1</v>
      </c>
    </row>
    <row r="947" spans="1:28" ht="15" customHeight="1" x14ac:dyDescent="0.3">
      <c r="A947" s="65" t="s">
        <v>2016</v>
      </c>
      <c r="B947" s="81">
        <v>45181</v>
      </c>
      <c r="C947" s="59">
        <f t="shared" si="98"/>
        <v>2023</v>
      </c>
      <c r="D947" s="59">
        <f t="shared" si="99"/>
        <v>9</v>
      </c>
      <c r="E947" s="59">
        <f t="shared" si="100"/>
        <v>37</v>
      </c>
      <c r="F947" s="65" t="s">
        <v>56</v>
      </c>
      <c r="G947" s="65" t="s">
        <v>39</v>
      </c>
      <c r="H947" s="65" t="s">
        <v>2017</v>
      </c>
      <c r="I947" s="65" t="s">
        <v>67</v>
      </c>
      <c r="J947" s="65" t="s">
        <v>131</v>
      </c>
      <c r="K947" s="65" t="s">
        <v>74</v>
      </c>
      <c r="L947" s="65" t="s">
        <v>156</v>
      </c>
      <c r="M947" s="67">
        <v>735</v>
      </c>
      <c r="N947" s="65" t="s">
        <v>163</v>
      </c>
      <c r="O947" s="68">
        <v>1435.2</v>
      </c>
      <c r="P947" s="68">
        <v>1054872</v>
      </c>
      <c r="Q947" s="68">
        <v>32218.87</v>
      </c>
      <c r="R947" s="62">
        <f t="shared" si="101"/>
        <v>3.0542918951304045E-2</v>
      </c>
      <c r="S947" s="67">
        <v>17</v>
      </c>
      <c r="T947" s="66">
        <v>45198</v>
      </c>
      <c r="U947" s="66">
        <v>45199</v>
      </c>
      <c r="V947" s="63">
        <f t="shared" si="102"/>
        <v>1</v>
      </c>
      <c r="W947" s="65" t="s">
        <v>125</v>
      </c>
      <c r="X947" s="64" t="b">
        <f t="shared" si="103"/>
        <v>0</v>
      </c>
      <c r="Y947" s="67">
        <v>418</v>
      </c>
      <c r="Z947" s="67">
        <v>473</v>
      </c>
      <c r="AA947" s="65" t="s">
        <v>116</v>
      </c>
      <c r="AB947" s="64" t="b">
        <f t="shared" si="104"/>
        <v>0</v>
      </c>
    </row>
    <row r="948" spans="1:28" ht="15" customHeight="1" x14ac:dyDescent="0.3">
      <c r="A948" s="57" t="s">
        <v>2018</v>
      </c>
      <c r="B948" s="82">
        <v>45048</v>
      </c>
      <c r="C948" s="59">
        <f t="shared" si="98"/>
        <v>2023</v>
      </c>
      <c r="D948" s="59">
        <f t="shared" si="99"/>
        <v>5</v>
      </c>
      <c r="E948" s="59">
        <f t="shared" si="100"/>
        <v>18</v>
      </c>
      <c r="F948" s="57" t="s">
        <v>56</v>
      </c>
      <c r="G948" s="57" t="s">
        <v>41</v>
      </c>
      <c r="H948" s="57" t="s">
        <v>2019</v>
      </c>
      <c r="I948" s="57" t="s">
        <v>64</v>
      </c>
      <c r="J948" s="57" t="s">
        <v>123</v>
      </c>
      <c r="K948" s="57" t="s">
        <v>72</v>
      </c>
      <c r="L948" s="57" t="s">
        <v>113</v>
      </c>
      <c r="M948" s="60">
        <v>513</v>
      </c>
      <c r="N948" s="57" t="s">
        <v>120</v>
      </c>
      <c r="O948" s="61">
        <v>560.44000000000005</v>
      </c>
      <c r="P948" s="61">
        <v>287505.71999999997</v>
      </c>
      <c r="Q948" s="61">
        <v>16050.58</v>
      </c>
      <c r="R948" s="62">
        <f t="shared" si="101"/>
        <v>5.5826993633378848E-2</v>
      </c>
      <c r="S948" s="60">
        <v>5</v>
      </c>
      <c r="T948" s="58">
        <v>45053</v>
      </c>
      <c r="U948" s="58">
        <v>45050</v>
      </c>
      <c r="V948" s="63">
        <f t="shared" si="102"/>
        <v>-3</v>
      </c>
      <c r="W948" s="57" t="s">
        <v>115</v>
      </c>
      <c r="X948" s="64" t="b">
        <f t="shared" si="103"/>
        <v>1</v>
      </c>
      <c r="Y948" s="60">
        <v>201</v>
      </c>
      <c r="Z948" s="60">
        <v>438</v>
      </c>
      <c r="AA948" s="57" t="s">
        <v>116</v>
      </c>
      <c r="AB948" s="64" t="b">
        <f t="shared" si="104"/>
        <v>0</v>
      </c>
    </row>
    <row r="949" spans="1:28" ht="15" customHeight="1" x14ac:dyDescent="0.3">
      <c r="A949" s="65" t="s">
        <v>2020</v>
      </c>
      <c r="B949" s="81">
        <v>45498</v>
      </c>
      <c r="C949" s="59">
        <f t="shared" si="98"/>
        <v>2024</v>
      </c>
      <c r="D949" s="59">
        <f t="shared" si="99"/>
        <v>7</v>
      </c>
      <c r="E949" s="59">
        <f t="shared" si="100"/>
        <v>30</v>
      </c>
      <c r="F949" s="65" t="s">
        <v>60</v>
      </c>
      <c r="G949" s="65" t="s">
        <v>42</v>
      </c>
      <c r="H949" s="65" t="s">
        <v>2021</v>
      </c>
      <c r="I949" s="65" t="s">
        <v>65</v>
      </c>
      <c r="J949" s="65" t="s">
        <v>143</v>
      </c>
      <c r="K949" s="65" t="s">
        <v>72</v>
      </c>
      <c r="L949" s="65" t="s">
        <v>119</v>
      </c>
      <c r="M949" s="67">
        <v>463</v>
      </c>
      <c r="N949" s="65" t="s">
        <v>120</v>
      </c>
      <c r="O949" s="68">
        <v>100.02</v>
      </c>
      <c r="P949" s="68">
        <v>46309.26</v>
      </c>
      <c r="Q949" s="68">
        <v>2104.81</v>
      </c>
      <c r="R949" s="62">
        <f t="shared" si="101"/>
        <v>4.5451168945476558E-2</v>
      </c>
      <c r="S949" s="67">
        <v>5</v>
      </c>
      <c r="T949" s="66">
        <v>45503</v>
      </c>
      <c r="U949" s="66">
        <v>45511</v>
      </c>
      <c r="V949" s="63">
        <f t="shared" si="102"/>
        <v>8</v>
      </c>
      <c r="W949" s="65" t="s">
        <v>125</v>
      </c>
      <c r="X949" s="64" t="b">
        <f t="shared" si="103"/>
        <v>0</v>
      </c>
      <c r="Y949" s="67">
        <v>139</v>
      </c>
      <c r="Z949" s="67">
        <v>193</v>
      </c>
      <c r="AA949" s="65" t="s">
        <v>82</v>
      </c>
      <c r="AB949" s="64" t="b">
        <f t="shared" si="104"/>
        <v>1</v>
      </c>
    </row>
    <row r="950" spans="1:28" ht="15" customHeight="1" x14ac:dyDescent="0.3">
      <c r="A950" s="57" t="s">
        <v>2022</v>
      </c>
      <c r="B950" s="82">
        <v>45353</v>
      </c>
      <c r="C950" s="59">
        <f t="shared" si="98"/>
        <v>2024</v>
      </c>
      <c r="D950" s="59">
        <f t="shared" si="99"/>
        <v>3</v>
      </c>
      <c r="E950" s="59">
        <f t="shared" si="100"/>
        <v>9</v>
      </c>
      <c r="F950" s="57" t="s">
        <v>57</v>
      </c>
      <c r="G950" s="57" t="s">
        <v>45</v>
      </c>
      <c r="H950" s="57" t="s">
        <v>2023</v>
      </c>
      <c r="I950" s="57" t="s">
        <v>65</v>
      </c>
      <c r="J950" s="57" t="s">
        <v>123</v>
      </c>
      <c r="K950" s="57" t="s">
        <v>73</v>
      </c>
      <c r="L950" s="57" t="s">
        <v>124</v>
      </c>
      <c r="M950" s="60">
        <v>300</v>
      </c>
      <c r="N950" s="57" t="s">
        <v>114</v>
      </c>
      <c r="O950" s="61">
        <v>183.76</v>
      </c>
      <c r="P950" s="61">
        <v>55128</v>
      </c>
      <c r="Q950" s="61">
        <v>2580.06</v>
      </c>
      <c r="R950" s="62">
        <f t="shared" si="101"/>
        <v>4.6801262516325638E-2</v>
      </c>
      <c r="S950" s="60">
        <v>6</v>
      </c>
      <c r="T950" s="58">
        <v>45359</v>
      </c>
      <c r="U950" s="58">
        <v>45359</v>
      </c>
      <c r="V950" s="63">
        <f t="shared" si="102"/>
        <v>0</v>
      </c>
      <c r="W950" s="57" t="s">
        <v>115</v>
      </c>
      <c r="X950" s="64" t="b">
        <f t="shared" si="103"/>
        <v>1</v>
      </c>
      <c r="Y950" s="60">
        <v>145</v>
      </c>
      <c r="Z950" s="60">
        <v>269</v>
      </c>
      <c r="AA950" s="57" t="s">
        <v>81</v>
      </c>
      <c r="AB950" s="64" t="b">
        <f t="shared" si="104"/>
        <v>1</v>
      </c>
    </row>
    <row r="951" spans="1:28" ht="15" customHeight="1" x14ac:dyDescent="0.3">
      <c r="A951" s="65" t="s">
        <v>2024</v>
      </c>
      <c r="B951" s="81">
        <v>45547</v>
      </c>
      <c r="C951" s="59">
        <f t="shared" si="98"/>
        <v>2024</v>
      </c>
      <c r="D951" s="59">
        <f t="shared" si="99"/>
        <v>9</v>
      </c>
      <c r="E951" s="59">
        <f t="shared" si="100"/>
        <v>37</v>
      </c>
      <c r="F951" s="65" t="s">
        <v>54</v>
      </c>
      <c r="G951" s="65" t="s">
        <v>40</v>
      </c>
      <c r="H951" s="65" t="s">
        <v>2025</v>
      </c>
      <c r="I951" s="65" t="s">
        <v>66</v>
      </c>
      <c r="J951" s="65" t="s">
        <v>151</v>
      </c>
      <c r="K951" s="65" t="s">
        <v>75</v>
      </c>
      <c r="L951" s="65" t="s">
        <v>146</v>
      </c>
      <c r="M951" s="67">
        <v>543</v>
      </c>
      <c r="N951" s="65" t="s">
        <v>140</v>
      </c>
      <c r="O951" s="68">
        <v>1031.3399999999999</v>
      </c>
      <c r="P951" s="68">
        <v>560017.62</v>
      </c>
      <c r="Q951" s="68">
        <v>19739.97</v>
      </c>
      <c r="R951" s="62">
        <f t="shared" si="101"/>
        <v>3.5248837349081984E-2</v>
      </c>
      <c r="S951" s="67">
        <v>3</v>
      </c>
      <c r="T951" s="66">
        <v>45550</v>
      </c>
      <c r="U951" s="66">
        <v>45550</v>
      </c>
      <c r="V951" s="63">
        <f t="shared" si="102"/>
        <v>0</v>
      </c>
      <c r="W951" s="65" t="s">
        <v>115</v>
      </c>
      <c r="X951" s="64" t="b">
        <f t="shared" si="103"/>
        <v>1</v>
      </c>
      <c r="Y951" s="67">
        <v>461</v>
      </c>
      <c r="Z951" s="67">
        <v>365</v>
      </c>
      <c r="AA951" s="65" t="s">
        <v>84</v>
      </c>
      <c r="AB951" s="64" t="b">
        <f t="shared" si="104"/>
        <v>1</v>
      </c>
    </row>
    <row r="952" spans="1:28" ht="15" customHeight="1" x14ac:dyDescent="0.3">
      <c r="A952" s="57" t="s">
        <v>2026</v>
      </c>
      <c r="B952" s="82">
        <v>45537</v>
      </c>
      <c r="C952" s="59">
        <f t="shared" si="98"/>
        <v>2024</v>
      </c>
      <c r="D952" s="59">
        <f t="shared" si="99"/>
        <v>9</v>
      </c>
      <c r="E952" s="59">
        <f t="shared" si="100"/>
        <v>36</v>
      </c>
      <c r="F952" s="57" t="s">
        <v>59</v>
      </c>
      <c r="G952" s="57" t="s">
        <v>40</v>
      </c>
      <c r="H952" s="57" t="s">
        <v>2027</v>
      </c>
      <c r="I952" s="57" t="s">
        <v>65</v>
      </c>
      <c r="J952" s="57" t="s">
        <v>131</v>
      </c>
      <c r="K952" s="57" t="s">
        <v>71</v>
      </c>
      <c r="L952" s="57" t="s">
        <v>135</v>
      </c>
      <c r="M952" s="60">
        <v>202</v>
      </c>
      <c r="N952" s="57" t="s">
        <v>132</v>
      </c>
      <c r="O952" s="61">
        <v>593.05999999999995</v>
      </c>
      <c r="P952" s="61">
        <v>119798.12</v>
      </c>
      <c r="Q952" s="61">
        <v>8326.94</v>
      </c>
      <c r="R952" s="62">
        <f t="shared" si="101"/>
        <v>6.9508102464379246E-2</v>
      </c>
      <c r="S952" s="60">
        <v>21</v>
      </c>
      <c r="T952" s="58">
        <v>45558</v>
      </c>
      <c r="U952" s="58">
        <v>45558</v>
      </c>
      <c r="V952" s="63">
        <f t="shared" si="102"/>
        <v>0</v>
      </c>
      <c r="W952" s="57" t="s">
        <v>115</v>
      </c>
      <c r="X952" s="64" t="b">
        <f t="shared" si="103"/>
        <v>1</v>
      </c>
      <c r="Y952" s="60">
        <v>265</v>
      </c>
      <c r="Z952" s="60">
        <v>259</v>
      </c>
      <c r="AA952" s="57" t="s">
        <v>116</v>
      </c>
      <c r="AB952" s="64" t="b">
        <f t="shared" si="104"/>
        <v>0</v>
      </c>
    </row>
    <row r="953" spans="1:28" ht="15" customHeight="1" x14ac:dyDescent="0.3">
      <c r="A953" s="65" t="s">
        <v>2028</v>
      </c>
      <c r="B953" s="81">
        <v>45560</v>
      </c>
      <c r="C953" s="59">
        <f t="shared" si="98"/>
        <v>2024</v>
      </c>
      <c r="D953" s="59">
        <f t="shared" si="99"/>
        <v>9</v>
      </c>
      <c r="E953" s="59">
        <f t="shared" si="100"/>
        <v>39</v>
      </c>
      <c r="F953" s="65" t="s">
        <v>60</v>
      </c>
      <c r="G953" s="65" t="s">
        <v>44</v>
      </c>
      <c r="H953" s="65" t="s">
        <v>2029</v>
      </c>
      <c r="I953" s="65" t="s">
        <v>67</v>
      </c>
      <c r="J953" s="65" t="s">
        <v>123</v>
      </c>
      <c r="K953" s="65" t="s">
        <v>75</v>
      </c>
      <c r="L953" s="65" t="s">
        <v>156</v>
      </c>
      <c r="M953" s="67">
        <v>989</v>
      </c>
      <c r="N953" s="65" t="s">
        <v>136</v>
      </c>
      <c r="O953" s="68">
        <v>88.73</v>
      </c>
      <c r="P953" s="68">
        <v>87753.97</v>
      </c>
      <c r="Q953" s="68">
        <v>4310.07</v>
      </c>
      <c r="R953" s="62">
        <f t="shared" si="101"/>
        <v>4.9115384751253988E-2</v>
      </c>
      <c r="S953" s="67">
        <v>23</v>
      </c>
      <c r="T953" s="66">
        <v>45583</v>
      </c>
      <c r="U953" s="66">
        <v>45583</v>
      </c>
      <c r="V953" s="63">
        <f t="shared" si="102"/>
        <v>0</v>
      </c>
      <c r="W953" s="65" t="s">
        <v>115</v>
      </c>
      <c r="X953" s="64" t="b">
        <f t="shared" si="103"/>
        <v>1</v>
      </c>
      <c r="Y953" s="67">
        <v>201</v>
      </c>
      <c r="Z953" s="67">
        <v>400</v>
      </c>
      <c r="AA953" s="65" t="s">
        <v>82</v>
      </c>
      <c r="AB953" s="64" t="b">
        <f t="shared" si="104"/>
        <v>1</v>
      </c>
    </row>
    <row r="954" spans="1:28" ht="15" customHeight="1" x14ac:dyDescent="0.3">
      <c r="A954" s="57" t="s">
        <v>2030</v>
      </c>
      <c r="B954" s="82">
        <v>45158</v>
      </c>
      <c r="C954" s="59">
        <f t="shared" si="98"/>
        <v>2023</v>
      </c>
      <c r="D954" s="59">
        <f t="shared" si="99"/>
        <v>8</v>
      </c>
      <c r="E954" s="59">
        <f t="shared" si="100"/>
        <v>34</v>
      </c>
      <c r="F954" s="57" t="s">
        <v>58</v>
      </c>
      <c r="G954" s="57" t="s">
        <v>39</v>
      </c>
      <c r="H954" s="57" t="s">
        <v>2031</v>
      </c>
      <c r="I954" s="57" t="s">
        <v>64</v>
      </c>
      <c r="J954" s="57" t="s">
        <v>139</v>
      </c>
      <c r="K954" s="57" t="s">
        <v>75</v>
      </c>
      <c r="L954" s="57" t="s">
        <v>119</v>
      </c>
      <c r="M954" s="60">
        <v>159</v>
      </c>
      <c r="N954" s="57" t="s">
        <v>114</v>
      </c>
      <c r="O954" s="61">
        <v>1513.55</v>
      </c>
      <c r="P954" s="61">
        <v>240654.45</v>
      </c>
      <c r="Q954" s="61">
        <v>12659.47</v>
      </c>
      <c r="R954" s="62">
        <f t="shared" si="101"/>
        <v>5.2604346190149399E-2</v>
      </c>
      <c r="S954" s="60">
        <v>5</v>
      </c>
      <c r="T954" s="58">
        <v>45163</v>
      </c>
      <c r="U954" s="58">
        <v>45168</v>
      </c>
      <c r="V954" s="63">
        <f t="shared" si="102"/>
        <v>5</v>
      </c>
      <c r="W954" s="57" t="s">
        <v>125</v>
      </c>
      <c r="X954" s="64" t="b">
        <f t="shared" si="103"/>
        <v>0</v>
      </c>
      <c r="Y954" s="60">
        <v>401</v>
      </c>
      <c r="Z954" s="60">
        <v>238</v>
      </c>
      <c r="AA954" s="57" t="s">
        <v>116</v>
      </c>
      <c r="AB954" s="64" t="b">
        <f t="shared" si="104"/>
        <v>0</v>
      </c>
    </row>
    <row r="955" spans="1:28" ht="15" customHeight="1" x14ac:dyDescent="0.3">
      <c r="A955" s="65" t="s">
        <v>2032</v>
      </c>
      <c r="B955" s="81">
        <v>45462</v>
      </c>
      <c r="C955" s="59">
        <f t="shared" si="98"/>
        <v>2024</v>
      </c>
      <c r="D955" s="59">
        <f t="shared" si="99"/>
        <v>6</v>
      </c>
      <c r="E955" s="59">
        <f t="shared" si="100"/>
        <v>25</v>
      </c>
      <c r="F955" s="65" t="s">
        <v>60</v>
      </c>
      <c r="G955" s="65" t="s">
        <v>39</v>
      </c>
      <c r="H955" s="65" t="s">
        <v>1764</v>
      </c>
      <c r="I955" s="65" t="s">
        <v>66</v>
      </c>
      <c r="J955" s="65" t="s">
        <v>139</v>
      </c>
      <c r="K955" s="65" t="s">
        <v>72</v>
      </c>
      <c r="L955" s="65" t="s">
        <v>156</v>
      </c>
      <c r="M955" s="67">
        <v>889</v>
      </c>
      <c r="N955" s="65" t="s">
        <v>140</v>
      </c>
      <c r="O955" s="68">
        <v>1474.17</v>
      </c>
      <c r="P955" s="68">
        <v>1310537.1299999999</v>
      </c>
      <c r="Q955" s="68">
        <v>50174.77</v>
      </c>
      <c r="R955" s="62">
        <f t="shared" si="101"/>
        <v>3.8285653150475787E-2</v>
      </c>
      <c r="S955" s="67">
        <v>21</v>
      </c>
      <c r="T955" s="66">
        <v>45483</v>
      </c>
      <c r="U955" s="66">
        <v>45484</v>
      </c>
      <c r="V955" s="63">
        <f t="shared" si="102"/>
        <v>1</v>
      </c>
      <c r="W955" s="65" t="s">
        <v>125</v>
      </c>
      <c r="X955" s="64" t="b">
        <f t="shared" si="103"/>
        <v>0</v>
      </c>
      <c r="Y955" s="67">
        <v>151</v>
      </c>
      <c r="Z955" s="67">
        <v>111</v>
      </c>
      <c r="AA955" s="65" t="s">
        <v>82</v>
      </c>
      <c r="AB955" s="64" t="b">
        <f t="shared" si="104"/>
        <v>1</v>
      </c>
    </row>
    <row r="956" spans="1:28" ht="15" customHeight="1" x14ac:dyDescent="0.3">
      <c r="A956" s="57" t="s">
        <v>2033</v>
      </c>
      <c r="B956" s="82">
        <v>45316</v>
      </c>
      <c r="C956" s="59">
        <f t="shared" si="98"/>
        <v>2024</v>
      </c>
      <c r="D956" s="59">
        <f t="shared" si="99"/>
        <v>1</v>
      </c>
      <c r="E956" s="59">
        <f t="shared" si="100"/>
        <v>4</v>
      </c>
      <c r="F956" s="57" t="s">
        <v>54</v>
      </c>
      <c r="G956" s="57" t="s">
        <v>46</v>
      </c>
      <c r="H956" s="57" t="s">
        <v>2034</v>
      </c>
      <c r="I956" s="57" t="s">
        <v>69</v>
      </c>
      <c r="J956" s="57" t="s">
        <v>123</v>
      </c>
      <c r="K956" s="57" t="s">
        <v>72</v>
      </c>
      <c r="L956" s="57" t="s">
        <v>119</v>
      </c>
      <c r="M956" s="60">
        <v>768</v>
      </c>
      <c r="N956" s="57" t="s">
        <v>132</v>
      </c>
      <c r="O956" s="61">
        <v>57.15</v>
      </c>
      <c r="P956" s="61">
        <v>43891.199999999997</v>
      </c>
      <c r="Q956" s="61">
        <v>1356.61</v>
      </c>
      <c r="R956" s="62">
        <f t="shared" si="101"/>
        <v>3.0908473680373288E-2</v>
      </c>
      <c r="S956" s="60">
        <v>5</v>
      </c>
      <c r="T956" s="58">
        <v>45321</v>
      </c>
      <c r="U956" s="58">
        <v>45326</v>
      </c>
      <c r="V956" s="63">
        <f t="shared" si="102"/>
        <v>5</v>
      </c>
      <c r="W956" s="57" t="s">
        <v>128</v>
      </c>
      <c r="X956" s="64" t="b">
        <f t="shared" si="103"/>
        <v>0</v>
      </c>
      <c r="Y956" s="60">
        <v>384</v>
      </c>
      <c r="Z956" s="60">
        <v>68</v>
      </c>
      <c r="AA956" s="57" t="s">
        <v>82</v>
      </c>
      <c r="AB956" s="64" t="b">
        <f t="shared" si="104"/>
        <v>1</v>
      </c>
    </row>
    <row r="957" spans="1:28" ht="15" customHeight="1" x14ac:dyDescent="0.3">
      <c r="A957" s="65" t="s">
        <v>2035</v>
      </c>
      <c r="B957" s="81">
        <v>45388</v>
      </c>
      <c r="C957" s="59">
        <f t="shared" si="98"/>
        <v>2024</v>
      </c>
      <c r="D957" s="59">
        <f t="shared" si="99"/>
        <v>4</v>
      </c>
      <c r="E957" s="59">
        <f t="shared" si="100"/>
        <v>14</v>
      </c>
      <c r="F957" s="65" t="s">
        <v>59</v>
      </c>
      <c r="G957" s="65" t="s">
        <v>43</v>
      </c>
      <c r="H957" s="65" t="s">
        <v>2036</v>
      </c>
      <c r="I957" s="65" t="s">
        <v>69</v>
      </c>
      <c r="J957" s="65" t="s">
        <v>151</v>
      </c>
      <c r="K957" s="65" t="s">
        <v>71</v>
      </c>
      <c r="L957" s="65" t="s">
        <v>119</v>
      </c>
      <c r="M957" s="67">
        <v>788</v>
      </c>
      <c r="N957" s="65" t="s">
        <v>132</v>
      </c>
      <c r="O957" s="68">
        <v>218.56</v>
      </c>
      <c r="P957" s="68">
        <v>172225.28</v>
      </c>
      <c r="Q957" s="68">
        <v>4332.26</v>
      </c>
      <c r="R957" s="62">
        <f t="shared" si="101"/>
        <v>2.5154611448447058E-2</v>
      </c>
      <c r="S957" s="67">
        <v>10</v>
      </c>
      <c r="T957" s="66">
        <v>45398</v>
      </c>
      <c r="U957" s="66">
        <v>45400</v>
      </c>
      <c r="V957" s="63">
        <f t="shared" si="102"/>
        <v>2</v>
      </c>
      <c r="W957" s="65" t="s">
        <v>125</v>
      </c>
      <c r="X957" s="64" t="b">
        <f t="shared" si="103"/>
        <v>0</v>
      </c>
      <c r="Y957" s="67">
        <v>221</v>
      </c>
      <c r="Z957" s="67">
        <v>407</v>
      </c>
      <c r="AA957" s="65" t="s">
        <v>81</v>
      </c>
      <c r="AB957" s="64" t="b">
        <f t="shared" si="104"/>
        <v>1</v>
      </c>
    </row>
    <row r="958" spans="1:28" ht="15" customHeight="1" x14ac:dyDescent="0.3">
      <c r="A958" s="57" t="s">
        <v>2037</v>
      </c>
      <c r="B958" s="82">
        <v>45380</v>
      </c>
      <c r="C958" s="59">
        <f t="shared" si="98"/>
        <v>2024</v>
      </c>
      <c r="D958" s="59">
        <f t="shared" si="99"/>
        <v>3</v>
      </c>
      <c r="E958" s="59">
        <f t="shared" si="100"/>
        <v>13</v>
      </c>
      <c r="F958" s="57" t="s">
        <v>54</v>
      </c>
      <c r="G958" s="57" t="s">
        <v>45</v>
      </c>
      <c r="H958" s="57" t="s">
        <v>2038</v>
      </c>
      <c r="I958" s="57" t="s">
        <v>64</v>
      </c>
      <c r="J958" s="57" t="s">
        <v>131</v>
      </c>
      <c r="K958" s="57" t="s">
        <v>72</v>
      </c>
      <c r="L958" s="57" t="s">
        <v>135</v>
      </c>
      <c r="M958" s="60">
        <v>982</v>
      </c>
      <c r="N958" s="57" t="s">
        <v>114</v>
      </c>
      <c r="O958" s="61">
        <v>191.32</v>
      </c>
      <c r="P958" s="61">
        <v>187876.24</v>
      </c>
      <c r="Q958" s="61">
        <v>11807.49</v>
      </c>
      <c r="R958" s="62">
        <f t="shared" si="101"/>
        <v>6.2847170030654223E-2</v>
      </c>
      <c r="S958" s="60">
        <v>10</v>
      </c>
      <c r="T958" s="58">
        <v>45390</v>
      </c>
      <c r="U958" s="58">
        <v>45391</v>
      </c>
      <c r="V958" s="63">
        <f t="shared" si="102"/>
        <v>1</v>
      </c>
      <c r="W958" s="57" t="s">
        <v>125</v>
      </c>
      <c r="X958" s="64" t="b">
        <f t="shared" si="103"/>
        <v>0</v>
      </c>
      <c r="Y958" s="60">
        <v>78</v>
      </c>
      <c r="Z958" s="60">
        <v>48</v>
      </c>
      <c r="AA958" s="57" t="s">
        <v>81</v>
      </c>
      <c r="AB958" s="64" t="b">
        <f t="shared" si="104"/>
        <v>1</v>
      </c>
    </row>
    <row r="959" spans="1:28" ht="15" customHeight="1" x14ac:dyDescent="0.3">
      <c r="A959" s="65" t="s">
        <v>2039</v>
      </c>
      <c r="B959" s="81">
        <v>45231</v>
      </c>
      <c r="C959" s="59">
        <f t="shared" si="98"/>
        <v>2023</v>
      </c>
      <c r="D959" s="59">
        <f t="shared" si="99"/>
        <v>11</v>
      </c>
      <c r="E959" s="59">
        <f t="shared" si="100"/>
        <v>44</v>
      </c>
      <c r="F959" s="65" t="s">
        <v>54</v>
      </c>
      <c r="G959" s="65" t="s">
        <v>43</v>
      </c>
      <c r="H959" s="65" t="s">
        <v>2040</v>
      </c>
      <c r="I959" s="65" t="s">
        <v>69</v>
      </c>
      <c r="J959" s="65" t="s">
        <v>139</v>
      </c>
      <c r="K959" s="65" t="s">
        <v>75</v>
      </c>
      <c r="L959" s="65" t="s">
        <v>119</v>
      </c>
      <c r="M959" s="67">
        <v>772</v>
      </c>
      <c r="N959" s="65" t="s">
        <v>140</v>
      </c>
      <c r="O959" s="68">
        <v>170.76</v>
      </c>
      <c r="P959" s="68">
        <v>131826.72</v>
      </c>
      <c r="Q959" s="68">
        <v>4188.67</v>
      </c>
      <c r="R959" s="62">
        <f t="shared" si="101"/>
        <v>3.1774059158871583E-2</v>
      </c>
      <c r="S959" s="67">
        <v>19</v>
      </c>
      <c r="T959" s="66">
        <v>45250</v>
      </c>
      <c r="U959" s="66">
        <v>45250</v>
      </c>
      <c r="V959" s="63">
        <f t="shared" si="102"/>
        <v>0</v>
      </c>
      <c r="W959" s="65" t="s">
        <v>115</v>
      </c>
      <c r="X959" s="64" t="b">
        <f t="shared" si="103"/>
        <v>1</v>
      </c>
      <c r="Y959" s="67">
        <v>199</v>
      </c>
      <c r="Z959" s="67">
        <v>310</v>
      </c>
      <c r="AA959" s="65" t="s">
        <v>116</v>
      </c>
      <c r="AB959" s="64" t="b">
        <f t="shared" si="104"/>
        <v>0</v>
      </c>
    </row>
    <row r="960" spans="1:28" ht="15" customHeight="1" x14ac:dyDescent="0.3">
      <c r="A960" s="57" t="s">
        <v>2041</v>
      </c>
      <c r="B960" s="82">
        <v>45529</v>
      </c>
      <c r="C960" s="59">
        <f t="shared" si="98"/>
        <v>2024</v>
      </c>
      <c r="D960" s="59">
        <f t="shared" si="99"/>
        <v>8</v>
      </c>
      <c r="E960" s="59">
        <f t="shared" si="100"/>
        <v>35</v>
      </c>
      <c r="F960" s="57" t="s">
        <v>61</v>
      </c>
      <c r="G960" s="57" t="s">
        <v>44</v>
      </c>
      <c r="H960" s="57" t="s">
        <v>2042</v>
      </c>
      <c r="I960" s="57" t="s">
        <v>67</v>
      </c>
      <c r="J960" s="57" t="s">
        <v>123</v>
      </c>
      <c r="K960" s="57" t="s">
        <v>73</v>
      </c>
      <c r="L960" s="57" t="s">
        <v>135</v>
      </c>
      <c r="M960" s="60">
        <v>524</v>
      </c>
      <c r="N960" s="57" t="s">
        <v>140</v>
      </c>
      <c r="O960" s="61">
        <v>113.71</v>
      </c>
      <c r="P960" s="61">
        <v>59584.04</v>
      </c>
      <c r="Q960" s="61">
        <v>3658.73</v>
      </c>
      <c r="R960" s="62">
        <f t="shared" si="101"/>
        <v>6.140453047493926E-2</v>
      </c>
      <c r="S960" s="60">
        <v>17</v>
      </c>
      <c r="T960" s="58">
        <v>45546</v>
      </c>
      <c r="U960" s="58">
        <v>45541</v>
      </c>
      <c r="V960" s="63">
        <f t="shared" si="102"/>
        <v>-5</v>
      </c>
      <c r="W960" s="57" t="s">
        <v>115</v>
      </c>
      <c r="X960" s="64" t="b">
        <f t="shared" si="103"/>
        <v>1</v>
      </c>
      <c r="Y960" s="60">
        <v>249</v>
      </c>
      <c r="Z960" s="60">
        <v>454</v>
      </c>
      <c r="AA960" s="57" t="s">
        <v>116</v>
      </c>
      <c r="AB960" s="64" t="b">
        <f t="shared" si="104"/>
        <v>0</v>
      </c>
    </row>
    <row r="961" spans="1:28" ht="15" customHeight="1" x14ac:dyDescent="0.3">
      <c r="A961" s="65" t="s">
        <v>2043</v>
      </c>
      <c r="B961" s="81">
        <v>45366</v>
      </c>
      <c r="C961" s="59">
        <f t="shared" si="98"/>
        <v>2024</v>
      </c>
      <c r="D961" s="59">
        <f t="shared" si="99"/>
        <v>3</v>
      </c>
      <c r="E961" s="59">
        <f t="shared" si="100"/>
        <v>11</v>
      </c>
      <c r="F961" s="65" t="s">
        <v>56</v>
      </c>
      <c r="G961" s="65" t="s">
        <v>40</v>
      </c>
      <c r="H961" s="65" t="s">
        <v>2044</v>
      </c>
      <c r="I961" s="65" t="s">
        <v>65</v>
      </c>
      <c r="J961" s="65" t="s">
        <v>123</v>
      </c>
      <c r="K961" s="65" t="s">
        <v>71</v>
      </c>
      <c r="L961" s="65" t="s">
        <v>113</v>
      </c>
      <c r="M961" s="67">
        <v>402</v>
      </c>
      <c r="N961" s="65" t="s">
        <v>163</v>
      </c>
      <c r="O961" s="68">
        <v>1183.94</v>
      </c>
      <c r="P961" s="68">
        <v>475943.88</v>
      </c>
      <c r="Q961" s="68">
        <v>20666.71</v>
      </c>
      <c r="R961" s="62">
        <f t="shared" si="101"/>
        <v>4.3422577468587263E-2</v>
      </c>
      <c r="S961" s="67">
        <v>21</v>
      </c>
      <c r="T961" s="66">
        <v>45387</v>
      </c>
      <c r="U961" s="66">
        <v>45387</v>
      </c>
      <c r="V961" s="63">
        <f t="shared" si="102"/>
        <v>0</v>
      </c>
      <c r="W961" s="65" t="s">
        <v>115</v>
      </c>
      <c r="X961" s="64" t="b">
        <f t="shared" si="103"/>
        <v>1</v>
      </c>
      <c r="Y961" s="67">
        <v>98</v>
      </c>
      <c r="Z961" s="67">
        <v>150</v>
      </c>
      <c r="AA961" s="65" t="s">
        <v>116</v>
      </c>
      <c r="AB961" s="64" t="b">
        <f t="shared" si="104"/>
        <v>0</v>
      </c>
    </row>
    <row r="962" spans="1:28" ht="15" customHeight="1" x14ac:dyDescent="0.3">
      <c r="A962" s="57" t="s">
        <v>2045</v>
      </c>
      <c r="B962" s="82">
        <v>45239</v>
      </c>
      <c r="C962" s="59">
        <f t="shared" ref="C962:C1025" si="105">YEAR(B962)</f>
        <v>2023</v>
      </c>
      <c r="D962" s="59">
        <f t="shared" ref="D962:D1025" si="106">MONTH(B962)</f>
        <v>11</v>
      </c>
      <c r="E962" s="59">
        <f t="shared" ref="E962:E1025" si="107">WEEKNUM(B962,1)</f>
        <v>45</v>
      </c>
      <c r="F962" s="57" t="s">
        <v>55</v>
      </c>
      <c r="G962" s="57" t="s">
        <v>46</v>
      </c>
      <c r="H962" s="57" t="s">
        <v>2046</v>
      </c>
      <c r="I962" s="57" t="s">
        <v>64</v>
      </c>
      <c r="J962" s="57" t="s">
        <v>112</v>
      </c>
      <c r="K962" s="57" t="s">
        <v>73</v>
      </c>
      <c r="L962" s="57" t="s">
        <v>156</v>
      </c>
      <c r="M962" s="60">
        <v>325</v>
      </c>
      <c r="N962" s="57" t="s">
        <v>136</v>
      </c>
      <c r="O962" s="61">
        <v>61.73</v>
      </c>
      <c r="P962" s="61">
        <v>20062.25</v>
      </c>
      <c r="Q962" s="61">
        <v>901.73</v>
      </c>
      <c r="R962" s="62">
        <f t="shared" ref="R962:R1025" si="108">Q962/P962</f>
        <v>4.4946603695996214E-2</v>
      </c>
      <c r="S962" s="60">
        <v>14</v>
      </c>
      <c r="T962" s="58">
        <v>45253</v>
      </c>
      <c r="U962" s="58">
        <v>45258</v>
      </c>
      <c r="V962" s="63">
        <f t="shared" ref="V962:V1025" si="109">U962-T962</f>
        <v>5</v>
      </c>
      <c r="W962" s="57" t="s">
        <v>128</v>
      </c>
      <c r="X962" s="64" t="b">
        <f t="shared" ref="X962:X1025" si="110">IF(W962="Entregado", TRUE(), FALSE())</f>
        <v>0</v>
      </c>
      <c r="Y962" s="60">
        <v>465</v>
      </c>
      <c r="Z962" s="60">
        <v>238</v>
      </c>
      <c r="AA962" s="57" t="s">
        <v>116</v>
      </c>
      <c r="AB962" s="64" t="b">
        <f t="shared" ref="AB962:AB1025" si="111">IF(AA962="Ninguna",FALSE(),TRUE())</f>
        <v>0</v>
      </c>
    </row>
    <row r="963" spans="1:28" ht="15" customHeight="1" x14ac:dyDescent="0.3">
      <c r="A963" s="65" t="s">
        <v>2047</v>
      </c>
      <c r="B963" s="81">
        <v>45509</v>
      </c>
      <c r="C963" s="59">
        <f t="shared" si="105"/>
        <v>2024</v>
      </c>
      <c r="D963" s="59">
        <f t="shared" si="106"/>
        <v>8</v>
      </c>
      <c r="E963" s="59">
        <f t="shared" si="107"/>
        <v>32</v>
      </c>
      <c r="F963" s="65" t="s">
        <v>58</v>
      </c>
      <c r="G963" s="65" t="s">
        <v>46</v>
      </c>
      <c r="H963" s="65" t="s">
        <v>2048</v>
      </c>
      <c r="I963" s="65" t="s">
        <v>66</v>
      </c>
      <c r="J963" s="65" t="s">
        <v>123</v>
      </c>
      <c r="K963" s="65" t="s">
        <v>75</v>
      </c>
      <c r="L963" s="65" t="s">
        <v>135</v>
      </c>
      <c r="M963" s="67">
        <v>85</v>
      </c>
      <c r="N963" s="65" t="s">
        <v>120</v>
      </c>
      <c r="O963" s="68">
        <v>63.35</v>
      </c>
      <c r="P963" s="68">
        <v>5384.75</v>
      </c>
      <c r="Q963" s="68">
        <v>259.27999999999997</v>
      </c>
      <c r="R963" s="62">
        <f t="shared" si="108"/>
        <v>4.8150796230094245E-2</v>
      </c>
      <c r="S963" s="67">
        <v>9</v>
      </c>
      <c r="T963" s="66">
        <v>45518</v>
      </c>
      <c r="U963" s="66">
        <v>45515</v>
      </c>
      <c r="V963" s="63">
        <f t="shared" si="109"/>
        <v>-3</v>
      </c>
      <c r="W963" s="65" t="s">
        <v>115</v>
      </c>
      <c r="X963" s="64" t="b">
        <f t="shared" si="110"/>
        <v>1</v>
      </c>
      <c r="Y963" s="67">
        <v>488</v>
      </c>
      <c r="Z963" s="67">
        <v>336</v>
      </c>
      <c r="AA963" s="65" t="s">
        <v>116</v>
      </c>
      <c r="AB963" s="64" t="b">
        <f t="shared" si="111"/>
        <v>0</v>
      </c>
    </row>
    <row r="964" spans="1:28" ht="15" customHeight="1" x14ac:dyDescent="0.3">
      <c r="A964" s="57" t="s">
        <v>2049</v>
      </c>
      <c r="B964" s="82">
        <v>45562</v>
      </c>
      <c r="C964" s="59">
        <f t="shared" si="105"/>
        <v>2024</v>
      </c>
      <c r="D964" s="59">
        <f t="shared" si="106"/>
        <v>9</v>
      </c>
      <c r="E964" s="59">
        <f t="shared" si="107"/>
        <v>39</v>
      </c>
      <c r="F964" s="57" t="s">
        <v>52</v>
      </c>
      <c r="G964" s="57" t="s">
        <v>46</v>
      </c>
      <c r="H964" s="57" t="s">
        <v>2050</v>
      </c>
      <c r="I964" s="57" t="s">
        <v>65</v>
      </c>
      <c r="J964" s="57" t="s">
        <v>151</v>
      </c>
      <c r="K964" s="57" t="s">
        <v>71</v>
      </c>
      <c r="L964" s="57" t="s">
        <v>124</v>
      </c>
      <c r="M964" s="60">
        <v>608</v>
      </c>
      <c r="N964" s="57" t="s">
        <v>163</v>
      </c>
      <c r="O964" s="61">
        <v>69.67</v>
      </c>
      <c r="P964" s="61">
        <v>42359.360000000001</v>
      </c>
      <c r="Q964" s="61">
        <v>1781.74</v>
      </c>
      <c r="R964" s="62">
        <f t="shared" si="108"/>
        <v>4.2062486307630709E-2</v>
      </c>
      <c r="S964" s="60">
        <v>14</v>
      </c>
      <c r="T964" s="58">
        <v>45576</v>
      </c>
      <c r="U964" s="58">
        <v>45576</v>
      </c>
      <c r="V964" s="63">
        <f t="shared" si="109"/>
        <v>0</v>
      </c>
      <c r="W964" s="57" t="s">
        <v>115</v>
      </c>
      <c r="X964" s="64" t="b">
        <f t="shared" si="110"/>
        <v>1</v>
      </c>
      <c r="Y964" s="60">
        <v>399</v>
      </c>
      <c r="Z964" s="60">
        <v>395</v>
      </c>
      <c r="AA964" s="57" t="s">
        <v>83</v>
      </c>
      <c r="AB964" s="64" t="b">
        <f t="shared" si="111"/>
        <v>1</v>
      </c>
    </row>
    <row r="965" spans="1:28" ht="15" customHeight="1" x14ac:dyDescent="0.3">
      <c r="A965" s="65" t="s">
        <v>2051</v>
      </c>
      <c r="B965" s="81">
        <v>44988</v>
      </c>
      <c r="C965" s="59">
        <f t="shared" si="105"/>
        <v>2023</v>
      </c>
      <c r="D965" s="59">
        <f t="shared" si="106"/>
        <v>3</v>
      </c>
      <c r="E965" s="59">
        <f t="shared" si="107"/>
        <v>9</v>
      </c>
      <c r="F965" s="65" t="s">
        <v>57</v>
      </c>
      <c r="G965" s="65" t="s">
        <v>44</v>
      </c>
      <c r="H965" s="65" t="s">
        <v>2052</v>
      </c>
      <c r="I965" s="65" t="s">
        <v>69</v>
      </c>
      <c r="J965" s="65" t="s">
        <v>139</v>
      </c>
      <c r="K965" s="65" t="s">
        <v>73</v>
      </c>
      <c r="L965" s="65" t="s">
        <v>156</v>
      </c>
      <c r="M965" s="67">
        <v>279</v>
      </c>
      <c r="N965" s="65" t="s">
        <v>132</v>
      </c>
      <c r="O965" s="68">
        <v>178.4</v>
      </c>
      <c r="P965" s="68">
        <v>49773.599999999999</v>
      </c>
      <c r="Q965" s="68">
        <v>1295.97</v>
      </c>
      <c r="R965" s="62">
        <f t="shared" si="108"/>
        <v>2.6037296880273883E-2</v>
      </c>
      <c r="S965" s="67">
        <v>1</v>
      </c>
      <c r="T965" s="66">
        <v>44989</v>
      </c>
      <c r="U965" s="66">
        <v>44989</v>
      </c>
      <c r="V965" s="63">
        <f t="shared" si="109"/>
        <v>0</v>
      </c>
      <c r="W965" s="65" t="s">
        <v>115</v>
      </c>
      <c r="X965" s="64" t="b">
        <f t="shared" si="110"/>
        <v>1</v>
      </c>
      <c r="Y965" s="67">
        <v>212</v>
      </c>
      <c r="Z965" s="67">
        <v>394</v>
      </c>
      <c r="AA965" s="65" t="s">
        <v>83</v>
      </c>
      <c r="AB965" s="64" t="b">
        <f t="shared" si="111"/>
        <v>1</v>
      </c>
    </row>
    <row r="966" spans="1:28" ht="15" customHeight="1" x14ac:dyDescent="0.3">
      <c r="A966" s="57" t="s">
        <v>2053</v>
      </c>
      <c r="B966" s="82">
        <v>45551</v>
      </c>
      <c r="C966" s="59">
        <f t="shared" si="105"/>
        <v>2024</v>
      </c>
      <c r="D966" s="59">
        <f t="shared" si="106"/>
        <v>9</v>
      </c>
      <c r="E966" s="59">
        <f t="shared" si="107"/>
        <v>38</v>
      </c>
      <c r="F966" s="57" t="s">
        <v>60</v>
      </c>
      <c r="G966" s="57" t="s">
        <v>43</v>
      </c>
      <c r="H966" s="57" t="s">
        <v>2054</v>
      </c>
      <c r="I966" s="57" t="s">
        <v>69</v>
      </c>
      <c r="J966" s="57" t="s">
        <v>112</v>
      </c>
      <c r="K966" s="57" t="s">
        <v>71</v>
      </c>
      <c r="L966" s="57" t="s">
        <v>124</v>
      </c>
      <c r="M966" s="60">
        <v>234</v>
      </c>
      <c r="N966" s="57" t="s">
        <v>136</v>
      </c>
      <c r="O966" s="61">
        <v>178.66</v>
      </c>
      <c r="P966" s="61">
        <v>41806.44</v>
      </c>
      <c r="Q966" s="61">
        <v>1612.81</v>
      </c>
      <c r="R966" s="62">
        <f t="shared" si="108"/>
        <v>3.8578027691427444E-2</v>
      </c>
      <c r="S966" s="60">
        <v>19</v>
      </c>
      <c r="T966" s="58">
        <v>45570</v>
      </c>
      <c r="U966" s="58">
        <v>45567</v>
      </c>
      <c r="V966" s="63">
        <f t="shared" si="109"/>
        <v>-3</v>
      </c>
      <c r="W966" s="57" t="s">
        <v>115</v>
      </c>
      <c r="X966" s="64" t="b">
        <f t="shared" si="110"/>
        <v>1</v>
      </c>
      <c r="Y966" s="60">
        <v>142</v>
      </c>
      <c r="Z966" s="60">
        <v>114</v>
      </c>
      <c r="AA966" s="57" t="s">
        <v>116</v>
      </c>
      <c r="AB966" s="64" t="b">
        <f t="shared" si="111"/>
        <v>0</v>
      </c>
    </row>
    <row r="967" spans="1:28" ht="15" customHeight="1" x14ac:dyDescent="0.3">
      <c r="A967" s="65" t="s">
        <v>2055</v>
      </c>
      <c r="B967" s="81">
        <v>45028</v>
      </c>
      <c r="C967" s="59">
        <f t="shared" si="105"/>
        <v>2023</v>
      </c>
      <c r="D967" s="59">
        <f t="shared" si="106"/>
        <v>4</v>
      </c>
      <c r="E967" s="59">
        <f t="shared" si="107"/>
        <v>15</v>
      </c>
      <c r="F967" s="65" t="s">
        <v>58</v>
      </c>
      <c r="G967" s="65" t="s">
        <v>40</v>
      </c>
      <c r="H967" s="65" t="s">
        <v>2056</v>
      </c>
      <c r="I967" s="65" t="s">
        <v>66</v>
      </c>
      <c r="J967" s="65" t="s">
        <v>139</v>
      </c>
      <c r="K967" s="65" t="s">
        <v>75</v>
      </c>
      <c r="L967" s="65" t="s">
        <v>146</v>
      </c>
      <c r="M967" s="67">
        <v>539</v>
      </c>
      <c r="N967" s="65" t="s">
        <v>136</v>
      </c>
      <c r="O967" s="68">
        <v>996.02</v>
      </c>
      <c r="P967" s="68">
        <v>536854.78</v>
      </c>
      <c r="Q967" s="68">
        <v>32116.83</v>
      </c>
      <c r="R967" s="62">
        <f t="shared" si="108"/>
        <v>5.9824055212845458E-2</v>
      </c>
      <c r="S967" s="67">
        <v>13</v>
      </c>
      <c r="T967" s="66">
        <v>45041</v>
      </c>
      <c r="U967" s="66">
        <v>45041</v>
      </c>
      <c r="V967" s="63">
        <f t="shared" si="109"/>
        <v>0</v>
      </c>
      <c r="W967" s="65" t="s">
        <v>115</v>
      </c>
      <c r="X967" s="64" t="b">
        <f t="shared" si="110"/>
        <v>1</v>
      </c>
      <c r="Y967" s="67">
        <v>189</v>
      </c>
      <c r="Z967" s="67">
        <v>74</v>
      </c>
      <c r="AA967" s="65" t="s">
        <v>83</v>
      </c>
      <c r="AB967" s="64" t="b">
        <f t="shared" si="111"/>
        <v>1</v>
      </c>
    </row>
    <row r="968" spans="1:28" ht="15" customHeight="1" x14ac:dyDescent="0.3">
      <c r="A968" s="57" t="s">
        <v>2057</v>
      </c>
      <c r="B968" s="82">
        <v>45139</v>
      </c>
      <c r="C968" s="59">
        <f t="shared" si="105"/>
        <v>2023</v>
      </c>
      <c r="D968" s="59">
        <f t="shared" si="106"/>
        <v>8</v>
      </c>
      <c r="E968" s="59">
        <f t="shared" si="107"/>
        <v>31</v>
      </c>
      <c r="F968" s="57" t="s">
        <v>61</v>
      </c>
      <c r="G968" s="57" t="s">
        <v>46</v>
      </c>
      <c r="H968" s="57" t="s">
        <v>2058</v>
      </c>
      <c r="I968" s="57" t="s">
        <v>67</v>
      </c>
      <c r="J968" s="57" t="s">
        <v>139</v>
      </c>
      <c r="K968" s="57" t="s">
        <v>71</v>
      </c>
      <c r="L968" s="57" t="s">
        <v>124</v>
      </c>
      <c r="M968" s="60">
        <v>122</v>
      </c>
      <c r="N968" s="57" t="s">
        <v>140</v>
      </c>
      <c r="O968" s="61">
        <v>76.37</v>
      </c>
      <c r="P968" s="61">
        <v>9317.14</v>
      </c>
      <c r="Q968" s="61">
        <v>558.54</v>
      </c>
      <c r="R968" s="62">
        <f t="shared" si="108"/>
        <v>5.9947580480705455E-2</v>
      </c>
      <c r="S968" s="60">
        <v>13</v>
      </c>
      <c r="T968" s="58">
        <v>45152</v>
      </c>
      <c r="U968" s="58">
        <v>45152</v>
      </c>
      <c r="V968" s="63">
        <f t="shared" si="109"/>
        <v>0</v>
      </c>
      <c r="W968" s="57" t="s">
        <v>115</v>
      </c>
      <c r="X968" s="64" t="b">
        <f t="shared" si="110"/>
        <v>1</v>
      </c>
      <c r="Y968" s="60">
        <v>388</v>
      </c>
      <c r="Z968" s="60">
        <v>97</v>
      </c>
      <c r="AA968" s="57" t="s">
        <v>84</v>
      </c>
      <c r="AB968" s="64" t="b">
        <f t="shared" si="111"/>
        <v>1</v>
      </c>
    </row>
    <row r="969" spans="1:28" ht="15" customHeight="1" x14ac:dyDescent="0.3">
      <c r="A969" s="65" t="s">
        <v>2059</v>
      </c>
      <c r="B969" s="81">
        <v>45567</v>
      </c>
      <c r="C969" s="59">
        <f t="shared" si="105"/>
        <v>2024</v>
      </c>
      <c r="D969" s="59">
        <f t="shared" si="106"/>
        <v>10</v>
      </c>
      <c r="E969" s="59">
        <f t="shared" si="107"/>
        <v>40</v>
      </c>
      <c r="F969" s="65" t="s">
        <v>56</v>
      </c>
      <c r="G969" s="65" t="s">
        <v>40</v>
      </c>
      <c r="H969" s="65" t="s">
        <v>2060</v>
      </c>
      <c r="I969" s="65" t="s">
        <v>66</v>
      </c>
      <c r="J969" s="65" t="s">
        <v>151</v>
      </c>
      <c r="K969" s="65" t="s">
        <v>75</v>
      </c>
      <c r="L969" s="65" t="s">
        <v>113</v>
      </c>
      <c r="M969" s="67">
        <v>260</v>
      </c>
      <c r="N969" s="65" t="s">
        <v>136</v>
      </c>
      <c r="O969" s="68">
        <v>948.69</v>
      </c>
      <c r="P969" s="68">
        <v>246659.4</v>
      </c>
      <c r="Q969" s="68">
        <v>9169.18</v>
      </c>
      <c r="R969" s="62">
        <f t="shared" si="108"/>
        <v>3.7173446460990342E-2</v>
      </c>
      <c r="S969" s="67">
        <v>4</v>
      </c>
      <c r="T969" s="66">
        <v>45571</v>
      </c>
      <c r="U969" s="66">
        <v>45571</v>
      </c>
      <c r="V969" s="63">
        <f t="shared" si="109"/>
        <v>0</v>
      </c>
      <c r="W969" s="65" t="s">
        <v>115</v>
      </c>
      <c r="X969" s="64" t="b">
        <f t="shared" si="110"/>
        <v>1</v>
      </c>
      <c r="Y969" s="67">
        <v>300</v>
      </c>
      <c r="Z969" s="67">
        <v>382</v>
      </c>
      <c r="AA969" s="65" t="s">
        <v>81</v>
      </c>
      <c r="AB969" s="64" t="b">
        <f t="shared" si="111"/>
        <v>1</v>
      </c>
    </row>
    <row r="970" spans="1:28" ht="15" customHeight="1" x14ac:dyDescent="0.3">
      <c r="A970" s="57" t="s">
        <v>2061</v>
      </c>
      <c r="B970" s="82">
        <v>45143</v>
      </c>
      <c r="C970" s="59">
        <f t="shared" si="105"/>
        <v>2023</v>
      </c>
      <c r="D970" s="59">
        <f t="shared" si="106"/>
        <v>8</v>
      </c>
      <c r="E970" s="59">
        <f t="shared" si="107"/>
        <v>31</v>
      </c>
      <c r="F970" s="57" t="s">
        <v>60</v>
      </c>
      <c r="G970" s="57" t="s">
        <v>41</v>
      </c>
      <c r="H970" s="57" t="s">
        <v>2062</v>
      </c>
      <c r="I970" s="57" t="s">
        <v>64</v>
      </c>
      <c r="J970" s="57" t="s">
        <v>123</v>
      </c>
      <c r="K970" s="57" t="s">
        <v>71</v>
      </c>
      <c r="L970" s="57" t="s">
        <v>146</v>
      </c>
      <c r="M970" s="60">
        <v>242</v>
      </c>
      <c r="N970" s="57" t="s">
        <v>114</v>
      </c>
      <c r="O970" s="61">
        <v>385.43</v>
      </c>
      <c r="P970" s="61">
        <v>93274.06</v>
      </c>
      <c r="Q970" s="61">
        <v>4440.42</v>
      </c>
      <c r="R970" s="62">
        <f t="shared" si="108"/>
        <v>4.7606161884665474E-2</v>
      </c>
      <c r="S970" s="60">
        <v>1</v>
      </c>
      <c r="T970" s="58">
        <v>45144</v>
      </c>
      <c r="U970" s="58">
        <v>45143</v>
      </c>
      <c r="V970" s="63">
        <f t="shared" si="109"/>
        <v>-1</v>
      </c>
      <c r="W970" s="57" t="s">
        <v>115</v>
      </c>
      <c r="X970" s="64" t="b">
        <f t="shared" si="110"/>
        <v>1</v>
      </c>
      <c r="Y970" s="60">
        <v>373</v>
      </c>
      <c r="Z970" s="60">
        <v>110</v>
      </c>
      <c r="AA970" s="57" t="s">
        <v>116</v>
      </c>
      <c r="AB970" s="64" t="b">
        <f t="shared" si="111"/>
        <v>0</v>
      </c>
    </row>
    <row r="971" spans="1:28" ht="15" customHeight="1" x14ac:dyDescent="0.3">
      <c r="A971" s="65" t="s">
        <v>2063</v>
      </c>
      <c r="B971" s="81">
        <v>45197</v>
      </c>
      <c r="C971" s="59">
        <f t="shared" si="105"/>
        <v>2023</v>
      </c>
      <c r="D971" s="59">
        <f t="shared" si="106"/>
        <v>9</v>
      </c>
      <c r="E971" s="59">
        <f t="shared" si="107"/>
        <v>39</v>
      </c>
      <c r="F971" s="65" t="s">
        <v>57</v>
      </c>
      <c r="G971" s="65" t="s">
        <v>39</v>
      </c>
      <c r="H971" s="65" t="s">
        <v>2064</v>
      </c>
      <c r="I971" s="65" t="s">
        <v>66</v>
      </c>
      <c r="J971" s="65" t="s">
        <v>151</v>
      </c>
      <c r="K971" s="65" t="s">
        <v>71</v>
      </c>
      <c r="L971" s="65" t="s">
        <v>146</v>
      </c>
      <c r="M971" s="67">
        <v>850</v>
      </c>
      <c r="N971" s="65" t="s">
        <v>136</v>
      </c>
      <c r="O971" s="68">
        <v>1862.25</v>
      </c>
      <c r="P971" s="68">
        <v>1582912.5</v>
      </c>
      <c r="Q971" s="68">
        <v>50030.85</v>
      </c>
      <c r="R971" s="62">
        <f t="shared" si="108"/>
        <v>3.1606832342280448E-2</v>
      </c>
      <c r="S971" s="67">
        <v>17</v>
      </c>
      <c r="T971" s="66">
        <v>45214</v>
      </c>
      <c r="U971" s="66">
        <v>45209</v>
      </c>
      <c r="V971" s="63">
        <f t="shared" si="109"/>
        <v>-5</v>
      </c>
      <c r="W971" s="65" t="s">
        <v>115</v>
      </c>
      <c r="X971" s="64" t="b">
        <f t="shared" si="110"/>
        <v>1</v>
      </c>
      <c r="Y971" s="67">
        <v>51</v>
      </c>
      <c r="Z971" s="67">
        <v>356</v>
      </c>
      <c r="AA971" s="65" t="s">
        <v>82</v>
      </c>
      <c r="AB971" s="64" t="b">
        <f t="shared" si="111"/>
        <v>1</v>
      </c>
    </row>
    <row r="972" spans="1:28" ht="15" customHeight="1" x14ac:dyDescent="0.3">
      <c r="A972" s="57" t="s">
        <v>2065</v>
      </c>
      <c r="B972" s="82">
        <v>45603</v>
      </c>
      <c r="C972" s="59">
        <f t="shared" si="105"/>
        <v>2024</v>
      </c>
      <c r="D972" s="59">
        <f t="shared" si="106"/>
        <v>11</v>
      </c>
      <c r="E972" s="59">
        <f t="shared" si="107"/>
        <v>45</v>
      </c>
      <c r="F972" s="57" t="s">
        <v>55</v>
      </c>
      <c r="G972" s="57" t="s">
        <v>39</v>
      </c>
      <c r="H972" s="57" t="s">
        <v>2066</v>
      </c>
      <c r="I972" s="57" t="s">
        <v>69</v>
      </c>
      <c r="J972" s="57" t="s">
        <v>123</v>
      </c>
      <c r="K972" s="57" t="s">
        <v>72</v>
      </c>
      <c r="L972" s="57" t="s">
        <v>119</v>
      </c>
      <c r="M972" s="60">
        <v>800</v>
      </c>
      <c r="N972" s="57" t="s">
        <v>132</v>
      </c>
      <c r="O972" s="61">
        <v>1126.9100000000001</v>
      </c>
      <c r="P972" s="61">
        <v>901528</v>
      </c>
      <c r="Q972" s="61">
        <v>29409.94</v>
      </c>
      <c r="R972" s="62">
        <f t="shared" si="108"/>
        <v>3.2622325651560459E-2</v>
      </c>
      <c r="S972" s="60">
        <v>8</v>
      </c>
      <c r="T972" s="58">
        <v>45611</v>
      </c>
      <c r="U972" s="58">
        <v>45623</v>
      </c>
      <c r="V972" s="63">
        <f t="shared" si="109"/>
        <v>12</v>
      </c>
      <c r="W972" s="57" t="s">
        <v>128</v>
      </c>
      <c r="X972" s="64" t="b">
        <f t="shared" si="110"/>
        <v>0</v>
      </c>
      <c r="Y972" s="60">
        <v>454</v>
      </c>
      <c r="Z972" s="60">
        <v>369</v>
      </c>
      <c r="AA972" s="57" t="s">
        <v>84</v>
      </c>
      <c r="AB972" s="64" t="b">
        <f t="shared" si="111"/>
        <v>1</v>
      </c>
    </row>
    <row r="973" spans="1:28" ht="15" customHeight="1" x14ac:dyDescent="0.3">
      <c r="A973" s="65" t="s">
        <v>2067</v>
      </c>
      <c r="B973" s="81">
        <v>45010</v>
      </c>
      <c r="C973" s="59">
        <f t="shared" si="105"/>
        <v>2023</v>
      </c>
      <c r="D973" s="59">
        <f t="shared" si="106"/>
        <v>3</v>
      </c>
      <c r="E973" s="59">
        <f t="shared" si="107"/>
        <v>12</v>
      </c>
      <c r="F973" s="65" t="s">
        <v>58</v>
      </c>
      <c r="G973" s="65" t="s">
        <v>40</v>
      </c>
      <c r="H973" s="65" t="s">
        <v>2068</v>
      </c>
      <c r="I973" s="65" t="s">
        <v>67</v>
      </c>
      <c r="J973" s="65" t="s">
        <v>112</v>
      </c>
      <c r="K973" s="65" t="s">
        <v>75</v>
      </c>
      <c r="L973" s="65" t="s">
        <v>124</v>
      </c>
      <c r="M973" s="67">
        <v>723</v>
      </c>
      <c r="N973" s="65" t="s">
        <v>114</v>
      </c>
      <c r="O973" s="68">
        <v>941.53</v>
      </c>
      <c r="P973" s="68">
        <v>680726.19</v>
      </c>
      <c r="Q973" s="68">
        <v>14555.85</v>
      </c>
      <c r="R973" s="62">
        <f t="shared" si="108"/>
        <v>2.1382826478293721E-2</v>
      </c>
      <c r="S973" s="67">
        <v>2</v>
      </c>
      <c r="T973" s="66">
        <v>45012</v>
      </c>
      <c r="U973" s="66">
        <v>45020</v>
      </c>
      <c r="V973" s="63">
        <f t="shared" si="109"/>
        <v>8</v>
      </c>
      <c r="W973" s="65" t="s">
        <v>125</v>
      </c>
      <c r="X973" s="64" t="b">
        <f t="shared" si="110"/>
        <v>0</v>
      </c>
      <c r="Y973" s="67">
        <v>111</v>
      </c>
      <c r="Z973" s="67">
        <v>284</v>
      </c>
      <c r="AA973" s="65" t="s">
        <v>116</v>
      </c>
      <c r="AB973" s="64" t="b">
        <f t="shared" si="111"/>
        <v>0</v>
      </c>
    </row>
    <row r="974" spans="1:28" ht="15" customHeight="1" x14ac:dyDescent="0.3">
      <c r="A974" s="57" t="s">
        <v>2069</v>
      </c>
      <c r="B974" s="82">
        <v>45087</v>
      </c>
      <c r="C974" s="59">
        <f t="shared" si="105"/>
        <v>2023</v>
      </c>
      <c r="D974" s="59">
        <f t="shared" si="106"/>
        <v>6</v>
      </c>
      <c r="E974" s="59">
        <f t="shared" si="107"/>
        <v>23</v>
      </c>
      <c r="F974" s="57" t="s">
        <v>52</v>
      </c>
      <c r="G974" s="57" t="s">
        <v>42</v>
      </c>
      <c r="H974" s="57" t="s">
        <v>2070</v>
      </c>
      <c r="I974" s="57" t="s">
        <v>67</v>
      </c>
      <c r="J974" s="57" t="s">
        <v>151</v>
      </c>
      <c r="K974" s="57" t="s">
        <v>74</v>
      </c>
      <c r="L974" s="57" t="s">
        <v>119</v>
      </c>
      <c r="M974" s="60">
        <v>92</v>
      </c>
      <c r="N974" s="57" t="s">
        <v>114</v>
      </c>
      <c r="O974" s="61">
        <v>103.33</v>
      </c>
      <c r="P974" s="61">
        <v>9506.36</v>
      </c>
      <c r="Q974" s="61">
        <v>701.61</v>
      </c>
      <c r="R974" s="62">
        <f t="shared" si="108"/>
        <v>7.3804274191173067E-2</v>
      </c>
      <c r="S974" s="60">
        <v>28</v>
      </c>
      <c r="T974" s="58">
        <v>45115</v>
      </c>
      <c r="U974" s="58">
        <v>45115</v>
      </c>
      <c r="V974" s="63">
        <f t="shared" si="109"/>
        <v>0</v>
      </c>
      <c r="W974" s="57" t="s">
        <v>115</v>
      </c>
      <c r="X974" s="64" t="b">
        <f t="shared" si="110"/>
        <v>1</v>
      </c>
      <c r="Y974" s="60">
        <v>134</v>
      </c>
      <c r="Z974" s="60">
        <v>255</v>
      </c>
      <c r="AA974" s="57" t="s">
        <v>81</v>
      </c>
      <c r="AB974" s="64" t="b">
        <f t="shared" si="111"/>
        <v>1</v>
      </c>
    </row>
    <row r="975" spans="1:28" ht="15" customHeight="1" x14ac:dyDescent="0.3">
      <c r="A975" s="65" t="s">
        <v>2071</v>
      </c>
      <c r="B975" s="81">
        <v>45172</v>
      </c>
      <c r="C975" s="59">
        <f t="shared" si="105"/>
        <v>2023</v>
      </c>
      <c r="D975" s="59">
        <f t="shared" si="106"/>
        <v>9</v>
      </c>
      <c r="E975" s="59">
        <f t="shared" si="107"/>
        <v>36</v>
      </c>
      <c r="F975" s="65" t="s">
        <v>56</v>
      </c>
      <c r="G975" s="65" t="s">
        <v>42</v>
      </c>
      <c r="H975" s="65" t="s">
        <v>2072</v>
      </c>
      <c r="I975" s="65" t="s">
        <v>68</v>
      </c>
      <c r="J975" s="65" t="s">
        <v>151</v>
      </c>
      <c r="K975" s="65" t="s">
        <v>71</v>
      </c>
      <c r="L975" s="65" t="s">
        <v>124</v>
      </c>
      <c r="M975" s="67">
        <v>134</v>
      </c>
      <c r="N975" s="65" t="s">
        <v>163</v>
      </c>
      <c r="O975" s="68">
        <v>69.5</v>
      </c>
      <c r="P975" s="68">
        <v>9313</v>
      </c>
      <c r="Q975" s="68">
        <v>304</v>
      </c>
      <c r="R975" s="62">
        <f t="shared" si="108"/>
        <v>3.264254268227209E-2</v>
      </c>
      <c r="S975" s="67">
        <v>8</v>
      </c>
      <c r="T975" s="66">
        <v>45180</v>
      </c>
      <c r="U975" s="66">
        <v>45180</v>
      </c>
      <c r="V975" s="63">
        <f t="shared" si="109"/>
        <v>0</v>
      </c>
      <c r="W975" s="65" t="s">
        <v>115</v>
      </c>
      <c r="X975" s="64" t="b">
        <f t="shared" si="110"/>
        <v>1</v>
      </c>
      <c r="Y975" s="67">
        <v>410</v>
      </c>
      <c r="Z975" s="67">
        <v>317</v>
      </c>
      <c r="AA975" s="65" t="s">
        <v>81</v>
      </c>
      <c r="AB975" s="64" t="b">
        <f t="shared" si="111"/>
        <v>1</v>
      </c>
    </row>
    <row r="976" spans="1:28" ht="15" customHeight="1" x14ac:dyDescent="0.3">
      <c r="A976" s="57" t="s">
        <v>2073</v>
      </c>
      <c r="B976" s="82">
        <v>45104</v>
      </c>
      <c r="C976" s="59">
        <f t="shared" si="105"/>
        <v>2023</v>
      </c>
      <c r="D976" s="59">
        <f t="shared" si="106"/>
        <v>6</v>
      </c>
      <c r="E976" s="59">
        <f t="shared" si="107"/>
        <v>26</v>
      </c>
      <c r="F976" s="57" t="s">
        <v>53</v>
      </c>
      <c r="G976" s="57" t="s">
        <v>44</v>
      </c>
      <c r="H976" s="57" t="s">
        <v>2074</v>
      </c>
      <c r="I976" s="57" t="s">
        <v>66</v>
      </c>
      <c r="J976" s="57" t="s">
        <v>143</v>
      </c>
      <c r="K976" s="57" t="s">
        <v>73</v>
      </c>
      <c r="L976" s="57" t="s">
        <v>146</v>
      </c>
      <c r="M976" s="60">
        <v>184</v>
      </c>
      <c r="N976" s="57" t="s">
        <v>136</v>
      </c>
      <c r="O976" s="61">
        <v>164.8</v>
      </c>
      <c r="P976" s="61">
        <v>30323.200000000001</v>
      </c>
      <c r="Q976" s="61">
        <v>1020.44</v>
      </c>
      <c r="R976" s="62">
        <f t="shared" si="108"/>
        <v>3.365212114816378E-2</v>
      </c>
      <c r="S976" s="60">
        <v>7</v>
      </c>
      <c r="T976" s="58">
        <v>45111</v>
      </c>
      <c r="U976" s="58">
        <v>45112</v>
      </c>
      <c r="V976" s="63">
        <f t="shared" si="109"/>
        <v>1</v>
      </c>
      <c r="W976" s="57" t="s">
        <v>125</v>
      </c>
      <c r="X976" s="64" t="b">
        <f t="shared" si="110"/>
        <v>0</v>
      </c>
      <c r="Y976" s="60">
        <v>472</v>
      </c>
      <c r="Z976" s="60">
        <v>308</v>
      </c>
      <c r="AA976" s="57" t="s">
        <v>83</v>
      </c>
      <c r="AB976" s="64" t="b">
        <f t="shared" si="111"/>
        <v>1</v>
      </c>
    </row>
    <row r="977" spans="1:28" ht="15" customHeight="1" x14ac:dyDescent="0.3">
      <c r="A977" s="65" t="s">
        <v>2075</v>
      </c>
      <c r="B977" s="81">
        <v>45492</v>
      </c>
      <c r="C977" s="59">
        <f t="shared" si="105"/>
        <v>2024</v>
      </c>
      <c r="D977" s="59">
        <f t="shared" si="106"/>
        <v>7</v>
      </c>
      <c r="E977" s="59">
        <f t="shared" si="107"/>
        <v>29</v>
      </c>
      <c r="F977" s="65" t="s">
        <v>58</v>
      </c>
      <c r="G977" s="65" t="s">
        <v>44</v>
      </c>
      <c r="H977" s="65" t="s">
        <v>2076</v>
      </c>
      <c r="I977" s="65" t="s">
        <v>64</v>
      </c>
      <c r="J977" s="65" t="s">
        <v>131</v>
      </c>
      <c r="K977" s="65" t="s">
        <v>72</v>
      </c>
      <c r="L977" s="65" t="s">
        <v>119</v>
      </c>
      <c r="M977" s="67">
        <v>78</v>
      </c>
      <c r="N977" s="65" t="s">
        <v>140</v>
      </c>
      <c r="O977" s="68">
        <v>86.91</v>
      </c>
      <c r="P977" s="68">
        <v>6778.98</v>
      </c>
      <c r="Q977" s="68">
        <v>249.3</v>
      </c>
      <c r="R977" s="62">
        <f t="shared" si="108"/>
        <v>3.6775444093359179E-2</v>
      </c>
      <c r="S977" s="67">
        <v>26</v>
      </c>
      <c r="T977" s="66">
        <v>45518</v>
      </c>
      <c r="U977" s="66">
        <v>45518</v>
      </c>
      <c r="V977" s="63">
        <f t="shared" si="109"/>
        <v>0</v>
      </c>
      <c r="W977" s="65" t="s">
        <v>115</v>
      </c>
      <c r="X977" s="64" t="b">
        <f t="shared" si="110"/>
        <v>1</v>
      </c>
      <c r="Y977" s="67">
        <v>469</v>
      </c>
      <c r="Z977" s="67">
        <v>116</v>
      </c>
      <c r="AA977" s="65" t="s">
        <v>116</v>
      </c>
      <c r="AB977" s="64" t="b">
        <f t="shared" si="111"/>
        <v>0</v>
      </c>
    </row>
    <row r="978" spans="1:28" ht="15" customHeight="1" x14ac:dyDescent="0.3">
      <c r="A978" s="57" t="s">
        <v>2077</v>
      </c>
      <c r="B978" s="82">
        <v>45003</v>
      </c>
      <c r="C978" s="59">
        <f t="shared" si="105"/>
        <v>2023</v>
      </c>
      <c r="D978" s="59">
        <f t="shared" si="106"/>
        <v>3</v>
      </c>
      <c r="E978" s="59">
        <f t="shared" si="107"/>
        <v>11</v>
      </c>
      <c r="F978" s="57" t="s">
        <v>54</v>
      </c>
      <c r="G978" s="57" t="s">
        <v>39</v>
      </c>
      <c r="H978" s="57" t="s">
        <v>2078</v>
      </c>
      <c r="I978" s="57" t="s">
        <v>69</v>
      </c>
      <c r="J978" s="57" t="s">
        <v>151</v>
      </c>
      <c r="K978" s="57" t="s">
        <v>72</v>
      </c>
      <c r="L978" s="57" t="s">
        <v>156</v>
      </c>
      <c r="M978" s="60">
        <v>56</v>
      </c>
      <c r="N978" s="57" t="s">
        <v>163</v>
      </c>
      <c r="O978" s="61">
        <v>2062.58</v>
      </c>
      <c r="P978" s="61">
        <v>115504.48</v>
      </c>
      <c r="Q978" s="61">
        <v>3193.06</v>
      </c>
      <c r="R978" s="62">
        <f t="shared" si="108"/>
        <v>2.7644468855234014E-2</v>
      </c>
      <c r="S978" s="60">
        <v>26</v>
      </c>
      <c r="T978" s="58">
        <v>45029</v>
      </c>
      <c r="U978" s="58">
        <v>45034</v>
      </c>
      <c r="V978" s="63">
        <f t="shared" si="109"/>
        <v>5</v>
      </c>
      <c r="W978" s="57" t="s">
        <v>125</v>
      </c>
      <c r="X978" s="64" t="b">
        <f t="shared" si="110"/>
        <v>0</v>
      </c>
      <c r="Y978" s="60">
        <v>111</v>
      </c>
      <c r="Z978" s="60">
        <v>175</v>
      </c>
      <c r="AA978" s="57" t="s">
        <v>82</v>
      </c>
      <c r="AB978" s="64" t="b">
        <f t="shared" si="111"/>
        <v>1</v>
      </c>
    </row>
    <row r="979" spans="1:28" ht="15" customHeight="1" x14ac:dyDescent="0.3">
      <c r="A979" s="65" t="s">
        <v>2079</v>
      </c>
      <c r="B979" s="81">
        <v>45087</v>
      </c>
      <c r="C979" s="59">
        <f t="shared" si="105"/>
        <v>2023</v>
      </c>
      <c r="D979" s="59">
        <f t="shared" si="106"/>
        <v>6</v>
      </c>
      <c r="E979" s="59">
        <f t="shared" si="107"/>
        <v>23</v>
      </c>
      <c r="F979" s="65" t="s">
        <v>54</v>
      </c>
      <c r="G979" s="65" t="s">
        <v>41</v>
      </c>
      <c r="H979" s="65" t="s">
        <v>2080</v>
      </c>
      <c r="I979" s="65" t="s">
        <v>65</v>
      </c>
      <c r="J979" s="65" t="s">
        <v>143</v>
      </c>
      <c r="K979" s="65" t="s">
        <v>71</v>
      </c>
      <c r="L979" s="65" t="s">
        <v>124</v>
      </c>
      <c r="M979" s="67">
        <v>893</v>
      </c>
      <c r="N979" s="65" t="s">
        <v>140</v>
      </c>
      <c r="O979" s="68">
        <v>534.13</v>
      </c>
      <c r="P979" s="68">
        <v>476978.09</v>
      </c>
      <c r="Q979" s="68">
        <v>27834.43</v>
      </c>
      <c r="R979" s="62">
        <f t="shared" si="108"/>
        <v>5.8355783176539618E-2</v>
      </c>
      <c r="S979" s="67">
        <v>2</v>
      </c>
      <c r="T979" s="66">
        <v>45089</v>
      </c>
      <c r="U979" s="66">
        <v>45089</v>
      </c>
      <c r="V979" s="63">
        <f t="shared" si="109"/>
        <v>0</v>
      </c>
      <c r="W979" s="65" t="s">
        <v>115</v>
      </c>
      <c r="X979" s="64" t="b">
        <f t="shared" si="110"/>
        <v>1</v>
      </c>
      <c r="Y979" s="67">
        <v>12</v>
      </c>
      <c r="Z979" s="67">
        <v>227</v>
      </c>
      <c r="AA979" s="65" t="s">
        <v>84</v>
      </c>
      <c r="AB979" s="64" t="b">
        <f t="shared" si="111"/>
        <v>1</v>
      </c>
    </row>
    <row r="980" spans="1:28" ht="15" customHeight="1" x14ac:dyDescent="0.3">
      <c r="A980" s="57" t="s">
        <v>2081</v>
      </c>
      <c r="B980" s="82">
        <v>44929</v>
      </c>
      <c r="C980" s="59">
        <f t="shared" si="105"/>
        <v>2023</v>
      </c>
      <c r="D980" s="59">
        <f t="shared" si="106"/>
        <v>1</v>
      </c>
      <c r="E980" s="59">
        <f t="shared" si="107"/>
        <v>1</v>
      </c>
      <c r="F980" s="57" t="s">
        <v>52</v>
      </c>
      <c r="G980" s="57" t="s">
        <v>45</v>
      </c>
      <c r="H980" s="57" t="s">
        <v>2082</v>
      </c>
      <c r="I980" s="57" t="s">
        <v>67</v>
      </c>
      <c r="J980" s="57" t="s">
        <v>131</v>
      </c>
      <c r="K980" s="57" t="s">
        <v>74</v>
      </c>
      <c r="L980" s="57" t="s">
        <v>124</v>
      </c>
      <c r="M980" s="60">
        <v>265</v>
      </c>
      <c r="N980" s="57" t="s">
        <v>136</v>
      </c>
      <c r="O980" s="61">
        <v>174.81</v>
      </c>
      <c r="P980" s="61">
        <v>46324.65</v>
      </c>
      <c r="Q980" s="61">
        <v>1135.3499999999999</v>
      </c>
      <c r="R980" s="62">
        <f t="shared" si="108"/>
        <v>2.4508549983648011E-2</v>
      </c>
      <c r="S980" s="60">
        <v>22</v>
      </c>
      <c r="T980" s="58">
        <v>44951</v>
      </c>
      <c r="U980" s="58">
        <v>44948</v>
      </c>
      <c r="V980" s="63">
        <f t="shared" si="109"/>
        <v>-3</v>
      </c>
      <c r="W980" s="57" t="s">
        <v>115</v>
      </c>
      <c r="X980" s="64" t="b">
        <f t="shared" si="110"/>
        <v>1</v>
      </c>
      <c r="Y980" s="60">
        <v>272</v>
      </c>
      <c r="Z980" s="60">
        <v>346</v>
      </c>
      <c r="AA980" s="57" t="s">
        <v>81</v>
      </c>
      <c r="AB980" s="64" t="b">
        <f t="shared" si="111"/>
        <v>1</v>
      </c>
    </row>
    <row r="981" spans="1:28" ht="15" customHeight="1" x14ac:dyDescent="0.3">
      <c r="A981" s="65" t="s">
        <v>2083</v>
      </c>
      <c r="B981" s="81">
        <v>45345</v>
      </c>
      <c r="C981" s="59">
        <f t="shared" si="105"/>
        <v>2024</v>
      </c>
      <c r="D981" s="59">
        <f t="shared" si="106"/>
        <v>2</v>
      </c>
      <c r="E981" s="59">
        <f t="shared" si="107"/>
        <v>8</v>
      </c>
      <c r="F981" s="65" t="s">
        <v>59</v>
      </c>
      <c r="G981" s="65" t="s">
        <v>43</v>
      </c>
      <c r="H981" s="65" t="s">
        <v>2084</v>
      </c>
      <c r="I981" s="65" t="s">
        <v>66</v>
      </c>
      <c r="J981" s="65" t="s">
        <v>123</v>
      </c>
      <c r="K981" s="65" t="s">
        <v>72</v>
      </c>
      <c r="L981" s="65" t="s">
        <v>119</v>
      </c>
      <c r="M981" s="67">
        <v>736</v>
      </c>
      <c r="N981" s="65" t="s">
        <v>163</v>
      </c>
      <c r="O981" s="68">
        <v>161.4</v>
      </c>
      <c r="P981" s="68">
        <v>118790.39999999999</v>
      </c>
      <c r="Q981" s="68">
        <v>3332.33</v>
      </c>
      <c r="R981" s="62">
        <f t="shared" si="108"/>
        <v>2.80521826679597E-2</v>
      </c>
      <c r="S981" s="67">
        <v>22</v>
      </c>
      <c r="T981" s="66">
        <v>45367</v>
      </c>
      <c r="U981" s="66">
        <v>45367</v>
      </c>
      <c r="V981" s="63">
        <f t="shared" si="109"/>
        <v>0</v>
      </c>
      <c r="W981" s="65" t="s">
        <v>115</v>
      </c>
      <c r="X981" s="64" t="b">
        <f t="shared" si="110"/>
        <v>1</v>
      </c>
      <c r="Y981" s="67">
        <v>232</v>
      </c>
      <c r="Z981" s="67">
        <v>105</v>
      </c>
      <c r="AA981" s="65" t="s">
        <v>81</v>
      </c>
      <c r="AB981" s="64" t="b">
        <f t="shared" si="111"/>
        <v>1</v>
      </c>
    </row>
    <row r="982" spans="1:28" ht="15" customHeight="1" x14ac:dyDescent="0.3">
      <c r="A982" s="57" t="s">
        <v>2085</v>
      </c>
      <c r="B982" s="82">
        <v>45388</v>
      </c>
      <c r="C982" s="59">
        <f t="shared" si="105"/>
        <v>2024</v>
      </c>
      <c r="D982" s="59">
        <f t="shared" si="106"/>
        <v>4</v>
      </c>
      <c r="E982" s="59">
        <f t="shared" si="107"/>
        <v>14</v>
      </c>
      <c r="F982" s="57" t="s">
        <v>52</v>
      </c>
      <c r="G982" s="57" t="s">
        <v>43</v>
      </c>
      <c r="H982" s="57" t="s">
        <v>2086</v>
      </c>
      <c r="I982" s="57" t="s">
        <v>68</v>
      </c>
      <c r="J982" s="57" t="s">
        <v>123</v>
      </c>
      <c r="K982" s="57" t="s">
        <v>75</v>
      </c>
      <c r="L982" s="57" t="s">
        <v>124</v>
      </c>
      <c r="M982" s="60">
        <v>39</v>
      </c>
      <c r="N982" s="57" t="s">
        <v>136</v>
      </c>
      <c r="O982" s="61">
        <v>292.52999999999997</v>
      </c>
      <c r="P982" s="61">
        <v>11408.67</v>
      </c>
      <c r="Q982" s="61">
        <v>669.52</v>
      </c>
      <c r="R982" s="62">
        <f t="shared" si="108"/>
        <v>5.8685192927834709E-2</v>
      </c>
      <c r="S982" s="60">
        <v>3</v>
      </c>
      <c r="T982" s="58">
        <v>45391</v>
      </c>
      <c r="U982" s="58">
        <v>45403</v>
      </c>
      <c r="V982" s="63">
        <f t="shared" si="109"/>
        <v>12</v>
      </c>
      <c r="W982" s="57" t="s">
        <v>128</v>
      </c>
      <c r="X982" s="64" t="b">
        <f t="shared" si="110"/>
        <v>0</v>
      </c>
      <c r="Y982" s="60">
        <v>43</v>
      </c>
      <c r="Z982" s="60">
        <v>341</v>
      </c>
      <c r="AA982" s="57" t="s">
        <v>84</v>
      </c>
      <c r="AB982" s="64" t="b">
        <f t="shared" si="111"/>
        <v>1</v>
      </c>
    </row>
    <row r="983" spans="1:28" ht="15" customHeight="1" x14ac:dyDescent="0.3">
      <c r="A983" s="65" t="s">
        <v>2087</v>
      </c>
      <c r="B983" s="81">
        <v>45632</v>
      </c>
      <c r="C983" s="59">
        <f t="shared" si="105"/>
        <v>2024</v>
      </c>
      <c r="D983" s="59">
        <f t="shared" si="106"/>
        <v>12</v>
      </c>
      <c r="E983" s="59">
        <f t="shared" si="107"/>
        <v>49</v>
      </c>
      <c r="F983" s="65" t="s">
        <v>56</v>
      </c>
      <c r="G983" s="65" t="s">
        <v>44</v>
      </c>
      <c r="H983" s="65" t="s">
        <v>2088</v>
      </c>
      <c r="I983" s="65" t="s">
        <v>64</v>
      </c>
      <c r="J983" s="65" t="s">
        <v>123</v>
      </c>
      <c r="K983" s="65" t="s">
        <v>71</v>
      </c>
      <c r="L983" s="65" t="s">
        <v>146</v>
      </c>
      <c r="M983" s="67">
        <v>290</v>
      </c>
      <c r="N983" s="65" t="s">
        <v>132</v>
      </c>
      <c r="O983" s="68">
        <v>90.98</v>
      </c>
      <c r="P983" s="68">
        <v>26384.2</v>
      </c>
      <c r="Q983" s="68">
        <v>1065.3800000000001</v>
      </c>
      <c r="R983" s="62">
        <f t="shared" si="108"/>
        <v>4.0379469531007198E-2</v>
      </c>
      <c r="S983" s="67">
        <v>27</v>
      </c>
      <c r="T983" s="66">
        <v>45659</v>
      </c>
      <c r="U983" s="66">
        <v>45656</v>
      </c>
      <c r="V983" s="63">
        <f t="shared" si="109"/>
        <v>-3</v>
      </c>
      <c r="W983" s="65" t="s">
        <v>115</v>
      </c>
      <c r="X983" s="64" t="b">
        <f t="shared" si="110"/>
        <v>1</v>
      </c>
      <c r="Y983" s="67">
        <v>396</v>
      </c>
      <c r="Z983" s="67">
        <v>383</v>
      </c>
      <c r="AA983" s="65" t="s">
        <v>83</v>
      </c>
      <c r="AB983" s="64" t="b">
        <f t="shared" si="111"/>
        <v>1</v>
      </c>
    </row>
    <row r="984" spans="1:28" ht="15" customHeight="1" x14ac:dyDescent="0.3">
      <c r="A984" s="57" t="s">
        <v>2089</v>
      </c>
      <c r="B984" s="82">
        <v>45535</v>
      </c>
      <c r="C984" s="59">
        <f t="shared" si="105"/>
        <v>2024</v>
      </c>
      <c r="D984" s="59">
        <f t="shared" si="106"/>
        <v>8</v>
      </c>
      <c r="E984" s="59">
        <f t="shared" si="107"/>
        <v>35</v>
      </c>
      <c r="F984" s="57" t="s">
        <v>54</v>
      </c>
      <c r="G984" s="57" t="s">
        <v>41</v>
      </c>
      <c r="H984" s="57" t="s">
        <v>2090</v>
      </c>
      <c r="I984" s="57" t="s">
        <v>64</v>
      </c>
      <c r="J984" s="57" t="s">
        <v>143</v>
      </c>
      <c r="K984" s="57" t="s">
        <v>71</v>
      </c>
      <c r="L984" s="57" t="s">
        <v>119</v>
      </c>
      <c r="M984" s="60">
        <v>933</v>
      </c>
      <c r="N984" s="57" t="s">
        <v>163</v>
      </c>
      <c r="O984" s="61">
        <v>429.64</v>
      </c>
      <c r="P984" s="61">
        <v>400854.12</v>
      </c>
      <c r="Q984" s="61">
        <v>25044.11</v>
      </c>
      <c r="R984" s="62">
        <f t="shared" si="108"/>
        <v>6.2476868143453289E-2</v>
      </c>
      <c r="S984" s="60">
        <v>18</v>
      </c>
      <c r="T984" s="58">
        <v>45553</v>
      </c>
      <c r="U984" s="58">
        <v>45555</v>
      </c>
      <c r="V984" s="63">
        <f t="shared" si="109"/>
        <v>2</v>
      </c>
      <c r="W984" s="57" t="s">
        <v>128</v>
      </c>
      <c r="X984" s="64" t="b">
        <f t="shared" si="110"/>
        <v>0</v>
      </c>
      <c r="Y984" s="60">
        <v>473</v>
      </c>
      <c r="Z984" s="60">
        <v>449</v>
      </c>
      <c r="AA984" s="57" t="s">
        <v>84</v>
      </c>
      <c r="AB984" s="64" t="b">
        <f t="shared" si="111"/>
        <v>1</v>
      </c>
    </row>
    <row r="985" spans="1:28" ht="15" customHeight="1" x14ac:dyDescent="0.3">
      <c r="A985" s="65" t="s">
        <v>2091</v>
      </c>
      <c r="B985" s="81">
        <v>45408</v>
      </c>
      <c r="C985" s="59">
        <f t="shared" si="105"/>
        <v>2024</v>
      </c>
      <c r="D985" s="59">
        <f t="shared" si="106"/>
        <v>4</v>
      </c>
      <c r="E985" s="59">
        <f t="shared" si="107"/>
        <v>17</v>
      </c>
      <c r="F985" s="65" t="s">
        <v>55</v>
      </c>
      <c r="G985" s="65" t="s">
        <v>44</v>
      </c>
      <c r="H985" s="65" t="s">
        <v>2092</v>
      </c>
      <c r="I985" s="65" t="s">
        <v>69</v>
      </c>
      <c r="J985" s="65" t="s">
        <v>143</v>
      </c>
      <c r="K985" s="65" t="s">
        <v>74</v>
      </c>
      <c r="L985" s="65" t="s">
        <v>119</v>
      </c>
      <c r="M985" s="67">
        <v>246</v>
      </c>
      <c r="N985" s="65" t="s">
        <v>140</v>
      </c>
      <c r="O985" s="68">
        <v>117.39</v>
      </c>
      <c r="P985" s="68">
        <v>28877.94</v>
      </c>
      <c r="Q985" s="68">
        <v>1543.4</v>
      </c>
      <c r="R985" s="62">
        <f t="shared" si="108"/>
        <v>5.3445640513139103E-2</v>
      </c>
      <c r="S985" s="67">
        <v>12</v>
      </c>
      <c r="T985" s="66">
        <v>45420</v>
      </c>
      <c r="U985" s="66">
        <v>45419</v>
      </c>
      <c r="V985" s="63">
        <f t="shared" si="109"/>
        <v>-1</v>
      </c>
      <c r="W985" s="65" t="s">
        <v>115</v>
      </c>
      <c r="X985" s="64" t="b">
        <f t="shared" si="110"/>
        <v>1</v>
      </c>
      <c r="Y985" s="67">
        <v>72</v>
      </c>
      <c r="Z985" s="67">
        <v>238</v>
      </c>
      <c r="AA985" s="65" t="s">
        <v>82</v>
      </c>
      <c r="AB985" s="64" t="b">
        <f t="shared" si="111"/>
        <v>1</v>
      </c>
    </row>
    <row r="986" spans="1:28" ht="15" customHeight="1" x14ac:dyDescent="0.3">
      <c r="A986" s="57" t="s">
        <v>2093</v>
      </c>
      <c r="B986" s="82">
        <v>45225</v>
      </c>
      <c r="C986" s="59">
        <f t="shared" si="105"/>
        <v>2023</v>
      </c>
      <c r="D986" s="59">
        <f t="shared" si="106"/>
        <v>10</v>
      </c>
      <c r="E986" s="59">
        <f t="shared" si="107"/>
        <v>43</v>
      </c>
      <c r="F986" s="57" t="s">
        <v>55</v>
      </c>
      <c r="G986" s="57" t="s">
        <v>45</v>
      </c>
      <c r="H986" s="57" t="s">
        <v>2094</v>
      </c>
      <c r="I986" s="57" t="s">
        <v>67</v>
      </c>
      <c r="J986" s="57" t="s">
        <v>131</v>
      </c>
      <c r="K986" s="57" t="s">
        <v>75</v>
      </c>
      <c r="L986" s="57" t="s">
        <v>135</v>
      </c>
      <c r="M986" s="60">
        <v>257</v>
      </c>
      <c r="N986" s="57" t="s">
        <v>132</v>
      </c>
      <c r="O986" s="61">
        <v>239.24</v>
      </c>
      <c r="P986" s="61">
        <v>61484.68</v>
      </c>
      <c r="Q986" s="61">
        <v>2174.1799999999998</v>
      </c>
      <c r="R986" s="62">
        <f t="shared" si="108"/>
        <v>3.5361329033508831E-2</v>
      </c>
      <c r="S986" s="60">
        <v>1</v>
      </c>
      <c r="T986" s="58">
        <v>45226</v>
      </c>
      <c r="U986" s="58">
        <v>45229</v>
      </c>
      <c r="V986" s="63">
        <f t="shared" si="109"/>
        <v>3</v>
      </c>
      <c r="W986" s="57" t="s">
        <v>125</v>
      </c>
      <c r="X986" s="64" t="b">
        <f t="shared" si="110"/>
        <v>0</v>
      </c>
      <c r="Y986" s="60">
        <v>260</v>
      </c>
      <c r="Z986" s="60">
        <v>99</v>
      </c>
      <c r="AA986" s="57" t="s">
        <v>82</v>
      </c>
      <c r="AB986" s="64" t="b">
        <f t="shared" si="111"/>
        <v>1</v>
      </c>
    </row>
    <row r="987" spans="1:28" ht="15" customHeight="1" x14ac:dyDescent="0.3">
      <c r="A987" s="65" t="s">
        <v>2095</v>
      </c>
      <c r="B987" s="81">
        <v>44960</v>
      </c>
      <c r="C987" s="59">
        <f t="shared" si="105"/>
        <v>2023</v>
      </c>
      <c r="D987" s="59">
        <f t="shared" si="106"/>
        <v>2</v>
      </c>
      <c r="E987" s="59">
        <f t="shared" si="107"/>
        <v>5</v>
      </c>
      <c r="F987" s="65" t="s">
        <v>54</v>
      </c>
      <c r="G987" s="65" t="s">
        <v>43</v>
      </c>
      <c r="H987" s="65" t="s">
        <v>2096</v>
      </c>
      <c r="I987" s="65" t="s">
        <v>69</v>
      </c>
      <c r="J987" s="65" t="s">
        <v>123</v>
      </c>
      <c r="K987" s="65" t="s">
        <v>75</v>
      </c>
      <c r="L987" s="65" t="s">
        <v>135</v>
      </c>
      <c r="M987" s="67">
        <v>377</v>
      </c>
      <c r="N987" s="65" t="s">
        <v>120</v>
      </c>
      <c r="O987" s="68">
        <v>227.17</v>
      </c>
      <c r="P987" s="68">
        <v>85643.09</v>
      </c>
      <c r="Q987" s="68">
        <v>5057.2</v>
      </c>
      <c r="R987" s="62">
        <f t="shared" si="108"/>
        <v>5.9049714343562335E-2</v>
      </c>
      <c r="S987" s="67">
        <v>22</v>
      </c>
      <c r="T987" s="66">
        <v>44982</v>
      </c>
      <c r="U987" s="66">
        <v>44982</v>
      </c>
      <c r="V987" s="63">
        <f t="shared" si="109"/>
        <v>0</v>
      </c>
      <c r="W987" s="65" t="s">
        <v>115</v>
      </c>
      <c r="X987" s="64" t="b">
        <f t="shared" si="110"/>
        <v>1</v>
      </c>
      <c r="Y987" s="67">
        <v>230</v>
      </c>
      <c r="Z987" s="67">
        <v>175</v>
      </c>
      <c r="AA987" s="65" t="s">
        <v>116</v>
      </c>
      <c r="AB987" s="64" t="b">
        <f t="shared" si="111"/>
        <v>0</v>
      </c>
    </row>
    <row r="988" spans="1:28" ht="15" customHeight="1" x14ac:dyDescent="0.3">
      <c r="A988" s="57" t="s">
        <v>2097</v>
      </c>
      <c r="B988" s="82">
        <v>45164</v>
      </c>
      <c r="C988" s="59">
        <f t="shared" si="105"/>
        <v>2023</v>
      </c>
      <c r="D988" s="59">
        <f t="shared" si="106"/>
        <v>8</v>
      </c>
      <c r="E988" s="59">
        <f t="shared" si="107"/>
        <v>34</v>
      </c>
      <c r="F988" s="57" t="s">
        <v>56</v>
      </c>
      <c r="G988" s="57" t="s">
        <v>40</v>
      </c>
      <c r="H988" s="57" t="s">
        <v>2098</v>
      </c>
      <c r="I988" s="57" t="s">
        <v>68</v>
      </c>
      <c r="J988" s="57" t="s">
        <v>139</v>
      </c>
      <c r="K988" s="57" t="s">
        <v>74</v>
      </c>
      <c r="L988" s="57" t="s">
        <v>146</v>
      </c>
      <c r="M988" s="60">
        <v>504</v>
      </c>
      <c r="N988" s="57" t="s">
        <v>140</v>
      </c>
      <c r="O988" s="61">
        <v>640.41</v>
      </c>
      <c r="P988" s="61">
        <v>322766.64</v>
      </c>
      <c r="Q988" s="61">
        <v>8707.09</v>
      </c>
      <c r="R988" s="62">
        <f t="shared" si="108"/>
        <v>2.6976424825068662E-2</v>
      </c>
      <c r="S988" s="60">
        <v>12</v>
      </c>
      <c r="T988" s="58">
        <v>45176</v>
      </c>
      <c r="U988" s="58">
        <v>45176</v>
      </c>
      <c r="V988" s="63">
        <f t="shared" si="109"/>
        <v>0</v>
      </c>
      <c r="W988" s="57" t="s">
        <v>115</v>
      </c>
      <c r="X988" s="64" t="b">
        <f t="shared" si="110"/>
        <v>1</v>
      </c>
      <c r="Y988" s="60">
        <v>32</v>
      </c>
      <c r="Z988" s="60">
        <v>349</v>
      </c>
      <c r="AA988" s="57" t="s">
        <v>84</v>
      </c>
      <c r="AB988" s="64" t="b">
        <f t="shared" si="111"/>
        <v>1</v>
      </c>
    </row>
    <row r="989" spans="1:28" ht="15" customHeight="1" x14ac:dyDescent="0.3">
      <c r="A989" s="65" t="s">
        <v>2099</v>
      </c>
      <c r="B989" s="81">
        <v>45222</v>
      </c>
      <c r="C989" s="59">
        <f t="shared" si="105"/>
        <v>2023</v>
      </c>
      <c r="D989" s="59">
        <f t="shared" si="106"/>
        <v>10</v>
      </c>
      <c r="E989" s="59">
        <f t="shared" si="107"/>
        <v>43</v>
      </c>
      <c r="F989" s="65" t="s">
        <v>61</v>
      </c>
      <c r="G989" s="65" t="s">
        <v>44</v>
      </c>
      <c r="H989" s="65" t="s">
        <v>2100</v>
      </c>
      <c r="I989" s="65" t="s">
        <v>65</v>
      </c>
      <c r="J989" s="65" t="s">
        <v>151</v>
      </c>
      <c r="K989" s="65" t="s">
        <v>73</v>
      </c>
      <c r="L989" s="65" t="s">
        <v>156</v>
      </c>
      <c r="M989" s="67">
        <v>34</v>
      </c>
      <c r="N989" s="65" t="s">
        <v>136</v>
      </c>
      <c r="O989" s="68">
        <v>111.81</v>
      </c>
      <c r="P989" s="68">
        <v>3801.54</v>
      </c>
      <c r="Q989" s="68">
        <v>198.38</v>
      </c>
      <c r="R989" s="62">
        <f t="shared" si="108"/>
        <v>5.2184114858715151E-2</v>
      </c>
      <c r="S989" s="67">
        <v>5</v>
      </c>
      <c r="T989" s="66">
        <v>45227</v>
      </c>
      <c r="U989" s="66">
        <v>45232</v>
      </c>
      <c r="V989" s="63">
        <f t="shared" si="109"/>
        <v>5</v>
      </c>
      <c r="W989" s="65" t="s">
        <v>128</v>
      </c>
      <c r="X989" s="64" t="b">
        <f t="shared" si="110"/>
        <v>0</v>
      </c>
      <c r="Y989" s="67">
        <v>387</v>
      </c>
      <c r="Z989" s="67">
        <v>442</v>
      </c>
      <c r="AA989" s="65" t="s">
        <v>116</v>
      </c>
      <c r="AB989" s="64" t="b">
        <f t="shared" si="111"/>
        <v>0</v>
      </c>
    </row>
    <row r="990" spans="1:28" ht="15" customHeight="1" x14ac:dyDescent="0.3">
      <c r="A990" s="57" t="s">
        <v>2101</v>
      </c>
      <c r="B990" s="82">
        <v>45650</v>
      </c>
      <c r="C990" s="59">
        <f t="shared" si="105"/>
        <v>2024</v>
      </c>
      <c r="D990" s="59">
        <f t="shared" si="106"/>
        <v>12</v>
      </c>
      <c r="E990" s="59">
        <f t="shared" si="107"/>
        <v>52</v>
      </c>
      <c r="F990" s="57" t="s">
        <v>57</v>
      </c>
      <c r="G990" s="57" t="s">
        <v>46</v>
      </c>
      <c r="H990" s="57" t="s">
        <v>2102</v>
      </c>
      <c r="I990" s="57" t="s">
        <v>65</v>
      </c>
      <c r="J990" s="57" t="s">
        <v>143</v>
      </c>
      <c r="K990" s="57" t="s">
        <v>75</v>
      </c>
      <c r="L990" s="57" t="s">
        <v>124</v>
      </c>
      <c r="M990" s="60">
        <v>595</v>
      </c>
      <c r="N990" s="57" t="s">
        <v>140</v>
      </c>
      <c r="O990" s="61">
        <v>53.46</v>
      </c>
      <c r="P990" s="61">
        <v>31808.7</v>
      </c>
      <c r="Q990" s="61">
        <v>1470.48</v>
      </c>
      <c r="R990" s="62">
        <f t="shared" si="108"/>
        <v>4.6228861915136421E-2</v>
      </c>
      <c r="S990" s="60">
        <v>27</v>
      </c>
      <c r="T990" s="58">
        <v>45677</v>
      </c>
      <c r="U990" s="58">
        <v>45677</v>
      </c>
      <c r="V990" s="63">
        <f t="shared" si="109"/>
        <v>0</v>
      </c>
      <c r="W990" s="57" t="s">
        <v>115</v>
      </c>
      <c r="X990" s="64" t="b">
        <f t="shared" si="110"/>
        <v>1</v>
      </c>
      <c r="Y990" s="60">
        <v>475</v>
      </c>
      <c r="Z990" s="60">
        <v>454</v>
      </c>
      <c r="AA990" s="57" t="s">
        <v>83</v>
      </c>
      <c r="AB990" s="64" t="b">
        <f t="shared" si="111"/>
        <v>1</v>
      </c>
    </row>
    <row r="991" spans="1:28" ht="15" customHeight="1" x14ac:dyDescent="0.3">
      <c r="A991" s="65" t="s">
        <v>2103</v>
      </c>
      <c r="B991" s="81">
        <v>45216</v>
      </c>
      <c r="C991" s="59">
        <f t="shared" si="105"/>
        <v>2023</v>
      </c>
      <c r="D991" s="59">
        <f t="shared" si="106"/>
        <v>10</v>
      </c>
      <c r="E991" s="59">
        <f t="shared" si="107"/>
        <v>42</v>
      </c>
      <c r="F991" s="65" t="s">
        <v>57</v>
      </c>
      <c r="G991" s="65" t="s">
        <v>40</v>
      </c>
      <c r="H991" s="65" t="s">
        <v>2104</v>
      </c>
      <c r="I991" s="65" t="s">
        <v>65</v>
      </c>
      <c r="J991" s="65" t="s">
        <v>143</v>
      </c>
      <c r="K991" s="65" t="s">
        <v>73</v>
      </c>
      <c r="L991" s="65" t="s">
        <v>113</v>
      </c>
      <c r="M991" s="67">
        <v>727</v>
      </c>
      <c r="N991" s="65" t="s">
        <v>120</v>
      </c>
      <c r="O991" s="68">
        <v>696.67</v>
      </c>
      <c r="P991" s="68">
        <v>506479.09</v>
      </c>
      <c r="Q991" s="68">
        <v>18269.919999999998</v>
      </c>
      <c r="R991" s="62">
        <f t="shared" si="108"/>
        <v>3.6072407253772309E-2</v>
      </c>
      <c r="S991" s="67">
        <v>25</v>
      </c>
      <c r="T991" s="66">
        <v>45241</v>
      </c>
      <c r="U991" s="66">
        <v>45246</v>
      </c>
      <c r="V991" s="63">
        <f t="shared" si="109"/>
        <v>5</v>
      </c>
      <c r="W991" s="65" t="s">
        <v>125</v>
      </c>
      <c r="X991" s="64" t="b">
        <f t="shared" si="110"/>
        <v>0</v>
      </c>
      <c r="Y991" s="67">
        <v>409</v>
      </c>
      <c r="Z991" s="67">
        <v>440</v>
      </c>
      <c r="AA991" s="65" t="s">
        <v>116</v>
      </c>
      <c r="AB991" s="64" t="b">
        <f t="shared" si="111"/>
        <v>0</v>
      </c>
    </row>
    <row r="992" spans="1:28" ht="15" customHeight="1" x14ac:dyDescent="0.3">
      <c r="A992" s="57" t="s">
        <v>2105</v>
      </c>
      <c r="B992" s="82">
        <v>45646</v>
      </c>
      <c r="C992" s="59">
        <f t="shared" si="105"/>
        <v>2024</v>
      </c>
      <c r="D992" s="59">
        <f t="shared" si="106"/>
        <v>12</v>
      </c>
      <c r="E992" s="59">
        <f t="shared" si="107"/>
        <v>51</v>
      </c>
      <c r="F992" s="57" t="s">
        <v>56</v>
      </c>
      <c r="G992" s="57" t="s">
        <v>45</v>
      </c>
      <c r="H992" s="57" t="s">
        <v>2106</v>
      </c>
      <c r="I992" s="57" t="s">
        <v>64</v>
      </c>
      <c r="J992" s="57" t="s">
        <v>143</v>
      </c>
      <c r="K992" s="57" t="s">
        <v>73</v>
      </c>
      <c r="L992" s="57" t="s">
        <v>124</v>
      </c>
      <c r="M992" s="60">
        <v>499</v>
      </c>
      <c r="N992" s="57" t="s">
        <v>140</v>
      </c>
      <c r="O992" s="61">
        <v>205.78</v>
      </c>
      <c r="P992" s="61">
        <v>102684.22</v>
      </c>
      <c r="Q992" s="61">
        <v>5774.99</v>
      </c>
      <c r="R992" s="62">
        <f t="shared" si="108"/>
        <v>5.6240286969117551E-2</v>
      </c>
      <c r="S992" s="60">
        <v>17</v>
      </c>
      <c r="T992" s="58">
        <v>45663</v>
      </c>
      <c r="U992" s="58">
        <v>45658</v>
      </c>
      <c r="V992" s="63">
        <f t="shared" si="109"/>
        <v>-5</v>
      </c>
      <c r="W992" s="57" t="s">
        <v>115</v>
      </c>
      <c r="X992" s="64" t="b">
        <f t="shared" si="110"/>
        <v>1</v>
      </c>
      <c r="Y992" s="60">
        <v>67</v>
      </c>
      <c r="Z992" s="60">
        <v>248</v>
      </c>
      <c r="AA992" s="57" t="s">
        <v>116</v>
      </c>
      <c r="AB992" s="64" t="b">
        <f t="shared" si="111"/>
        <v>0</v>
      </c>
    </row>
    <row r="993" spans="1:28" ht="15" customHeight="1" x14ac:dyDescent="0.3">
      <c r="A993" s="65" t="s">
        <v>2107</v>
      </c>
      <c r="B993" s="81">
        <v>45391</v>
      </c>
      <c r="C993" s="59">
        <f t="shared" si="105"/>
        <v>2024</v>
      </c>
      <c r="D993" s="59">
        <f t="shared" si="106"/>
        <v>4</v>
      </c>
      <c r="E993" s="59">
        <f t="shared" si="107"/>
        <v>15</v>
      </c>
      <c r="F993" s="65" t="s">
        <v>53</v>
      </c>
      <c r="G993" s="65" t="s">
        <v>45</v>
      </c>
      <c r="H993" s="65" t="s">
        <v>2108</v>
      </c>
      <c r="I993" s="65" t="s">
        <v>67</v>
      </c>
      <c r="J993" s="65" t="s">
        <v>131</v>
      </c>
      <c r="K993" s="65" t="s">
        <v>71</v>
      </c>
      <c r="L993" s="65" t="s">
        <v>113</v>
      </c>
      <c r="M993" s="67">
        <v>503</v>
      </c>
      <c r="N993" s="65" t="s">
        <v>132</v>
      </c>
      <c r="O993" s="68">
        <v>252.65</v>
      </c>
      <c r="P993" s="68">
        <v>127082.95</v>
      </c>
      <c r="Q993" s="68">
        <v>9185.56</v>
      </c>
      <c r="R993" s="62">
        <f t="shared" si="108"/>
        <v>7.2280034418464478E-2</v>
      </c>
      <c r="S993" s="67">
        <v>16</v>
      </c>
      <c r="T993" s="66">
        <v>45407</v>
      </c>
      <c r="U993" s="66">
        <v>45410</v>
      </c>
      <c r="V993" s="63">
        <f t="shared" si="109"/>
        <v>3</v>
      </c>
      <c r="W993" s="65" t="s">
        <v>125</v>
      </c>
      <c r="X993" s="64" t="b">
        <f t="shared" si="110"/>
        <v>0</v>
      </c>
      <c r="Y993" s="67">
        <v>15</v>
      </c>
      <c r="Z993" s="67">
        <v>75</v>
      </c>
      <c r="AA993" s="65" t="s">
        <v>83</v>
      </c>
      <c r="AB993" s="64" t="b">
        <f t="shared" si="111"/>
        <v>1</v>
      </c>
    </row>
    <row r="994" spans="1:28" ht="15" customHeight="1" x14ac:dyDescent="0.3">
      <c r="A994" s="57" t="s">
        <v>2109</v>
      </c>
      <c r="B994" s="82">
        <v>44999</v>
      </c>
      <c r="C994" s="59">
        <f t="shared" si="105"/>
        <v>2023</v>
      </c>
      <c r="D994" s="59">
        <f t="shared" si="106"/>
        <v>3</v>
      </c>
      <c r="E994" s="59">
        <f t="shared" si="107"/>
        <v>11</v>
      </c>
      <c r="F994" s="57" t="s">
        <v>57</v>
      </c>
      <c r="G994" s="57" t="s">
        <v>44</v>
      </c>
      <c r="H994" s="57" t="s">
        <v>2110</v>
      </c>
      <c r="I994" s="57" t="s">
        <v>69</v>
      </c>
      <c r="J994" s="57" t="s">
        <v>123</v>
      </c>
      <c r="K994" s="57" t="s">
        <v>71</v>
      </c>
      <c r="L994" s="57" t="s">
        <v>146</v>
      </c>
      <c r="M994" s="60">
        <v>323</v>
      </c>
      <c r="N994" s="57" t="s">
        <v>114</v>
      </c>
      <c r="O994" s="61">
        <v>104.88</v>
      </c>
      <c r="P994" s="61">
        <v>33876.239999999998</v>
      </c>
      <c r="Q994" s="61">
        <v>2707.87</v>
      </c>
      <c r="R994" s="62">
        <f t="shared" si="108"/>
        <v>7.9934195766708474E-2</v>
      </c>
      <c r="S994" s="60">
        <v>15</v>
      </c>
      <c r="T994" s="58">
        <v>45014</v>
      </c>
      <c r="U994" s="58">
        <v>45009</v>
      </c>
      <c r="V994" s="63">
        <f t="shared" si="109"/>
        <v>-5</v>
      </c>
      <c r="W994" s="57" t="s">
        <v>115</v>
      </c>
      <c r="X994" s="64" t="b">
        <f t="shared" si="110"/>
        <v>1</v>
      </c>
      <c r="Y994" s="60">
        <v>484</v>
      </c>
      <c r="Z994" s="60">
        <v>2</v>
      </c>
      <c r="AA994" s="57" t="s">
        <v>116</v>
      </c>
      <c r="AB994" s="64" t="b">
        <f t="shared" si="111"/>
        <v>0</v>
      </c>
    </row>
    <row r="995" spans="1:28" ht="15" customHeight="1" x14ac:dyDescent="0.3">
      <c r="A995" s="65" t="s">
        <v>2111</v>
      </c>
      <c r="B995" s="81">
        <v>45630</v>
      </c>
      <c r="C995" s="59">
        <f t="shared" si="105"/>
        <v>2024</v>
      </c>
      <c r="D995" s="59">
        <f t="shared" si="106"/>
        <v>12</v>
      </c>
      <c r="E995" s="59">
        <f t="shared" si="107"/>
        <v>49</v>
      </c>
      <c r="F995" s="65" t="s">
        <v>60</v>
      </c>
      <c r="G995" s="65" t="s">
        <v>39</v>
      </c>
      <c r="H995" s="65" t="s">
        <v>2112</v>
      </c>
      <c r="I995" s="65" t="s">
        <v>69</v>
      </c>
      <c r="J995" s="65" t="s">
        <v>139</v>
      </c>
      <c r="K995" s="65" t="s">
        <v>72</v>
      </c>
      <c r="L995" s="65" t="s">
        <v>156</v>
      </c>
      <c r="M995" s="67">
        <v>615</v>
      </c>
      <c r="N995" s="65" t="s">
        <v>140</v>
      </c>
      <c r="O995" s="68">
        <v>1490.01</v>
      </c>
      <c r="P995" s="68">
        <v>916356.15</v>
      </c>
      <c r="Q995" s="68">
        <v>51742.75</v>
      </c>
      <c r="R995" s="62">
        <f t="shared" si="108"/>
        <v>5.6465763884489671E-2</v>
      </c>
      <c r="S995" s="67">
        <v>23</v>
      </c>
      <c r="T995" s="66">
        <v>45653</v>
      </c>
      <c r="U995" s="66">
        <v>45655</v>
      </c>
      <c r="V995" s="63">
        <f t="shared" si="109"/>
        <v>2</v>
      </c>
      <c r="W995" s="65" t="s">
        <v>128</v>
      </c>
      <c r="X995" s="64" t="b">
        <f t="shared" si="110"/>
        <v>0</v>
      </c>
      <c r="Y995" s="67">
        <v>149</v>
      </c>
      <c r="Z995" s="67">
        <v>80</v>
      </c>
      <c r="AA995" s="65" t="s">
        <v>116</v>
      </c>
      <c r="AB995" s="64" t="b">
        <f t="shared" si="111"/>
        <v>0</v>
      </c>
    </row>
    <row r="996" spans="1:28" ht="15" customHeight="1" x14ac:dyDescent="0.3">
      <c r="A996" s="57" t="s">
        <v>2113</v>
      </c>
      <c r="B996" s="82">
        <v>45166</v>
      </c>
      <c r="C996" s="59">
        <f t="shared" si="105"/>
        <v>2023</v>
      </c>
      <c r="D996" s="59">
        <f t="shared" si="106"/>
        <v>8</v>
      </c>
      <c r="E996" s="59">
        <f t="shared" si="107"/>
        <v>35</v>
      </c>
      <c r="F996" s="57" t="s">
        <v>57</v>
      </c>
      <c r="G996" s="57" t="s">
        <v>44</v>
      </c>
      <c r="H996" s="57" t="s">
        <v>2114</v>
      </c>
      <c r="I996" s="57" t="s">
        <v>68</v>
      </c>
      <c r="J996" s="57" t="s">
        <v>151</v>
      </c>
      <c r="K996" s="57" t="s">
        <v>71</v>
      </c>
      <c r="L996" s="57" t="s">
        <v>156</v>
      </c>
      <c r="M996" s="60">
        <v>384</v>
      </c>
      <c r="N996" s="57" t="s">
        <v>163</v>
      </c>
      <c r="O996" s="61">
        <v>121.53</v>
      </c>
      <c r="P996" s="61">
        <v>46667.519999999997</v>
      </c>
      <c r="Q996" s="61">
        <v>2066.5500000000002</v>
      </c>
      <c r="R996" s="62">
        <f t="shared" si="108"/>
        <v>4.4282404550316803E-2</v>
      </c>
      <c r="S996" s="60">
        <v>15</v>
      </c>
      <c r="T996" s="58">
        <v>45181</v>
      </c>
      <c r="U996" s="58">
        <v>45184</v>
      </c>
      <c r="V996" s="63">
        <f t="shared" si="109"/>
        <v>3</v>
      </c>
      <c r="W996" s="57" t="s">
        <v>128</v>
      </c>
      <c r="X996" s="64" t="b">
        <f t="shared" si="110"/>
        <v>0</v>
      </c>
      <c r="Y996" s="60">
        <v>291</v>
      </c>
      <c r="Z996" s="60">
        <v>360</v>
      </c>
      <c r="AA996" s="57" t="s">
        <v>82</v>
      </c>
      <c r="AB996" s="64" t="b">
        <f t="shared" si="111"/>
        <v>1</v>
      </c>
    </row>
    <row r="997" spans="1:28" ht="15" customHeight="1" x14ac:dyDescent="0.3">
      <c r="A997" s="65" t="s">
        <v>2115</v>
      </c>
      <c r="B997" s="81">
        <v>45197</v>
      </c>
      <c r="C997" s="59">
        <f t="shared" si="105"/>
        <v>2023</v>
      </c>
      <c r="D997" s="59">
        <f t="shared" si="106"/>
        <v>9</v>
      </c>
      <c r="E997" s="59">
        <f t="shared" si="107"/>
        <v>39</v>
      </c>
      <c r="F997" s="65" t="s">
        <v>60</v>
      </c>
      <c r="G997" s="65" t="s">
        <v>39</v>
      </c>
      <c r="H997" s="65" t="s">
        <v>2116</v>
      </c>
      <c r="I997" s="65" t="s">
        <v>65</v>
      </c>
      <c r="J997" s="65" t="s">
        <v>151</v>
      </c>
      <c r="K997" s="65" t="s">
        <v>75</v>
      </c>
      <c r="L997" s="65" t="s">
        <v>156</v>
      </c>
      <c r="M997" s="67">
        <v>648</v>
      </c>
      <c r="N997" s="65" t="s">
        <v>120</v>
      </c>
      <c r="O997" s="68">
        <v>2221.75</v>
      </c>
      <c r="P997" s="68">
        <v>1439694</v>
      </c>
      <c r="Q997" s="68">
        <v>48247.64</v>
      </c>
      <c r="R997" s="62">
        <f t="shared" si="108"/>
        <v>3.3512426946281641E-2</v>
      </c>
      <c r="S997" s="67">
        <v>5</v>
      </c>
      <c r="T997" s="66">
        <v>45202</v>
      </c>
      <c r="U997" s="66">
        <v>45205</v>
      </c>
      <c r="V997" s="63">
        <f t="shared" si="109"/>
        <v>3</v>
      </c>
      <c r="W997" s="65" t="s">
        <v>125</v>
      </c>
      <c r="X997" s="64" t="b">
        <f t="shared" si="110"/>
        <v>0</v>
      </c>
      <c r="Y997" s="67">
        <v>101</v>
      </c>
      <c r="Z997" s="67">
        <v>287</v>
      </c>
      <c r="AA997" s="65" t="s">
        <v>116</v>
      </c>
      <c r="AB997" s="64" t="b">
        <f t="shared" si="111"/>
        <v>0</v>
      </c>
    </row>
    <row r="998" spans="1:28" ht="15" customHeight="1" x14ac:dyDescent="0.3">
      <c r="A998" s="57" t="s">
        <v>2117</v>
      </c>
      <c r="B998" s="82">
        <v>45567</v>
      </c>
      <c r="C998" s="59">
        <f t="shared" si="105"/>
        <v>2024</v>
      </c>
      <c r="D998" s="59">
        <f t="shared" si="106"/>
        <v>10</v>
      </c>
      <c r="E998" s="59">
        <f t="shared" si="107"/>
        <v>40</v>
      </c>
      <c r="F998" s="57" t="s">
        <v>54</v>
      </c>
      <c r="G998" s="57" t="s">
        <v>45</v>
      </c>
      <c r="H998" s="57" t="s">
        <v>2118</v>
      </c>
      <c r="I998" s="57" t="s">
        <v>67</v>
      </c>
      <c r="J998" s="57" t="s">
        <v>123</v>
      </c>
      <c r="K998" s="57" t="s">
        <v>75</v>
      </c>
      <c r="L998" s="57" t="s">
        <v>135</v>
      </c>
      <c r="M998" s="60">
        <v>946</v>
      </c>
      <c r="N998" s="57" t="s">
        <v>140</v>
      </c>
      <c r="O998" s="61">
        <v>292.75</v>
      </c>
      <c r="P998" s="61">
        <v>276941.5</v>
      </c>
      <c r="Q998" s="61">
        <v>9810.86</v>
      </c>
      <c r="R998" s="62">
        <f t="shared" si="108"/>
        <v>3.542574875921449E-2</v>
      </c>
      <c r="S998" s="60">
        <v>21</v>
      </c>
      <c r="T998" s="58">
        <v>45588</v>
      </c>
      <c r="U998" s="58">
        <v>45583</v>
      </c>
      <c r="V998" s="63">
        <f t="shared" si="109"/>
        <v>-5</v>
      </c>
      <c r="W998" s="57" t="s">
        <v>115</v>
      </c>
      <c r="X998" s="64" t="b">
        <f t="shared" si="110"/>
        <v>1</v>
      </c>
      <c r="Y998" s="60">
        <v>185</v>
      </c>
      <c r="Z998" s="60">
        <v>7</v>
      </c>
      <c r="AA998" s="57" t="s">
        <v>116</v>
      </c>
      <c r="AB998" s="64" t="b">
        <f t="shared" si="111"/>
        <v>0</v>
      </c>
    </row>
    <row r="999" spans="1:28" ht="15" customHeight="1" x14ac:dyDescent="0.3">
      <c r="A999" s="65" t="s">
        <v>2119</v>
      </c>
      <c r="B999" s="81">
        <v>45530</v>
      </c>
      <c r="C999" s="59">
        <f t="shared" si="105"/>
        <v>2024</v>
      </c>
      <c r="D999" s="59">
        <f t="shared" si="106"/>
        <v>8</v>
      </c>
      <c r="E999" s="59">
        <f t="shared" si="107"/>
        <v>35</v>
      </c>
      <c r="F999" s="65" t="s">
        <v>61</v>
      </c>
      <c r="G999" s="65" t="s">
        <v>41</v>
      </c>
      <c r="H999" s="65" t="s">
        <v>2120</v>
      </c>
      <c r="I999" s="65" t="s">
        <v>67</v>
      </c>
      <c r="J999" s="65" t="s">
        <v>139</v>
      </c>
      <c r="K999" s="65" t="s">
        <v>73</v>
      </c>
      <c r="L999" s="65" t="s">
        <v>146</v>
      </c>
      <c r="M999" s="67">
        <v>34</v>
      </c>
      <c r="N999" s="65" t="s">
        <v>120</v>
      </c>
      <c r="O999" s="68">
        <v>670.06</v>
      </c>
      <c r="P999" s="68">
        <v>22782.04</v>
      </c>
      <c r="Q999" s="68">
        <v>1111.02</v>
      </c>
      <c r="R999" s="62">
        <f t="shared" si="108"/>
        <v>4.8767362360877246E-2</v>
      </c>
      <c r="S999" s="67">
        <v>14</v>
      </c>
      <c r="T999" s="66">
        <v>45544</v>
      </c>
      <c r="U999" s="66">
        <v>45541</v>
      </c>
      <c r="V999" s="63">
        <f t="shared" si="109"/>
        <v>-3</v>
      </c>
      <c r="W999" s="65" t="s">
        <v>115</v>
      </c>
      <c r="X999" s="64" t="b">
        <f t="shared" si="110"/>
        <v>1</v>
      </c>
      <c r="Y999" s="67">
        <v>438</v>
      </c>
      <c r="Z999" s="67">
        <v>86</v>
      </c>
      <c r="AA999" s="65" t="s">
        <v>83</v>
      </c>
      <c r="AB999" s="64" t="b">
        <f t="shared" si="111"/>
        <v>1</v>
      </c>
    </row>
    <row r="1000" spans="1:28" ht="15" customHeight="1" x14ac:dyDescent="0.3">
      <c r="A1000" s="57" t="s">
        <v>2121</v>
      </c>
      <c r="B1000" s="82">
        <v>45604</v>
      </c>
      <c r="C1000" s="59">
        <f t="shared" si="105"/>
        <v>2024</v>
      </c>
      <c r="D1000" s="59">
        <f t="shared" si="106"/>
        <v>11</v>
      </c>
      <c r="E1000" s="59">
        <f t="shared" si="107"/>
        <v>45</v>
      </c>
      <c r="F1000" s="57" t="s">
        <v>52</v>
      </c>
      <c r="G1000" s="57" t="s">
        <v>45</v>
      </c>
      <c r="H1000" s="57" t="s">
        <v>2122</v>
      </c>
      <c r="I1000" s="57" t="s">
        <v>68</v>
      </c>
      <c r="J1000" s="57" t="s">
        <v>131</v>
      </c>
      <c r="K1000" s="57" t="s">
        <v>75</v>
      </c>
      <c r="L1000" s="57" t="s">
        <v>113</v>
      </c>
      <c r="M1000" s="60">
        <v>343</v>
      </c>
      <c r="N1000" s="57" t="s">
        <v>114</v>
      </c>
      <c r="O1000" s="61">
        <v>178.67</v>
      </c>
      <c r="P1000" s="61">
        <v>61283.81</v>
      </c>
      <c r="Q1000" s="61">
        <v>2576.17</v>
      </c>
      <c r="R1000" s="62">
        <f t="shared" si="108"/>
        <v>4.2036714101163102E-2</v>
      </c>
      <c r="S1000" s="60">
        <v>2</v>
      </c>
      <c r="T1000" s="58">
        <v>45606</v>
      </c>
      <c r="U1000" s="58">
        <v>45618</v>
      </c>
      <c r="V1000" s="63">
        <f t="shared" si="109"/>
        <v>12</v>
      </c>
      <c r="W1000" s="57" t="s">
        <v>128</v>
      </c>
      <c r="X1000" s="64" t="b">
        <f t="shared" si="110"/>
        <v>0</v>
      </c>
      <c r="Y1000" s="60">
        <v>418</v>
      </c>
      <c r="Z1000" s="60">
        <v>485</v>
      </c>
      <c r="AA1000" s="57" t="s">
        <v>83</v>
      </c>
      <c r="AB1000" s="64" t="b">
        <f t="shared" si="111"/>
        <v>1</v>
      </c>
    </row>
    <row r="1001" spans="1:28" ht="15" customHeight="1" x14ac:dyDescent="0.3">
      <c r="A1001" s="65" t="s">
        <v>2123</v>
      </c>
      <c r="B1001" s="81">
        <v>45129</v>
      </c>
      <c r="C1001" s="59">
        <f t="shared" si="105"/>
        <v>2023</v>
      </c>
      <c r="D1001" s="59">
        <f t="shared" si="106"/>
        <v>7</v>
      </c>
      <c r="E1001" s="59">
        <f t="shared" si="107"/>
        <v>29</v>
      </c>
      <c r="F1001" s="65" t="s">
        <v>61</v>
      </c>
      <c r="G1001" s="65" t="s">
        <v>43</v>
      </c>
      <c r="H1001" s="65" t="s">
        <v>2124</v>
      </c>
      <c r="I1001" s="65" t="s">
        <v>66</v>
      </c>
      <c r="J1001" s="65" t="s">
        <v>143</v>
      </c>
      <c r="K1001" s="65" t="s">
        <v>71</v>
      </c>
      <c r="L1001" s="65" t="s">
        <v>156</v>
      </c>
      <c r="M1001" s="67">
        <v>364</v>
      </c>
      <c r="N1001" s="65" t="s">
        <v>132</v>
      </c>
      <c r="O1001" s="68">
        <v>150.88999999999999</v>
      </c>
      <c r="P1001" s="68">
        <v>54923.96</v>
      </c>
      <c r="Q1001" s="68">
        <v>4109.8999999999996</v>
      </c>
      <c r="R1001" s="62">
        <f t="shared" si="108"/>
        <v>7.4828908913341277E-2</v>
      </c>
      <c r="S1001" s="67">
        <v>11</v>
      </c>
      <c r="T1001" s="66">
        <v>45140</v>
      </c>
      <c r="U1001" s="66">
        <v>45135</v>
      </c>
      <c r="V1001" s="63">
        <f t="shared" si="109"/>
        <v>-5</v>
      </c>
      <c r="W1001" s="65" t="s">
        <v>115</v>
      </c>
      <c r="X1001" s="64" t="b">
        <f t="shared" si="110"/>
        <v>1</v>
      </c>
      <c r="Y1001" s="67">
        <v>24</v>
      </c>
      <c r="Z1001" s="67">
        <v>285</v>
      </c>
      <c r="AA1001" s="65" t="s">
        <v>116</v>
      </c>
      <c r="AB1001" s="64" t="b">
        <f t="shared" si="111"/>
        <v>0</v>
      </c>
    </row>
    <row r="1002" spans="1:28" ht="15" customHeight="1" x14ac:dyDescent="0.3">
      <c r="A1002" s="57" t="s">
        <v>2125</v>
      </c>
      <c r="B1002" s="82">
        <v>45362</v>
      </c>
      <c r="C1002" s="59">
        <f t="shared" si="105"/>
        <v>2024</v>
      </c>
      <c r="D1002" s="59">
        <f t="shared" si="106"/>
        <v>3</v>
      </c>
      <c r="E1002" s="59">
        <f t="shared" si="107"/>
        <v>11</v>
      </c>
      <c r="F1002" s="57" t="s">
        <v>57</v>
      </c>
      <c r="G1002" s="57" t="s">
        <v>40</v>
      </c>
      <c r="H1002" s="57" t="s">
        <v>2126</v>
      </c>
      <c r="I1002" s="57" t="s">
        <v>67</v>
      </c>
      <c r="J1002" s="57" t="s">
        <v>143</v>
      </c>
      <c r="K1002" s="57" t="s">
        <v>71</v>
      </c>
      <c r="L1002" s="57" t="s">
        <v>146</v>
      </c>
      <c r="M1002" s="60">
        <v>125</v>
      </c>
      <c r="N1002" s="57" t="s">
        <v>163</v>
      </c>
      <c r="O1002" s="61">
        <v>762.82</v>
      </c>
      <c r="P1002" s="61">
        <v>95352.5</v>
      </c>
      <c r="Q1002" s="61">
        <v>4014.12</v>
      </c>
      <c r="R1002" s="62">
        <f t="shared" si="108"/>
        <v>4.2097690149707663E-2</v>
      </c>
      <c r="S1002" s="60">
        <v>19</v>
      </c>
      <c r="T1002" s="58">
        <v>45381</v>
      </c>
      <c r="U1002" s="58">
        <v>45386</v>
      </c>
      <c r="V1002" s="63">
        <f t="shared" si="109"/>
        <v>5</v>
      </c>
      <c r="W1002" s="57" t="s">
        <v>125</v>
      </c>
      <c r="X1002" s="64" t="b">
        <f t="shared" si="110"/>
        <v>0</v>
      </c>
      <c r="Y1002" s="60">
        <v>71</v>
      </c>
      <c r="Z1002" s="60">
        <v>398</v>
      </c>
      <c r="AA1002" s="57" t="s">
        <v>116</v>
      </c>
      <c r="AB1002" s="64" t="b">
        <f t="shared" si="111"/>
        <v>0</v>
      </c>
    </row>
    <row r="1003" spans="1:28" ht="15" customHeight="1" x14ac:dyDescent="0.3">
      <c r="A1003" s="65" t="s">
        <v>2127</v>
      </c>
      <c r="B1003" s="81">
        <v>45044</v>
      </c>
      <c r="C1003" s="59">
        <f t="shared" si="105"/>
        <v>2023</v>
      </c>
      <c r="D1003" s="59">
        <f t="shared" si="106"/>
        <v>4</v>
      </c>
      <c r="E1003" s="59">
        <f t="shared" si="107"/>
        <v>17</v>
      </c>
      <c r="F1003" s="65" t="s">
        <v>57</v>
      </c>
      <c r="G1003" s="65" t="s">
        <v>40</v>
      </c>
      <c r="H1003" s="65" t="s">
        <v>2128</v>
      </c>
      <c r="I1003" s="65" t="s">
        <v>67</v>
      </c>
      <c r="J1003" s="65" t="s">
        <v>123</v>
      </c>
      <c r="K1003" s="65" t="s">
        <v>71</v>
      </c>
      <c r="L1003" s="65" t="s">
        <v>124</v>
      </c>
      <c r="M1003" s="67">
        <v>57</v>
      </c>
      <c r="N1003" s="65" t="s">
        <v>136</v>
      </c>
      <c r="O1003" s="68">
        <v>730.75</v>
      </c>
      <c r="P1003" s="68">
        <v>41652.75</v>
      </c>
      <c r="Q1003" s="68">
        <v>1766.35</v>
      </c>
      <c r="R1003" s="62">
        <f t="shared" si="108"/>
        <v>4.2406563792306631E-2</v>
      </c>
      <c r="S1003" s="67">
        <v>7</v>
      </c>
      <c r="T1003" s="66">
        <v>45051</v>
      </c>
      <c r="U1003" s="66">
        <v>45048</v>
      </c>
      <c r="V1003" s="63">
        <f t="shared" si="109"/>
        <v>-3</v>
      </c>
      <c r="W1003" s="65" t="s">
        <v>115</v>
      </c>
      <c r="X1003" s="64" t="b">
        <f t="shared" si="110"/>
        <v>1</v>
      </c>
      <c r="Y1003" s="67">
        <v>80</v>
      </c>
      <c r="Z1003" s="67">
        <v>73</v>
      </c>
      <c r="AA1003" s="65" t="s">
        <v>116</v>
      </c>
      <c r="AB1003" s="64" t="b">
        <f t="shared" si="111"/>
        <v>0</v>
      </c>
    </row>
    <row r="1004" spans="1:28" ht="15" customHeight="1" x14ac:dyDescent="0.3">
      <c r="A1004" s="57" t="s">
        <v>2129</v>
      </c>
      <c r="B1004" s="82">
        <v>45484</v>
      </c>
      <c r="C1004" s="59">
        <f t="shared" si="105"/>
        <v>2024</v>
      </c>
      <c r="D1004" s="59">
        <f t="shared" si="106"/>
        <v>7</v>
      </c>
      <c r="E1004" s="59">
        <f t="shared" si="107"/>
        <v>28</v>
      </c>
      <c r="F1004" s="57" t="s">
        <v>56</v>
      </c>
      <c r="G1004" s="57" t="s">
        <v>42</v>
      </c>
      <c r="H1004" s="57" t="s">
        <v>2130</v>
      </c>
      <c r="I1004" s="57" t="s">
        <v>69</v>
      </c>
      <c r="J1004" s="57" t="s">
        <v>151</v>
      </c>
      <c r="K1004" s="57" t="s">
        <v>74</v>
      </c>
      <c r="L1004" s="57" t="s">
        <v>113</v>
      </c>
      <c r="M1004" s="60">
        <v>747</v>
      </c>
      <c r="N1004" s="57" t="s">
        <v>140</v>
      </c>
      <c r="O1004" s="61">
        <v>88.38</v>
      </c>
      <c r="P1004" s="61">
        <v>66019.86</v>
      </c>
      <c r="Q1004" s="61">
        <v>2839.65</v>
      </c>
      <c r="R1004" s="62">
        <f t="shared" si="108"/>
        <v>4.3012057280945461E-2</v>
      </c>
      <c r="S1004" s="60">
        <v>6</v>
      </c>
      <c r="T1004" s="58">
        <v>45490</v>
      </c>
      <c r="U1004" s="58">
        <v>45495</v>
      </c>
      <c r="V1004" s="63">
        <f t="shared" si="109"/>
        <v>5</v>
      </c>
      <c r="W1004" s="57" t="s">
        <v>125</v>
      </c>
      <c r="X1004" s="64" t="b">
        <f t="shared" si="110"/>
        <v>0</v>
      </c>
      <c r="Y1004" s="60">
        <v>60</v>
      </c>
      <c r="Z1004" s="60">
        <v>438</v>
      </c>
      <c r="AA1004" s="57" t="s">
        <v>116</v>
      </c>
      <c r="AB1004" s="64" t="b">
        <f t="shared" si="111"/>
        <v>0</v>
      </c>
    </row>
    <row r="1005" spans="1:28" ht="15" customHeight="1" x14ac:dyDescent="0.3">
      <c r="A1005" s="65" t="s">
        <v>2131</v>
      </c>
      <c r="B1005" s="81">
        <v>45157</v>
      </c>
      <c r="C1005" s="59">
        <f t="shared" si="105"/>
        <v>2023</v>
      </c>
      <c r="D1005" s="59">
        <f t="shared" si="106"/>
        <v>8</v>
      </c>
      <c r="E1005" s="59">
        <f t="shared" si="107"/>
        <v>33</v>
      </c>
      <c r="F1005" s="65" t="s">
        <v>52</v>
      </c>
      <c r="G1005" s="65" t="s">
        <v>42</v>
      </c>
      <c r="H1005" s="65" t="s">
        <v>2132</v>
      </c>
      <c r="I1005" s="65" t="s">
        <v>68</v>
      </c>
      <c r="J1005" s="65" t="s">
        <v>143</v>
      </c>
      <c r="K1005" s="65" t="s">
        <v>75</v>
      </c>
      <c r="L1005" s="65" t="s">
        <v>135</v>
      </c>
      <c r="M1005" s="67">
        <v>787</v>
      </c>
      <c r="N1005" s="65" t="s">
        <v>132</v>
      </c>
      <c r="O1005" s="68">
        <v>105.77</v>
      </c>
      <c r="P1005" s="68">
        <v>83240.990000000005</v>
      </c>
      <c r="Q1005" s="68">
        <v>5843.29</v>
      </c>
      <c r="R1005" s="62">
        <f t="shared" si="108"/>
        <v>7.0197266995503049E-2</v>
      </c>
      <c r="S1005" s="67">
        <v>28</v>
      </c>
      <c r="T1005" s="66">
        <v>45185</v>
      </c>
      <c r="U1005" s="66">
        <v>45197</v>
      </c>
      <c r="V1005" s="63">
        <f t="shared" si="109"/>
        <v>12</v>
      </c>
      <c r="W1005" s="65" t="s">
        <v>125</v>
      </c>
      <c r="X1005" s="64" t="b">
        <f t="shared" si="110"/>
        <v>0</v>
      </c>
      <c r="Y1005" s="67">
        <v>17</v>
      </c>
      <c r="Z1005" s="67">
        <v>122</v>
      </c>
      <c r="AA1005" s="65" t="s">
        <v>82</v>
      </c>
      <c r="AB1005" s="64" t="b">
        <f t="shared" si="111"/>
        <v>1</v>
      </c>
    </row>
    <row r="1006" spans="1:28" ht="15" customHeight="1" x14ac:dyDescent="0.3">
      <c r="A1006" s="57" t="s">
        <v>2133</v>
      </c>
      <c r="B1006" s="82">
        <v>45590</v>
      </c>
      <c r="C1006" s="59">
        <f t="shared" si="105"/>
        <v>2024</v>
      </c>
      <c r="D1006" s="59">
        <f t="shared" si="106"/>
        <v>10</v>
      </c>
      <c r="E1006" s="59">
        <f t="shared" si="107"/>
        <v>43</v>
      </c>
      <c r="F1006" s="57" t="s">
        <v>57</v>
      </c>
      <c r="G1006" s="57" t="s">
        <v>45</v>
      </c>
      <c r="H1006" s="57" t="s">
        <v>2134</v>
      </c>
      <c r="I1006" s="57" t="s">
        <v>67</v>
      </c>
      <c r="J1006" s="57" t="s">
        <v>151</v>
      </c>
      <c r="K1006" s="57" t="s">
        <v>72</v>
      </c>
      <c r="L1006" s="57" t="s">
        <v>119</v>
      </c>
      <c r="M1006" s="60">
        <v>108</v>
      </c>
      <c r="N1006" s="57" t="s">
        <v>120</v>
      </c>
      <c r="O1006" s="61">
        <v>277.33</v>
      </c>
      <c r="P1006" s="61">
        <v>29951.64</v>
      </c>
      <c r="Q1006" s="61">
        <v>1768.56</v>
      </c>
      <c r="R1006" s="62">
        <f t="shared" si="108"/>
        <v>5.904718406070586E-2</v>
      </c>
      <c r="S1006" s="60">
        <v>2</v>
      </c>
      <c r="T1006" s="58">
        <v>45592</v>
      </c>
      <c r="U1006" s="58">
        <v>45594</v>
      </c>
      <c r="V1006" s="63">
        <f t="shared" si="109"/>
        <v>2</v>
      </c>
      <c r="W1006" s="57" t="s">
        <v>125</v>
      </c>
      <c r="X1006" s="64" t="b">
        <f t="shared" si="110"/>
        <v>0</v>
      </c>
      <c r="Y1006" s="60">
        <v>241</v>
      </c>
      <c r="Z1006" s="60">
        <v>376</v>
      </c>
      <c r="AA1006" s="57" t="s">
        <v>116</v>
      </c>
      <c r="AB1006" s="64" t="b">
        <f t="shared" si="111"/>
        <v>0</v>
      </c>
    </row>
    <row r="1007" spans="1:28" ht="15" customHeight="1" x14ac:dyDescent="0.3">
      <c r="A1007" s="65" t="s">
        <v>2135</v>
      </c>
      <c r="B1007" s="81">
        <v>45079</v>
      </c>
      <c r="C1007" s="59">
        <f t="shared" si="105"/>
        <v>2023</v>
      </c>
      <c r="D1007" s="59">
        <f t="shared" si="106"/>
        <v>6</v>
      </c>
      <c r="E1007" s="59">
        <f t="shared" si="107"/>
        <v>22</v>
      </c>
      <c r="F1007" s="65" t="s">
        <v>59</v>
      </c>
      <c r="G1007" s="65" t="s">
        <v>43</v>
      </c>
      <c r="H1007" s="65" t="s">
        <v>2136</v>
      </c>
      <c r="I1007" s="65" t="s">
        <v>67</v>
      </c>
      <c r="J1007" s="65" t="s">
        <v>151</v>
      </c>
      <c r="K1007" s="65" t="s">
        <v>75</v>
      </c>
      <c r="L1007" s="65" t="s">
        <v>113</v>
      </c>
      <c r="M1007" s="67">
        <v>468</v>
      </c>
      <c r="N1007" s="65" t="s">
        <v>114</v>
      </c>
      <c r="O1007" s="68">
        <v>275.18</v>
      </c>
      <c r="P1007" s="68">
        <v>128784.24</v>
      </c>
      <c r="Q1007" s="68">
        <v>7321.4</v>
      </c>
      <c r="R1007" s="62">
        <f t="shared" si="108"/>
        <v>5.6850123897147657E-2</v>
      </c>
      <c r="S1007" s="67">
        <v>6</v>
      </c>
      <c r="T1007" s="66">
        <v>45085</v>
      </c>
      <c r="U1007" s="66">
        <v>45085</v>
      </c>
      <c r="V1007" s="63">
        <f t="shared" si="109"/>
        <v>0</v>
      </c>
      <c r="W1007" s="65" t="s">
        <v>115</v>
      </c>
      <c r="X1007" s="64" t="b">
        <f t="shared" si="110"/>
        <v>1</v>
      </c>
      <c r="Y1007" s="67">
        <v>57</v>
      </c>
      <c r="Z1007" s="67">
        <v>293</v>
      </c>
      <c r="AA1007" s="65" t="s">
        <v>84</v>
      </c>
      <c r="AB1007" s="64" t="b">
        <f t="shared" si="111"/>
        <v>1</v>
      </c>
    </row>
    <row r="1008" spans="1:28" ht="15" customHeight="1" x14ac:dyDescent="0.3">
      <c r="A1008" s="57" t="s">
        <v>2137</v>
      </c>
      <c r="B1008" s="82">
        <v>45199</v>
      </c>
      <c r="C1008" s="59">
        <f t="shared" si="105"/>
        <v>2023</v>
      </c>
      <c r="D1008" s="59">
        <f t="shared" si="106"/>
        <v>9</v>
      </c>
      <c r="E1008" s="59">
        <f t="shared" si="107"/>
        <v>39</v>
      </c>
      <c r="F1008" s="57" t="s">
        <v>59</v>
      </c>
      <c r="G1008" s="57" t="s">
        <v>42</v>
      </c>
      <c r="H1008" s="57" t="s">
        <v>2138</v>
      </c>
      <c r="I1008" s="57" t="s">
        <v>69</v>
      </c>
      <c r="J1008" s="57" t="s">
        <v>123</v>
      </c>
      <c r="K1008" s="57" t="s">
        <v>75</v>
      </c>
      <c r="L1008" s="57" t="s">
        <v>124</v>
      </c>
      <c r="M1008" s="60">
        <v>532</v>
      </c>
      <c r="N1008" s="57" t="s">
        <v>120</v>
      </c>
      <c r="O1008" s="61">
        <v>79.02</v>
      </c>
      <c r="P1008" s="61">
        <v>42038.64</v>
      </c>
      <c r="Q1008" s="61">
        <v>1683.59</v>
      </c>
      <c r="R1008" s="62">
        <f t="shared" si="108"/>
        <v>4.0048631449542613E-2</v>
      </c>
      <c r="S1008" s="60">
        <v>18</v>
      </c>
      <c r="T1008" s="58">
        <v>45217</v>
      </c>
      <c r="U1008" s="58">
        <v>45229</v>
      </c>
      <c r="V1008" s="63">
        <f t="shared" si="109"/>
        <v>12</v>
      </c>
      <c r="W1008" s="57" t="s">
        <v>125</v>
      </c>
      <c r="X1008" s="64" t="b">
        <f t="shared" si="110"/>
        <v>0</v>
      </c>
      <c r="Y1008" s="60">
        <v>331</v>
      </c>
      <c r="Z1008" s="60">
        <v>142</v>
      </c>
      <c r="AA1008" s="57" t="s">
        <v>116</v>
      </c>
      <c r="AB1008" s="64" t="b">
        <f t="shared" si="111"/>
        <v>0</v>
      </c>
    </row>
    <row r="1009" spans="1:28" ht="15" customHeight="1" x14ac:dyDescent="0.3">
      <c r="A1009" s="65" t="s">
        <v>2139</v>
      </c>
      <c r="B1009" s="81">
        <v>45072</v>
      </c>
      <c r="C1009" s="59">
        <f t="shared" si="105"/>
        <v>2023</v>
      </c>
      <c r="D1009" s="59">
        <f t="shared" si="106"/>
        <v>5</v>
      </c>
      <c r="E1009" s="59">
        <f t="shared" si="107"/>
        <v>21</v>
      </c>
      <c r="F1009" s="65" t="s">
        <v>53</v>
      </c>
      <c r="G1009" s="65" t="s">
        <v>40</v>
      </c>
      <c r="H1009" s="65" t="s">
        <v>2140</v>
      </c>
      <c r="I1009" s="65" t="s">
        <v>67</v>
      </c>
      <c r="J1009" s="65" t="s">
        <v>112</v>
      </c>
      <c r="K1009" s="65" t="s">
        <v>74</v>
      </c>
      <c r="L1009" s="65" t="s">
        <v>113</v>
      </c>
      <c r="M1009" s="67">
        <v>606</v>
      </c>
      <c r="N1009" s="65" t="s">
        <v>114</v>
      </c>
      <c r="O1009" s="68">
        <v>999.83</v>
      </c>
      <c r="P1009" s="68">
        <v>605896.98</v>
      </c>
      <c r="Q1009" s="68">
        <v>41851.879999999997</v>
      </c>
      <c r="R1009" s="62">
        <f t="shared" si="108"/>
        <v>6.9074250873473575E-2</v>
      </c>
      <c r="S1009" s="67">
        <v>2</v>
      </c>
      <c r="T1009" s="66">
        <v>45074</v>
      </c>
      <c r="U1009" s="66">
        <v>45082</v>
      </c>
      <c r="V1009" s="63">
        <f t="shared" si="109"/>
        <v>8</v>
      </c>
      <c r="W1009" s="65" t="s">
        <v>125</v>
      </c>
      <c r="X1009" s="64" t="b">
        <f t="shared" si="110"/>
        <v>0</v>
      </c>
      <c r="Y1009" s="67">
        <v>376</v>
      </c>
      <c r="Z1009" s="67">
        <v>157</v>
      </c>
      <c r="AA1009" s="65" t="s">
        <v>81</v>
      </c>
      <c r="AB1009" s="64" t="b">
        <f t="shared" si="111"/>
        <v>1</v>
      </c>
    </row>
    <row r="1010" spans="1:28" ht="15" customHeight="1" x14ac:dyDescent="0.3">
      <c r="A1010" s="57" t="s">
        <v>2141</v>
      </c>
      <c r="B1010" s="82">
        <v>45000</v>
      </c>
      <c r="C1010" s="59">
        <f t="shared" si="105"/>
        <v>2023</v>
      </c>
      <c r="D1010" s="59">
        <f t="shared" si="106"/>
        <v>3</v>
      </c>
      <c r="E1010" s="59">
        <f t="shared" si="107"/>
        <v>11</v>
      </c>
      <c r="F1010" s="57" t="s">
        <v>54</v>
      </c>
      <c r="G1010" s="57" t="s">
        <v>44</v>
      </c>
      <c r="H1010" s="57" t="s">
        <v>2142</v>
      </c>
      <c r="I1010" s="57" t="s">
        <v>69</v>
      </c>
      <c r="J1010" s="57" t="s">
        <v>112</v>
      </c>
      <c r="K1010" s="57" t="s">
        <v>75</v>
      </c>
      <c r="L1010" s="57" t="s">
        <v>113</v>
      </c>
      <c r="M1010" s="60">
        <v>414</v>
      </c>
      <c r="N1010" s="57" t="s">
        <v>114</v>
      </c>
      <c r="O1010" s="61">
        <v>114.03</v>
      </c>
      <c r="P1010" s="61">
        <v>47208.42</v>
      </c>
      <c r="Q1010" s="61">
        <v>1052.83</v>
      </c>
      <c r="R1010" s="62">
        <f t="shared" si="108"/>
        <v>2.2301741935019218E-2</v>
      </c>
      <c r="S1010" s="60">
        <v>18</v>
      </c>
      <c r="T1010" s="58">
        <v>45018</v>
      </c>
      <c r="U1010" s="58">
        <v>45019</v>
      </c>
      <c r="V1010" s="63">
        <f t="shared" si="109"/>
        <v>1</v>
      </c>
      <c r="W1010" s="57" t="s">
        <v>128</v>
      </c>
      <c r="X1010" s="64" t="b">
        <f t="shared" si="110"/>
        <v>0</v>
      </c>
      <c r="Y1010" s="60">
        <v>56</v>
      </c>
      <c r="Z1010" s="60">
        <v>429</v>
      </c>
      <c r="AA1010" s="57" t="s">
        <v>84</v>
      </c>
      <c r="AB1010" s="64" t="b">
        <f t="shared" si="111"/>
        <v>1</v>
      </c>
    </row>
    <row r="1011" spans="1:28" ht="15" customHeight="1" x14ac:dyDescent="0.3">
      <c r="A1011" s="65" t="s">
        <v>2143</v>
      </c>
      <c r="B1011" s="81">
        <v>44988</v>
      </c>
      <c r="C1011" s="59">
        <f t="shared" si="105"/>
        <v>2023</v>
      </c>
      <c r="D1011" s="59">
        <f t="shared" si="106"/>
        <v>3</v>
      </c>
      <c r="E1011" s="59">
        <f t="shared" si="107"/>
        <v>9</v>
      </c>
      <c r="F1011" s="65" t="s">
        <v>60</v>
      </c>
      <c r="G1011" s="65" t="s">
        <v>41</v>
      </c>
      <c r="H1011" s="65" t="s">
        <v>2144</v>
      </c>
      <c r="I1011" s="65" t="s">
        <v>66</v>
      </c>
      <c r="J1011" s="65" t="s">
        <v>112</v>
      </c>
      <c r="K1011" s="65" t="s">
        <v>73</v>
      </c>
      <c r="L1011" s="65" t="s">
        <v>119</v>
      </c>
      <c r="M1011" s="67">
        <v>223</v>
      </c>
      <c r="N1011" s="65" t="s">
        <v>132</v>
      </c>
      <c r="O1011" s="68">
        <v>374.36</v>
      </c>
      <c r="P1011" s="68">
        <v>83482.28</v>
      </c>
      <c r="Q1011" s="68">
        <v>6031.41</v>
      </c>
      <c r="R1011" s="62">
        <f t="shared" si="108"/>
        <v>7.2247787195079002E-2</v>
      </c>
      <c r="S1011" s="67">
        <v>15</v>
      </c>
      <c r="T1011" s="66">
        <v>45003</v>
      </c>
      <c r="U1011" s="66">
        <v>45000</v>
      </c>
      <c r="V1011" s="63">
        <f t="shared" si="109"/>
        <v>-3</v>
      </c>
      <c r="W1011" s="65" t="s">
        <v>115</v>
      </c>
      <c r="X1011" s="64" t="b">
        <f t="shared" si="110"/>
        <v>1</v>
      </c>
      <c r="Y1011" s="67">
        <v>96</v>
      </c>
      <c r="Z1011" s="67">
        <v>447</v>
      </c>
      <c r="AA1011" s="65" t="s">
        <v>116</v>
      </c>
      <c r="AB1011" s="64" t="b">
        <f t="shared" si="111"/>
        <v>0</v>
      </c>
    </row>
    <row r="1012" spans="1:28" ht="15" customHeight="1" x14ac:dyDescent="0.3">
      <c r="A1012" s="57" t="s">
        <v>2145</v>
      </c>
      <c r="B1012" s="82">
        <v>45096</v>
      </c>
      <c r="C1012" s="59">
        <f t="shared" si="105"/>
        <v>2023</v>
      </c>
      <c r="D1012" s="59">
        <f t="shared" si="106"/>
        <v>6</v>
      </c>
      <c r="E1012" s="59">
        <f t="shared" si="107"/>
        <v>25</v>
      </c>
      <c r="F1012" s="57" t="s">
        <v>61</v>
      </c>
      <c r="G1012" s="57" t="s">
        <v>41</v>
      </c>
      <c r="H1012" s="57" t="s">
        <v>2146</v>
      </c>
      <c r="I1012" s="57" t="s">
        <v>64</v>
      </c>
      <c r="J1012" s="57" t="s">
        <v>139</v>
      </c>
      <c r="K1012" s="57" t="s">
        <v>71</v>
      </c>
      <c r="L1012" s="57" t="s">
        <v>156</v>
      </c>
      <c r="M1012" s="60">
        <v>694</v>
      </c>
      <c r="N1012" s="57" t="s">
        <v>140</v>
      </c>
      <c r="O1012" s="61">
        <v>630.63</v>
      </c>
      <c r="P1012" s="61">
        <v>437657.22</v>
      </c>
      <c r="Q1012" s="61">
        <v>22217.67</v>
      </c>
      <c r="R1012" s="62">
        <f t="shared" si="108"/>
        <v>5.0765002802878469E-2</v>
      </c>
      <c r="S1012" s="60">
        <v>27</v>
      </c>
      <c r="T1012" s="58">
        <v>45123</v>
      </c>
      <c r="U1012" s="58">
        <v>45125</v>
      </c>
      <c r="V1012" s="63">
        <f t="shared" si="109"/>
        <v>2</v>
      </c>
      <c r="W1012" s="57" t="s">
        <v>125</v>
      </c>
      <c r="X1012" s="64" t="b">
        <f t="shared" si="110"/>
        <v>0</v>
      </c>
      <c r="Y1012" s="60">
        <v>214</v>
      </c>
      <c r="Z1012" s="60">
        <v>409</v>
      </c>
      <c r="AA1012" s="57" t="s">
        <v>116</v>
      </c>
      <c r="AB1012" s="64" t="b">
        <f t="shared" si="111"/>
        <v>0</v>
      </c>
    </row>
    <row r="1013" spans="1:28" ht="15" customHeight="1" x14ac:dyDescent="0.3">
      <c r="A1013" s="65" t="s">
        <v>2147</v>
      </c>
      <c r="B1013" s="81">
        <v>45241</v>
      </c>
      <c r="C1013" s="59">
        <f t="shared" si="105"/>
        <v>2023</v>
      </c>
      <c r="D1013" s="59">
        <f t="shared" si="106"/>
        <v>11</v>
      </c>
      <c r="E1013" s="59">
        <f t="shared" si="107"/>
        <v>45</v>
      </c>
      <c r="F1013" s="65" t="s">
        <v>54</v>
      </c>
      <c r="G1013" s="65" t="s">
        <v>43</v>
      </c>
      <c r="H1013" s="65" t="s">
        <v>2148</v>
      </c>
      <c r="I1013" s="65" t="s">
        <v>69</v>
      </c>
      <c r="J1013" s="65" t="s">
        <v>123</v>
      </c>
      <c r="K1013" s="65" t="s">
        <v>71</v>
      </c>
      <c r="L1013" s="65" t="s">
        <v>124</v>
      </c>
      <c r="M1013" s="67">
        <v>912</v>
      </c>
      <c r="N1013" s="65" t="s">
        <v>136</v>
      </c>
      <c r="O1013" s="68">
        <v>141.57</v>
      </c>
      <c r="P1013" s="68">
        <v>129111.84</v>
      </c>
      <c r="Q1013" s="68">
        <v>5667.37</v>
      </c>
      <c r="R1013" s="62">
        <f t="shared" si="108"/>
        <v>4.389504479217398E-2</v>
      </c>
      <c r="S1013" s="67">
        <v>19</v>
      </c>
      <c r="T1013" s="66">
        <v>45260</v>
      </c>
      <c r="U1013" s="66">
        <v>45268</v>
      </c>
      <c r="V1013" s="63">
        <f t="shared" si="109"/>
        <v>8</v>
      </c>
      <c r="W1013" s="65" t="s">
        <v>128</v>
      </c>
      <c r="X1013" s="64" t="b">
        <f t="shared" si="110"/>
        <v>0</v>
      </c>
      <c r="Y1013" s="67">
        <v>318</v>
      </c>
      <c r="Z1013" s="67">
        <v>370</v>
      </c>
      <c r="AA1013" s="65" t="s">
        <v>116</v>
      </c>
      <c r="AB1013" s="64" t="b">
        <f t="shared" si="111"/>
        <v>0</v>
      </c>
    </row>
    <row r="1014" spans="1:28" ht="15" customHeight="1" x14ac:dyDescent="0.3">
      <c r="A1014" s="57" t="s">
        <v>2149</v>
      </c>
      <c r="B1014" s="82">
        <v>45536</v>
      </c>
      <c r="C1014" s="59">
        <f t="shared" si="105"/>
        <v>2024</v>
      </c>
      <c r="D1014" s="59">
        <f t="shared" si="106"/>
        <v>9</v>
      </c>
      <c r="E1014" s="59">
        <f t="shared" si="107"/>
        <v>36</v>
      </c>
      <c r="F1014" s="57" t="s">
        <v>60</v>
      </c>
      <c r="G1014" s="57" t="s">
        <v>45</v>
      </c>
      <c r="H1014" s="57" t="s">
        <v>2150</v>
      </c>
      <c r="I1014" s="57" t="s">
        <v>69</v>
      </c>
      <c r="J1014" s="57" t="s">
        <v>151</v>
      </c>
      <c r="K1014" s="57" t="s">
        <v>74</v>
      </c>
      <c r="L1014" s="57" t="s">
        <v>119</v>
      </c>
      <c r="M1014" s="60">
        <v>512</v>
      </c>
      <c r="N1014" s="57" t="s">
        <v>140</v>
      </c>
      <c r="O1014" s="61">
        <v>205.47</v>
      </c>
      <c r="P1014" s="61">
        <v>105200.64</v>
      </c>
      <c r="Q1014" s="61">
        <v>5242.1499999999996</v>
      </c>
      <c r="R1014" s="62">
        <f t="shared" si="108"/>
        <v>4.9830020045505422E-2</v>
      </c>
      <c r="S1014" s="60">
        <v>2</v>
      </c>
      <c r="T1014" s="58">
        <v>45538</v>
      </c>
      <c r="U1014" s="58">
        <v>45538</v>
      </c>
      <c r="V1014" s="63">
        <f t="shared" si="109"/>
        <v>0</v>
      </c>
      <c r="W1014" s="57" t="s">
        <v>115</v>
      </c>
      <c r="X1014" s="64" t="b">
        <f t="shared" si="110"/>
        <v>1</v>
      </c>
      <c r="Y1014" s="60">
        <v>11</v>
      </c>
      <c r="Z1014" s="60">
        <v>108</v>
      </c>
      <c r="AA1014" s="57" t="s">
        <v>83</v>
      </c>
      <c r="AB1014" s="64" t="b">
        <f t="shared" si="111"/>
        <v>1</v>
      </c>
    </row>
    <row r="1015" spans="1:28" ht="15" customHeight="1" x14ac:dyDescent="0.3">
      <c r="A1015" s="65" t="s">
        <v>2151</v>
      </c>
      <c r="B1015" s="81">
        <v>45509</v>
      </c>
      <c r="C1015" s="59">
        <f t="shared" si="105"/>
        <v>2024</v>
      </c>
      <c r="D1015" s="59">
        <f t="shared" si="106"/>
        <v>8</v>
      </c>
      <c r="E1015" s="59">
        <f t="shared" si="107"/>
        <v>32</v>
      </c>
      <c r="F1015" s="65" t="s">
        <v>60</v>
      </c>
      <c r="G1015" s="65" t="s">
        <v>42</v>
      </c>
      <c r="H1015" s="65" t="s">
        <v>2152</v>
      </c>
      <c r="I1015" s="65" t="s">
        <v>67</v>
      </c>
      <c r="J1015" s="65" t="s">
        <v>143</v>
      </c>
      <c r="K1015" s="65" t="s">
        <v>71</v>
      </c>
      <c r="L1015" s="65" t="s">
        <v>113</v>
      </c>
      <c r="M1015" s="67">
        <v>730</v>
      </c>
      <c r="N1015" s="65" t="s">
        <v>163</v>
      </c>
      <c r="O1015" s="68">
        <v>77.08</v>
      </c>
      <c r="P1015" s="68">
        <v>56268.4</v>
      </c>
      <c r="Q1015" s="68">
        <v>3378.63</v>
      </c>
      <c r="R1015" s="62">
        <f t="shared" si="108"/>
        <v>6.0044891982000553E-2</v>
      </c>
      <c r="S1015" s="67">
        <v>20</v>
      </c>
      <c r="T1015" s="66">
        <v>45529</v>
      </c>
      <c r="U1015" s="66">
        <v>45531</v>
      </c>
      <c r="V1015" s="63">
        <f t="shared" si="109"/>
        <v>2</v>
      </c>
      <c r="W1015" s="65" t="s">
        <v>125</v>
      </c>
      <c r="X1015" s="64" t="b">
        <f t="shared" si="110"/>
        <v>0</v>
      </c>
      <c r="Y1015" s="67">
        <v>10</v>
      </c>
      <c r="Z1015" s="67">
        <v>333</v>
      </c>
      <c r="AA1015" s="65" t="s">
        <v>81</v>
      </c>
      <c r="AB1015" s="64" t="b">
        <f t="shared" si="111"/>
        <v>1</v>
      </c>
    </row>
    <row r="1016" spans="1:28" ht="15" customHeight="1" x14ac:dyDescent="0.3">
      <c r="A1016" s="57" t="s">
        <v>2153</v>
      </c>
      <c r="B1016" s="82">
        <v>45222</v>
      </c>
      <c r="C1016" s="59">
        <f t="shared" si="105"/>
        <v>2023</v>
      </c>
      <c r="D1016" s="59">
        <f t="shared" si="106"/>
        <v>10</v>
      </c>
      <c r="E1016" s="59">
        <f t="shared" si="107"/>
        <v>43</v>
      </c>
      <c r="F1016" s="57" t="s">
        <v>58</v>
      </c>
      <c r="G1016" s="57" t="s">
        <v>44</v>
      </c>
      <c r="H1016" s="57" t="s">
        <v>2154</v>
      </c>
      <c r="I1016" s="57" t="s">
        <v>69</v>
      </c>
      <c r="J1016" s="57" t="s">
        <v>139</v>
      </c>
      <c r="K1016" s="57" t="s">
        <v>73</v>
      </c>
      <c r="L1016" s="57" t="s">
        <v>124</v>
      </c>
      <c r="M1016" s="60">
        <v>457</v>
      </c>
      <c r="N1016" s="57" t="s">
        <v>140</v>
      </c>
      <c r="O1016" s="61">
        <v>150.56</v>
      </c>
      <c r="P1016" s="61">
        <v>68805.919999999998</v>
      </c>
      <c r="Q1016" s="61">
        <v>1428.82</v>
      </c>
      <c r="R1016" s="62">
        <f t="shared" si="108"/>
        <v>2.0765945720949593E-2</v>
      </c>
      <c r="S1016" s="60">
        <v>25</v>
      </c>
      <c r="T1016" s="58">
        <v>45247</v>
      </c>
      <c r="U1016" s="58">
        <v>45242</v>
      </c>
      <c r="V1016" s="63">
        <f t="shared" si="109"/>
        <v>-5</v>
      </c>
      <c r="W1016" s="57" t="s">
        <v>115</v>
      </c>
      <c r="X1016" s="64" t="b">
        <f t="shared" si="110"/>
        <v>1</v>
      </c>
      <c r="Y1016" s="60">
        <v>396</v>
      </c>
      <c r="Z1016" s="60">
        <v>194</v>
      </c>
      <c r="AA1016" s="57" t="s">
        <v>81</v>
      </c>
      <c r="AB1016" s="64" t="b">
        <f t="shared" si="111"/>
        <v>1</v>
      </c>
    </row>
    <row r="1017" spans="1:28" ht="15" customHeight="1" x14ac:dyDescent="0.3">
      <c r="A1017" s="65" t="s">
        <v>2155</v>
      </c>
      <c r="B1017" s="81">
        <v>45376</v>
      </c>
      <c r="C1017" s="59">
        <f t="shared" si="105"/>
        <v>2024</v>
      </c>
      <c r="D1017" s="59">
        <f t="shared" si="106"/>
        <v>3</v>
      </c>
      <c r="E1017" s="59">
        <f t="shared" si="107"/>
        <v>13</v>
      </c>
      <c r="F1017" s="65" t="s">
        <v>57</v>
      </c>
      <c r="G1017" s="65" t="s">
        <v>41</v>
      </c>
      <c r="H1017" s="65" t="s">
        <v>2156</v>
      </c>
      <c r="I1017" s="65" t="s">
        <v>68</v>
      </c>
      <c r="J1017" s="65" t="s">
        <v>112</v>
      </c>
      <c r="K1017" s="65" t="s">
        <v>74</v>
      </c>
      <c r="L1017" s="65" t="s">
        <v>135</v>
      </c>
      <c r="M1017" s="67">
        <v>903</v>
      </c>
      <c r="N1017" s="65" t="s">
        <v>114</v>
      </c>
      <c r="O1017" s="68">
        <v>656.5</v>
      </c>
      <c r="P1017" s="68">
        <v>592819.5</v>
      </c>
      <c r="Q1017" s="68">
        <v>42856.77</v>
      </c>
      <c r="R1017" s="62">
        <f t="shared" si="108"/>
        <v>7.2293117888328567E-2</v>
      </c>
      <c r="S1017" s="67">
        <v>6</v>
      </c>
      <c r="T1017" s="66">
        <v>45382</v>
      </c>
      <c r="U1017" s="66">
        <v>45377</v>
      </c>
      <c r="V1017" s="63">
        <f t="shared" si="109"/>
        <v>-5</v>
      </c>
      <c r="W1017" s="65" t="s">
        <v>115</v>
      </c>
      <c r="X1017" s="64" t="b">
        <f t="shared" si="110"/>
        <v>1</v>
      </c>
      <c r="Y1017" s="67">
        <v>162</v>
      </c>
      <c r="Z1017" s="67">
        <v>35</v>
      </c>
      <c r="AA1017" s="65" t="s">
        <v>81</v>
      </c>
      <c r="AB1017" s="64" t="b">
        <f t="shared" si="111"/>
        <v>1</v>
      </c>
    </row>
    <row r="1018" spans="1:28" ht="15" customHeight="1" x14ac:dyDescent="0.3">
      <c r="A1018" s="57" t="s">
        <v>2157</v>
      </c>
      <c r="B1018" s="82">
        <v>45054</v>
      </c>
      <c r="C1018" s="59">
        <f t="shared" si="105"/>
        <v>2023</v>
      </c>
      <c r="D1018" s="59">
        <f t="shared" si="106"/>
        <v>5</v>
      </c>
      <c r="E1018" s="59">
        <f t="shared" si="107"/>
        <v>19</v>
      </c>
      <c r="F1018" s="57" t="s">
        <v>53</v>
      </c>
      <c r="G1018" s="57" t="s">
        <v>41</v>
      </c>
      <c r="H1018" s="57" t="s">
        <v>2158</v>
      </c>
      <c r="I1018" s="57" t="s">
        <v>65</v>
      </c>
      <c r="J1018" s="57" t="s">
        <v>131</v>
      </c>
      <c r="K1018" s="57" t="s">
        <v>72</v>
      </c>
      <c r="L1018" s="57" t="s">
        <v>113</v>
      </c>
      <c r="M1018" s="60">
        <v>585</v>
      </c>
      <c r="N1018" s="57" t="s">
        <v>114</v>
      </c>
      <c r="O1018" s="61">
        <v>471.64</v>
      </c>
      <c r="P1018" s="61">
        <v>275909.40000000002</v>
      </c>
      <c r="Q1018" s="61">
        <v>12913.77</v>
      </c>
      <c r="R1018" s="62">
        <f t="shared" si="108"/>
        <v>4.6804385787508507E-2</v>
      </c>
      <c r="S1018" s="60">
        <v>1</v>
      </c>
      <c r="T1018" s="58">
        <v>45055</v>
      </c>
      <c r="U1018" s="58">
        <v>45067</v>
      </c>
      <c r="V1018" s="63">
        <f t="shared" si="109"/>
        <v>12</v>
      </c>
      <c r="W1018" s="57" t="s">
        <v>125</v>
      </c>
      <c r="X1018" s="64" t="b">
        <f t="shared" si="110"/>
        <v>0</v>
      </c>
      <c r="Y1018" s="60">
        <v>282</v>
      </c>
      <c r="Z1018" s="60">
        <v>89</v>
      </c>
      <c r="AA1018" s="57" t="s">
        <v>83</v>
      </c>
      <c r="AB1018" s="64" t="b">
        <f t="shared" si="111"/>
        <v>1</v>
      </c>
    </row>
    <row r="1019" spans="1:28" ht="15" customHeight="1" x14ac:dyDescent="0.3">
      <c r="A1019" s="65" t="s">
        <v>2159</v>
      </c>
      <c r="B1019" s="81">
        <v>45406</v>
      </c>
      <c r="C1019" s="59">
        <f t="shared" si="105"/>
        <v>2024</v>
      </c>
      <c r="D1019" s="59">
        <f t="shared" si="106"/>
        <v>4</v>
      </c>
      <c r="E1019" s="59">
        <f t="shared" si="107"/>
        <v>17</v>
      </c>
      <c r="F1019" s="65" t="s">
        <v>57</v>
      </c>
      <c r="G1019" s="65" t="s">
        <v>46</v>
      </c>
      <c r="H1019" s="65" t="s">
        <v>2160</v>
      </c>
      <c r="I1019" s="65" t="s">
        <v>65</v>
      </c>
      <c r="J1019" s="65" t="s">
        <v>139</v>
      </c>
      <c r="K1019" s="65" t="s">
        <v>71</v>
      </c>
      <c r="L1019" s="65" t="s">
        <v>135</v>
      </c>
      <c r="M1019" s="67">
        <v>267</v>
      </c>
      <c r="N1019" s="65" t="s">
        <v>163</v>
      </c>
      <c r="O1019" s="68">
        <v>80.959999999999994</v>
      </c>
      <c r="P1019" s="68">
        <v>21616.32</v>
      </c>
      <c r="Q1019" s="68">
        <v>877.15</v>
      </c>
      <c r="R1019" s="62">
        <f t="shared" si="108"/>
        <v>4.0578137259255971E-2</v>
      </c>
      <c r="S1019" s="67">
        <v>24</v>
      </c>
      <c r="T1019" s="66">
        <v>45430</v>
      </c>
      <c r="U1019" s="66">
        <v>45431</v>
      </c>
      <c r="V1019" s="63">
        <f t="shared" si="109"/>
        <v>1</v>
      </c>
      <c r="W1019" s="65" t="s">
        <v>128</v>
      </c>
      <c r="X1019" s="64" t="b">
        <f t="shared" si="110"/>
        <v>0</v>
      </c>
      <c r="Y1019" s="67">
        <v>216</v>
      </c>
      <c r="Z1019" s="67">
        <v>461</v>
      </c>
      <c r="AA1019" s="65" t="s">
        <v>116</v>
      </c>
      <c r="AB1019" s="64" t="b">
        <f t="shared" si="111"/>
        <v>0</v>
      </c>
    </row>
    <row r="1020" spans="1:28" ht="15" customHeight="1" x14ac:dyDescent="0.3">
      <c r="A1020" s="57" t="s">
        <v>2161</v>
      </c>
      <c r="B1020" s="82">
        <v>45632</v>
      </c>
      <c r="C1020" s="59">
        <f t="shared" si="105"/>
        <v>2024</v>
      </c>
      <c r="D1020" s="59">
        <f t="shared" si="106"/>
        <v>12</v>
      </c>
      <c r="E1020" s="59">
        <f t="shared" si="107"/>
        <v>49</v>
      </c>
      <c r="F1020" s="57" t="s">
        <v>53</v>
      </c>
      <c r="G1020" s="57" t="s">
        <v>45</v>
      </c>
      <c r="H1020" s="57" t="s">
        <v>2162</v>
      </c>
      <c r="I1020" s="57" t="s">
        <v>66</v>
      </c>
      <c r="J1020" s="57" t="s">
        <v>139</v>
      </c>
      <c r="K1020" s="57" t="s">
        <v>75</v>
      </c>
      <c r="L1020" s="57" t="s">
        <v>146</v>
      </c>
      <c r="M1020" s="60">
        <v>853</v>
      </c>
      <c r="N1020" s="57" t="s">
        <v>120</v>
      </c>
      <c r="O1020" s="61">
        <v>187.03</v>
      </c>
      <c r="P1020" s="61">
        <v>159536.59</v>
      </c>
      <c r="Q1020" s="61">
        <v>4514.05</v>
      </c>
      <c r="R1020" s="62">
        <f t="shared" si="108"/>
        <v>2.8294762975691033E-2</v>
      </c>
      <c r="S1020" s="60">
        <v>15</v>
      </c>
      <c r="T1020" s="58">
        <v>45647</v>
      </c>
      <c r="U1020" s="58">
        <v>45649</v>
      </c>
      <c r="V1020" s="63">
        <f t="shared" si="109"/>
        <v>2</v>
      </c>
      <c r="W1020" s="57" t="s">
        <v>125</v>
      </c>
      <c r="X1020" s="64" t="b">
        <f t="shared" si="110"/>
        <v>0</v>
      </c>
      <c r="Y1020" s="60">
        <v>359</v>
      </c>
      <c r="Z1020" s="60">
        <v>414</v>
      </c>
      <c r="AA1020" s="57" t="s">
        <v>116</v>
      </c>
      <c r="AB1020" s="64" t="b">
        <f t="shared" si="111"/>
        <v>0</v>
      </c>
    </row>
    <row r="1021" spans="1:28" ht="15" customHeight="1" x14ac:dyDescent="0.3">
      <c r="A1021" s="65" t="s">
        <v>2163</v>
      </c>
      <c r="B1021" s="81">
        <v>45238</v>
      </c>
      <c r="C1021" s="59">
        <f t="shared" si="105"/>
        <v>2023</v>
      </c>
      <c r="D1021" s="59">
        <f t="shared" si="106"/>
        <v>11</v>
      </c>
      <c r="E1021" s="59">
        <f t="shared" si="107"/>
        <v>45</v>
      </c>
      <c r="F1021" s="65" t="s">
        <v>54</v>
      </c>
      <c r="G1021" s="65" t="s">
        <v>46</v>
      </c>
      <c r="H1021" s="65" t="s">
        <v>2164</v>
      </c>
      <c r="I1021" s="65" t="s">
        <v>69</v>
      </c>
      <c r="J1021" s="65" t="s">
        <v>123</v>
      </c>
      <c r="K1021" s="65" t="s">
        <v>73</v>
      </c>
      <c r="L1021" s="65" t="s">
        <v>135</v>
      </c>
      <c r="M1021" s="67">
        <v>130</v>
      </c>
      <c r="N1021" s="65" t="s">
        <v>114</v>
      </c>
      <c r="O1021" s="68">
        <v>63.42</v>
      </c>
      <c r="P1021" s="68">
        <v>8244.6</v>
      </c>
      <c r="Q1021" s="68">
        <v>382.28</v>
      </c>
      <c r="R1021" s="62">
        <f t="shared" si="108"/>
        <v>4.6367319215001326E-2</v>
      </c>
      <c r="S1021" s="67">
        <v>28</v>
      </c>
      <c r="T1021" s="66">
        <v>45266</v>
      </c>
      <c r="U1021" s="66">
        <v>45265</v>
      </c>
      <c r="V1021" s="63">
        <f t="shared" si="109"/>
        <v>-1</v>
      </c>
      <c r="W1021" s="65" t="s">
        <v>115</v>
      </c>
      <c r="X1021" s="64" t="b">
        <f t="shared" si="110"/>
        <v>1</v>
      </c>
      <c r="Y1021" s="67">
        <v>322</v>
      </c>
      <c r="Z1021" s="67">
        <v>461</v>
      </c>
      <c r="AA1021" s="65" t="s">
        <v>116</v>
      </c>
      <c r="AB1021" s="64" t="b">
        <f t="shared" si="111"/>
        <v>0</v>
      </c>
    </row>
    <row r="1022" spans="1:28" ht="15" customHeight="1" x14ac:dyDescent="0.3">
      <c r="A1022" s="57" t="s">
        <v>2165</v>
      </c>
      <c r="B1022" s="82">
        <v>45643</v>
      </c>
      <c r="C1022" s="59">
        <f t="shared" si="105"/>
        <v>2024</v>
      </c>
      <c r="D1022" s="59">
        <f t="shared" si="106"/>
        <v>12</v>
      </c>
      <c r="E1022" s="59">
        <f t="shared" si="107"/>
        <v>51</v>
      </c>
      <c r="F1022" s="57" t="s">
        <v>56</v>
      </c>
      <c r="G1022" s="57" t="s">
        <v>40</v>
      </c>
      <c r="H1022" s="57" t="s">
        <v>2166</v>
      </c>
      <c r="I1022" s="57" t="s">
        <v>68</v>
      </c>
      <c r="J1022" s="57" t="s">
        <v>143</v>
      </c>
      <c r="K1022" s="57" t="s">
        <v>73</v>
      </c>
      <c r="L1022" s="57" t="s">
        <v>113</v>
      </c>
      <c r="M1022" s="60">
        <v>819</v>
      </c>
      <c r="N1022" s="57" t="s">
        <v>163</v>
      </c>
      <c r="O1022" s="61">
        <v>1025.29</v>
      </c>
      <c r="P1022" s="61">
        <v>839712.51</v>
      </c>
      <c r="Q1022" s="61">
        <v>41800.36</v>
      </c>
      <c r="R1022" s="62">
        <f t="shared" si="108"/>
        <v>4.9779370322826318E-2</v>
      </c>
      <c r="S1022" s="60">
        <v>23</v>
      </c>
      <c r="T1022" s="58">
        <v>45666</v>
      </c>
      <c r="U1022" s="58">
        <v>45666</v>
      </c>
      <c r="V1022" s="63">
        <f t="shared" si="109"/>
        <v>0</v>
      </c>
      <c r="W1022" s="57" t="s">
        <v>115</v>
      </c>
      <c r="X1022" s="64" t="b">
        <f t="shared" si="110"/>
        <v>1</v>
      </c>
      <c r="Y1022" s="60">
        <v>240</v>
      </c>
      <c r="Z1022" s="60">
        <v>295</v>
      </c>
      <c r="AA1022" s="57" t="s">
        <v>116</v>
      </c>
      <c r="AB1022" s="64" t="b">
        <f t="shared" si="111"/>
        <v>0</v>
      </c>
    </row>
    <row r="1023" spans="1:28" ht="15" customHeight="1" x14ac:dyDescent="0.3">
      <c r="A1023" s="65" t="s">
        <v>2167</v>
      </c>
      <c r="B1023" s="81">
        <v>45339</v>
      </c>
      <c r="C1023" s="59">
        <f t="shared" si="105"/>
        <v>2024</v>
      </c>
      <c r="D1023" s="59">
        <f t="shared" si="106"/>
        <v>2</v>
      </c>
      <c r="E1023" s="59">
        <f t="shared" si="107"/>
        <v>7</v>
      </c>
      <c r="F1023" s="65" t="s">
        <v>56</v>
      </c>
      <c r="G1023" s="65" t="s">
        <v>41</v>
      </c>
      <c r="H1023" s="65" t="s">
        <v>2168</v>
      </c>
      <c r="I1023" s="65" t="s">
        <v>67</v>
      </c>
      <c r="J1023" s="65" t="s">
        <v>139</v>
      </c>
      <c r="K1023" s="65" t="s">
        <v>71</v>
      </c>
      <c r="L1023" s="65" t="s">
        <v>119</v>
      </c>
      <c r="M1023" s="67">
        <v>987</v>
      </c>
      <c r="N1023" s="65" t="s">
        <v>114</v>
      </c>
      <c r="O1023" s="68">
        <v>627.16999999999996</v>
      </c>
      <c r="P1023" s="68">
        <v>619016.79</v>
      </c>
      <c r="Q1023" s="68">
        <v>27372.18</v>
      </c>
      <c r="R1023" s="62">
        <f t="shared" si="108"/>
        <v>4.4218800591822392E-2</v>
      </c>
      <c r="S1023" s="67">
        <v>10</v>
      </c>
      <c r="T1023" s="66">
        <v>45349</v>
      </c>
      <c r="U1023" s="66">
        <v>45361</v>
      </c>
      <c r="V1023" s="63">
        <f t="shared" si="109"/>
        <v>12</v>
      </c>
      <c r="W1023" s="65" t="s">
        <v>128</v>
      </c>
      <c r="X1023" s="64" t="b">
        <f t="shared" si="110"/>
        <v>0</v>
      </c>
      <c r="Y1023" s="67">
        <v>344</v>
      </c>
      <c r="Z1023" s="67">
        <v>329</v>
      </c>
      <c r="AA1023" s="65" t="s">
        <v>116</v>
      </c>
      <c r="AB1023" s="64" t="b">
        <f t="shared" si="111"/>
        <v>0</v>
      </c>
    </row>
    <row r="1024" spans="1:28" ht="15" customHeight="1" x14ac:dyDescent="0.3">
      <c r="A1024" s="57" t="s">
        <v>2169</v>
      </c>
      <c r="B1024" s="82">
        <v>45205</v>
      </c>
      <c r="C1024" s="59">
        <f t="shared" si="105"/>
        <v>2023</v>
      </c>
      <c r="D1024" s="59">
        <f t="shared" si="106"/>
        <v>10</v>
      </c>
      <c r="E1024" s="59">
        <f t="shared" si="107"/>
        <v>40</v>
      </c>
      <c r="F1024" s="57" t="s">
        <v>54</v>
      </c>
      <c r="G1024" s="57" t="s">
        <v>43</v>
      </c>
      <c r="H1024" s="57" t="s">
        <v>2170</v>
      </c>
      <c r="I1024" s="57" t="s">
        <v>67</v>
      </c>
      <c r="J1024" s="57" t="s">
        <v>143</v>
      </c>
      <c r="K1024" s="57" t="s">
        <v>72</v>
      </c>
      <c r="L1024" s="57" t="s">
        <v>113</v>
      </c>
      <c r="M1024" s="60">
        <v>63</v>
      </c>
      <c r="N1024" s="57" t="s">
        <v>136</v>
      </c>
      <c r="O1024" s="61">
        <v>297.98</v>
      </c>
      <c r="P1024" s="61">
        <v>18772.740000000002</v>
      </c>
      <c r="Q1024" s="61">
        <v>1139.8699999999999</v>
      </c>
      <c r="R1024" s="62">
        <f t="shared" si="108"/>
        <v>6.0719426146636016E-2</v>
      </c>
      <c r="S1024" s="60">
        <v>19</v>
      </c>
      <c r="T1024" s="58">
        <v>45224</v>
      </c>
      <c r="U1024" s="58">
        <v>45219</v>
      </c>
      <c r="V1024" s="63">
        <f t="shared" si="109"/>
        <v>-5</v>
      </c>
      <c r="W1024" s="57" t="s">
        <v>115</v>
      </c>
      <c r="X1024" s="64" t="b">
        <f t="shared" si="110"/>
        <v>1</v>
      </c>
      <c r="Y1024" s="60">
        <v>44</v>
      </c>
      <c r="Z1024" s="60">
        <v>200</v>
      </c>
      <c r="AA1024" s="57" t="s">
        <v>116</v>
      </c>
      <c r="AB1024" s="64" t="b">
        <f t="shared" si="111"/>
        <v>0</v>
      </c>
    </row>
    <row r="1025" spans="1:28" ht="15" customHeight="1" x14ac:dyDescent="0.3">
      <c r="A1025" s="65" t="s">
        <v>2171</v>
      </c>
      <c r="B1025" s="81">
        <v>45439</v>
      </c>
      <c r="C1025" s="59">
        <f t="shared" si="105"/>
        <v>2024</v>
      </c>
      <c r="D1025" s="59">
        <f t="shared" si="106"/>
        <v>5</v>
      </c>
      <c r="E1025" s="59">
        <f t="shared" si="107"/>
        <v>22</v>
      </c>
      <c r="F1025" s="65" t="s">
        <v>52</v>
      </c>
      <c r="G1025" s="65" t="s">
        <v>39</v>
      </c>
      <c r="H1025" s="65" t="s">
        <v>2172</v>
      </c>
      <c r="I1025" s="65" t="s">
        <v>64</v>
      </c>
      <c r="J1025" s="65" t="s">
        <v>123</v>
      </c>
      <c r="K1025" s="65" t="s">
        <v>75</v>
      </c>
      <c r="L1025" s="65" t="s">
        <v>113</v>
      </c>
      <c r="M1025" s="67">
        <v>340</v>
      </c>
      <c r="N1025" s="65" t="s">
        <v>114</v>
      </c>
      <c r="O1025" s="68">
        <v>1320.19</v>
      </c>
      <c r="P1025" s="68">
        <v>448864.6</v>
      </c>
      <c r="Q1025" s="68">
        <v>20312.830000000002</v>
      </c>
      <c r="R1025" s="62">
        <f t="shared" si="108"/>
        <v>4.5253802594368106E-2</v>
      </c>
      <c r="S1025" s="67">
        <v>17</v>
      </c>
      <c r="T1025" s="66">
        <v>45456</v>
      </c>
      <c r="U1025" s="66">
        <v>45457</v>
      </c>
      <c r="V1025" s="63">
        <f t="shared" si="109"/>
        <v>1</v>
      </c>
      <c r="W1025" s="65" t="s">
        <v>125</v>
      </c>
      <c r="X1025" s="64" t="b">
        <f t="shared" si="110"/>
        <v>0</v>
      </c>
      <c r="Y1025" s="67">
        <v>457</v>
      </c>
      <c r="Z1025" s="67">
        <v>45</v>
      </c>
      <c r="AA1025" s="65" t="s">
        <v>84</v>
      </c>
      <c r="AB1025" s="64" t="b">
        <f t="shared" si="111"/>
        <v>1</v>
      </c>
    </row>
    <row r="1026" spans="1:28" ht="15" customHeight="1" x14ac:dyDescent="0.3">
      <c r="A1026" s="57" t="s">
        <v>2173</v>
      </c>
      <c r="B1026" s="82">
        <v>45479</v>
      </c>
      <c r="C1026" s="59">
        <f t="shared" ref="C1026:C1089" si="112">YEAR(B1026)</f>
        <v>2024</v>
      </c>
      <c r="D1026" s="59">
        <f t="shared" ref="D1026:D1089" si="113">MONTH(B1026)</f>
        <v>7</v>
      </c>
      <c r="E1026" s="59">
        <f t="shared" ref="E1026:E1089" si="114">WEEKNUM(B1026,1)</f>
        <v>27</v>
      </c>
      <c r="F1026" s="57" t="s">
        <v>59</v>
      </c>
      <c r="G1026" s="57" t="s">
        <v>39</v>
      </c>
      <c r="H1026" s="57" t="s">
        <v>2174</v>
      </c>
      <c r="I1026" s="57" t="s">
        <v>66</v>
      </c>
      <c r="J1026" s="57" t="s">
        <v>131</v>
      </c>
      <c r="K1026" s="57" t="s">
        <v>72</v>
      </c>
      <c r="L1026" s="57" t="s">
        <v>146</v>
      </c>
      <c r="M1026" s="60">
        <v>793</v>
      </c>
      <c r="N1026" s="57" t="s">
        <v>132</v>
      </c>
      <c r="O1026" s="61">
        <v>1844.78</v>
      </c>
      <c r="P1026" s="61">
        <v>1462910.54</v>
      </c>
      <c r="Q1026" s="61">
        <v>96548.6302</v>
      </c>
      <c r="R1026" s="62">
        <f t="shared" ref="R1026:R1089" si="115">Q1026/P1026</f>
        <v>6.5997631133343254E-2</v>
      </c>
      <c r="S1026" s="60">
        <v>5</v>
      </c>
      <c r="T1026" s="58">
        <v>45484</v>
      </c>
      <c r="U1026" s="58">
        <v>45484</v>
      </c>
      <c r="V1026" s="63">
        <f t="shared" ref="V1026:V1089" si="116">U1026-T1026</f>
        <v>0</v>
      </c>
      <c r="W1026" s="57" t="s">
        <v>115</v>
      </c>
      <c r="X1026" s="64" t="b">
        <f t="shared" ref="X1026:X1089" si="117">IF(W1026="Entregado", TRUE(), FALSE())</f>
        <v>1</v>
      </c>
      <c r="Y1026" s="60">
        <v>80</v>
      </c>
      <c r="Z1026" s="60">
        <v>487</v>
      </c>
      <c r="AA1026" s="57" t="s">
        <v>116</v>
      </c>
      <c r="AB1026" s="64" t="b">
        <f t="shared" ref="AB1026:AB1089" si="118">IF(AA1026="Ninguna",FALSE(),TRUE())</f>
        <v>0</v>
      </c>
    </row>
    <row r="1027" spans="1:28" ht="15" customHeight="1" x14ac:dyDescent="0.3">
      <c r="A1027" s="65" t="s">
        <v>2175</v>
      </c>
      <c r="B1027" s="81">
        <v>45432</v>
      </c>
      <c r="C1027" s="59">
        <f t="shared" si="112"/>
        <v>2024</v>
      </c>
      <c r="D1027" s="59">
        <f t="shared" si="113"/>
        <v>5</v>
      </c>
      <c r="E1027" s="59">
        <f t="shared" si="114"/>
        <v>21</v>
      </c>
      <c r="F1027" s="65" t="s">
        <v>60</v>
      </c>
      <c r="G1027" s="65" t="s">
        <v>44</v>
      </c>
      <c r="H1027" s="65" t="s">
        <v>2176</v>
      </c>
      <c r="I1027" s="65" t="s">
        <v>68</v>
      </c>
      <c r="J1027" s="65" t="s">
        <v>151</v>
      </c>
      <c r="K1027" s="65" t="s">
        <v>72</v>
      </c>
      <c r="L1027" s="65" t="s">
        <v>156</v>
      </c>
      <c r="M1027" s="67">
        <v>250</v>
      </c>
      <c r="N1027" s="65" t="s">
        <v>163</v>
      </c>
      <c r="O1027" s="68">
        <v>142.53</v>
      </c>
      <c r="P1027" s="68">
        <v>35632.5</v>
      </c>
      <c r="Q1027" s="68">
        <v>1993.88</v>
      </c>
      <c r="R1027" s="62">
        <f t="shared" si="115"/>
        <v>5.5956781028555398E-2</v>
      </c>
      <c r="S1027" s="67">
        <v>29</v>
      </c>
      <c r="T1027" s="66">
        <v>45461</v>
      </c>
      <c r="U1027" s="66">
        <v>45463</v>
      </c>
      <c r="V1027" s="63">
        <f t="shared" si="116"/>
        <v>2</v>
      </c>
      <c r="W1027" s="65" t="s">
        <v>125</v>
      </c>
      <c r="X1027" s="64" t="b">
        <f t="shared" si="117"/>
        <v>0</v>
      </c>
      <c r="Y1027" s="67">
        <v>254</v>
      </c>
      <c r="Z1027" s="67">
        <v>106</v>
      </c>
      <c r="AA1027" s="65" t="s">
        <v>82</v>
      </c>
      <c r="AB1027" s="64" t="b">
        <f t="shared" si="118"/>
        <v>1</v>
      </c>
    </row>
    <row r="1028" spans="1:28" ht="15" customHeight="1" x14ac:dyDescent="0.3">
      <c r="A1028" s="57" t="s">
        <v>2177</v>
      </c>
      <c r="B1028" s="82">
        <v>45375</v>
      </c>
      <c r="C1028" s="59">
        <f t="shared" si="112"/>
        <v>2024</v>
      </c>
      <c r="D1028" s="59">
        <f t="shared" si="113"/>
        <v>3</v>
      </c>
      <c r="E1028" s="59">
        <f t="shared" si="114"/>
        <v>13</v>
      </c>
      <c r="F1028" s="57" t="s">
        <v>53</v>
      </c>
      <c r="G1028" s="57" t="s">
        <v>41</v>
      </c>
      <c r="H1028" s="57" t="s">
        <v>2178</v>
      </c>
      <c r="I1028" s="57" t="s">
        <v>68</v>
      </c>
      <c r="J1028" s="57" t="s">
        <v>151</v>
      </c>
      <c r="K1028" s="57" t="s">
        <v>71</v>
      </c>
      <c r="L1028" s="57" t="s">
        <v>113</v>
      </c>
      <c r="M1028" s="60">
        <v>764</v>
      </c>
      <c r="N1028" s="57" t="s">
        <v>140</v>
      </c>
      <c r="O1028" s="61">
        <v>716.04</v>
      </c>
      <c r="P1028" s="61">
        <v>547054.56000000006</v>
      </c>
      <c r="Q1028" s="61">
        <v>37445.160000000003</v>
      </c>
      <c r="R1028" s="62">
        <f t="shared" si="115"/>
        <v>6.8448675393547584E-2</v>
      </c>
      <c r="S1028" s="60">
        <v>4</v>
      </c>
      <c r="T1028" s="58">
        <v>45379</v>
      </c>
      <c r="U1028" s="58">
        <v>45381</v>
      </c>
      <c r="V1028" s="63">
        <f t="shared" si="116"/>
        <v>2</v>
      </c>
      <c r="W1028" s="57" t="s">
        <v>125</v>
      </c>
      <c r="X1028" s="64" t="b">
        <f t="shared" si="117"/>
        <v>0</v>
      </c>
      <c r="Y1028" s="60">
        <v>66</v>
      </c>
      <c r="Z1028" s="60">
        <v>169</v>
      </c>
      <c r="AA1028" s="57" t="s">
        <v>116</v>
      </c>
      <c r="AB1028" s="64" t="b">
        <f t="shared" si="118"/>
        <v>0</v>
      </c>
    </row>
    <row r="1029" spans="1:28" ht="15" customHeight="1" x14ac:dyDescent="0.3">
      <c r="A1029" s="65" t="s">
        <v>2179</v>
      </c>
      <c r="B1029" s="81">
        <v>45009</v>
      </c>
      <c r="C1029" s="59">
        <f t="shared" si="112"/>
        <v>2023</v>
      </c>
      <c r="D1029" s="59">
        <f t="shared" si="113"/>
        <v>3</v>
      </c>
      <c r="E1029" s="59">
        <f t="shared" si="114"/>
        <v>12</v>
      </c>
      <c r="F1029" s="65" t="s">
        <v>55</v>
      </c>
      <c r="G1029" s="65" t="s">
        <v>41</v>
      </c>
      <c r="H1029" s="65" t="s">
        <v>2180</v>
      </c>
      <c r="I1029" s="65" t="s">
        <v>67</v>
      </c>
      <c r="J1029" s="65" t="s">
        <v>112</v>
      </c>
      <c r="K1029" s="65" t="s">
        <v>75</v>
      </c>
      <c r="L1029" s="65" t="s">
        <v>146</v>
      </c>
      <c r="M1029" s="67">
        <v>539</v>
      </c>
      <c r="N1029" s="65" t="s">
        <v>163</v>
      </c>
      <c r="O1029" s="68">
        <v>412.54</v>
      </c>
      <c r="P1029" s="68">
        <v>222359.06</v>
      </c>
      <c r="Q1029" s="68">
        <v>5906.16</v>
      </c>
      <c r="R1029" s="62">
        <f t="shared" si="115"/>
        <v>2.6561364308699632E-2</v>
      </c>
      <c r="S1029" s="67">
        <v>10</v>
      </c>
      <c r="T1029" s="66">
        <v>45019</v>
      </c>
      <c r="U1029" s="66">
        <v>45022</v>
      </c>
      <c r="V1029" s="63">
        <f t="shared" si="116"/>
        <v>3</v>
      </c>
      <c r="W1029" s="65" t="s">
        <v>125</v>
      </c>
      <c r="X1029" s="64" t="b">
        <f t="shared" si="117"/>
        <v>0</v>
      </c>
      <c r="Y1029" s="67">
        <v>492</v>
      </c>
      <c r="Z1029" s="67">
        <v>145</v>
      </c>
      <c r="AA1029" s="65" t="s">
        <v>116</v>
      </c>
      <c r="AB1029" s="64" t="b">
        <f t="shared" si="118"/>
        <v>0</v>
      </c>
    </row>
    <row r="1030" spans="1:28" ht="15" customHeight="1" x14ac:dyDescent="0.3">
      <c r="A1030" s="57" t="s">
        <v>2181</v>
      </c>
      <c r="B1030" s="82">
        <v>45539</v>
      </c>
      <c r="C1030" s="59">
        <f t="shared" si="112"/>
        <v>2024</v>
      </c>
      <c r="D1030" s="59">
        <f t="shared" si="113"/>
        <v>9</v>
      </c>
      <c r="E1030" s="59">
        <f t="shared" si="114"/>
        <v>36</v>
      </c>
      <c r="F1030" s="57" t="s">
        <v>57</v>
      </c>
      <c r="G1030" s="57" t="s">
        <v>40</v>
      </c>
      <c r="H1030" s="57" t="s">
        <v>2182</v>
      </c>
      <c r="I1030" s="57" t="s">
        <v>64</v>
      </c>
      <c r="J1030" s="57" t="s">
        <v>112</v>
      </c>
      <c r="K1030" s="57" t="s">
        <v>71</v>
      </c>
      <c r="L1030" s="57" t="s">
        <v>119</v>
      </c>
      <c r="M1030" s="60">
        <v>492</v>
      </c>
      <c r="N1030" s="57" t="s">
        <v>120</v>
      </c>
      <c r="O1030" s="61">
        <v>1041.1500000000001</v>
      </c>
      <c r="P1030" s="61">
        <v>512245.8</v>
      </c>
      <c r="Q1030" s="61">
        <v>22455.56</v>
      </c>
      <c r="R1030" s="62">
        <f t="shared" si="115"/>
        <v>4.3837470214494682E-2</v>
      </c>
      <c r="S1030" s="60">
        <v>24</v>
      </c>
      <c r="T1030" s="58">
        <v>45563</v>
      </c>
      <c r="U1030" s="58">
        <v>45564</v>
      </c>
      <c r="V1030" s="63">
        <f t="shared" si="116"/>
        <v>1</v>
      </c>
      <c r="W1030" s="57" t="s">
        <v>125</v>
      </c>
      <c r="X1030" s="64" t="b">
        <f t="shared" si="117"/>
        <v>0</v>
      </c>
      <c r="Y1030" s="60">
        <v>405</v>
      </c>
      <c r="Z1030" s="60">
        <v>355</v>
      </c>
      <c r="AA1030" s="57" t="s">
        <v>116</v>
      </c>
      <c r="AB1030" s="64" t="b">
        <f t="shared" si="118"/>
        <v>0</v>
      </c>
    </row>
    <row r="1031" spans="1:28" ht="15" customHeight="1" x14ac:dyDescent="0.3">
      <c r="A1031" s="65" t="s">
        <v>2183</v>
      </c>
      <c r="B1031" s="81">
        <v>44967</v>
      </c>
      <c r="C1031" s="59">
        <f t="shared" si="112"/>
        <v>2023</v>
      </c>
      <c r="D1031" s="59">
        <f t="shared" si="113"/>
        <v>2</v>
      </c>
      <c r="E1031" s="59">
        <f t="shared" si="114"/>
        <v>6</v>
      </c>
      <c r="F1031" s="65" t="s">
        <v>54</v>
      </c>
      <c r="G1031" s="65" t="s">
        <v>41</v>
      </c>
      <c r="H1031" s="65" t="s">
        <v>2184</v>
      </c>
      <c r="I1031" s="65" t="s">
        <v>67</v>
      </c>
      <c r="J1031" s="65" t="s">
        <v>131</v>
      </c>
      <c r="K1031" s="65" t="s">
        <v>71</v>
      </c>
      <c r="L1031" s="65" t="s">
        <v>146</v>
      </c>
      <c r="M1031" s="67">
        <v>196</v>
      </c>
      <c r="N1031" s="65" t="s">
        <v>114</v>
      </c>
      <c r="O1031" s="68">
        <v>577.30999999999995</v>
      </c>
      <c r="P1031" s="68">
        <v>113152.76</v>
      </c>
      <c r="Q1031" s="68">
        <v>4549.97</v>
      </c>
      <c r="R1031" s="62">
        <f t="shared" si="115"/>
        <v>4.0210861847293874E-2</v>
      </c>
      <c r="S1031" s="67">
        <v>17</v>
      </c>
      <c r="T1031" s="66">
        <v>44984</v>
      </c>
      <c r="U1031" s="66">
        <v>44992</v>
      </c>
      <c r="V1031" s="63">
        <f t="shared" si="116"/>
        <v>8</v>
      </c>
      <c r="W1031" s="65" t="s">
        <v>128</v>
      </c>
      <c r="X1031" s="64" t="b">
        <f t="shared" si="117"/>
        <v>0</v>
      </c>
      <c r="Y1031" s="67">
        <v>101</v>
      </c>
      <c r="Z1031" s="67">
        <v>419</v>
      </c>
      <c r="AA1031" s="65" t="s">
        <v>116</v>
      </c>
      <c r="AB1031" s="64" t="b">
        <f t="shared" si="118"/>
        <v>0</v>
      </c>
    </row>
    <row r="1032" spans="1:28" ht="15" customHeight="1" x14ac:dyDescent="0.3">
      <c r="A1032" s="57" t="s">
        <v>2185</v>
      </c>
      <c r="B1032" s="82">
        <v>45369</v>
      </c>
      <c r="C1032" s="59">
        <f t="shared" si="112"/>
        <v>2024</v>
      </c>
      <c r="D1032" s="59">
        <f t="shared" si="113"/>
        <v>3</v>
      </c>
      <c r="E1032" s="59">
        <f t="shared" si="114"/>
        <v>12</v>
      </c>
      <c r="F1032" s="57" t="s">
        <v>60</v>
      </c>
      <c r="G1032" s="57" t="s">
        <v>43</v>
      </c>
      <c r="H1032" s="57" t="s">
        <v>2186</v>
      </c>
      <c r="I1032" s="57" t="s">
        <v>64</v>
      </c>
      <c r="J1032" s="57" t="s">
        <v>151</v>
      </c>
      <c r="K1032" s="57" t="s">
        <v>73</v>
      </c>
      <c r="L1032" s="57" t="s">
        <v>146</v>
      </c>
      <c r="M1032" s="60">
        <v>867</v>
      </c>
      <c r="N1032" s="57" t="s">
        <v>163</v>
      </c>
      <c r="O1032" s="61">
        <v>183.95</v>
      </c>
      <c r="P1032" s="61">
        <v>159484.65</v>
      </c>
      <c r="Q1032" s="61">
        <v>8639.11</v>
      </c>
      <c r="R1032" s="62">
        <f t="shared" si="115"/>
        <v>5.416891218057663E-2</v>
      </c>
      <c r="S1032" s="60">
        <v>10</v>
      </c>
      <c r="T1032" s="58">
        <v>45379</v>
      </c>
      <c r="U1032" s="58">
        <v>45374</v>
      </c>
      <c r="V1032" s="63">
        <f t="shared" si="116"/>
        <v>-5</v>
      </c>
      <c r="W1032" s="57" t="s">
        <v>115</v>
      </c>
      <c r="X1032" s="64" t="b">
        <f t="shared" si="117"/>
        <v>1</v>
      </c>
      <c r="Y1032" s="60">
        <v>461</v>
      </c>
      <c r="Z1032" s="60">
        <v>459</v>
      </c>
      <c r="AA1032" s="57" t="s">
        <v>84</v>
      </c>
      <c r="AB1032" s="64" t="b">
        <f t="shared" si="118"/>
        <v>1</v>
      </c>
    </row>
    <row r="1033" spans="1:28" ht="15" customHeight="1" x14ac:dyDescent="0.3">
      <c r="A1033" s="65" t="s">
        <v>2187</v>
      </c>
      <c r="B1033" s="81">
        <v>45257</v>
      </c>
      <c r="C1033" s="59">
        <f t="shared" si="112"/>
        <v>2023</v>
      </c>
      <c r="D1033" s="59">
        <f t="shared" si="113"/>
        <v>11</v>
      </c>
      <c r="E1033" s="59">
        <f t="shared" si="114"/>
        <v>48</v>
      </c>
      <c r="F1033" s="65" t="s">
        <v>53</v>
      </c>
      <c r="G1033" s="65" t="s">
        <v>46</v>
      </c>
      <c r="H1033" s="65" t="s">
        <v>2188</v>
      </c>
      <c r="I1033" s="65" t="s">
        <v>65</v>
      </c>
      <c r="J1033" s="65" t="s">
        <v>112</v>
      </c>
      <c r="K1033" s="65" t="s">
        <v>71</v>
      </c>
      <c r="L1033" s="65" t="s">
        <v>135</v>
      </c>
      <c r="M1033" s="67">
        <v>665</v>
      </c>
      <c r="N1033" s="65" t="s">
        <v>136</v>
      </c>
      <c r="O1033" s="68">
        <v>64.77</v>
      </c>
      <c r="P1033" s="68">
        <v>43072.05</v>
      </c>
      <c r="Q1033" s="68">
        <v>3086.84</v>
      </c>
      <c r="R1033" s="62">
        <f t="shared" si="115"/>
        <v>7.1666893031559903E-2</v>
      </c>
      <c r="S1033" s="67">
        <v>17</v>
      </c>
      <c r="T1033" s="66">
        <v>45274</v>
      </c>
      <c r="U1033" s="66">
        <v>45273</v>
      </c>
      <c r="V1033" s="63">
        <f t="shared" si="116"/>
        <v>-1</v>
      </c>
      <c r="W1033" s="65" t="s">
        <v>115</v>
      </c>
      <c r="X1033" s="64" t="b">
        <f t="shared" si="117"/>
        <v>1</v>
      </c>
      <c r="Y1033" s="67">
        <v>90</v>
      </c>
      <c r="Z1033" s="67">
        <v>177</v>
      </c>
      <c r="AA1033" s="65" t="s">
        <v>81</v>
      </c>
      <c r="AB1033" s="64" t="b">
        <f t="shared" si="118"/>
        <v>1</v>
      </c>
    </row>
    <row r="1034" spans="1:28" ht="15" customHeight="1" x14ac:dyDescent="0.3">
      <c r="A1034" s="57" t="s">
        <v>2189</v>
      </c>
      <c r="B1034" s="82">
        <v>45545</v>
      </c>
      <c r="C1034" s="59">
        <f t="shared" si="112"/>
        <v>2024</v>
      </c>
      <c r="D1034" s="59">
        <f t="shared" si="113"/>
        <v>9</v>
      </c>
      <c r="E1034" s="59">
        <f t="shared" si="114"/>
        <v>37</v>
      </c>
      <c r="F1034" s="57" t="s">
        <v>61</v>
      </c>
      <c r="G1034" s="57" t="s">
        <v>41</v>
      </c>
      <c r="H1034" s="57" t="s">
        <v>2190</v>
      </c>
      <c r="I1034" s="57" t="s">
        <v>68</v>
      </c>
      <c r="J1034" s="57" t="s">
        <v>143</v>
      </c>
      <c r="K1034" s="57" t="s">
        <v>74</v>
      </c>
      <c r="L1034" s="57" t="s">
        <v>156</v>
      </c>
      <c r="M1034" s="60">
        <v>271</v>
      </c>
      <c r="N1034" s="57" t="s">
        <v>163</v>
      </c>
      <c r="O1034" s="61">
        <v>483.51</v>
      </c>
      <c r="P1034" s="61">
        <v>131031.21</v>
      </c>
      <c r="Q1034" s="61">
        <v>3236.51</v>
      </c>
      <c r="R1034" s="62">
        <f t="shared" si="115"/>
        <v>2.4700298501402835E-2</v>
      </c>
      <c r="S1034" s="60">
        <v>28</v>
      </c>
      <c r="T1034" s="58">
        <v>45573</v>
      </c>
      <c r="U1034" s="58">
        <v>45575</v>
      </c>
      <c r="V1034" s="63">
        <f t="shared" si="116"/>
        <v>2</v>
      </c>
      <c r="W1034" s="57" t="s">
        <v>125</v>
      </c>
      <c r="X1034" s="64" t="b">
        <f t="shared" si="117"/>
        <v>0</v>
      </c>
      <c r="Y1034" s="60">
        <v>41</v>
      </c>
      <c r="Z1034" s="60">
        <v>60</v>
      </c>
      <c r="AA1034" s="57" t="s">
        <v>116</v>
      </c>
      <c r="AB1034" s="64" t="b">
        <f t="shared" si="118"/>
        <v>0</v>
      </c>
    </row>
    <row r="1035" spans="1:28" ht="15" customHeight="1" x14ac:dyDescent="0.3">
      <c r="A1035" s="65" t="s">
        <v>2191</v>
      </c>
      <c r="B1035" s="81">
        <v>45183</v>
      </c>
      <c r="C1035" s="59">
        <f t="shared" si="112"/>
        <v>2023</v>
      </c>
      <c r="D1035" s="59">
        <f t="shared" si="113"/>
        <v>9</v>
      </c>
      <c r="E1035" s="59">
        <f t="shared" si="114"/>
        <v>37</v>
      </c>
      <c r="F1035" s="65" t="s">
        <v>52</v>
      </c>
      <c r="G1035" s="65" t="s">
        <v>41</v>
      </c>
      <c r="H1035" s="65" t="s">
        <v>2192</v>
      </c>
      <c r="I1035" s="65" t="s">
        <v>65</v>
      </c>
      <c r="J1035" s="65" t="s">
        <v>139</v>
      </c>
      <c r="K1035" s="65" t="s">
        <v>75</v>
      </c>
      <c r="L1035" s="65" t="s">
        <v>156</v>
      </c>
      <c r="M1035" s="67">
        <v>962</v>
      </c>
      <c r="N1035" s="65" t="s">
        <v>136</v>
      </c>
      <c r="O1035" s="68">
        <v>581.73</v>
      </c>
      <c r="P1035" s="68">
        <v>559624.26</v>
      </c>
      <c r="Q1035" s="68">
        <v>13629.36</v>
      </c>
      <c r="R1035" s="62">
        <f t="shared" si="115"/>
        <v>2.435448384600053E-2</v>
      </c>
      <c r="S1035" s="67">
        <v>20</v>
      </c>
      <c r="T1035" s="66">
        <v>45203</v>
      </c>
      <c r="U1035" s="66">
        <v>45202</v>
      </c>
      <c r="V1035" s="63">
        <f t="shared" si="116"/>
        <v>-1</v>
      </c>
      <c r="W1035" s="65" t="s">
        <v>115</v>
      </c>
      <c r="X1035" s="64" t="b">
        <f t="shared" si="117"/>
        <v>1</v>
      </c>
      <c r="Y1035" s="67">
        <v>275</v>
      </c>
      <c r="Z1035" s="67">
        <v>423</v>
      </c>
      <c r="AA1035" s="65" t="s">
        <v>81</v>
      </c>
      <c r="AB1035" s="64" t="b">
        <f t="shared" si="118"/>
        <v>1</v>
      </c>
    </row>
    <row r="1036" spans="1:28" ht="15" customHeight="1" x14ac:dyDescent="0.3">
      <c r="A1036" s="57" t="s">
        <v>2193</v>
      </c>
      <c r="B1036" s="82">
        <v>44953</v>
      </c>
      <c r="C1036" s="59">
        <f t="shared" si="112"/>
        <v>2023</v>
      </c>
      <c r="D1036" s="59">
        <f t="shared" si="113"/>
        <v>1</v>
      </c>
      <c r="E1036" s="59">
        <f t="shared" si="114"/>
        <v>4</v>
      </c>
      <c r="F1036" s="57" t="s">
        <v>57</v>
      </c>
      <c r="G1036" s="57" t="s">
        <v>40</v>
      </c>
      <c r="H1036" s="57" t="s">
        <v>1956</v>
      </c>
      <c r="I1036" s="57" t="s">
        <v>67</v>
      </c>
      <c r="J1036" s="57" t="s">
        <v>123</v>
      </c>
      <c r="K1036" s="57" t="s">
        <v>73</v>
      </c>
      <c r="L1036" s="57" t="s">
        <v>124</v>
      </c>
      <c r="M1036" s="60">
        <v>373</v>
      </c>
      <c r="N1036" s="57" t="s">
        <v>114</v>
      </c>
      <c r="O1036" s="61">
        <v>1128.96</v>
      </c>
      <c r="P1036" s="61">
        <v>421102.08000000002</v>
      </c>
      <c r="Q1036" s="61">
        <v>29906.27</v>
      </c>
      <c r="R1036" s="62">
        <f t="shared" si="115"/>
        <v>7.1019050772677256E-2</v>
      </c>
      <c r="S1036" s="60">
        <v>24</v>
      </c>
      <c r="T1036" s="58">
        <v>44977</v>
      </c>
      <c r="U1036" s="58">
        <v>44979</v>
      </c>
      <c r="V1036" s="63">
        <f t="shared" si="116"/>
        <v>2</v>
      </c>
      <c r="W1036" s="57" t="s">
        <v>128</v>
      </c>
      <c r="X1036" s="64" t="b">
        <f t="shared" si="117"/>
        <v>0</v>
      </c>
      <c r="Y1036" s="60">
        <v>303</v>
      </c>
      <c r="Z1036" s="60">
        <v>2</v>
      </c>
      <c r="AA1036" s="57" t="s">
        <v>116</v>
      </c>
      <c r="AB1036" s="64" t="b">
        <f t="shared" si="118"/>
        <v>0</v>
      </c>
    </row>
    <row r="1037" spans="1:28" ht="15" customHeight="1" x14ac:dyDescent="0.3">
      <c r="A1037" s="65" t="s">
        <v>2194</v>
      </c>
      <c r="B1037" s="81">
        <v>45020</v>
      </c>
      <c r="C1037" s="59">
        <f t="shared" si="112"/>
        <v>2023</v>
      </c>
      <c r="D1037" s="59">
        <f t="shared" si="113"/>
        <v>4</v>
      </c>
      <c r="E1037" s="59">
        <f t="shared" si="114"/>
        <v>14</v>
      </c>
      <c r="F1037" s="65" t="s">
        <v>56</v>
      </c>
      <c r="G1037" s="65" t="s">
        <v>45</v>
      </c>
      <c r="H1037" s="65" t="s">
        <v>2195</v>
      </c>
      <c r="I1037" s="65" t="s">
        <v>66</v>
      </c>
      <c r="J1037" s="65" t="s">
        <v>112</v>
      </c>
      <c r="K1037" s="65" t="s">
        <v>75</v>
      </c>
      <c r="L1037" s="65" t="s">
        <v>119</v>
      </c>
      <c r="M1037" s="67">
        <v>500</v>
      </c>
      <c r="N1037" s="65" t="s">
        <v>140</v>
      </c>
      <c r="O1037" s="68">
        <v>231.09</v>
      </c>
      <c r="P1037" s="68">
        <v>115545</v>
      </c>
      <c r="Q1037" s="68">
        <v>3786.53</v>
      </c>
      <c r="R1037" s="62">
        <f t="shared" si="115"/>
        <v>3.2771041585529452E-2</v>
      </c>
      <c r="S1037" s="67">
        <v>5</v>
      </c>
      <c r="T1037" s="66">
        <v>45025</v>
      </c>
      <c r="U1037" s="66">
        <v>45020</v>
      </c>
      <c r="V1037" s="63">
        <f t="shared" si="116"/>
        <v>-5</v>
      </c>
      <c r="W1037" s="65" t="s">
        <v>115</v>
      </c>
      <c r="X1037" s="64" t="b">
        <f t="shared" si="117"/>
        <v>1</v>
      </c>
      <c r="Y1037" s="67">
        <v>273</v>
      </c>
      <c r="Z1037" s="67">
        <v>81</v>
      </c>
      <c r="AA1037" s="65" t="s">
        <v>116</v>
      </c>
      <c r="AB1037" s="64" t="b">
        <f t="shared" si="118"/>
        <v>0</v>
      </c>
    </row>
    <row r="1038" spans="1:28" ht="15" customHeight="1" x14ac:dyDescent="0.3">
      <c r="A1038" s="57" t="s">
        <v>2196</v>
      </c>
      <c r="B1038" s="82">
        <v>45161</v>
      </c>
      <c r="C1038" s="59">
        <f t="shared" si="112"/>
        <v>2023</v>
      </c>
      <c r="D1038" s="59">
        <f t="shared" si="113"/>
        <v>8</v>
      </c>
      <c r="E1038" s="59">
        <f t="shared" si="114"/>
        <v>34</v>
      </c>
      <c r="F1038" s="57" t="s">
        <v>54</v>
      </c>
      <c r="G1038" s="57" t="s">
        <v>42</v>
      </c>
      <c r="H1038" s="57" t="s">
        <v>2197</v>
      </c>
      <c r="I1038" s="57" t="s">
        <v>69</v>
      </c>
      <c r="J1038" s="57" t="s">
        <v>131</v>
      </c>
      <c r="K1038" s="57" t="s">
        <v>73</v>
      </c>
      <c r="L1038" s="57" t="s">
        <v>124</v>
      </c>
      <c r="M1038" s="60">
        <v>440</v>
      </c>
      <c r="N1038" s="57" t="s">
        <v>114</v>
      </c>
      <c r="O1038" s="61">
        <v>96.43</v>
      </c>
      <c r="P1038" s="61">
        <v>42429.2</v>
      </c>
      <c r="Q1038" s="61">
        <v>2551.06</v>
      </c>
      <c r="R1038" s="62">
        <f t="shared" si="115"/>
        <v>6.012510252373366E-2</v>
      </c>
      <c r="S1038" s="60">
        <v>2</v>
      </c>
      <c r="T1038" s="58">
        <v>45163</v>
      </c>
      <c r="U1038" s="58">
        <v>45163</v>
      </c>
      <c r="V1038" s="63">
        <f t="shared" si="116"/>
        <v>0</v>
      </c>
      <c r="W1038" s="57" t="s">
        <v>128</v>
      </c>
      <c r="X1038" s="64" t="b">
        <f t="shared" si="117"/>
        <v>0</v>
      </c>
      <c r="Y1038" s="60">
        <v>383</v>
      </c>
      <c r="Z1038" s="60">
        <v>262</v>
      </c>
      <c r="AA1038" s="57" t="s">
        <v>116</v>
      </c>
      <c r="AB1038" s="64" t="b">
        <f t="shared" si="118"/>
        <v>0</v>
      </c>
    </row>
    <row r="1039" spans="1:28" ht="15" customHeight="1" x14ac:dyDescent="0.3">
      <c r="A1039" s="65" t="s">
        <v>2198</v>
      </c>
      <c r="B1039" s="81">
        <v>45617</v>
      </c>
      <c r="C1039" s="59">
        <f t="shared" si="112"/>
        <v>2024</v>
      </c>
      <c r="D1039" s="59">
        <f t="shared" si="113"/>
        <v>11</v>
      </c>
      <c r="E1039" s="59">
        <f t="shared" si="114"/>
        <v>47</v>
      </c>
      <c r="F1039" s="65" t="s">
        <v>56</v>
      </c>
      <c r="G1039" s="65" t="s">
        <v>45</v>
      </c>
      <c r="H1039" s="65" t="s">
        <v>2199</v>
      </c>
      <c r="I1039" s="65" t="s">
        <v>66</v>
      </c>
      <c r="J1039" s="65" t="s">
        <v>151</v>
      </c>
      <c r="K1039" s="65" t="s">
        <v>74</v>
      </c>
      <c r="L1039" s="65" t="s">
        <v>146</v>
      </c>
      <c r="M1039" s="67">
        <v>248</v>
      </c>
      <c r="N1039" s="65" t="s">
        <v>120</v>
      </c>
      <c r="O1039" s="68">
        <v>223</v>
      </c>
      <c r="P1039" s="68">
        <v>55304</v>
      </c>
      <c r="Q1039" s="68">
        <v>2907.48</v>
      </c>
      <c r="R1039" s="62">
        <f t="shared" si="115"/>
        <v>5.257268913640966E-2</v>
      </c>
      <c r="S1039" s="67">
        <v>6</v>
      </c>
      <c r="T1039" s="66">
        <v>45623</v>
      </c>
      <c r="U1039" s="66">
        <v>45623</v>
      </c>
      <c r="V1039" s="63">
        <f t="shared" si="116"/>
        <v>0</v>
      </c>
      <c r="W1039" s="65" t="s">
        <v>115</v>
      </c>
      <c r="X1039" s="64" t="b">
        <f t="shared" si="117"/>
        <v>1</v>
      </c>
      <c r="Y1039" s="67">
        <v>76</v>
      </c>
      <c r="Z1039" s="67">
        <v>286</v>
      </c>
      <c r="AA1039" s="65" t="s">
        <v>116</v>
      </c>
      <c r="AB1039" s="64" t="b">
        <f t="shared" si="118"/>
        <v>0</v>
      </c>
    </row>
    <row r="1040" spans="1:28" ht="15" customHeight="1" x14ac:dyDescent="0.3">
      <c r="A1040" s="57" t="s">
        <v>2200</v>
      </c>
      <c r="B1040" s="82">
        <v>45516</v>
      </c>
      <c r="C1040" s="59">
        <f t="shared" si="112"/>
        <v>2024</v>
      </c>
      <c r="D1040" s="59">
        <f t="shared" si="113"/>
        <v>8</v>
      </c>
      <c r="E1040" s="59">
        <f t="shared" si="114"/>
        <v>33</v>
      </c>
      <c r="F1040" s="57" t="s">
        <v>53</v>
      </c>
      <c r="G1040" s="57" t="s">
        <v>40</v>
      </c>
      <c r="H1040" s="57" t="s">
        <v>2201</v>
      </c>
      <c r="I1040" s="57" t="s">
        <v>66</v>
      </c>
      <c r="J1040" s="57" t="s">
        <v>131</v>
      </c>
      <c r="K1040" s="57" t="s">
        <v>71</v>
      </c>
      <c r="L1040" s="57" t="s">
        <v>119</v>
      </c>
      <c r="M1040" s="60">
        <v>313</v>
      </c>
      <c r="N1040" s="57" t="s">
        <v>132</v>
      </c>
      <c r="O1040" s="61">
        <v>592.75</v>
      </c>
      <c r="P1040" s="61">
        <v>185530.75</v>
      </c>
      <c r="Q1040" s="61">
        <v>12982.26</v>
      </c>
      <c r="R1040" s="62">
        <f t="shared" si="115"/>
        <v>6.9973629708282858E-2</v>
      </c>
      <c r="S1040" s="60">
        <v>21</v>
      </c>
      <c r="T1040" s="58">
        <v>45537</v>
      </c>
      <c r="U1040" s="58">
        <v>45537</v>
      </c>
      <c r="V1040" s="63">
        <f t="shared" si="116"/>
        <v>0</v>
      </c>
      <c r="W1040" s="57" t="s">
        <v>125</v>
      </c>
      <c r="X1040" s="64" t="b">
        <f t="shared" si="117"/>
        <v>0</v>
      </c>
      <c r="Y1040" s="60">
        <v>233</v>
      </c>
      <c r="Z1040" s="60">
        <v>320</v>
      </c>
      <c r="AA1040" s="57" t="s">
        <v>82</v>
      </c>
      <c r="AB1040" s="64" t="b">
        <f t="shared" si="118"/>
        <v>1</v>
      </c>
    </row>
    <row r="1041" spans="1:28" ht="15" customHeight="1" x14ac:dyDescent="0.3">
      <c r="A1041" s="65" t="s">
        <v>2202</v>
      </c>
      <c r="B1041" s="81">
        <v>45528</v>
      </c>
      <c r="C1041" s="59">
        <f t="shared" si="112"/>
        <v>2024</v>
      </c>
      <c r="D1041" s="59">
        <f t="shared" si="113"/>
        <v>8</v>
      </c>
      <c r="E1041" s="59">
        <f t="shared" si="114"/>
        <v>34</v>
      </c>
      <c r="F1041" s="65" t="s">
        <v>56</v>
      </c>
      <c r="G1041" s="65" t="s">
        <v>45</v>
      </c>
      <c r="H1041" s="65" t="s">
        <v>2203</v>
      </c>
      <c r="I1041" s="65" t="s">
        <v>69</v>
      </c>
      <c r="J1041" s="65" t="s">
        <v>123</v>
      </c>
      <c r="K1041" s="65" t="s">
        <v>73</v>
      </c>
      <c r="L1041" s="65" t="s">
        <v>119</v>
      </c>
      <c r="M1041" s="67">
        <v>307</v>
      </c>
      <c r="N1041" s="65" t="s">
        <v>140</v>
      </c>
      <c r="O1041" s="68">
        <v>177.26</v>
      </c>
      <c r="P1041" s="68">
        <v>54418.82</v>
      </c>
      <c r="Q1041" s="68">
        <v>1496.81</v>
      </c>
      <c r="R1041" s="62">
        <f t="shared" si="115"/>
        <v>2.7505374059930001E-2</v>
      </c>
      <c r="S1041" s="67">
        <v>2</v>
      </c>
      <c r="T1041" s="66">
        <v>45530</v>
      </c>
      <c r="U1041" s="66">
        <v>45532</v>
      </c>
      <c r="V1041" s="63">
        <f t="shared" si="116"/>
        <v>2</v>
      </c>
      <c r="W1041" s="65" t="s">
        <v>128</v>
      </c>
      <c r="X1041" s="64" t="b">
        <f t="shared" si="117"/>
        <v>0</v>
      </c>
      <c r="Y1041" s="67">
        <v>453</v>
      </c>
      <c r="Z1041" s="67">
        <v>94</v>
      </c>
      <c r="AA1041" s="65" t="s">
        <v>84</v>
      </c>
      <c r="AB1041" s="64" t="b">
        <f t="shared" si="118"/>
        <v>1</v>
      </c>
    </row>
    <row r="1042" spans="1:28" ht="15" customHeight="1" x14ac:dyDescent="0.3">
      <c r="A1042" s="57" t="s">
        <v>2204</v>
      </c>
      <c r="B1042" s="82">
        <v>44948</v>
      </c>
      <c r="C1042" s="59">
        <f t="shared" si="112"/>
        <v>2023</v>
      </c>
      <c r="D1042" s="59">
        <f t="shared" si="113"/>
        <v>1</v>
      </c>
      <c r="E1042" s="59">
        <f t="shared" si="114"/>
        <v>4</v>
      </c>
      <c r="F1042" s="57" t="s">
        <v>57</v>
      </c>
      <c r="G1042" s="57" t="s">
        <v>40</v>
      </c>
      <c r="H1042" s="57" t="s">
        <v>2205</v>
      </c>
      <c r="I1042" s="57" t="s">
        <v>68</v>
      </c>
      <c r="J1042" s="57" t="s">
        <v>123</v>
      </c>
      <c r="K1042" s="57" t="s">
        <v>73</v>
      </c>
      <c r="L1042" s="57" t="s">
        <v>156</v>
      </c>
      <c r="M1042" s="60">
        <v>85</v>
      </c>
      <c r="N1042" s="57" t="s">
        <v>140</v>
      </c>
      <c r="O1042" s="61">
        <v>874.88</v>
      </c>
      <c r="P1042" s="61">
        <v>74364.800000000003</v>
      </c>
      <c r="Q1042" s="61">
        <v>2066.37</v>
      </c>
      <c r="R1042" s="62">
        <f t="shared" si="115"/>
        <v>2.7786936830328325E-2</v>
      </c>
      <c r="S1042" s="60">
        <v>13</v>
      </c>
      <c r="T1042" s="58">
        <v>44961</v>
      </c>
      <c r="U1042" s="58">
        <v>44966</v>
      </c>
      <c r="V1042" s="63">
        <f t="shared" si="116"/>
        <v>5</v>
      </c>
      <c r="W1042" s="57" t="s">
        <v>128</v>
      </c>
      <c r="X1042" s="64" t="b">
        <f t="shared" si="117"/>
        <v>0</v>
      </c>
      <c r="Y1042" s="60">
        <v>201</v>
      </c>
      <c r="Z1042" s="60">
        <v>63</v>
      </c>
      <c r="AA1042" s="57" t="s">
        <v>116</v>
      </c>
      <c r="AB1042" s="64" t="b">
        <f t="shared" si="118"/>
        <v>0</v>
      </c>
    </row>
    <row r="1043" spans="1:28" ht="15" customHeight="1" x14ac:dyDescent="0.3">
      <c r="A1043" s="65" t="s">
        <v>2206</v>
      </c>
      <c r="B1043" s="81">
        <v>45615</v>
      </c>
      <c r="C1043" s="59">
        <f t="shared" si="112"/>
        <v>2024</v>
      </c>
      <c r="D1043" s="59">
        <f t="shared" si="113"/>
        <v>11</v>
      </c>
      <c r="E1043" s="59">
        <f t="shared" si="114"/>
        <v>47</v>
      </c>
      <c r="F1043" s="65" t="s">
        <v>59</v>
      </c>
      <c r="G1043" s="65" t="s">
        <v>43</v>
      </c>
      <c r="H1043" s="65" t="s">
        <v>2207</v>
      </c>
      <c r="I1043" s="65" t="s">
        <v>65</v>
      </c>
      <c r="J1043" s="65" t="s">
        <v>131</v>
      </c>
      <c r="K1043" s="65" t="s">
        <v>73</v>
      </c>
      <c r="L1043" s="65" t="s">
        <v>156</v>
      </c>
      <c r="M1043" s="67">
        <v>709</v>
      </c>
      <c r="N1043" s="65" t="s">
        <v>132</v>
      </c>
      <c r="O1043" s="68">
        <v>189.64</v>
      </c>
      <c r="P1043" s="68">
        <v>134454.76</v>
      </c>
      <c r="Q1043" s="68">
        <v>7181.11</v>
      </c>
      <c r="R1043" s="62">
        <f t="shared" si="115"/>
        <v>5.3409116940151463E-2</v>
      </c>
      <c r="S1043" s="67">
        <v>11</v>
      </c>
      <c r="T1043" s="66">
        <v>45626</v>
      </c>
      <c r="U1043" s="66">
        <v>45626</v>
      </c>
      <c r="V1043" s="63">
        <f t="shared" si="116"/>
        <v>0</v>
      </c>
      <c r="W1043" s="65" t="s">
        <v>115</v>
      </c>
      <c r="X1043" s="64" t="b">
        <f t="shared" si="117"/>
        <v>1</v>
      </c>
      <c r="Y1043" s="67">
        <v>484</v>
      </c>
      <c r="Z1043" s="67">
        <v>245</v>
      </c>
      <c r="AA1043" s="65" t="s">
        <v>84</v>
      </c>
      <c r="AB1043" s="64" t="b">
        <f t="shared" si="118"/>
        <v>1</v>
      </c>
    </row>
    <row r="1044" spans="1:28" ht="15" customHeight="1" x14ac:dyDescent="0.3">
      <c r="A1044" s="57" t="s">
        <v>2208</v>
      </c>
      <c r="B1044" s="82">
        <v>45202</v>
      </c>
      <c r="C1044" s="59">
        <f t="shared" si="112"/>
        <v>2023</v>
      </c>
      <c r="D1044" s="59">
        <f t="shared" si="113"/>
        <v>10</v>
      </c>
      <c r="E1044" s="59">
        <f t="shared" si="114"/>
        <v>40</v>
      </c>
      <c r="F1044" s="57" t="s">
        <v>60</v>
      </c>
      <c r="G1044" s="57" t="s">
        <v>44</v>
      </c>
      <c r="H1044" s="57" t="s">
        <v>2209</v>
      </c>
      <c r="I1044" s="57" t="s">
        <v>65</v>
      </c>
      <c r="J1044" s="57" t="s">
        <v>112</v>
      </c>
      <c r="K1044" s="57" t="s">
        <v>74</v>
      </c>
      <c r="L1044" s="57" t="s">
        <v>156</v>
      </c>
      <c r="M1044" s="60">
        <v>342</v>
      </c>
      <c r="N1044" s="57" t="s">
        <v>163</v>
      </c>
      <c r="O1044" s="61">
        <v>101.45</v>
      </c>
      <c r="P1044" s="61">
        <v>34695.9</v>
      </c>
      <c r="Q1044" s="61">
        <v>2664.05</v>
      </c>
      <c r="R1044" s="62">
        <f t="shared" si="115"/>
        <v>7.6782847541063931E-2</v>
      </c>
      <c r="S1044" s="60">
        <v>11</v>
      </c>
      <c r="T1044" s="58">
        <v>45213</v>
      </c>
      <c r="U1044" s="58">
        <v>45221</v>
      </c>
      <c r="V1044" s="63">
        <f t="shared" si="116"/>
        <v>8</v>
      </c>
      <c r="W1044" s="57" t="s">
        <v>128</v>
      </c>
      <c r="X1044" s="64" t="b">
        <f t="shared" si="117"/>
        <v>0</v>
      </c>
      <c r="Y1044" s="60">
        <v>220</v>
      </c>
      <c r="Z1044" s="60">
        <v>76</v>
      </c>
      <c r="AA1044" s="57" t="s">
        <v>116</v>
      </c>
      <c r="AB1044" s="64" t="b">
        <f t="shared" si="118"/>
        <v>0</v>
      </c>
    </row>
    <row r="1045" spans="1:28" ht="15" customHeight="1" x14ac:dyDescent="0.3">
      <c r="A1045" s="65" t="s">
        <v>2210</v>
      </c>
      <c r="B1045" s="81">
        <v>45517</v>
      </c>
      <c r="C1045" s="59">
        <f t="shared" si="112"/>
        <v>2024</v>
      </c>
      <c r="D1045" s="59">
        <f t="shared" si="113"/>
        <v>8</v>
      </c>
      <c r="E1045" s="59">
        <f t="shared" si="114"/>
        <v>33</v>
      </c>
      <c r="F1045" s="65" t="s">
        <v>59</v>
      </c>
      <c r="G1045" s="65" t="s">
        <v>41</v>
      </c>
      <c r="H1045" s="65" t="s">
        <v>2211</v>
      </c>
      <c r="I1045" s="65" t="s">
        <v>68</v>
      </c>
      <c r="J1045" s="65" t="s">
        <v>112</v>
      </c>
      <c r="K1045" s="65" t="s">
        <v>75</v>
      </c>
      <c r="L1045" s="65" t="s">
        <v>113</v>
      </c>
      <c r="M1045" s="67">
        <v>909</v>
      </c>
      <c r="N1045" s="65" t="s">
        <v>114</v>
      </c>
      <c r="O1045" s="68">
        <v>551.65</v>
      </c>
      <c r="P1045" s="68">
        <v>501449.85</v>
      </c>
      <c r="Q1045" s="68">
        <v>22515.03</v>
      </c>
      <c r="R1045" s="62">
        <f t="shared" si="115"/>
        <v>4.489986386475138E-2</v>
      </c>
      <c r="S1045" s="67">
        <v>16</v>
      </c>
      <c r="T1045" s="66">
        <v>45533</v>
      </c>
      <c r="U1045" s="66">
        <v>45533</v>
      </c>
      <c r="V1045" s="63">
        <f t="shared" si="116"/>
        <v>0</v>
      </c>
      <c r="W1045" s="65" t="s">
        <v>115</v>
      </c>
      <c r="X1045" s="64" t="b">
        <f t="shared" si="117"/>
        <v>1</v>
      </c>
      <c r="Y1045" s="67">
        <v>261</v>
      </c>
      <c r="Z1045" s="67">
        <v>476</v>
      </c>
      <c r="AA1045" s="65" t="s">
        <v>116</v>
      </c>
      <c r="AB1045" s="64" t="b">
        <f t="shared" si="118"/>
        <v>0</v>
      </c>
    </row>
    <row r="1046" spans="1:28" ht="15" customHeight="1" x14ac:dyDescent="0.3">
      <c r="A1046" s="57" t="s">
        <v>2212</v>
      </c>
      <c r="B1046" s="82">
        <v>44968</v>
      </c>
      <c r="C1046" s="59">
        <f t="shared" si="112"/>
        <v>2023</v>
      </c>
      <c r="D1046" s="59">
        <f t="shared" si="113"/>
        <v>2</v>
      </c>
      <c r="E1046" s="59">
        <f t="shared" si="114"/>
        <v>6</v>
      </c>
      <c r="F1046" s="57" t="s">
        <v>54</v>
      </c>
      <c r="G1046" s="57" t="s">
        <v>40</v>
      </c>
      <c r="H1046" s="57" t="s">
        <v>2213</v>
      </c>
      <c r="I1046" s="57" t="s">
        <v>69</v>
      </c>
      <c r="J1046" s="57" t="s">
        <v>151</v>
      </c>
      <c r="K1046" s="57" t="s">
        <v>74</v>
      </c>
      <c r="L1046" s="57" t="s">
        <v>146</v>
      </c>
      <c r="M1046" s="60">
        <v>767</v>
      </c>
      <c r="N1046" s="57" t="s">
        <v>163</v>
      </c>
      <c r="O1046" s="61">
        <v>766.6</v>
      </c>
      <c r="P1046" s="61">
        <v>587982.19999999995</v>
      </c>
      <c r="Q1046" s="61">
        <v>23293.81</v>
      </c>
      <c r="R1046" s="62">
        <f t="shared" si="115"/>
        <v>3.9616522404929952E-2</v>
      </c>
      <c r="S1046" s="60">
        <v>11</v>
      </c>
      <c r="T1046" s="58">
        <v>44979</v>
      </c>
      <c r="U1046" s="58">
        <v>44978</v>
      </c>
      <c r="V1046" s="63">
        <f t="shared" si="116"/>
        <v>-1</v>
      </c>
      <c r="W1046" s="57" t="s">
        <v>115</v>
      </c>
      <c r="X1046" s="64" t="b">
        <f t="shared" si="117"/>
        <v>1</v>
      </c>
      <c r="Y1046" s="60">
        <v>38</v>
      </c>
      <c r="Z1046" s="60">
        <v>258</v>
      </c>
      <c r="AA1046" s="57" t="s">
        <v>116</v>
      </c>
      <c r="AB1046" s="64" t="b">
        <f t="shared" si="118"/>
        <v>0</v>
      </c>
    </row>
    <row r="1047" spans="1:28" ht="15" customHeight="1" x14ac:dyDescent="0.3">
      <c r="A1047" s="65" t="s">
        <v>2214</v>
      </c>
      <c r="B1047" s="81">
        <v>45106</v>
      </c>
      <c r="C1047" s="59">
        <f t="shared" si="112"/>
        <v>2023</v>
      </c>
      <c r="D1047" s="59">
        <f t="shared" si="113"/>
        <v>6</v>
      </c>
      <c r="E1047" s="59">
        <f t="shared" si="114"/>
        <v>26</v>
      </c>
      <c r="F1047" s="65" t="s">
        <v>59</v>
      </c>
      <c r="G1047" s="65" t="s">
        <v>40</v>
      </c>
      <c r="H1047" s="65" t="s">
        <v>2215</v>
      </c>
      <c r="I1047" s="65" t="s">
        <v>64</v>
      </c>
      <c r="J1047" s="65" t="s">
        <v>143</v>
      </c>
      <c r="K1047" s="65" t="s">
        <v>73</v>
      </c>
      <c r="L1047" s="65" t="s">
        <v>119</v>
      </c>
      <c r="M1047" s="67">
        <v>651</v>
      </c>
      <c r="N1047" s="65" t="s">
        <v>163</v>
      </c>
      <c r="O1047" s="68">
        <v>725.19</v>
      </c>
      <c r="P1047" s="68">
        <v>472098.69</v>
      </c>
      <c r="Q1047" s="68">
        <v>26627.01</v>
      </c>
      <c r="R1047" s="62">
        <f t="shared" si="115"/>
        <v>5.6401363875845531E-2</v>
      </c>
      <c r="S1047" s="67">
        <v>19</v>
      </c>
      <c r="T1047" s="66">
        <v>45125</v>
      </c>
      <c r="U1047" s="66">
        <v>45126</v>
      </c>
      <c r="V1047" s="63">
        <f t="shared" si="116"/>
        <v>1</v>
      </c>
      <c r="W1047" s="65" t="s">
        <v>125</v>
      </c>
      <c r="X1047" s="64" t="b">
        <f t="shared" si="117"/>
        <v>0</v>
      </c>
      <c r="Y1047" s="67">
        <v>10</v>
      </c>
      <c r="Z1047" s="67">
        <v>92</v>
      </c>
      <c r="AA1047" s="65" t="s">
        <v>82</v>
      </c>
      <c r="AB1047" s="64" t="b">
        <f t="shared" si="118"/>
        <v>1</v>
      </c>
    </row>
    <row r="1048" spans="1:28" ht="15" customHeight="1" x14ac:dyDescent="0.3">
      <c r="A1048" s="57" t="s">
        <v>2216</v>
      </c>
      <c r="B1048" s="82">
        <v>45408</v>
      </c>
      <c r="C1048" s="59">
        <f t="shared" si="112"/>
        <v>2024</v>
      </c>
      <c r="D1048" s="59">
        <f t="shared" si="113"/>
        <v>4</v>
      </c>
      <c r="E1048" s="59">
        <f t="shared" si="114"/>
        <v>17</v>
      </c>
      <c r="F1048" s="57" t="s">
        <v>58</v>
      </c>
      <c r="G1048" s="57" t="s">
        <v>42</v>
      </c>
      <c r="H1048" s="57" t="s">
        <v>2217</v>
      </c>
      <c r="I1048" s="57" t="s">
        <v>66</v>
      </c>
      <c r="J1048" s="57" t="s">
        <v>151</v>
      </c>
      <c r="K1048" s="57" t="s">
        <v>73</v>
      </c>
      <c r="L1048" s="57" t="s">
        <v>146</v>
      </c>
      <c r="M1048" s="60">
        <v>483</v>
      </c>
      <c r="N1048" s="57" t="s">
        <v>114</v>
      </c>
      <c r="O1048" s="61">
        <v>85.7</v>
      </c>
      <c r="P1048" s="61">
        <v>41393.1</v>
      </c>
      <c r="Q1048" s="61">
        <v>3138.71</v>
      </c>
      <c r="R1048" s="62">
        <f t="shared" si="115"/>
        <v>7.5826889022566568E-2</v>
      </c>
      <c r="S1048" s="60">
        <v>15</v>
      </c>
      <c r="T1048" s="58">
        <v>45423</v>
      </c>
      <c r="U1048" s="58">
        <v>45422</v>
      </c>
      <c r="V1048" s="63">
        <f t="shared" si="116"/>
        <v>-1</v>
      </c>
      <c r="W1048" s="57" t="s">
        <v>115</v>
      </c>
      <c r="X1048" s="64" t="b">
        <f t="shared" si="117"/>
        <v>1</v>
      </c>
      <c r="Y1048" s="60">
        <v>111</v>
      </c>
      <c r="Z1048" s="60">
        <v>290</v>
      </c>
      <c r="AA1048" s="57" t="s">
        <v>82</v>
      </c>
      <c r="AB1048" s="64" t="b">
        <f t="shared" si="118"/>
        <v>1</v>
      </c>
    </row>
    <row r="1049" spans="1:28" ht="15" customHeight="1" x14ac:dyDescent="0.3">
      <c r="A1049" s="65" t="s">
        <v>2218</v>
      </c>
      <c r="B1049" s="81">
        <v>45458</v>
      </c>
      <c r="C1049" s="59">
        <f t="shared" si="112"/>
        <v>2024</v>
      </c>
      <c r="D1049" s="59">
        <f t="shared" si="113"/>
        <v>6</v>
      </c>
      <c r="E1049" s="59">
        <f t="shared" si="114"/>
        <v>24</v>
      </c>
      <c r="F1049" s="65" t="s">
        <v>60</v>
      </c>
      <c r="G1049" s="65" t="s">
        <v>40</v>
      </c>
      <c r="H1049" s="65" t="s">
        <v>2219</v>
      </c>
      <c r="I1049" s="65" t="s">
        <v>67</v>
      </c>
      <c r="J1049" s="65" t="s">
        <v>139</v>
      </c>
      <c r="K1049" s="65" t="s">
        <v>71</v>
      </c>
      <c r="L1049" s="65" t="s">
        <v>119</v>
      </c>
      <c r="M1049" s="67">
        <v>836</v>
      </c>
      <c r="N1049" s="65" t="s">
        <v>120</v>
      </c>
      <c r="O1049" s="68">
        <v>645.29999999999995</v>
      </c>
      <c r="P1049" s="68">
        <v>539470.80000000005</v>
      </c>
      <c r="Q1049" s="68">
        <v>37879.300000000003</v>
      </c>
      <c r="R1049" s="62">
        <f t="shared" si="115"/>
        <v>7.021566320178961E-2</v>
      </c>
      <c r="S1049" s="67">
        <v>25</v>
      </c>
      <c r="T1049" s="66">
        <v>45483</v>
      </c>
      <c r="U1049" s="66">
        <v>45495</v>
      </c>
      <c r="V1049" s="63">
        <f t="shared" si="116"/>
        <v>12</v>
      </c>
      <c r="W1049" s="65" t="s">
        <v>125</v>
      </c>
      <c r="X1049" s="64" t="b">
        <f t="shared" si="117"/>
        <v>0</v>
      </c>
      <c r="Y1049" s="67">
        <v>408</v>
      </c>
      <c r="Z1049" s="67">
        <v>270</v>
      </c>
      <c r="AA1049" s="65" t="s">
        <v>83</v>
      </c>
      <c r="AB1049" s="64" t="b">
        <f t="shared" si="118"/>
        <v>1</v>
      </c>
    </row>
    <row r="1050" spans="1:28" ht="15" customHeight="1" x14ac:dyDescent="0.3">
      <c r="A1050" s="57" t="s">
        <v>2220</v>
      </c>
      <c r="B1050" s="82">
        <v>45594</v>
      </c>
      <c r="C1050" s="59">
        <f t="shared" si="112"/>
        <v>2024</v>
      </c>
      <c r="D1050" s="59">
        <f t="shared" si="113"/>
        <v>10</v>
      </c>
      <c r="E1050" s="59">
        <f t="shared" si="114"/>
        <v>44</v>
      </c>
      <c r="F1050" s="57" t="s">
        <v>53</v>
      </c>
      <c r="G1050" s="57" t="s">
        <v>39</v>
      </c>
      <c r="H1050" s="57" t="s">
        <v>2221</v>
      </c>
      <c r="I1050" s="57" t="s">
        <v>65</v>
      </c>
      <c r="J1050" s="57" t="s">
        <v>143</v>
      </c>
      <c r="K1050" s="57" t="s">
        <v>74</v>
      </c>
      <c r="L1050" s="57" t="s">
        <v>119</v>
      </c>
      <c r="M1050" s="60">
        <v>932</v>
      </c>
      <c r="N1050" s="57" t="s">
        <v>140</v>
      </c>
      <c r="O1050" s="61">
        <v>2163.29</v>
      </c>
      <c r="P1050" s="61">
        <v>1639255.3774000001</v>
      </c>
      <c r="Q1050" s="61">
        <v>96548.6302</v>
      </c>
      <c r="R1050" s="62">
        <f t="shared" si="115"/>
        <v>5.8897857851248549E-2</v>
      </c>
      <c r="S1050" s="60">
        <v>23</v>
      </c>
      <c r="T1050" s="58">
        <v>45617</v>
      </c>
      <c r="U1050" s="58">
        <v>45616</v>
      </c>
      <c r="V1050" s="63">
        <f t="shared" si="116"/>
        <v>-1</v>
      </c>
      <c r="W1050" s="57" t="s">
        <v>115</v>
      </c>
      <c r="X1050" s="64" t="b">
        <f t="shared" si="117"/>
        <v>1</v>
      </c>
      <c r="Y1050" s="60">
        <v>107</v>
      </c>
      <c r="Z1050" s="60">
        <v>20</v>
      </c>
      <c r="AA1050" s="57" t="s">
        <v>116</v>
      </c>
      <c r="AB1050" s="64" t="b">
        <f t="shared" si="118"/>
        <v>0</v>
      </c>
    </row>
    <row r="1051" spans="1:28" ht="15" customHeight="1" x14ac:dyDescent="0.3">
      <c r="A1051" s="65" t="s">
        <v>2222</v>
      </c>
      <c r="B1051" s="81">
        <v>45379</v>
      </c>
      <c r="C1051" s="59">
        <f t="shared" si="112"/>
        <v>2024</v>
      </c>
      <c r="D1051" s="59">
        <f t="shared" si="113"/>
        <v>3</v>
      </c>
      <c r="E1051" s="59">
        <f t="shared" si="114"/>
        <v>13</v>
      </c>
      <c r="F1051" s="65" t="s">
        <v>60</v>
      </c>
      <c r="G1051" s="65" t="s">
        <v>44</v>
      </c>
      <c r="H1051" s="65" t="s">
        <v>2223</v>
      </c>
      <c r="I1051" s="65" t="s">
        <v>68</v>
      </c>
      <c r="J1051" s="65" t="s">
        <v>139</v>
      </c>
      <c r="K1051" s="65" t="s">
        <v>74</v>
      </c>
      <c r="L1051" s="65" t="s">
        <v>124</v>
      </c>
      <c r="M1051" s="67">
        <v>292</v>
      </c>
      <c r="N1051" s="65" t="s">
        <v>136</v>
      </c>
      <c r="O1051" s="68">
        <v>167.3</v>
      </c>
      <c r="P1051" s="68">
        <v>48851.6</v>
      </c>
      <c r="Q1051" s="68">
        <v>1043.18</v>
      </c>
      <c r="R1051" s="62">
        <f t="shared" si="115"/>
        <v>2.1354060051257281E-2</v>
      </c>
      <c r="S1051" s="67">
        <v>23</v>
      </c>
      <c r="T1051" s="66">
        <v>45402</v>
      </c>
      <c r="U1051" s="66">
        <v>45410</v>
      </c>
      <c r="V1051" s="63">
        <f t="shared" si="116"/>
        <v>8</v>
      </c>
      <c r="W1051" s="65" t="s">
        <v>128</v>
      </c>
      <c r="X1051" s="64" t="b">
        <f t="shared" si="117"/>
        <v>0</v>
      </c>
      <c r="Y1051" s="67">
        <v>491</v>
      </c>
      <c r="Z1051" s="67">
        <v>61</v>
      </c>
      <c r="AA1051" s="65" t="s">
        <v>82</v>
      </c>
      <c r="AB1051" s="64" t="b">
        <f t="shared" si="118"/>
        <v>1</v>
      </c>
    </row>
    <row r="1052" spans="1:28" ht="15" customHeight="1" x14ac:dyDescent="0.3">
      <c r="A1052" s="57" t="s">
        <v>2224</v>
      </c>
      <c r="B1052" s="82">
        <v>45211</v>
      </c>
      <c r="C1052" s="59">
        <f t="shared" si="112"/>
        <v>2023</v>
      </c>
      <c r="D1052" s="59">
        <f t="shared" si="113"/>
        <v>10</v>
      </c>
      <c r="E1052" s="59">
        <f t="shared" si="114"/>
        <v>41</v>
      </c>
      <c r="F1052" s="57" t="s">
        <v>58</v>
      </c>
      <c r="G1052" s="57" t="s">
        <v>41</v>
      </c>
      <c r="H1052" s="57" t="s">
        <v>2225</v>
      </c>
      <c r="I1052" s="57" t="s">
        <v>67</v>
      </c>
      <c r="J1052" s="57" t="s">
        <v>151</v>
      </c>
      <c r="K1052" s="57" t="s">
        <v>72</v>
      </c>
      <c r="L1052" s="57" t="s">
        <v>119</v>
      </c>
      <c r="M1052" s="60">
        <v>600</v>
      </c>
      <c r="N1052" s="57" t="s">
        <v>132</v>
      </c>
      <c r="O1052" s="61">
        <v>633.04999999999995</v>
      </c>
      <c r="P1052" s="61">
        <v>379830</v>
      </c>
      <c r="Q1052" s="61">
        <v>10168.61</v>
      </c>
      <c r="R1052" s="62">
        <f t="shared" si="115"/>
        <v>2.6771476713266462E-2</v>
      </c>
      <c r="S1052" s="60">
        <v>16</v>
      </c>
      <c r="T1052" s="58">
        <v>45227</v>
      </c>
      <c r="U1052" s="58">
        <v>45232</v>
      </c>
      <c r="V1052" s="63">
        <f t="shared" si="116"/>
        <v>5</v>
      </c>
      <c r="W1052" s="57" t="s">
        <v>128</v>
      </c>
      <c r="X1052" s="64" t="b">
        <f t="shared" si="117"/>
        <v>0</v>
      </c>
      <c r="Y1052" s="60">
        <v>93</v>
      </c>
      <c r="Z1052" s="60">
        <v>338</v>
      </c>
      <c r="AA1052" s="57" t="s">
        <v>116</v>
      </c>
      <c r="AB1052" s="64" t="b">
        <f t="shared" si="118"/>
        <v>0</v>
      </c>
    </row>
    <row r="1053" spans="1:28" ht="15" customHeight="1" x14ac:dyDescent="0.3">
      <c r="A1053" s="65" t="s">
        <v>2226</v>
      </c>
      <c r="B1053" s="81">
        <v>45112</v>
      </c>
      <c r="C1053" s="59">
        <f t="shared" si="112"/>
        <v>2023</v>
      </c>
      <c r="D1053" s="59">
        <f t="shared" si="113"/>
        <v>7</v>
      </c>
      <c r="E1053" s="59">
        <f t="shared" si="114"/>
        <v>27</v>
      </c>
      <c r="F1053" s="65" t="s">
        <v>55</v>
      </c>
      <c r="G1053" s="65" t="s">
        <v>41</v>
      </c>
      <c r="H1053" s="65" t="s">
        <v>2227</v>
      </c>
      <c r="I1053" s="65" t="s">
        <v>69</v>
      </c>
      <c r="J1053" s="65" t="s">
        <v>143</v>
      </c>
      <c r="K1053" s="65" t="s">
        <v>75</v>
      </c>
      <c r="L1053" s="65" t="s">
        <v>119</v>
      </c>
      <c r="M1053" s="67">
        <v>81</v>
      </c>
      <c r="N1053" s="65" t="s">
        <v>140</v>
      </c>
      <c r="O1053" s="68">
        <v>392.49</v>
      </c>
      <c r="P1053" s="68">
        <v>31791.69</v>
      </c>
      <c r="Q1053" s="68">
        <v>1798.39</v>
      </c>
      <c r="R1053" s="62">
        <f t="shared" si="115"/>
        <v>5.6567927027471647E-2</v>
      </c>
      <c r="S1053" s="67">
        <v>11</v>
      </c>
      <c r="T1053" s="66">
        <v>45123</v>
      </c>
      <c r="U1053" s="66">
        <v>45123</v>
      </c>
      <c r="V1053" s="63">
        <f t="shared" si="116"/>
        <v>0</v>
      </c>
      <c r="W1053" s="65" t="s">
        <v>115</v>
      </c>
      <c r="X1053" s="64" t="b">
        <f t="shared" si="117"/>
        <v>1</v>
      </c>
      <c r="Y1053" s="67">
        <v>310</v>
      </c>
      <c r="Z1053" s="67">
        <v>411</v>
      </c>
      <c r="AA1053" s="65" t="s">
        <v>116</v>
      </c>
      <c r="AB1053" s="64" t="b">
        <f t="shared" si="118"/>
        <v>0</v>
      </c>
    </row>
    <row r="1054" spans="1:28" ht="15" customHeight="1" x14ac:dyDescent="0.3">
      <c r="A1054" s="57" t="s">
        <v>2228</v>
      </c>
      <c r="B1054" s="82">
        <v>45526</v>
      </c>
      <c r="C1054" s="59">
        <f t="shared" si="112"/>
        <v>2024</v>
      </c>
      <c r="D1054" s="59">
        <f t="shared" si="113"/>
        <v>8</v>
      </c>
      <c r="E1054" s="59">
        <f t="shared" si="114"/>
        <v>34</v>
      </c>
      <c r="F1054" s="57" t="s">
        <v>59</v>
      </c>
      <c r="G1054" s="57" t="s">
        <v>42</v>
      </c>
      <c r="H1054" s="57" t="s">
        <v>2229</v>
      </c>
      <c r="I1054" s="57" t="s">
        <v>67</v>
      </c>
      <c r="J1054" s="57" t="s">
        <v>143</v>
      </c>
      <c r="K1054" s="57" t="s">
        <v>72</v>
      </c>
      <c r="L1054" s="57" t="s">
        <v>135</v>
      </c>
      <c r="M1054" s="60">
        <v>272</v>
      </c>
      <c r="N1054" s="57" t="s">
        <v>163</v>
      </c>
      <c r="O1054" s="61">
        <v>105.66</v>
      </c>
      <c r="P1054" s="61">
        <v>28739.52</v>
      </c>
      <c r="Q1054" s="61">
        <v>1989.77</v>
      </c>
      <c r="R1054" s="62">
        <f t="shared" si="115"/>
        <v>6.9234628831657596E-2</v>
      </c>
      <c r="S1054" s="60">
        <v>22</v>
      </c>
      <c r="T1054" s="58">
        <v>45548</v>
      </c>
      <c r="U1054" s="58">
        <v>45548</v>
      </c>
      <c r="V1054" s="63">
        <f t="shared" si="116"/>
        <v>0</v>
      </c>
      <c r="W1054" s="57" t="s">
        <v>115</v>
      </c>
      <c r="X1054" s="64" t="b">
        <f t="shared" si="117"/>
        <v>1</v>
      </c>
      <c r="Y1054" s="60">
        <v>83</v>
      </c>
      <c r="Z1054" s="60">
        <v>259</v>
      </c>
      <c r="AA1054" s="57" t="s">
        <v>116</v>
      </c>
      <c r="AB1054" s="64" t="b">
        <f t="shared" si="118"/>
        <v>0</v>
      </c>
    </row>
    <row r="1055" spans="1:28" ht="15" customHeight="1" x14ac:dyDescent="0.3">
      <c r="A1055" s="65" t="s">
        <v>2230</v>
      </c>
      <c r="B1055" s="81">
        <v>45373</v>
      </c>
      <c r="C1055" s="59">
        <f t="shared" si="112"/>
        <v>2024</v>
      </c>
      <c r="D1055" s="59">
        <f t="shared" si="113"/>
        <v>3</v>
      </c>
      <c r="E1055" s="59">
        <f t="shared" si="114"/>
        <v>12</v>
      </c>
      <c r="F1055" s="65" t="s">
        <v>60</v>
      </c>
      <c r="G1055" s="65" t="s">
        <v>43</v>
      </c>
      <c r="H1055" s="65" t="s">
        <v>2231</v>
      </c>
      <c r="I1055" s="65" t="s">
        <v>67</v>
      </c>
      <c r="J1055" s="65" t="s">
        <v>139</v>
      </c>
      <c r="K1055" s="65" t="s">
        <v>72</v>
      </c>
      <c r="L1055" s="65" t="s">
        <v>135</v>
      </c>
      <c r="M1055" s="67">
        <v>712</v>
      </c>
      <c r="N1055" s="65" t="s">
        <v>132</v>
      </c>
      <c r="O1055" s="68">
        <v>269.27</v>
      </c>
      <c r="P1055" s="68">
        <v>191720.24</v>
      </c>
      <c r="Q1055" s="68">
        <v>7115.63</v>
      </c>
      <c r="R1055" s="62">
        <f t="shared" si="115"/>
        <v>3.7114652057602268E-2</v>
      </c>
      <c r="S1055" s="67">
        <v>16</v>
      </c>
      <c r="T1055" s="66">
        <v>45389</v>
      </c>
      <c r="U1055" s="66">
        <v>45389</v>
      </c>
      <c r="V1055" s="63">
        <f t="shared" si="116"/>
        <v>0</v>
      </c>
      <c r="W1055" s="65" t="s">
        <v>115</v>
      </c>
      <c r="X1055" s="64" t="b">
        <f t="shared" si="117"/>
        <v>1</v>
      </c>
      <c r="Y1055" s="67">
        <v>57</v>
      </c>
      <c r="Z1055" s="67">
        <v>236</v>
      </c>
      <c r="AA1055" s="65" t="s">
        <v>81</v>
      </c>
      <c r="AB1055" s="64" t="b">
        <f t="shared" si="118"/>
        <v>1</v>
      </c>
    </row>
    <row r="1056" spans="1:28" ht="15" customHeight="1" x14ac:dyDescent="0.3">
      <c r="A1056" s="57" t="s">
        <v>2232</v>
      </c>
      <c r="B1056" s="82">
        <v>45577</v>
      </c>
      <c r="C1056" s="59">
        <f t="shared" si="112"/>
        <v>2024</v>
      </c>
      <c r="D1056" s="59">
        <f t="shared" si="113"/>
        <v>10</v>
      </c>
      <c r="E1056" s="59">
        <f t="shared" si="114"/>
        <v>41</v>
      </c>
      <c r="F1056" s="57" t="s">
        <v>56</v>
      </c>
      <c r="G1056" s="57" t="s">
        <v>41</v>
      </c>
      <c r="H1056" s="57" t="s">
        <v>2233</v>
      </c>
      <c r="I1056" s="57" t="s">
        <v>66</v>
      </c>
      <c r="J1056" s="57" t="s">
        <v>131</v>
      </c>
      <c r="K1056" s="57" t="s">
        <v>75</v>
      </c>
      <c r="L1056" s="57" t="s">
        <v>124</v>
      </c>
      <c r="M1056" s="60">
        <v>888</v>
      </c>
      <c r="N1056" s="57" t="s">
        <v>136</v>
      </c>
      <c r="O1056" s="61">
        <v>657.11</v>
      </c>
      <c r="P1056" s="61">
        <v>583513.68000000005</v>
      </c>
      <c r="Q1056" s="61">
        <v>20045.25</v>
      </c>
      <c r="R1056" s="62">
        <f t="shared" si="115"/>
        <v>3.4352665048058513E-2</v>
      </c>
      <c r="S1056" s="60">
        <v>8</v>
      </c>
      <c r="T1056" s="58">
        <v>45585</v>
      </c>
      <c r="U1056" s="58">
        <v>45587</v>
      </c>
      <c r="V1056" s="63">
        <f t="shared" si="116"/>
        <v>2</v>
      </c>
      <c r="W1056" s="57" t="s">
        <v>128</v>
      </c>
      <c r="X1056" s="64" t="b">
        <f t="shared" si="117"/>
        <v>0</v>
      </c>
      <c r="Y1056" s="60">
        <v>292</v>
      </c>
      <c r="Z1056" s="60">
        <v>140</v>
      </c>
      <c r="AA1056" s="57" t="s">
        <v>84</v>
      </c>
      <c r="AB1056" s="64" t="b">
        <f t="shared" si="118"/>
        <v>1</v>
      </c>
    </row>
    <row r="1057" spans="1:28" ht="15" customHeight="1" x14ac:dyDescent="0.3">
      <c r="A1057" s="65" t="s">
        <v>2234</v>
      </c>
      <c r="B1057" s="81">
        <v>45430</v>
      </c>
      <c r="C1057" s="59">
        <f t="shared" si="112"/>
        <v>2024</v>
      </c>
      <c r="D1057" s="59">
        <f t="shared" si="113"/>
        <v>5</v>
      </c>
      <c r="E1057" s="59">
        <f t="shared" si="114"/>
        <v>20</v>
      </c>
      <c r="F1057" s="65" t="s">
        <v>53</v>
      </c>
      <c r="G1057" s="65" t="s">
        <v>39</v>
      </c>
      <c r="H1057" s="65" t="s">
        <v>2235</v>
      </c>
      <c r="I1057" s="65" t="s">
        <v>69</v>
      </c>
      <c r="J1057" s="65" t="s">
        <v>112</v>
      </c>
      <c r="K1057" s="65" t="s">
        <v>71</v>
      </c>
      <c r="L1057" s="65" t="s">
        <v>113</v>
      </c>
      <c r="M1057" s="67">
        <v>896</v>
      </c>
      <c r="N1057" s="65" t="s">
        <v>140</v>
      </c>
      <c r="O1057" s="68">
        <v>1186.76</v>
      </c>
      <c r="P1057" s="68">
        <v>1063336.96</v>
      </c>
      <c r="Q1057" s="68">
        <v>71475.97</v>
      </c>
      <c r="R1057" s="62">
        <f t="shared" si="115"/>
        <v>6.7218551304752919E-2</v>
      </c>
      <c r="S1057" s="67">
        <v>4</v>
      </c>
      <c r="T1057" s="66">
        <v>45434</v>
      </c>
      <c r="U1057" s="66">
        <v>45439</v>
      </c>
      <c r="V1057" s="63">
        <f t="shared" si="116"/>
        <v>5</v>
      </c>
      <c r="W1057" s="65" t="s">
        <v>125</v>
      </c>
      <c r="X1057" s="64" t="b">
        <f t="shared" si="117"/>
        <v>0</v>
      </c>
      <c r="Y1057" s="67">
        <v>15</v>
      </c>
      <c r="Z1057" s="67">
        <v>462</v>
      </c>
      <c r="AA1057" s="65" t="s">
        <v>84</v>
      </c>
      <c r="AB1057" s="64" t="b">
        <f t="shared" si="118"/>
        <v>1</v>
      </c>
    </row>
    <row r="1058" spans="1:28" ht="15" customHeight="1" x14ac:dyDescent="0.3">
      <c r="A1058" s="57" t="s">
        <v>2236</v>
      </c>
      <c r="B1058" s="82">
        <v>45020</v>
      </c>
      <c r="C1058" s="59">
        <f t="shared" si="112"/>
        <v>2023</v>
      </c>
      <c r="D1058" s="59">
        <f t="shared" si="113"/>
        <v>4</v>
      </c>
      <c r="E1058" s="59">
        <f t="shared" si="114"/>
        <v>14</v>
      </c>
      <c r="F1058" s="57" t="s">
        <v>61</v>
      </c>
      <c r="G1058" s="57" t="s">
        <v>41</v>
      </c>
      <c r="H1058" s="57" t="s">
        <v>2237</v>
      </c>
      <c r="I1058" s="57" t="s">
        <v>67</v>
      </c>
      <c r="J1058" s="57" t="s">
        <v>143</v>
      </c>
      <c r="K1058" s="57" t="s">
        <v>71</v>
      </c>
      <c r="L1058" s="57" t="s">
        <v>156</v>
      </c>
      <c r="M1058" s="60">
        <v>951</v>
      </c>
      <c r="N1058" s="57" t="s">
        <v>140</v>
      </c>
      <c r="O1058" s="61">
        <v>607.55999999999995</v>
      </c>
      <c r="P1058" s="61">
        <v>577789.56000000006</v>
      </c>
      <c r="Q1058" s="61">
        <v>13510.4</v>
      </c>
      <c r="R1058" s="62">
        <f t="shared" si="115"/>
        <v>2.3382907783934342E-2</v>
      </c>
      <c r="S1058" s="60">
        <v>8</v>
      </c>
      <c r="T1058" s="58">
        <v>45028</v>
      </c>
      <c r="U1058" s="58">
        <v>45028</v>
      </c>
      <c r="V1058" s="63">
        <f t="shared" si="116"/>
        <v>0</v>
      </c>
      <c r="W1058" s="57" t="s">
        <v>115</v>
      </c>
      <c r="X1058" s="64" t="b">
        <f t="shared" si="117"/>
        <v>1</v>
      </c>
      <c r="Y1058" s="60">
        <v>478</v>
      </c>
      <c r="Z1058" s="60">
        <v>434</v>
      </c>
      <c r="AA1058" s="57" t="s">
        <v>116</v>
      </c>
      <c r="AB1058" s="64" t="b">
        <f t="shared" si="118"/>
        <v>0</v>
      </c>
    </row>
    <row r="1059" spans="1:28" ht="15" customHeight="1" x14ac:dyDescent="0.3">
      <c r="A1059" s="65" t="s">
        <v>2238</v>
      </c>
      <c r="B1059" s="81">
        <v>45408</v>
      </c>
      <c r="C1059" s="59">
        <f t="shared" si="112"/>
        <v>2024</v>
      </c>
      <c r="D1059" s="59">
        <f t="shared" si="113"/>
        <v>4</v>
      </c>
      <c r="E1059" s="59">
        <f t="shared" si="114"/>
        <v>17</v>
      </c>
      <c r="F1059" s="65" t="s">
        <v>54</v>
      </c>
      <c r="G1059" s="65" t="s">
        <v>39</v>
      </c>
      <c r="H1059" s="65" t="s">
        <v>2239</v>
      </c>
      <c r="I1059" s="65" t="s">
        <v>65</v>
      </c>
      <c r="J1059" s="65" t="s">
        <v>143</v>
      </c>
      <c r="K1059" s="65" t="s">
        <v>75</v>
      </c>
      <c r="L1059" s="65" t="s">
        <v>119</v>
      </c>
      <c r="M1059" s="67">
        <v>584</v>
      </c>
      <c r="N1059" s="65" t="s">
        <v>120</v>
      </c>
      <c r="O1059" s="68">
        <v>2051.19</v>
      </c>
      <c r="P1059" s="68">
        <v>1197894.96</v>
      </c>
      <c r="Q1059" s="68">
        <v>50506.8</v>
      </c>
      <c r="R1059" s="62">
        <f t="shared" si="115"/>
        <v>4.216296226841125E-2</v>
      </c>
      <c r="S1059" s="67">
        <v>4</v>
      </c>
      <c r="T1059" s="66">
        <v>45412</v>
      </c>
      <c r="U1059" s="66">
        <v>45424</v>
      </c>
      <c r="V1059" s="63">
        <f t="shared" si="116"/>
        <v>12</v>
      </c>
      <c r="W1059" s="65" t="s">
        <v>128</v>
      </c>
      <c r="X1059" s="64" t="b">
        <f t="shared" si="117"/>
        <v>0</v>
      </c>
      <c r="Y1059" s="67">
        <v>476</v>
      </c>
      <c r="Z1059" s="67">
        <v>431</v>
      </c>
      <c r="AA1059" s="65" t="s">
        <v>81</v>
      </c>
      <c r="AB1059" s="64" t="b">
        <f t="shared" si="118"/>
        <v>1</v>
      </c>
    </row>
    <row r="1060" spans="1:28" ht="15" customHeight="1" x14ac:dyDescent="0.3">
      <c r="A1060" s="57" t="s">
        <v>2240</v>
      </c>
      <c r="B1060" s="82">
        <v>45283</v>
      </c>
      <c r="C1060" s="59">
        <f t="shared" si="112"/>
        <v>2023</v>
      </c>
      <c r="D1060" s="59">
        <f t="shared" si="113"/>
        <v>12</v>
      </c>
      <c r="E1060" s="59">
        <f t="shared" si="114"/>
        <v>51</v>
      </c>
      <c r="F1060" s="57" t="s">
        <v>54</v>
      </c>
      <c r="G1060" s="57" t="s">
        <v>44</v>
      </c>
      <c r="H1060" s="57" t="s">
        <v>2241</v>
      </c>
      <c r="I1060" s="57" t="s">
        <v>69</v>
      </c>
      <c r="J1060" s="57" t="s">
        <v>139</v>
      </c>
      <c r="K1060" s="57" t="s">
        <v>75</v>
      </c>
      <c r="L1060" s="57" t="s">
        <v>146</v>
      </c>
      <c r="M1060" s="60">
        <v>901</v>
      </c>
      <c r="N1060" s="57" t="s">
        <v>140</v>
      </c>
      <c r="O1060" s="61">
        <v>139.43</v>
      </c>
      <c r="P1060" s="61">
        <v>125626.43</v>
      </c>
      <c r="Q1060" s="61">
        <v>6325.11</v>
      </c>
      <c r="R1060" s="62">
        <f t="shared" si="115"/>
        <v>5.034856120642766E-2</v>
      </c>
      <c r="S1060" s="60">
        <v>24</v>
      </c>
      <c r="T1060" s="58">
        <v>45307</v>
      </c>
      <c r="U1060" s="58">
        <v>45302</v>
      </c>
      <c r="V1060" s="63">
        <f t="shared" si="116"/>
        <v>-5</v>
      </c>
      <c r="W1060" s="57" t="s">
        <v>115</v>
      </c>
      <c r="X1060" s="64" t="b">
        <f t="shared" si="117"/>
        <v>1</v>
      </c>
      <c r="Y1060" s="60">
        <v>325</v>
      </c>
      <c r="Z1060" s="60">
        <v>166</v>
      </c>
      <c r="AA1060" s="57" t="s">
        <v>81</v>
      </c>
      <c r="AB1060" s="64" t="b">
        <f t="shared" si="118"/>
        <v>1</v>
      </c>
    </row>
    <row r="1061" spans="1:28" ht="15" customHeight="1" x14ac:dyDescent="0.3">
      <c r="A1061" s="65" t="s">
        <v>2242</v>
      </c>
      <c r="B1061" s="81">
        <v>45345</v>
      </c>
      <c r="C1061" s="59">
        <f t="shared" si="112"/>
        <v>2024</v>
      </c>
      <c r="D1061" s="59">
        <f t="shared" si="113"/>
        <v>2</v>
      </c>
      <c r="E1061" s="59">
        <f t="shared" si="114"/>
        <v>8</v>
      </c>
      <c r="F1061" s="65" t="s">
        <v>54</v>
      </c>
      <c r="G1061" s="65" t="s">
        <v>44</v>
      </c>
      <c r="H1061" s="65" t="s">
        <v>2243</v>
      </c>
      <c r="I1061" s="65" t="s">
        <v>65</v>
      </c>
      <c r="J1061" s="65" t="s">
        <v>143</v>
      </c>
      <c r="K1061" s="65" t="s">
        <v>74</v>
      </c>
      <c r="L1061" s="65" t="s">
        <v>135</v>
      </c>
      <c r="M1061" s="67">
        <v>21</v>
      </c>
      <c r="N1061" s="65" t="s">
        <v>140</v>
      </c>
      <c r="O1061" s="68">
        <v>146.06</v>
      </c>
      <c r="P1061" s="68">
        <v>3302.8089</v>
      </c>
      <c r="Q1061" s="68">
        <v>164.47</v>
      </c>
      <c r="R1061" s="62">
        <f t="shared" si="115"/>
        <v>4.9797007631897809E-2</v>
      </c>
      <c r="S1061" s="67">
        <v>25</v>
      </c>
      <c r="T1061" s="66">
        <v>45370</v>
      </c>
      <c r="U1061" s="66">
        <v>45372</v>
      </c>
      <c r="V1061" s="63">
        <f t="shared" si="116"/>
        <v>2</v>
      </c>
      <c r="W1061" s="65" t="s">
        <v>125</v>
      </c>
      <c r="X1061" s="64" t="b">
        <f t="shared" si="117"/>
        <v>0</v>
      </c>
      <c r="Y1061" s="67">
        <v>92</v>
      </c>
      <c r="Z1061" s="67">
        <v>479</v>
      </c>
      <c r="AA1061" s="65" t="s">
        <v>116</v>
      </c>
      <c r="AB1061" s="64" t="b">
        <f t="shared" si="118"/>
        <v>0</v>
      </c>
    </row>
    <row r="1062" spans="1:28" ht="15" customHeight="1" x14ac:dyDescent="0.3">
      <c r="A1062" s="57" t="s">
        <v>2244</v>
      </c>
      <c r="B1062" s="82">
        <v>45268</v>
      </c>
      <c r="C1062" s="59">
        <f t="shared" si="112"/>
        <v>2023</v>
      </c>
      <c r="D1062" s="59">
        <f t="shared" si="113"/>
        <v>12</v>
      </c>
      <c r="E1062" s="59">
        <f t="shared" si="114"/>
        <v>49</v>
      </c>
      <c r="F1062" s="57" t="s">
        <v>60</v>
      </c>
      <c r="G1062" s="57" t="s">
        <v>46</v>
      </c>
      <c r="H1062" s="57" t="s">
        <v>2245</v>
      </c>
      <c r="I1062" s="57" t="s">
        <v>68</v>
      </c>
      <c r="J1062" s="57" t="s">
        <v>139</v>
      </c>
      <c r="K1062" s="57" t="s">
        <v>74</v>
      </c>
      <c r="L1062" s="57" t="s">
        <v>156</v>
      </c>
      <c r="M1062" s="60">
        <v>150</v>
      </c>
      <c r="N1062" s="57" t="s">
        <v>136</v>
      </c>
      <c r="O1062" s="61">
        <v>64</v>
      </c>
      <c r="P1062" s="61">
        <v>9600</v>
      </c>
      <c r="Q1062" s="61">
        <v>611.67999999999995</v>
      </c>
      <c r="R1062" s="62">
        <f t="shared" si="115"/>
        <v>6.3716666666666658E-2</v>
      </c>
      <c r="S1062" s="60">
        <v>3</v>
      </c>
      <c r="T1062" s="58">
        <v>45271</v>
      </c>
      <c r="U1062" s="58">
        <v>45273</v>
      </c>
      <c r="V1062" s="63">
        <f t="shared" si="116"/>
        <v>2</v>
      </c>
      <c r="W1062" s="57" t="s">
        <v>125</v>
      </c>
      <c r="X1062" s="64" t="b">
        <f t="shared" si="117"/>
        <v>0</v>
      </c>
      <c r="Y1062" s="60">
        <v>479</v>
      </c>
      <c r="Z1062" s="60">
        <v>66</v>
      </c>
      <c r="AA1062" s="57" t="s">
        <v>82</v>
      </c>
      <c r="AB1062" s="64" t="b">
        <f t="shared" si="118"/>
        <v>1</v>
      </c>
    </row>
    <row r="1063" spans="1:28" ht="15" customHeight="1" x14ac:dyDescent="0.3">
      <c r="A1063" s="65" t="s">
        <v>2246</v>
      </c>
      <c r="B1063" s="81">
        <v>45255</v>
      </c>
      <c r="C1063" s="59">
        <f t="shared" si="112"/>
        <v>2023</v>
      </c>
      <c r="D1063" s="59">
        <f t="shared" si="113"/>
        <v>11</v>
      </c>
      <c r="E1063" s="59">
        <f t="shared" si="114"/>
        <v>47</v>
      </c>
      <c r="F1063" s="65" t="s">
        <v>59</v>
      </c>
      <c r="G1063" s="65" t="s">
        <v>46</v>
      </c>
      <c r="H1063" s="65" t="s">
        <v>2247</v>
      </c>
      <c r="I1063" s="65" t="s">
        <v>68</v>
      </c>
      <c r="J1063" s="65" t="s">
        <v>131</v>
      </c>
      <c r="K1063" s="65" t="s">
        <v>74</v>
      </c>
      <c r="L1063" s="65" t="s">
        <v>113</v>
      </c>
      <c r="M1063" s="67">
        <v>775</v>
      </c>
      <c r="N1063" s="65" t="s">
        <v>136</v>
      </c>
      <c r="O1063" s="68">
        <v>67.38</v>
      </c>
      <c r="P1063" s="68">
        <v>52219.5</v>
      </c>
      <c r="Q1063" s="68">
        <v>2156.1799999999998</v>
      </c>
      <c r="R1063" s="62">
        <f t="shared" si="115"/>
        <v>4.1290705579333391E-2</v>
      </c>
      <c r="S1063" s="67">
        <v>3</v>
      </c>
      <c r="T1063" s="66">
        <v>45258</v>
      </c>
      <c r="U1063" s="66">
        <v>45261</v>
      </c>
      <c r="V1063" s="63">
        <f t="shared" si="116"/>
        <v>3</v>
      </c>
      <c r="W1063" s="65" t="s">
        <v>128</v>
      </c>
      <c r="X1063" s="64" t="b">
        <f t="shared" si="117"/>
        <v>0</v>
      </c>
      <c r="Y1063" s="67">
        <v>456</v>
      </c>
      <c r="Z1063" s="67">
        <v>349</v>
      </c>
      <c r="AA1063" s="65" t="s">
        <v>116</v>
      </c>
      <c r="AB1063" s="64" t="b">
        <f t="shared" si="118"/>
        <v>0</v>
      </c>
    </row>
    <row r="1064" spans="1:28" ht="15" customHeight="1" x14ac:dyDescent="0.3">
      <c r="A1064" s="57" t="s">
        <v>2248</v>
      </c>
      <c r="B1064" s="82">
        <v>45613</v>
      </c>
      <c r="C1064" s="59">
        <f t="shared" si="112"/>
        <v>2024</v>
      </c>
      <c r="D1064" s="59">
        <f t="shared" si="113"/>
        <v>11</v>
      </c>
      <c r="E1064" s="59">
        <f t="shared" si="114"/>
        <v>47</v>
      </c>
      <c r="F1064" s="57" t="s">
        <v>60</v>
      </c>
      <c r="G1064" s="57" t="s">
        <v>39</v>
      </c>
      <c r="H1064" s="57" t="s">
        <v>2249</v>
      </c>
      <c r="I1064" s="57" t="s">
        <v>64</v>
      </c>
      <c r="J1064" s="57" t="s">
        <v>143</v>
      </c>
      <c r="K1064" s="57" t="s">
        <v>74</v>
      </c>
      <c r="L1064" s="57" t="s">
        <v>156</v>
      </c>
      <c r="M1064" s="60">
        <v>564</v>
      </c>
      <c r="N1064" s="57" t="s">
        <v>132</v>
      </c>
      <c r="O1064" s="61">
        <v>1091.25</v>
      </c>
      <c r="P1064" s="61">
        <v>615465</v>
      </c>
      <c r="Q1064" s="61">
        <v>34934.449999999997</v>
      </c>
      <c r="R1064" s="62">
        <f t="shared" si="115"/>
        <v>5.6761066835644587E-2</v>
      </c>
      <c r="S1064" s="60">
        <v>27</v>
      </c>
      <c r="T1064" s="58">
        <v>45640</v>
      </c>
      <c r="U1064" s="58">
        <v>45643</v>
      </c>
      <c r="V1064" s="63">
        <f t="shared" si="116"/>
        <v>3</v>
      </c>
      <c r="W1064" s="57" t="s">
        <v>128</v>
      </c>
      <c r="X1064" s="64" t="b">
        <f t="shared" si="117"/>
        <v>0</v>
      </c>
      <c r="Y1064" s="60">
        <v>164</v>
      </c>
      <c r="Z1064" s="60">
        <v>57</v>
      </c>
      <c r="AA1064" s="57" t="s">
        <v>83</v>
      </c>
      <c r="AB1064" s="64" t="b">
        <f t="shared" si="118"/>
        <v>1</v>
      </c>
    </row>
    <row r="1065" spans="1:28" ht="15" customHeight="1" x14ac:dyDescent="0.3">
      <c r="A1065" s="65" t="s">
        <v>2250</v>
      </c>
      <c r="B1065" s="81">
        <v>45034</v>
      </c>
      <c r="C1065" s="59">
        <f t="shared" si="112"/>
        <v>2023</v>
      </c>
      <c r="D1065" s="59">
        <f t="shared" si="113"/>
        <v>4</v>
      </c>
      <c r="E1065" s="59">
        <f t="shared" si="114"/>
        <v>16</v>
      </c>
      <c r="F1065" s="65" t="s">
        <v>57</v>
      </c>
      <c r="G1065" s="65" t="s">
        <v>43</v>
      </c>
      <c r="H1065" s="65" t="s">
        <v>2251</v>
      </c>
      <c r="I1065" s="65" t="s">
        <v>68</v>
      </c>
      <c r="J1065" s="65" t="s">
        <v>123</v>
      </c>
      <c r="K1065" s="65" t="s">
        <v>73</v>
      </c>
      <c r="L1065" s="65" t="s">
        <v>119</v>
      </c>
      <c r="M1065" s="67">
        <v>26</v>
      </c>
      <c r="N1065" s="65" t="s">
        <v>163</v>
      </c>
      <c r="O1065" s="68">
        <v>242.23</v>
      </c>
      <c r="P1065" s="68">
        <v>6297.98</v>
      </c>
      <c r="Q1065" s="68">
        <v>347.16</v>
      </c>
      <c r="R1065" s="62">
        <f t="shared" si="115"/>
        <v>5.5122436082680484E-2</v>
      </c>
      <c r="S1065" s="67">
        <v>29</v>
      </c>
      <c r="T1065" s="66">
        <v>45063</v>
      </c>
      <c r="U1065" s="66">
        <v>45060</v>
      </c>
      <c r="V1065" s="63">
        <f t="shared" si="116"/>
        <v>-3</v>
      </c>
      <c r="W1065" s="65" t="s">
        <v>115</v>
      </c>
      <c r="X1065" s="64" t="b">
        <f t="shared" si="117"/>
        <v>1</v>
      </c>
      <c r="Y1065" s="67">
        <v>436</v>
      </c>
      <c r="Z1065" s="67">
        <v>211</v>
      </c>
      <c r="AA1065" s="65" t="s">
        <v>84</v>
      </c>
      <c r="AB1065" s="64" t="b">
        <f t="shared" si="118"/>
        <v>1</v>
      </c>
    </row>
    <row r="1066" spans="1:28" ht="15" customHeight="1" x14ac:dyDescent="0.3">
      <c r="A1066" s="57" t="s">
        <v>2252</v>
      </c>
      <c r="B1066" s="82">
        <v>45091</v>
      </c>
      <c r="C1066" s="59">
        <f t="shared" si="112"/>
        <v>2023</v>
      </c>
      <c r="D1066" s="59">
        <f t="shared" si="113"/>
        <v>6</v>
      </c>
      <c r="E1066" s="59">
        <f t="shared" si="114"/>
        <v>24</v>
      </c>
      <c r="F1066" s="57" t="s">
        <v>56</v>
      </c>
      <c r="G1066" s="57" t="s">
        <v>41</v>
      </c>
      <c r="H1066" s="57" t="s">
        <v>2253</v>
      </c>
      <c r="I1066" s="57" t="s">
        <v>67</v>
      </c>
      <c r="J1066" s="57" t="s">
        <v>151</v>
      </c>
      <c r="K1066" s="57" t="s">
        <v>73</v>
      </c>
      <c r="L1066" s="57" t="s">
        <v>156</v>
      </c>
      <c r="M1066" s="60">
        <v>72</v>
      </c>
      <c r="N1066" s="57" t="s">
        <v>136</v>
      </c>
      <c r="O1066" s="61">
        <v>382.58</v>
      </c>
      <c r="P1066" s="61">
        <v>27545.759999999998</v>
      </c>
      <c r="Q1066" s="61">
        <v>1455.99</v>
      </c>
      <c r="R1066" s="62">
        <f t="shared" si="115"/>
        <v>5.2857136633732385E-2</v>
      </c>
      <c r="S1066" s="60">
        <v>18</v>
      </c>
      <c r="T1066" s="58">
        <v>45109</v>
      </c>
      <c r="U1066" s="58">
        <v>45106</v>
      </c>
      <c r="V1066" s="63">
        <f t="shared" si="116"/>
        <v>-3</v>
      </c>
      <c r="W1066" s="57" t="s">
        <v>115</v>
      </c>
      <c r="X1066" s="64" t="b">
        <f t="shared" si="117"/>
        <v>1</v>
      </c>
      <c r="Y1066" s="60">
        <v>214</v>
      </c>
      <c r="Z1066" s="60">
        <v>129</v>
      </c>
      <c r="AA1066" s="57" t="s">
        <v>81</v>
      </c>
      <c r="AB1066" s="64" t="b">
        <f t="shared" si="118"/>
        <v>1</v>
      </c>
    </row>
    <row r="1067" spans="1:28" ht="15" customHeight="1" x14ac:dyDescent="0.3">
      <c r="A1067" s="65" t="s">
        <v>2254</v>
      </c>
      <c r="B1067" s="81">
        <v>45264</v>
      </c>
      <c r="C1067" s="59">
        <f t="shared" si="112"/>
        <v>2023</v>
      </c>
      <c r="D1067" s="59">
        <f t="shared" si="113"/>
        <v>12</v>
      </c>
      <c r="E1067" s="59">
        <f t="shared" si="114"/>
        <v>49</v>
      </c>
      <c r="F1067" s="65" t="s">
        <v>61</v>
      </c>
      <c r="G1067" s="65" t="s">
        <v>40</v>
      </c>
      <c r="H1067" s="65" t="s">
        <v>2255</v>
      </c>
      <c r="I1067" s="65" t="s">
        <v>69</v>
      </c>
      <c r="J1067" s="65" t="s">
        <v>131</v>
      </c>
      <c r="K1067" s="65" t="s">
        <v>71</v>
      </c>
      <c r="L1067" s="65" t="s">
        <v>119</v>
      </c>
      <c r="M1067" s="67">
        <v>262</v>
      </c>
      <c r="N1067" s="65" t="s">
        <v>132</v>
      </c>
      <c r="O1067" s="68">
        <v>838.41</v>
      </c>
      <c r="P1067" s="68">
        <v>219663.42</v>
      </c>
      <c r="Q1067" s="68">
        <v>12834.71</v>
      </c>
      <c r="R1067" s="62">
        <f t="shared" si="115"/>
        <v>5.842898193973306E-2</v>
      </c>
      <c r="S1067" s="67">
        <v>29</v>
      </c>
      <c r="T1067" s="66">
        <v>45293</v>
      </c>
      <c r="U1067" s="66">
        <v>45292</v>
      </c>
      <c r="V1067" s="63">
        <f t="shared" si="116"/>
        <v>-1</v>
      </c>
      <c r="W1067" s="65" t="s">
        <v>115</v>
      </c>
      <c r="X1067" s="64" t="b">
        <f t="shared" si="117"/>
        <v>1</v>
      </c>
      <c r="Y1067" s="67">
        <v>143</v>
      </c>
      <c r="Z1067" s="67">
        <v>497</v>
      </c>
      <c r="AA1067" s="65" t="s">
        <v>116</v>
      </c>
      <c r="AB1067" s="64" t="b">
        <f t="shared" si="118"/>
        <v>0</v>
      </c>
    </row>
    <row r="1068" spans="1:28" ht="15" customHeight="1" x14ac:dyDescent="0.3">
      <c r="A1068" s="57" t="s">
        <v>2256</v>
      </c>
      <c r="B1068" s="82">
        <v>45348</v>
      </c>
      <c r="C1068" s="59">
        <f t="shared" si="112"/>
        <v>2024</v>
      </c>
      <c r="D1068" s="59">
        <f t="shared" si="113"/>
        <v>2</v>
      </c>
      <c r="E1068" s="59">
        <f t="shared" si="114"/>
        <v>9</v>
      </c>
      <c r="F1068" s="57" t="s">
        <v>61</v>
      </c>
      <c r="G1068" s="57" t="s">
        <v>41</v>
      </c>
      <c r="H1068" s="57" t="s">
        <v>2257</v>
      </c>
      <c r="I1068" s="57" t="s">
        <v>68</v>
      </c>
      <c r="J1068" s="57" t="s">
        <v>123</v>
      </c>
      <c r="K1068" s="57" t="s">
        <v>73</v>
      </c>
      <c r="L1068" s="57" t="s">
        <v>124</v>
      </c>
      <c r="M1068" s="60">
        <v>474</v>
      </c>
      <c r="N1068" s="57" t="s">
        <v>140</v>
      </c>
      <c r="O1068" s="61">
        <v>467.06</v>
      </c>
      <c r="P1068" s="61">
        <v>221386.44</v>
      </c>
      <c r="Q1068" s="61">
        <v>7874.04</v>
      </c>
      <c r="R1068" s="62">
        <f t="shared" si="115"/>
        <v>3.5566948002777404E-2</v>
      </c>
      <c r="S1068" s="60">
        <v>26</v>
      </c>
      <c r="T1068" s="58">
        <v>45374</v>
      </c>
      <c r="U1068" s="58">
        <v>45369</v>
      </c>
      <c r="V1068" s="63">
        <f t="shared" si="116"/>
        <v>-5</v>
      </c>
      <c r="W1068" s="57" t="s">
        <v>115</v>
      </c>
      <c r="X1068" s="64" t="b">
        <f t="shared" si="117"/>
        <v>1</v>
      </c>
      <c r="Y1068" s="60">
        <v>273</v>
      </c>
      <c r="Z1068" s="60">
        <v>24</v>
      </c>
      <c r="AA1068" s="57" t="s">
        <v>83</v>
      </c>
      <c r="AB1068" s="64" t="b">
        <f t="shared" si="118"/>
        <v>1</v>
      </c>
    </row>
    <row r="1069" spans="1:28" ht="15" customHeight="1" x14ac:dyDescent="0.3">
      <c r="A1069" s="65" t="s">
        <v>2258</v>
      </c>
      <c r="B1069" s="81">
        <v>45637</v>
      </c>
      <c r="C1069" s="59">
        <f t="shared" si="112"/>
        <v>2024</v>
      </c>
      <c r="D1069" s="59">
        <f t="shared" si="113"/>
        <v>12</v>
      </c>
      <c r="E1069" s="59">
        <f t="shared" si="114"/>
        <v>50</v>
      </c>
      <c r="F1069" s="65" t="s">
        <v>56</v>
      </c>
      <c r="G1069" s="65" t="s">
        <v>46</v>
      </c>
      <c r="H1069" s="65" t="s">
        <v>2259</v>
      </c>
      <c r="I1069" s="65" t="s">
        <v>65</v>
      </c>
      <c r="J1069" s="65" t="s">
        <v>131</v>
      </c>
      <c r="K1069" s="65" t="s">
        <v>73</v>
      </c>
      <c r="L1069" s="65" t="s">
        <v>135</v>
      </c>
      <c r="M1069" s="67">
        <v>385</v>
      </c>
      <c r="N1069" s="65" t="s">
        <v>132</v>
      </c>
      <c r="O1069" s="68">
        <v>68.180000000000007</v>
      </c>
      <c r="P1069" s="68">
        <v>26249.3</v>
      </c>
      <c r="Q1069" s="68">
        <v>658.3</v>
      </c>
      <c r="R1069" s="62">
        <f t="shared" si="115"/>
        <v>2.5078764005135375E-2</v>
      </c>
      <c r="S1069" s="67">
        <v>19</v>
      </c>
      <c r="T1069" s="66">
        <v>45656</v>
      </c>
      <c r="U1069" s="66">
        <v>45656</v>
      </c>
      <c r="V1069" s="63">
        <f t="shared" si="116"/>
        <v>0</v>
      </c>
      <c r="W1069" s="65" t="s">
        <v>115</v>
      </c>
      <c r="X1069" s="64" t="b">
        <f t="shared" si="117"/>
        <v>1</v>
      </c>
      <c r="Y1069" s="67">
        <v>402</v>
      </c>
      <c r="Z1069" s="67">
        <v>10</v>
      </c>
      <c r="AA1069" s="65" t="s">
        <v>84</v>
      </c>
      <c r="AB1069" s="64" t="b">
        <f t="shared" si="118"/>
        <v>1</v>
      </c>
    </row>
    <row r="1070" spans="1:28" ht="15" customHeight="1" x14ac:dyDescent="0.3">
      <c r="A1070" s="57" t="s">
        <v>2260</v>
      </c>
      <c r="B1070" s="82">
        <v>45434</v>
      </c>
      <c r="C1070" s="59">
        <f t="shared" si="112"/>
        <v>2024</v>
      </c>
      <c r="D1070" s="59">
        <f t="shared" si="113"/>
        <v>5</v>
      </c>
      <c r="E1070" s="59">
        <f t="shared" si="114"/>
        <v>21</v>
      </c>
      <c r="F1070" s="57" t="s">
        <v>58</v>
      </c>
      <c r="G1070" s="57" t="s">
        <v>45</v>
      </c>
      <c r="H1070" s="57" t="s">
        <v>2261</v>
      </c>
      <c r="I1070" s="57" t="s">
        <v>67</v>
      </c>
      <c r="J1070" s="57" t="s">
        <v>112</v>
      </c>
      <c r="K1070" s="57" t="s">
        <v>74</v>
      </c>
      <c r="L1070" s="57" t="s">
        <v>135</v>
      </c>
      <c r="M1070" s="60">
        <v>813</v>
      </c>
      <c r="N1070" s="57" t="s">
        <v>132</v>
      </c>
      <c r="O1070" s="61">
        <v>161.35</v>
      </c>
      <c r="P1070" s="61">
        <v>131177.54999999999</v>
      </c>
      <c r="Q1070" s="61">
        <v>3562.3</v>
      </c>
      <c r="R1070" s="62">
        <f t="shared" si="115"/>
        <v>2.7156323623973772E-2</v>
      </c>
      <c r="S1070" s="60">
        <v>19</v>
      </c>
      <c r="T1070" s="58">
        <v>45453</v>
      </c>
      <c r="U1070" s="58">
        <v>45453</v>
      </c>
      <c r="V1070" s="63">
        <f t="shared" si="116"/>
        <v>0</v>
      </c>
      <c r="W1070" s="57" t="s">
        <v>115</v>
      </c>
      <c r="X1070" s="64" t="b">
        <f t="shared" si="117"/>
        <v>1</v>
      </c>
      <c r="Y1070" s="60">
        <v>427</v>
      </c>
      <c r="Z1070" s="60">
        <v>256</v>
      </c>
      <c r="AA1070" s="57" t="s">
        <v>81</v>
      </c>
      <c r="AB1070" s="64" t="b">
        <f t="shared" si="118"/>
        <v>1</v>
      </c>
    </row>
    <row r="1071" spans="1:28" ht="15" customHeight="1" x14ac:dyDescent="0.3">
      <c r="A1071" s="65" t="s">
        <v>2262</v>
      </c>
      <c r="B1071" s="81">
        <v>45222</v>
      </c>
      <c r="C1071" s="59">
        <f t="shared" si="112"/>
        <v>2023</v>
      </c>
      <c r="D1071" s="59">
        <f t="shared" si="113"/>
        <v>10</v>
      </c>
      <c r="E1071" s="59">
        <f t="shared" si="114"/>
        <v>43</v>
      </c>
      <c r="F1071" s="65" t="s">
        <v>52</v>
      </c>
      <c r="G1071" s="65" t="s">
        <v>40</v>
      </c>
      <c r="H1071" s="65" t="s">
        <v>2263</v>
      </c>
      <c r="I1071" s="65" t="s">
        <v>68</v>
      </c>
      <c r="J1071" s="65" t="s">
        <v>131</v>
      </c>
      <c r="K1071" s="65" t="s">
        <v>74</v>
      </c>
      <c r="L1071" s="65" t="s">
        <v>119</v>
      </c>
      <c r="M1071" s="67">
        <v>990</v>
      </c>
      <c r="N1071" s="65" t="s">
        <v>132</v>
      </c>
      <c r="O1071" s="68">
        <v>1002.65</v>
      </c>
      <c r="P1071" s="68">
        <v>992623.5</v>
      </c>
      <c r="Q1071" s="68">
        <v>33228.019999999997</v>
      </c>
      <c r="R1071" s="62">
        <f t="shared" si="115"/>
        <v>3.3474947953579574E-2</v>
      </c>
      <c r="S1071" s="67">
        <v>21</v>
      </c>
      <c r="T1071" s="66">
        <v>45243</v>
      </c>
      <c r="U1071" s="66">
        <v>45246</v>
      </c>
      <c r="V1071" s="63">
        <f t="shared" si="116"/>
        <v>3</v>
      </c>
      <c r="W1071" s="65" t="s">
        <v>128</v>
      </c>
      <c r="X1071" s="64" t="b">
        <f t="shared" si="117"/>
        <v>0</v>
      </c>
      <c r="Y1071" s="67">
        <v>385</v>
      </c>
      <c r="Z1071" s="67">
        <v>303</v>
      </c>
      <c r="AA1071" s="65" t="s">
        <v>82</v>
      </c>
      <c r="AB1071" s="64" t="b">
        <f t="shared" si="118"/>
        <v>1</v>
      </c>
    </row>
    <row r="1072" spans="1:28" ht="15" customHeight="1" x14ac:dyDescent="0.3">
      <c r="A1072" s="57" t="s">
        <v>2264</v>
      </c>
      <c r="B1072" s="82">
        <v>45605</v>
      </c>
      <c r="C1072" s="59">
        <f t="shared" si="112"/>
        <v>2024</v>
      </c>
      <c r="D1072" s="59">
        <f t="shared" si="113"/>
        <v>11</v>
      </c>
      <c r="E1072" s="59">
        <f t="shared" si="114"/>
        <v>45</v>
      </c>
      <c r="F1072" s="57" t="s">
        <v>57</v>
      </c>
      <c r="G1072" s="57" t="s">
        <v>39</v>
      </c>
      <c r="H1072" s="57" t="s">
        <v>2265</v>
      </c>
      <c r="I1072" s="57" t="s">
        <v>66</v>
      </c>
      <c r="J1072" s="57" t="s">
        <v>131</v>
      </c>
      <c r="K1072" s="57" t="s">
        <v>75</v>
      </c>
      <c r="L1072" s="57" t="s">
        <v>146</v>
      </c>
      <c r="M1072" s="60">
        <v>529</v>
      </c>
      <c r="N1072" s="57" t="s">
        <v>114</v>
      </c>
      <c r="O1072" s="61">
        <v>2004.01</v>
      </c>
      <c r="P1072" s="61">
        <v>1060121.29</v>
      </c>
      <c r="Q1072" s="61">
        <v>53018.65</v>
      </c>
      <c r="R1072" s="62">
        <f t="shared" si="115"/>
        <v>5.0011871754787607E-2</v>
      </c>
      <c r="S1072" s="60">
        <v>5</v>
      </c>
      <c r="T1072" s="58">
        <v>45610</v>
      </c>
      <c r="U1072" s="58">
        <v>45613</v>
      </c>
      <c r="V1072" s="63">
        <f t="shared" si="116"/>
        <v>3</v>
      </c>
      <c r="W1072" s="57" t="s">
        <v>125</v>
      </c>
      <c r="X1072" s="64" t="b">
        <f t="shared" si="117"/>
        <v>0</v>
      </c>
      <c r="Y1072" s="60">
        <v>441</v>
      </c>
      <c r="Z1072" s="60">
        <v>368</v>
      </c>
      <c r="AA1072" s="57" t="s">
        <v>116</v>
      </c>
      <c r="AB1072" s="64" t="b">
        <f t="shared" si="118"/>
        <v>0</v>
      </c>
    </row>
    <row r="1073" spans="1:28" ht="15" customHeight="1" x14ac:dyDescent="0.3">
      <c r="A1073" s="65" t="s">
        <v>2266</v>
      </c>
      <c r="B1073" s="81">
        <v>45337</v>
      </c>
      <c r="C1073" s="59">
        <f t="shared" si="112"/>
        <v>2024</v>
      </c>
      <c r="D1073" s="59">
        <f t="shared" si="113"/>
        <v>2</v>
      </c>
      <c r="E1073" s="59">
        <f t="shared" si="114"/>
        <v>7</v>
      </c>
      <c r="F1073" s="65" t="s">
        <v>53</v>
      </c>
      <c r="G1073" s="65" t="s">
        <v>40</v>
      </c>
      <c r="H1073" s="65" t="s">
        <v>2267</v>
      </c>
      <c r="I1073" s="65" t="s">
        <v>65</v>
      </c>
      <c r="J1073" s="65" t="s">
        <v>112</v>
      </c>
      <c r="K1073" s="65" t="s">
        <v>74</v>
      </c>
      <c r="L1073" s="65" t="s">
        <v>135</v>
      </c>
      <c r="M1073" s="67">
        <v>846</v>
      </c>
      <c r="N1073" s="65" t="s">
        <v>132</v>
      </c>
      <c r="O1073" s="68">
        <v>664.55</v>
      </c>
      <c r="P1073" s="68">
        <v>562209.30000000005</v>
      </c>
      <c r="Q1073" s="68">
        <v>39594.47</v>
      </c>
      <c r="R1073" s="62">
        <f t="shared" si="115"/>
        <v>7.042656533785549E-2</v>
      </c>
      <c r="S1073" s="67">
        <v>18</v>
      </c>
      <c r="T1073" s="66">
        <v>45355</v>
      </c>
      <c r="U1073" s="66">
        <v>45358</v>
      </c>
      <c r="V1073" s="63">
        <f t="shared" si="116"/>
        <v>3</v>
      </c>
      <c r="W1073" s="65" t="s">
        <v>125</v>
      </c>
      <c r="X1073" s="64" t="b">
        <f t="shared" si="117"/>
        <v>0</v>
      </c>
      <c r="Y1073" s="67">
        <v>137</v>
      </c>
      <c r="Z1073" s="67">
        <v>431</v>
      </c>
      <c r="AA1073" s="65" t="s">
        <v>81</v>
      </c>
      <c r="AB1073" s="64" t="b">
        <f t="shared" si="118"/>
        <v>1</v>
      </c>
    </row>
    <row r="1074" spans="1:28" ht="15" customHeight="1" x14ac:dyDescent="0.3">
      <c r="A1074" s="57" t="s">
        <v>2268</v>
      </c>
      <c r="B1074" s="82">
        <v>45490</v>
      </c>
      <c r="C1074" s="59">
        <f t="shared" si="112"/>
        <v>2024</v>
      </c>
      <c r="D1074" s="59">
        <f t="shared" si="113"/>
        <v>7</v>
      </c>
      <c r="E1074" s="59">
        <f t="shared" si="114"/>
        <v>29</v>
      </c>
      <c r="F1074" s="57" t="s">
        <v>61</v>
      </c>
      <c r="G1074" s="57" t="s">
        <v>45</v>
      </c>
      <c r="H1074" s="57" t="s">
        <v>2269</v>
      </c>
      <c r="I1074" s="57" t="s">
        <v>65</v>
      </c>
      <c r="J1074" s="57" t="s">
        <v>143</v>
      </c>
      <c r="K1074" s="57" t="s">
        <v>75</v>
      </c>
      <c r="L1074" s="57" t="s">
        <v>146</v>
      </c>
      <c r="M1074" s="60">
        <v>99</v>
      </c>
      <c r="N1074" s="57" t="s">
        <v>136</v>
      </c>
      <c r="O1074" s="61">
        <v>156.69</v>
      </c>
      <c r="P1074" s="61">
        <v>15512.31</v>
      </c>
      <c r="Q1074" s="61">
        <v>962.97</v>
      </c>
      <c r="R1074" s="62">
        <f t="shared" si="115"/>
        <v>6.2077794989914468E-2</v>
      </c>
      <c r="S1074" s="60">
        <v>28</v>
      </c>
      <c r="T1074" s="58">
        <v>45518</v>
      </c>
      <c r="U1074" s="58">
        <v>45523</v>
      </c>
      <c r="V1074" s="63">
        <f t="shared" si="116"/>
        <v>5</v>
      </c>
      <c r="W1074" s="57" t="s">
        <v>125</v>
      </c>
      <c r="X1074" s="64" t="b">
        <f t="shared" si="117"/>
        <v>0</v>
      </c>
      <c r="Y1074" s="60">
        <v>203</v>
      </c>
      <c r="Z1074" s="60">
        <v>393</v>
      </c>
      <c r="AA1074" s="57" t="s">
        <v>116</v>
      </c>
      <c r="AB1074" s="64" t="b">
        <f t="shared" si="118"/>
        <v>0</v>
      </c>
    </row>
    <row r="1075" spans="1:28" ht="15" customHeight="1" x14ac:dyDescent="0.3">
      <c r="A1075" s="65" t="s">
        <v>2270</v>
      </c>
      <c r="B1075" s="81">
        <v>44964</v>
      </c>
      <c r="C1075" s="59">
        <f t="shared" si="112"/>
        <v>2023</v>
      </c>
      <c r="D1075" s="59">
        <f t="shared" si="113"/>
        <v>2</v>
      </c>
      <c r="E1075" s="59">
        <f t="shared" si="114"/>
        <v>6</v>
      </c>
      <c r="F1075" s="65" t="s">
        <v>54</v>
      </c>
      <c r="G1075" s="65" t="s">
        <v>41</v>
      </c>
      <c r="H1075" s="65" t="s">
        <v>2271</v>
      </c>
      <c r="I1075" s="65" t="s">
        <v>64</v>
      </c>
      <c r="J1075" s="65" t="s">
        <v>151</v>
      </c>
      <c r="K1075" s="65" t="s">
        <v>75</v>
      </c>
      <c r="L1075" s="65" t="s">
        <v>119</v>
      </c>
      <c r="M1075" s="67">
        <v>729</v>
      </c>
      <c r="N1075" s="65" t="s">
        <v>114</v>
      </c>
      <c r="O1075" s="68">
        <v>408.21</v>
      </c>
      <c r="P1075" s="68">
        <v>297585.09000000003</v>
      </c>
      <c r="Q1075" s="68">
        <v>20040.099999999999</v>
      </c>
      <c r="R1075" s="62">
        <f t="shared" si="115"/>
        <v>6.7342419608455509E-2</v>
      </c>
      <c r="S1075" s="67">
        <v>10</v>
      </c>
      <c r="T1075" s="66">
        <v>44974</v>
      </c>
      <c r="U1075" s="66">
        <v>44975</v>
      </c>
      <c r="V1075" s="63">
        <f t="shared" si="116"/>
        <v>1</v>
      </c>
      <c r="W1075" s="65" t="s">
        <v>128</v>
      </c>
      <c r="X1075" s="64" t="b">
        <f t="shared" si="117"/>
        <v>0</v>
      </c>
      <c r="Y1075" s="67">
        <v>301</v>
      </c>
      <c r="Z1075" s="67">
        <v>80</v>
      </c>
      <c r="AA1075" s="65" t="s">
        <v>81</v>
      </c>
      <c r="AB1075" s="64" t="b">
        <f t="shared" si="118"/>
        <v>1</v>
      </c>
    </row>
    <row r="1076" spans="1:28" ht="15" customHeight="1" x14ac:dyDescent="0.3">
      <c r="A1076" s="57" t="s">
        <v>2272</v>
      </c>
      <c r="B1076" s="82">
        <v>45392</v>
      </c>
      <c r="C1076" s="59">
        <f t="shared" si="112"/>
        <v>2024</v>
      </c>
      <c r="D1076" s="59">
        <f t="shared" si="113"/>
        <v>4</v>
      </c>
      <c r="E1076" s="59">
        <f t="shared" si="114"/>
        <v>15</v>
      </c>
      <c r="F1076" s="57" t="s">
        <v>60</v>
      </c>
      <c r="G1076" s="57" t="s">
        <v>41</v>
      </c>
      <c r="H1076" s="57" t="s">
        <v>2273</v>
      </c>
      <c r="I1076" s="57" t="s">
        <v>66</v>
      </c>
      <c r="J1076" s="57" t="s">
        <v>123</v>
      </c>
      <c r="K1076" s="57" t="s">
        <v>73</v>
      </c>
      <c r="L1076" s="57" t="s">
        <v>124</v>
      </c>
      <c r="M1076" s="60">
        <v>813</v>
      </c>
      <c r="N1076" s="57" t="s">
        <v>163</v>
      </c>
      <c r="O1076" s="61">
        <v>700.85</v>
      </c>
      <c r="P1076" s="61">
        <v>569791.05000000005</v>
      </c>
      <c r="Q1076" s="61">
        <v>23394.79</v>
      </c>
      <c r="R1076" s="62">
        <f t="shared" si="115"/>
        <v>4.1058542425332932E-2</v>
      </c>
      <c r="S1076" s="60">
        <v>29</v>
      </c>
      <c r="T1076" s="58">
        <v>45421</v>
      </c>
      <c r="U1076" s="58">
        <v>45418</v>
      </c>
      <c r="V1076" s="63">
        <f t="shared" si="116"/>
        <v>-3</v>
      </c>
      <c r="W1076" s="57" t="s">
        <v>115</v>
      </c>
      <c r="X1076" s="64" t="b">
        <f t="shared" si="117"/>
        <v>1</v>
      </c>
      <c r="Y1076" s="60">
        <v>209</v>
      </c>
      <c r="Z1076" s="60">
        <v>285</v>
      </c>
      <c r="AA1076" s="57" t="s">
        <v>82</v>
      </c>
      <c r="AB1076" s="64" t="b">
        <f t="shared" si="118"/>
        <v>1</v>
      </c>
    </row>
    <row r="1077" spans="1:28" ht="15" customHeight="1" x14ac:dyDescent="0.3">
      <c r="A1077" s="65" t="s">
        <v>2274</v>
      </c>
      <c r="B1077" s="81">
        <v>45017</v>
      </c>
      <c r="C1077" s="59">
        <f t="shared" si="112"/>
        <v>2023</v>
      </c>
      <c r="D1077" s="59">
        <f t="shared" si="113"/>
        <v>4</v>
      </c>
      <c r="E1077" s="59">
        <f t="shared" si="114"/>
        <v>13</v>
      </c>
      <c r="F1077" s="65" t="s">
        <v>58</v>
      </c>
      <c r="G1077" s="65" t="s">
        <v>43</v>
      </c>
      <c r="H1077" s="65" t="s">
        <v>2275</v>
      </c>
      <c r="I1077" s="65" t="s">
        <v>64</v>
      </c>
      <c r="J1077" s="65" t="s">
        <v>139</v>
      </c>
      <c r="K1077" s="65" t="s">
        <v>74</v>
      </c>
      <c r="L1077" s="65" t="s">
        <v>119</v>
      </c>
      <c r="M1077" s="67">
        <v>805</v>
      </c>
      <c r="N1077" s="65" t="s">
        <v>132</v>
      </c>
      <c r="O1077" s="68">
        <v>224.51</v>
      </c>
      <c r="P1077" s="68">
        <v>180730.55</v>
      </c>
      <c r="Q1077" s="68">
        <v>8002.61</v>
      </c>
      <c r="R1077" s="62">
        <f t="shared" si="115"/>
        <v>4.4279232260400911E-2</v>
      </c>
      <c r="S1077" s="67">
        <v>22</v>
      </c>
      <c r="T1077" s="66">
        <v>45039</v>
      </c>
      <c r="U1077" s="66">
        <v>45044</v>
      </c>
      <c r="V1077" s="63">
        <f t="shared" si="116"/>
        <v>5</v>
      </c>
      <c r="W1077" s="65" t="s">
        <v>125</v>
      </c>
      <c r="X1077" s="64" t="b">
        <f t="shared" si="117"/>
        <v>0</v>
      </c>
      <c r="Y1077" s="67">
        <v>18</v>
      </c>
      <c r="Z1077" s="67">
        <v>418</v>
      </c>
      <c r="AA1077" s="65" t="s">
        <v>116</v>
      </c>
      <c r="AB1077" s="64" t="b">
        <f t="shared" si="118"/>
        <v>0</v>
      </c>
    </row>
    <row r="1078" spans="1:28" ht="15" customHeight="1" x14ac:dyDescent="0.3">
      <c r="A1078" s="57" t="s">
        <v>2276</v>
      </c>
      <c r="B1078" s="82">
        <v>45249</v>
      </c>
      <c r="C1078" s="59">
        <f t="shared" si="112"/>
        <v>2023</v>
      </c>
      <c r="D1078" s="59">
        <f t="shared" si="113"/>
        <v>11</v>
      </c>
      <c r="E1078" s="59">
        <f t="shared" si="114"/>
        <v>47</v>
      </c>
      <c r="F1078" s="57" t="s">
        <v>52</v>
      </c>
      <c r="G1078" s="57" t="s">
        <v>42</v>
      </c>
      <c r="H1078" s="57" t="s">
        <v>2277</v>
      </c>
      <c r="I1078" s="57" t="s">
        <v>68</v>
      </c>
      <c r="J1078" s="57" t="s">
        <v>151</v>
      </c>
      <c r="K1078" s="57" t="s">
        <v>73</v>
      </c>
      <c r="L1078" s="57" t="s">
        <v>124</v>
      </c>
      <c r="M1078" s="60">
        <v>639</v>
      </c>
      <c r="N1078" s="57" t="s">
        <v>120</v>
      </c>
      <c r="O1078" s="61">
        <v>85.9</v>
      </c>
      <c r="P1078" s="61">
        <v>54890.1</v>
      </c>
      <c r="Q1078" s="61">
        <v>2394.36</v>
      </c>
      <c r="R1078" s="62">
        <f t="shared" si="115"/>
        <v>4.3620980832609166E-2</v>
      </c>
      <c r="S1078" s="60">
        <v>21</v>
      </c>
      <c r="T1078" s="58">
        <v>45270</v>
      </c>
      <c r="U1078" s="58">
        <v>45270</v>
      </c>
      <c r="V1078" s="63">
        <f t="shared" si="116"/>
        <v>0</v>
      </c>
      <c r="W1078" s="57" t="s">
        <v>115</v>
      </c>
      <c r="X1078" s="64" t="b">
        <f t="shared" si="117"/>
        <v>1</v>
      </c>
      <c r="Y1078" s="60">
        <v>293</v>
      </c>
      <c r="Z1078" s="60">
        <v>369</v>
      </c>
      <c r="AA1078" s="57" t="s">
        <v>116</v>
      </c>
      <c r="AB1078" s="64" t="b">
        <f t="shared" si="118"/>
        <v>0</v>
      </c>
    </row>
    <row r="1079" spans="1:28" ht="15" customHeight="1" x14ac:dyDescent="0.3">
      <c r="A1079" s="65" t="s">
        <v>2278</v>
      </c>
      <c r="B1079" s="81">
        <v>45185</v>
      </c>
      <c r="C1079" s="59">
        <f t="shared" si="112"/>
        <v>2023</v>
      </c>
      <c r="D1079" s="59">
        <f t="shared" si="113"/>
        <v>9</v>
      </c>
      <c r="E1079" s="59">
        <f t="shared" si="114"/>
        <v>37</v>
      </c>
      <c r="F1079" s="65" t="s">
        <v>56</v>
      </c>
      <c r="G1079" s="65" t="s">
        <v>40</v>
      </c>
      <c r="H1079" s="65" t="s">
        <v>2279</v>
      </c>
      <c r="I1079" s="65" t="s">
        <v>66</v>
      </c>
      <c r="J1079" s="65" t="s">
        <v>131</v>
      </c>
      <c r="K1079" s="65" t="s">
        <v>74</v>
      </c>
      <c r="L1079" s="65" t="s">
        <v>135</v>
      </c>
      <c r="M1079" s="67">
        <v>870</v>
      </c>
      <c r="N1079" s="65" t="s">
        <v>140</v>
      </c>
      <c r="O1079" s="68">
        <v>628.29999999999995</v>
      </c>
      <c r="P1079" s="68">
        <v>546621</v>
      </c>
      <c r="Q1079" s="68">
        <v>17225.330000000002</v>
      </c>
      <c r="R1079" s="62">
        <f t="shared" si="115"/>
        <v>3.1512382436825519E-2</v>
      </c>
      <c r="S1079" s="67">
        <v>6</v>
      </c>
      <c r="T1079" s="66">
        <v>45191</v>
      </c>
      <c r="U1079" s="66">
        <v>45191</v>
      </c>
      <c r="V1079" s="63">
        <f t="shared" si="116"/>
        <v>0</v>
      </c>
      <c r="W1079" s="65" t="s">
        <v>115</v>
      </c>
      <c r="X1079" s="64" t="b">
        <f t="shared" si="117"/>
        <v>1</v>
      </c>
      <c r="Y1079" s="67">
        <v>292</v>
      </c>
      <c r="Z1079" s="67">
        <v>18</v>
      </c>
      <c r="AA1079" s="65" t="s">
        <v>81</v>
      </c>
      <c r="AB1079" s="64" t="b">
        <f t="shared" si="118"/>
        <v>1</v>
      </c>
    </row>
    <row r="1080" spans="1:28" ht="15" customHeight="1" x14ac:dyDescent="0.3">
      <c r="A1080" s="57" t="s">
        <v>2280</v>
      </c>
      <c r="B1080" s="82">
        <v>45258</v>
      </c>
      <c r="C1080" s="59">
        <f t="shared" si="112"/>
        <v>2023</v>
      </c>
      <c r="D1080" s="59">
        <f t="shared" si="113"/>
        <v>11</v>
      </c>
      <c r="E1080" s="59">
        <f t="shared" si="114"/>
        <v>48</v>
      </c>
      <c r="F1080" s="57" t="s">
        <v>55</v>
      </c>
      <c r="G1080" s="57" t="s">
        <v>46</v>
      </c>
      <c r="H1080" s="57" t="s">
        <v>2281</v>
      </c>
      <c r="I1080" s="57" t="s">
        <v>65</v>
      </c>
      <c r="J1080" s="57" t="s">
        <v>139</v>
      </c>
      <c r="K1080" s="57" t="s">
        <v>73</v>
      </c>
      <c r="L1080" s="57" t="s">
        <v>146</v>
      </c>
      <c r="M1080" s="60">
        <v>184</v>
      </c>
      <c r="N1080" s="57" t="s">
        <v>140</v>
      </c>
      <c r="O1080" s="61">
        <v>73.180000000000007</v>
      </c>
      <c r="P1080" s="61">
        <v>13465.12</v>
      </c>
      <c r="Q1080" s="61">
        <v>318.76</v>
      </c>
      <c r="R1080" s="62">
        <f t="shared" si="115"/>
        <v>2.3673015910738261E-2</v>
      </c>
      <c r="S1080" s="60">
        <v>1</v>
      </c>
      <c r="T1080" s="58">
        <v>45259</v>
      </c>
      <c r="U1080" s="58">
        <v>45271</v>
      </c>
      <c r="V1080" s="63">
        <f t="shared" si="116"/>
        <v>12</v>
      </c>
      <c r="W1080" s="57" t="s">
        <v>125</v>
      </c>
      <c r="X1080" s="64" t="b">
        <f t="shared" si="117"/>
        <v>0</v>
      </c>
      <c r="Y1080" s="60">
        <v>474</v>
      </c>
      <c r="Z1080" s="60">
        <v>109</v>
      </c>
      <c r="AA1080" s="57" t="s">
        <v>84</v>
      </c>
      <c r="AB1080" s="64" t="b">
        <f t="shared" si="118"/>
        <v>1</v>
      </c>
    </row>
    <row r="1081" spans="1:28" ht="15" customHeight="1" x14ac:dyDescent="0.3">
      <c r="A1081" s="65" t="s">
        <v>2282</v>
      </c>
      <c r="B1081" s="81">
        <v>45045</v>
      </c>
      <c r="C1081" s="59">
        <f t="shared" si="112"/>
        <v>2023</v>
      </c>
      <c r="D1081" s="59">
        <f t="shared" si="113"/>
        <v>4</v>
      </c>
      <c r="E1081" s="59">
        <f t="shared" si="114"/>
        <v>17</v>
      </c>
      <c r="F1081" s="65" t="s">
        <v>53</v>
      </c>
      <c r="G1081" s="65" t="s">
        <v>45</v>
      </c>
      <c r="H1081" s="65" t="s">
        <v>2283</v>
      </c>
      <c r="I1081" s="65" t="s">
        <v>64</v>
      </c>
      <c r="J1081" s="65" t="s">
        <v>112</v>
      </c>
      <c r="K1081" s="65" t="s">
        <v>73</v>
      </c>
      <c r="L1081" s="65" t="s">
        <v>119</v>
      </c>
      <c r="M1081" s="67">
        <v>85</v>
      </c>
      <c r="N1081" s="65" t="s">
        <v>114</v>
      </c>
      <c r="O1081" s="68">
        <v>278.88</v>
      </c>
      <c r="P1081" s="68">
        <v>23704.799999999999</v>
      </c>
      <c r="Q1081" s="68">
        <v>1314.55</v>
      </c>
      <c r="R1081" s="62">
        <f t="shared" si="115"/>
        <v>5.5455013330633456E-2</v>
      </c>
      <c r="S1081" s="67">
        <v>5</v>
      </c>
      <c r="T1081" s="66">
        <v>45050</v>
      </c>
      <c r="U1081" s="66">
        <v>45058</v>
      </c>
      <c r="V1081" s="63">
        <f t="shared" si="116"/>
        <v>8</v>
      </c>
      <c r="W1081" s="65" t="s">
        <v>128</v>
      </c>
      <c r="X1081" s="64" t="b">
        <f t="shared" si="117"/>
        <v>0</v>
      </c>
      <c r="Y1081" s="67">
        <v>367</v>
      </c>
      <c r="Z1081" s="67">
        <v>436</v>
      </c>
      <c r="AA1081" s="65" t="s">
        <v>116</v>
      </c>
      <c r="AB1081" s="64" t="b">
        <f t="shared" si="118"/>
        <v>0</v>
      </c>
    </row>
    <row r="1082" spans="1:28" ht="15" customHeight="1" x14ac:dyDescent="0.3">
      <c r="A1082" s="57" t="s">
        <v>2284</v>
      </c>
      <c r="B1082" s="82">
        <v>45340</v>
      </c>
      <c r="C1082" s="59">
        <f t="shared" si="112"/>
        <v>2024</v>
      </c>
      <c r="D1082" s="59">
        <f t="shared" si="113"/>
        <v>2</v>
      </c>
      <c r="E1082" s="59">
        <f t="shared" si="114"/>
        <v>8</v>
      </c>
      <c r="F1082" s="57" t="s">
        <v>52</v>
      </c>
      <c r="G1082" s="57" t="s">
        <v>45</v>
      </c>
      <c r="H1082" s="57" t="s">
        <v>2285</v>
      </c>
      <c r="I1082" s="57" t="s">
        <v>67</v>
      </c>
      <c r="J1082" s="57" t="s">
        <v>151</v>
      </c>
      <c r="K1082" s="57" t="s">
        <v>73</v>
      </c>
      <c r="L1082" s="57" t="s">
        <v>135</v>
      </c>
      <c r="M1082" s="60">
        <v>622</v>
      </c>
      <c r="N1082" s="57" t="s">
        <v>140</v>
      </c>
      <c r="O1082" s="61">
        <v>272.51</v>
      </c>
      <c r="P1082" s="61">
        <v>169501.22</v>
      </c>
      <c r="Q1082" s="61">
        <v>13450.43</v>
      </c>
      <c r="R1082" s="62">
        <f t="shared" si="115"/>
        <v>7.9352998167210836E-2</v>
      </c>
      <c r="S1082" s="60">
        <v>9</v>
      </c>
      <c r="T1082" s="58">
        <v>45349</v>
      </c>
      <c r="U1082" s="58">
        <v>45351</v>
      </c>
      <c r="V1082" s="63">
        <f t="shared" si="116"/>
        <v>2</v>
      </c>
      <c r="W1082" s="57" t="s">
        <v>125</v>
      </c>
      <c r="X1082" s="64" t="b">
        <f t="shared" si="117"/>
        <v>0</v>
      </c>
      <c r="Y1082" s="60">
        <v>461</v>
      </c>
      <c r="Z1082" s="60">
        <v>33</v>
      </c>
      <c r="AA1082" s="57" t="s">
        <v>116</v>
      </c>
      <c r="AB1082" s="64" t="b">
        <f t="shared" si="118"/>
        <v>0</v>
      </c>
    </row>
    <row r="1083" spans="1:28" ht="15" customHeight="1" x14ac:dyDescent="0.3">
      <c r="A1083" s="65" t="s">
        <v>2286</v>
      </c>
      <c r="B1083" s="81">
        <v>45453</v>
      </c>
      <c r="C1083" s="59">
        <f t="shared" si="112"/>
        <v>2024</v>
      </c>
      <c r="D1083" s="59">
        <f t="shared" si="113"/>
        <v>6</v>
      </c>
      <c r="E1083" s="59">
        <f t="shared" si="114"/>
        <v>24</v>
      </c>
      <c r="F1083" s="65" t="s">
        <v>54</v>
      </c>
      <c r="G1083" s="65" t="s">
        <v>45</v>
      </c>
      <c r="H1083" s="65" t="s">
        <v>2287</v>
      </c>
      <c r="I1083" s="65" t="s">
        <v>66</v>
      </c>
      <c r="J1083" s="65" t="s">
        <v>143</v>
      </c>
      <c r="K1083" s="65" t="s">
        <v>71</v>
      </c>
      <c r="L1083" s="65" t="s">
        <v>124</v>
      </c>
      <c r="M1083" s="67">
        <v>935</v>
      </c>
      <c r="N1083" s="65" t="s">
        <v>140</v>
      </c>
      <c r="O1083" s="68">
        <v>240.17</v>
      </c>
      <c r="P1083" s="68">
        <v>224558.95</v>
      </c>
      <c r="Q1083" s="68">
        <v>6738.97</v>
      </c>
      <c r="R1083" s="62">
        <f t="shared" si="115"/>
        <v>3.0009803661800165E-2</v>
      </c>
      <c r="S1083" s="67">
        <v>12</v>
      </c>
      <c r="T1083" s="66">
        <v>45465</v>
      </c>
      <c r="U1083" s="66">
        <v>45462</v>
      </c>
      <c r="V1083" s="63">
        <f t="shared" si="116"/>
        <v>-3</v>
      </c>
      <c r="W1083" s="65" t="s">
        <v>115</v>
      </c>
      <c r="X1083" s="64" t="b">
        <f t="shared" si="117"/>
        <v>1</v>
      </c>
      <c r="Y1083" s="67">
        <v>300</v>
      </c>
      <c r="Z1083" s="67">
        <v>287</v>
      </c>
      <c r="AA1083" s="65" t="s">
        <v>116</v>
      </c>
      <c r="AB1083" s="64" t="b">
        <f t="shared" si="118"/>
        <v>0</v>
      </c>
    </row>
    <row r="1084" spans="1:28" ht="15" customHeight="1" x14ac:dyDescent="0.3">
      <c r="A1084" s="57" t="s">
        <v>2288</v>
      </c>
      <c r="B1084" s="82">
        <v>44928</v>
      </c>
      <c r="C1084" s="59">
        <f t="shared" si="112"/>
        <v>2023</v>
      </c>
      <c r="D1084" s="59">
        <f t="shared" si="113"/>
        <v>1</v>
      </c>
      <c r="E1084" s="59">
        <f t="shared" si="114"/>
        <v>1</v>
      </c>
      <c r="F1084" s="57" t="s">
        <v>52</v>
      </c>
      <c r="G1084" s="57" t="s">
        <v>46</v>
      </c>
      <c r="H1084" s="57" t="s">
        <v>2289</v>
      </c>
      <c r="I1084" s="57" t="s">
        <v>65</v>
      </c>
      <c r="J1084" s="57" t="s">
        <v>123</v>
      </c>
      <c r="K1084" s="57" t="s">
        <v>73</v>
      </c>
      <c r="L1084" s="57" t="s">
        <v>119</v>
      </c>
      <c r="M1084" s="60">
        <v>672</v>
      </c>
      <c r="N1084" s="57" t="s">
        <v>114</v>
      </c>
      <c r="O1084" s="61">
        <v>45.61</v>
      </c>
      <c r="P1084" s="61">
        <v>30649.919999999998</v>
      </c>
      <c r="Q1084" s="61">
        <v>698.85</v>
      </c>
      <c r="R1084" s="62">
        <f t="shared" si="115"/>
        <v>2.2801038306135876E-2</v>
      </c>
      <c r="S1084" s="60">
        <v>26</v>
      </c>
      <c r="T1084" s="58">
        <v>44954</v>
      </c>
      <c r="U1084" s="58">
        <v>44954</v>
      </c>
      <c r="V1084" s="63">
        <f t="shared" si="116"/>
        <v>0</v>
      </c>
      <c r="W1084" s="57" t="s">
        <v>115</v>
      </c>
      <c r="X1084" s="64" t="b">
        <f t="shared" si="117"/>
        <v>1</v>
      </c>
      <c r="Y1084" s="60">
        <v>372</v>
      </c>
      <c r="Z1084" s="60">
        <v>331</v>
      </c>
      <c r="AA1084" s="57" t="s">
        <v>82</v>
      </c>
      <c r="AB1084" s="64" t="b">
        <f t="shared" si="118"/>
        <v>1</v>
      </c>
    </row>
    <row r="1085" spans="1:28" ht="15" customHeight="1" x14ac:dyDescent="0.3">
      <c r="A1085" s="65" t="s">
        <v>2290</v>
      </c>
      <c r="B1085" s="81">
        <v>45600</v>
      </c>
      <c r="C1085" s="59">
        <f t="shared" si="112"/>
        <v>2024</v>
      </c>
      <c r="D1085" s="59">
        <f t="shared" si="113"/>
        <v>11</v>
      </c>
      <c r="E1085" s="59">
        <f t="shared" si="114"/>
        <v>45</v>
      </c>
      <c r="F1085" s="65" t="s">
        <v>61</v>
      </c>
      <c r="G1085" s="65" t="s">
        <v>42</v>
      </c>
      <c r="H1085" s="65" t="s">
        <v>2291</v>
      </c>
      <c r="I1085" s="65" t="s">
        <v>69</v>
      </c>
      <c r="J1085" s="65" t="s">
        <v>151</v>
      </c>
      <c r="K1085" s="65" t="s">
        <v>72</v>
      </c>
      <c r="L1085" s="65" t="s">
        <v>124</v>
      </c>
      <c r="M1085" s="67">
        <v>409</v>
      </c>
      <c r="N1085" s="65" t="s">
        <v>140</v>
      </c>
      <c r="O1085" s="68">
        <v>63.19</v>
      </c>
      <c r="P1085" s="68">
        <v>25844.71</v>
      </c>
      <c r="Q1085" s="68">
        <v>1725.7</v>
      </c>
      <c r="R1085" s="62">
        <f t="shared" si="115"/>
        <v>6.677188484606715E-2</v>
      </c>
      <c r="S1085" s="67">
        <v>14</v>
      </c>
      <c r="T1085" s="66">
        <v>45614</v>
      </c>
      <c r="U1085" s="66">
        <v>45614</v>
      </c>
      <c r="V1085" s="63">
        <f t="shared" si="116"/>
        <v>0</v>
      </c>
      <c r="W1085" s="65" t="s">
        <v>115</v>
      </c>
      <c r="X1085" s="64" t="b">
        <f t="shared" si="117"/>
        <v>1</v>
      </c>
      <c r="Y1085" s="67">
        <v>161</v>
      </c>
      <c r="Z1085" s="67">
        <v>490</v>
      </c>
      <c r="AA1085" s="65" t="s">
        <v>84</v>
      </c>
      <c r="AB1085" s="64" t="b">
        <f t="shared" si="118"/>
        <v>1</v>
      </c>
    </row>
    <row r="1086" spans="1:28" ht="15" customHeight="1" x14ac:dyDescent="0.3">
      <c r="A1086" s="57" t="s">
        <v>2292</v>
      </c>
      <c r="B1086" s="82">
        <v>45482</v>
      </c>
      <c r="C1086" s="59">
        <f t="shared" si="112"/>
        <v>2024</v>
      </c>
      <c r="D1086" s="59">
        <f t="shared" si="113"/>
        <v>7</v>
      </c>
      <c r="E1086" s="59">
        <f t="shared" si="114"/>
        <v>28</v>
      </c>
      <c r="F1086" s="57" t="s">
        <v>60</v>
      </c>
      <c r="G1086" s="57" t="s">
        <v>41</v>
      </c>
      <c r="H1086" s="57" t="s">
        <v>2293</v>
      </c>
      <c r="I1086" s="57" t="s">
        <v>66</v>
      </c>
      <c r="J1086" s="57" t="s">
        <v>151</v>
      </c>
      <c r="K1086" s="57" t="s">
        <v>72</v>
      </c>
      <c r="L1086" s="57" t="s">
        <v>156</v>
      </c>
      <c r="M1086" s="60">
        <v>791</v>
      </c>
      <c r="N1086" s="57" t="s">
        <v>132</v>
      </c>
      <c r="O1086" s="61">
        <v>369.72</v>
      </c>
      <c r="P1086" s="61">
        <v>292448.52</v>
      </c>
      <c r="Q1086" s="61">
        <v>10281.07</v>
      </c>
      <c r="R1086" s="62">
        <f t="shared" si="115"/>
        <v>3.5155144570401656E-2</v>
      </c>
      <c r="S1086" s="60">
        <v>2</v>
      </c>
      <c r="T1086" s="58">
        <v>45484</v>
      </c>
      <c r="U1086" s="58">
        <v>45496</v>
      </c>
      <c r="V1086" s="63">
        <f t="shared" si="116"/>
        <v>12</v>
      </c>
      <c r="W1086" s="57" t="s">
        <v>125</v>
      </c>
      <c r="X1086" s="64" t="b">
        <f t="shared" si="117"/>
        <v>0</v>
      </c>
      <c r="Y1086" s="60">
        <v>129</v>
      </c>
      <c r="Z1086" s="60">
        <v>254</v>
      </c>
      <c r="AA1086" s="57" t="s">
        <v>83</v>
      </c>
      <c r="AB1086" s="64" t="b">
        <f t="shared" si="118"/>
        <v>1</v>
      </c>
    </row>
    <row r="1087" spans="1:28" ht="15" customHeight="1" x14ac:dyDescent="0.3">
      <c r="A1087" s="65" t="s">
        <v>2294</v>
      </c>
      <c r="B1087" s="81">
        <v>45400</v>
      </c>
      <c r="C1087" s="59">
        <f t="shared" si="112"/>
        <v>2024</v>
      </c>
      <c r="D1087" s="59">
        <f t="shared" si="113"/>
        <v>4</v>
      </c>
      <c r="E1087" s="59">
        <f t="shared" si="114"/>
        <v>16</v>
      </c>
      <c r="F1087" s="65" t="s">
        <v>56</v>
      </c>
      <c r="G1087" s="65" t="s">
        <v>43</v>
      </c>
      <c r="H1087" s="65" t="s">
        <v>2295</v>
      </c>
      <c r="I1087" s="65" t="s">
        <v>66</v>
      </c>
      <c r="J1087" s="65" t="s">
        <v>143</v>
      </c>
      <c r="K1087" s="65" t="s">
        <v>72</v>
      </c>
      <c r="L1087" s="65" t="s">
        <v>124</v>
      </c>
      <c r="M1087" s="67">
        <v>979</v>
      </c>
      <c r="N1087" s="65" t="s">
        <v>163</v>
      </c>
      <c r="O1087" s="68">
        <v>181.2</v>
      </c>
      <c r="P1087" s="68">
        <v>177394.8</v>
      </c>
      <c r="Q1087" s="68">
        <v>12378.37</v>
      </c>
      <c r="R1087" s="62">
        <f t="shared" si="115"/>
        <v>6.9778651910879022E-2</v>
      </c>
      <c r="S1087" s="67">
        <v>17</v>
      </c>
      <c r="T1087" s="66">
        <v>45417</v>
      </c>
      <c r="U1087" s="66">
        <v>45414</v>
      </c>
      <c r="V1087" s="63">
        <f t="shared" si="116"/>
        <v>-3</v>
      </c>
      <c r="W1087" s="65" t="s">
        <v>115</v>
      </c>
      <c r="X1087" s="64" t="b">
        <f t="shared" si="117"/>
        <v>1</v>
      </c>
      <c r="Y1087" s="67">
        <v>43</v>
      </c>
      <c r="Z1087" s="67">
        <v>125</v>
      </c>
      <c r="AA1087" s="65" t="s">
        <v>116</v>
      </c>
      <c r="AB1087" s="64" t="b">
        <f t="shared" si="118"/>
        <v>0</v>
      </c>
    </row>
    <row r="1088" spans="1:28" ht="15" customHeight="1" x14ac:dyDescent="0.3">
      <c r="A1088" s="57" t="s">
        <v>2296</v>
      </c>
      <c r="B1088" s="82">
        <v>45350</v>
      </c>
      <c r="C1088" s="59">
        <f t="shared" si="112"/>
        <v>2024</v>
      </c>
      <c r="D1088" s="59">
        <f t="shared" si="113"/>
        <v>2</v>
      </c>
      <c r="E1088" s="59">
        <f t="shared" si="114"/>
        <v>9</v>
      </c>
      <c r="F1088" s="57" t="s">
        <v>52</v>
      </c>
      <c r="G1088" s="57" t="s">
        <v>43</v>
      </c>
      <c r="H1088" s="57" t="s">
        <v>2297</v>
      </c>
      <c r="I1088" s="57" t="s">
        <v>68</v>
      </c>
      <c r="J1088" s="57" t="s">
        <v>139</v>
      </c>
      <c r="K1088" s="57" t="s">
        <v>75</v>
      </c>
      <c r="L1088" s="57" t="s">
        <v>156</v>
      </c>
      <c r="M1088" s="60">
        <v>80</v>
      </c>
      <c r="N1088" s="57" t="s">
        <v>114</v>
      </c>
      <c r="O1088" s="61">
        <v>161.71</v>
      </c>
      <c r="P1088" s="61">
        <v>12936.8</v>
      </c>
      <c r="Q1088" s="61">
        <v>805.14</v>
      </c>
      <c r="R1088" s="62">
        <f t="shared" si="115"/>
        <v>6.2236410858945025E-2</v>
      </c>
      <c r="S1088" s="60">
        <v>14</v>
      </c>
      <c r="T1088" s="58">
        <v>45364</v>
      </c>
      <c r="U1088" s="58">
        <v>45372</v>
      </c>
      <c r="V1088" s="63">
        <f t="shared" si="116"/>
        <v>8</v>
      </c>
      <c r="W1088" s="57" t="s">
        <v>128</v>
      </c>
      <c r="X1088" s="64" t="b">
        <f t="shared" si="117"/>
        <v>0</v>
      </c>
      <c r="Y1088" s="60">
        <v>352</v>
      </c>
      <c r="Z1088" s="60">
        <v>208</v>
      </c>
      <c r="AA1088" s="57" t="s">
        <v>82</v>
      </c>
      <c r="AB1088" s="64" t="b">
        <f t="shared" si="118"/>
        <v>1</v>
      </c>
    </row>
    <row r="1089" spans="1:28" ht="15" customHeight="1" x14ac:dyDescent="0.3">
      <c r="A1089" s="65" t="s">
        <v>2298</v>
      </c>
      <c r="B1089" s="81">
        <v>44982</v>
      </c>
      <c r="C1089" s="59">
        <f t="shared" si="112"/>
        <v>2023</v>
      </c>
      <c r="D1089" s="59">
        <f t="shared" si="113"/>
        <v>2</v>
      </c>
      <c r="E1089" s="59">
        <f t="shared" si="114"/>
        <v>8</v>
      </c>
      <c r="F1089" s="65" t="s">
        <v>53</v>
      </c>
      <c r="G1089" s="65" t="s">
        <v>46</v>
      </c>
      <c r="H1089" s="65" t="s">
        <v>2299</v>
      </c>
      <c r="I1089" s="65" t="s">
        <v>67</v>
      </c>
      <c r="J1089" s="65" t="s">
        <v>112</v>
      </c>
      <c r="K1089" s="65" t="s">
        <v>73</v>
      </c>
      <c r="L1089" s="65" t="s">
        <v>135</v>
      </c>
      <c r="M1089" s="67">
        <v>189</v>
      </c>
      <c r="N1089" s="65" t="s">
        <v>120</v>
      </c>
      <c r="O1089" s="68">
        <v>54.48</v>
      </c>
      <c r="P1089" s="68">
        <v>10296.719999999999</v>
      </c>
      <c r="Q1089" s="68">
        <v>790.17</v>
      </c>
      <c r="R1089" s="62">
        <f t="shared" si="115"/>
        <v>7.6739971563760112E-2</v>
      </c>
      <c r="S1089" s="67">
        <v>26</v>
      </c>
      <c r="T1089" s="66">
        <v>45008</v>
      </c>
      <c r="U1089" s="66">
        <v>45013</v>
      </c>
      <c r="V1089" s="63">
        <f t="shared" si="116"/>
        <v>5</v>
      </c>
      <c r="W1089" s="65" t="s">
        <v>125</v>
      </c>
      <c r="X1089" s="64" t="b">
        <f t="shared" si="117"/>
        <v>0</v>
      </c>
      <c r="Y1089" s="67">
        <v>82</v>
      </c>
      <c r="Z1089" s="67">
        <v>133</v>
      </c>
      <c r="AA1089" s="65" t="s">
        <v>116</v>
      </c>
      <c r="AB1089" s="64" t="b">
        <f t="shared" si="118"/>
        <v>0</v>
      </c>
    </row>
    <row r="1090" spans="1:28" ht="15" customHeight="1" x14ac:dyDescent="0.3">
      <c r="A1090" s="57" t="s">
        <v>2300</v>
      </c>
      <c r="B1090" s="82">
        <v>45119</v>
      </c>
      <c r="C1090" s="59">
        <f t="shared" ref="C1090:C1153" si="119">YEAR(B1090)</f>
        <v>2023</v>
      </c>
      <c r="D1090" s="59">
        <f t="shared" ref="D1090:D1153" si="120">MONTH(B1090)</f>
        <v>7</v>
      </c>
      <c r="E1090" s="59">
        <f t="shared" ref="E1090:E1153" si="121">WEEKNUM(B1090,1)</f>
        <v>28</v>
      </c>
      <c r="F1090" s="57" t="s">
        <v>52</v>
      </c>
      <c r="G1090" s="57" t="s">
        <v>43</v>
      </c>
      <c r="H1090" s="57" t="s">
        <v>2301</v>
      </c>
      <c r="I1090" s="57" t="s">
        <v>68</v>
      </c>
      <c r="J1090" s="57" t="s">
        <v>143</v>
      </c>
      <c r="K1090" s="57" t="s">
        <v>72</v>
      </c>
      <c r="L1090" s="57" t="s">
        <v>119</v>
      </c>
      <c r="M1090" s="60">
        <v>133</v>
      </c>
      <c r="N1090" s="57" t="s">
        <v>114</v>
      </c>
      <c r="O1090" s="61">
        <v>201.61</v>
      </c>
      <c r="P1090" s="61">
        <v>26814.13</v>
      </c>
      <c r="Q1090" s="61">
        <v>1194.18</v>
      </c>
      <c r="R1090" s="62">
        <f t="shared" ref="R1090:R1153" si="122">Q1090/P1090</f>
        <v>4.4535474393538034E-2</v>
      </c>
      <c r="S1090" s="60">
        <v>13</v>
      </c>
      <c r="T1090" s="58">
        <v>45132</v>
      </c>
      <c r="U1090" s="58">
        <v>45127</v>
      </c>
      <c r="V1090" s="63">
        <f t="shared" ref="V1090:V1153" si="123">U1090-T1090</f>
        <v>-5</v>
      </c>
      <c r="W1090" s="57" t="s">
        <v>115</v>
      </c>
      <c r="X1090" s="64" t="b">
        <f t="shared" ref="X1090:X1153" si="124">IF(W1090="Entregado", TRUE(), FALSE())</f>
        <v>1</v>
      </c>
      <c r="Y1090" s="60">
        <v>379</v>
      </c>
      <c r="Z1090" s="60">
        <v>498</v>
      </c>
      <c r="AA1090" s="57" t="s">
        <v>116</v>
      </c>
      <c r="AB1090" s="64" t="b">
        <f t="shared" ref="AB1090:AB1153" si="125">IF(AA1090="Ninguna",FALSE(),TRUE())</f>
        <v>0</v>
      </c>
    </row>
    <row r="1091" spans="1:28" ht="15" customHeight="1" x14ac:dyDescent="0.3">
      <c r="A1091" s="65" t="s">
        <v>2302</v>
      </c>
      <c r="B1091" s="81">
        <v>45457</v>
      </c>
      <c r="C1091" s="59">
        <f t="shared" si="119"/>
        <v>2024</v>
      </c>
      <c r="D1091" s="59">
        <f t="shared" si="120"/>
        <v>6</v>
      </c>
      <c r="E1091" s="59">
        <f t="shared" si="121"/>
        <v>24</v>
      </c>
      <c r="F1091" s="65" t="s">
        <v>55</v>
      </c>
      <c r="G1091" s="65" t="s">
        <v>45</v>
      </c>
      <c r="H1091" s="65" t="s">
        <v>2303</v>
      </c>
      <c r="I1091" s="65" t="s">
        <v>66</v>
      </c>
      <c r="J1091" s="65" t="s">
        <v>112</v>
      </c>
      <c r="K1091" s="65" t="s">
        <v>75</v>
      </c>
      <c r="L1091" s="65" t="s">
        <v>135</v>
      </c>
      <c r="M1091" s="67">
        <v>390</v>
      </c>
      <c r="N1091" s="65" t="s">
        <v>136</v>
      </c>
      <c r="O1091" s="68">
        <v>290.88</v>
      </c>
      <c r="P1091" s="68">
        <v>113443.2</v>
      </c>
      <c r="Q1091" s="68">
        <v>6774.62</v>
      </c>
      <c r="R1091" s="62">
        <f t="shared" si="122"/>
        <v>5.971816732955347E-2</v>
      </c>
      <c r="S1091" s="67">
        <v>27</v>
      </c>
      <c r="T1091" s="66">
        <v>45484</v>
      </c>
      <c r="U1091" s="66">
        <v>45486</v>
      </c>
      <c r="V1091" s="63">
        <f t="shared" si="123"/>
        <v>2</v>
      </c>
      <c r="W1091" s="65" t="s">
        <v>128</v>
      </c>
      <c r="X1091" s="64" t="b">
        <f t="shared" si="124"/>
        <v>0</v>
      </c>
      <c r="Y1091" s="67">
        <v>123</v>
      </c>
      <c r="Z1091" s="67">
        <v>396</v>
      </c>
      <c r="AA1091" s="65" t="s">
        <v>116</v>
      </c>
      <c r="AB1091" s="64" t="b">
        <f t="shared" si="125"/>
        <v>0</v>
      </c>
    </row>
    <row r="1092" spans="1:28" ht="15" customHeight="1" x14ac:dyDescent="0.3">
      <c r="A1092" s="57" t="s">
        <v>2304</v>
      </c>
      <c r="B1092" s="82">
        <v>45297</v>
      </c>
      <c r="C1092" s="59">
        <f t="shared" si="119"/>
        <v>2024</v>
      </c>
      <c r="D1092" s="59">
        <f t="shared" si="120"/>
        <v>1</v>
      </c>
      <c r="E1092" s="59">
        <f t="shared" si="121"/>
        <v>1</v>
      </c>
      <c r="F1092" s="57" t="s">
        <v>58</v>
      </c>
      <c r="G1092" s="57" t="s">
        <v>44</v>
      </c>
      <c r="H1092" s="57" t="s">
        <v>2305</v>
      </c>
      <c r="I1092" s="57" t="s">
        <v>66</v>
      </c>
      <c r="J1092" s="57" t="s">
        <v>143</v>
      </c>
      <c r="K1092" s="57" t="s">
        <v>72</v>
      </c>
      <c r="L1092" s="57" t="s">
        <v>113</v>
      </c>
      <c r="M1092" s="60">
        <v>302</v>
      </c>
      <c r="N1092" s="57" t="s">
        <v>120</v>
      </c>
      <c r="O1092" s="61">
        <v>142.6</v>
      </c>
      <c r="P1092" s="61">
        <v>43065.2</v>
      </c>
      <c r="Q1092" s="61">
        <v>2062.4499999999998</v>
      </c>
      <c r="R1092" s="62">
        <f t="shared" si="122"/>
        <v>4.7891336856673135E-2</v>
      </c>
      <c r="S1092" s="60">
        <v>9</v>
      </c>
      <c r="T1092" s="58">
        <v>45306</v>
      </c>
      <c r="U1092" s="58">
        <v>45303</v>
      </c>
      <c r="V1092" s="63">
        <f t="shared" si="123"/>
        <v>-3</v>
      </c>
      <c r="W1092" s="57" t="s">
        <v>115</v>
      </c>
      <c r="X1092" s="64" t="b">
        <f t="shared" si="124"/>
        <v>1</v>
      </c>
      <c r="Y1092" s="60">
        <v>26</v>
      </c>
      <c r="Z1092" s="60">
        <v>486</v>
      </c>
      <c r="AA1092" s="57" t="s">
        <v>116</v>
      </c>
      <c r="AB1092" s="64" t="b">
        <f t="shared" si="125"/>
        <v>0</v>
      </c>
    </row>
    <row r="1093" spans="1:28" ht="15" customHeight="1" x14ac:dyDescent="0.3">
      <c r="A1093" s="65" t="s">
        <v>2306</v>
      </c>
      <c r="B1093" s="81">
        <v>45564</v>
      </c>
      <c r="C1093" s="59">
        <f t="shared" si="119"/>
        <v>2024</v>
      </c>
      <c r="D1093" s="59">
        <f t="shared" si="120"/>
        <v>9</v>
      </c>
      <c r="E1093" s="59">
        <f t="shared" si="121"/>
        <v>40</v>
      </c>
      <c r="F1093" s="65" t="s">
        <v>61</v>
      </c>
      <c r="G1093" s="65" t="s">
        <v>42</v>
      </c>
      <c r="H1093" s="65" t="s">
        <v>2307</v>
      </c>
      <c r="I1093" s="65" t="s">
        <v>67</v>
      </c>
      <c r="J1093" s="65" t="s">
        <v>151</v>
      </c>
      <c r="K1093" s="65" t="s">
        <v>74</v>
      </c>
      <c r="L1093" s="65" t="s">
        <v>124</v>
      </c>
      <c r="M1093" s="67">
        <v>806</v>
      </c>
      <c r="N1093" s="65" t="s">
        <v>136</v>
      </c>
      <c r="O1093" s="68">
        <v>109.44</v>
      </c>
      <c r="P1093" s="68">
        <v>88208.639999999999</v>
      </c>
      <c r="Q1093" s="68">
        <v>5101.58</v>
      </c>
      <c r="R1093" s="62">
        <f t="shared" si="122"/>
        <v>5.7835377577525285E-2</v>
      </c>
      <c r="S1093" s="67">
        <v>26</v>
      </c>
      <c r="T1093" s="66">
        <v>45590</v>
      </c>
      <c r="U1093" s="66">
        <v>45591</v>
      </c>
      <c r="V1093" s="63">
        <f t="shared" si="123"/>
        <v>1</v>
      </c>
      <c r="W1093" s="65" t="s">
        <v>125</v>
      </c>
      <c r="X1093" s="64" t="b">
        <f t="shared" si="124"/>
        <v>0</v>
      </c>
      <c r="Y1093" s="67">
        <v>303</v>
      </c>
      <c r="Z1093" s="67">
        <v>85</v>
      </c>
      <c r="AA1093" s="65" t="s">
        <v>84</v>
      </c>
      <c r="AB1093" s="64" t="b">
        <f t="shared" si="125"/>
        <v>1</v>
      </c>
    </row>
    <row r="1094" spans="1:28" ht="15" customHeight="1" x14ac:dyDescent="0.3">
      <c r="A1094" s="57" t="s">
        <v>2308</v>
      </c>
      <c r="B1094" s="82">
        <v>45437</v>
      </c>
      <c r="C1094" s="59">
        <f t="shared" si="119"/>
        <v>2024</v>
      </c>
      <c r="D1094" s="59">
        <f t="shared" si="120"/>
        <v>5</v>
      </c>
      <c r="E1094" s="59">
        <f t="shared" si="121"/>
        <v>21</v>
      </c>
      <c r="F1094" s="57" t="s">
        <v>60</v>
      </c>
      <c r="G1094" s="57" t="s">
        <v>41</v>
      </c>
      <c r="H1094" s="57" t="s">
        <v>2309</v>
      </c>
      <c r="I1094" s="57" t="s">
        <v>67</v>
      </c>
      <c r="J1094" s="57" t="s">
        <v>112</v>
      </c>
      <c r="K1094" s="57" t="s">
        <v>71</v>
      </c>
      <c r="L1094" s="57" t="s">
        <v>135</v>
      </c>
      <c r="M1094" s="60">
        <v>204</v>
      </c>
      <c r="N1094" s="57" t="s">
        <v>114</v>
      </c>
      <c r="O1094" s="61">
        <v>634.14</v>
      </c>
      <c r="P1094" s="61">
        <v>129364.56</v>
      </c>
      <c r="Q1094" s="61">
        <v>6077.02</v>
      </c>
      <c r="R1094" s="62">
        <f t="shared" si="122"/>
        <v>4.6975926018687039E-2</v>
      </c>
      <c r="S1094" s="60">
        <v>25</v>
      </c>
      <c r="T1094" s="58">
        <v>45462</v>
      </c>
      <c r="U1094" s="58">
        <v>45465</v>
      </c>
      <c r="V1094" s="63">
        <f t="shared" si="123"/>
        <v>3</v>
      </c>
      <c r="W1094" s="57" t="s">
        <v>125</v>
      </c>
      <c r="X1094" s="64" t="b">
        <f t="shared" si="124"/>
        <v>0</v>
      </c>
      <c r="Y1094" s="60">
        <v>349</v>
      </c>
      <c r="Z1094" s="60">
        <v>74</v>
      </c>
      <c r="AA1094" s="57" t="s">
        <v>81</v>
      </c>
      <c r="AB1094" s="64" t="b">
        <f t="shared" si="125"/>
        <v>1</v>
      </c>
    </row>
    <row r="1095" spans="1:28" ht="15" customHeight="1" x14ac:dyDescent="0.3">
      <c r="A1095" s="65" t="s">
        <v>2310</v>
      </c>
      <c r="B1095" s="81">
        <v>45567</v>
      </c>
      <c r="C1095" s="59">
        <f t="shared" si="119"/>
        <v>2024</v>
      </c>
      <c r="D1095" s="59">
        <f t="shared" si="120"/>
        <v>10</v>
      </c>
      <c r="E1095" s="59">
        <f t="shared" si="121"/>
        <v>40</v>
      </c>
      <c r="F1095" s="65" t="s">
        <v>54</v>
      </c>
      <c r="G1095" s="65" t="s">
        <v>44</v>
      </c>
      <c r="H1095" s="65" t="s">
        <v>2311</v>
      </c>
      <c r="I1095" s="65" t="s">
        <v>64</v>
      </c>
      <c r="J1095" s="65" t="s">
        <v>139</v>
      </c>
      <c r="K1095" s="65" t="s">
        <v>73</v>
      </c>
      <c r="L1095" s="65" t="s">
        <v>135</v>
      </c>
      <c r="M1095" s="67">
        <v>920</v>
      </c>
      <c r="N1095" s="65" t="s">
        <v>136</v>
      </c>
      <c r="O1095" s="68">
        <v>94.8</v>
      </c>
      <c r="P1095" s="68">
        <v>87216</v>
      </c>
      <c r="Q1095" s="68">
        <v>2731.43</v>
      </c>
      <c r="R1095" s="62">
        <f t="shared" si="122"/>
        <v>3.1317992111539163E-2</v>
      </c>
      <c r="S1095" s="67">
        <v>15</v>
      </c>
      <c r="T1095" s="66">
        <v>45582</v>
      </c>
      <c r="U1095" s="66">
        <v>45585</v>
      </c>
      <c r="V1095" s="63">
        <f t="shared" si="123"/>
        <v>3</v>
      </c>
      <c r="W1095" s="65" t="s">
        <v>128</v>
      </c>
      <c r="X1095" s="64" t="b">
        <f t="shared" si="124"/>
        <v>0</v>
      </c>
      <c r="Y1095" s="67">
        <v>6</v>
      </c>
      <c r="Z1095" s="67">
        <v>447</v>
      </c>
      <c r="AA1095" s="65" t="s">
        <v>116</v>
      </c>
      <c r="AB1095" s="64" t="b">
        <f t="shared" si="125"/>
        <v>0</v>
      </c>
    </row>
    <row r="1096" spans="1:28" ht="15" customHeight="1" x14ac:dyDescent="0.3">
      <c r="A1096" s="57" t="s">
        <v>2312</v>
      </c>
      <c r="B1096" s="82">
        <v>45379</v>
      </c>
      <c r="C1096" s="59">
        <f t="shared" si="119"/>
        <v>2024</v>
      </c>
      <c r="D1096" s="59">
        <f t="shared" si="120"/>
        <v>3</v>
      </c>
      <c r="E1096" s="59">
        <f t="shared" si="121"/>
        <v>13</v>
      </c>
      <c r="F1096" s="57" t="s">
        <v>56</v>
      </c>
      <c r="G1096" s="57" t="s">
        <v>42</v>
      </c>
      <c r="H1096" s="57" t="s">
        <v>2313</v>
      </c>
      <c r="I1096" s="57" t="s">
        <v>65</v>
      </c>
      <c r="J1096" s="57" t="s">
        <v>139</v>
      </c>
      <c r="K1096" s="57" t="s">
        <v>71</v>
      </c>
      <c r="L1096" s="57" t="s">
        <v>156</v>
      </c>
      <c r="M1096" s="60">
        <v>237</v>
      </c>
      <c r="N1096" s="57" t="s">
        <v>120</v>
      </c>
      <c r="O1096" s="61">
        <v>103.1</v>
      </c>
      <c r="P1096" s="61">
        <v>24434.7</v>
      </c>
      <c r="Q1096" s="61">
        <v>1233.31</v>
      </c>
      <c r="R1096" s="62">
        <f t="shared" si="122"/>
        <v>5.047371156592878E-2</v>
      </c>
      <c r="S1096" s="60">
        <v>25</v>
      </c>
      <c r="T1096" s="58">
        <v>45404</v>
      </c>
      <c r="U1096" s="58">
        <v>45406</v>
      </c>
      <c r="V1096" s="63">
        <f t="shared" si="123"/>
        <v>2</v>
      </c>
      <c r="W1096" s="57" t="s">
        <v>128</v>
      </c>
      <c r="X1096" s="64" t="b">
        <f t="shared" si="124"/>
        <v>0</v>
      </c>
      <c r="Y1096" s="60">
        <v>410</v>
      </c>
      <c r="Z1096" s="60">
        <v>134</v>
      </c>
      <c r="AA1096" s="57" t="s">
        <v>84</v>
      </c>
      <c r="AB1096" s="64" t="b">
        <f t="shared" si="125"/>
        <v>1</v>
      </c>
    </row>
    <row r="1097" spans="1:28" ht="15" customHeight="1" x14ac:dyDescent="0.3">
      <c r="A1097" s="65" t="s">
        <v>2314</v>
      </c>
      <c r="B1097" s="81">
        <v>44979</v>
      </c>
      <c r="C1097" s="59">
        <f t="shared" si="119"/>
        <v>2023</v>
      </c>
      <c r="D1097" s="59">
        <f t="shared" si="120"/>
        <v>2</v>
      </c>
      <c r="E1097" s="59">
        <f t="shared" si="121"/>
        <v>8</v>
      </c>
      <c r="F1097" s="65" t="s">
        <v>56</v>
      </c>
      <c r="G1097" s="65" t="s">
        <v>39</v>
      </c>
      <c r="H1097" s="65" t="s">
        <v>2315</v>
      </c>
      <c r="I1097" s="65" t="s">
        <v>65</v>
      </c>
      <c r="J1097" s="65" t="s">
        <v>123</v>
      </c>
      <c r="K1097" s="65" t="s">
        <v>71</v>
      </c>
      <c r="L1097" s="65" t="s">
        <v>124</v>
      </c>
      <c r="M1097" s="67">
        <v>440</v>
      </c>
      <c r="N1097" s="65" t="s">
        <v>132</v>
      </c>
      <c r="O1097" s="68">
        <v>1380.12</v>
      </c>
      <c r="P1097" s="68">
        <v>607252.80000000005</v>
      </c>
      <c r="Q1097" s="68">
        <v>31404.11</v>
      </c>
      <c r="R1097" s="62">
        <f t="shared" si="122"/>
        <v>5.171505178732811E-2</v>
      </c>
      <c r="S1097" s="67">
        <v>22</v>
      </c>
      <c r="T1097" s="66">
        <v>45001</v>
      </c>
      <c r="U1097" s="66">
        <v>45009</v>
      </c>
      <c r="V1097" s="63">
        <f t="shared" si="123"/>
        <v>8</v>
      </c>
      <c r="W1097" s="65" t="s">
        <v>125</v>
      </c>
      <c r="X1097" s="64" t="b">
        <f t="shared" si="124"/>
        <v>0</v>
      </c>
      <c r="Y1097" s="67">
        <v>340</v>
      </c>
      <c r="Z1097" s="67">
        <v>300</v>
      </c>
      <c r="AA1097" s="65" t="s">
        <v>84</v>
      </c>
      <c r="AB1097" s="64" t="b">
        <f t="shared" si="125"/>
        <v>1</v>
      </c>
    </row>
    <row r="1098" spans="1:28" ht="15" customHeight="1" x14ac:dyDescent="0.3">
      <c r="A1098" s="57" t="s">
        <v>2316</v>
      </c>
      <c r="B1098" s="82">
        <v>45135</v>
      </c>
      <c r="C1098" s="59">
        <f t="shared" si="119"/>
        <v>2023</v>
      </c>
      <c r="D1098" s="59">
        <f t="shared" si="120"/>
        <v>7</v>
      </c>
      <c r="E1098" s="59">
        <f t="shared" si="121"/>
        <v>30</v>
      </c>
      <c r="F1098" s="57" t="s">
        <v>58</v>
      </c>
      <c r="G1098" s="57" t="s">
        <v>40</v>
      </c>
      <c r="H1098" s="57" t="s">
        <v>2317</v>
      </c>
      <c r="I1098" s="57" t="s">
        <v>64</v>
      </c>
      <c r="J1098" s="57" t="s">
        <v>112</v>
      </c>
      <c r="K1098" s="57" t="s">
        <v>74</v>
      </c>
      <c r="L1098" s="57" t="s">
        <v>156</v>
      </c>
      <c r="M1098" s="60">
        <v>951</v>
      </c>
      <c r="N1098" s="57" t="s">
        <v>114</v>
      </c>
      <c r="O1098" s="61">
        <v>969.03</v>
      </c>
      <c r="P1098" s="61">
        <v>921547.53</v>
      </c>
      <c r="Q1098" s="61">
        <v>63251.55</v>
      </c>
      <c r="R1098" s="62">
        <f t="shared" si="122"/>
        <v>6.8636231926095012E-2</v>
      </c>
      <c r="S1098" s="60">
        <v>15</v>
      </c>
      <c r="T1098" s="58">
        <v>45150</v>
      </c>
      <c r="U1098" s="58">
        <v>45162</v>
      </c>
      <c r="V1098" s="63">
        <f t="shared" si="123"/>
        <v>12</v>
      </c>
      <c r="W1098" s="57" t="s">
        <v>125</v>
      </c>
      <c r="X1098" s="64" t="b">
        <f t="shared" si="124"/>
        <v>0</v>
      </c>
      <c r="Y1098" s="60">
        <v>198</v>
      </c>
      <c r="Z1098" s="60">
        <v>172</v>
      </c>
      <c r="AA1098" s="57" t="s">
        <v>116</v>
      </c>
      <c r="AB1098" s="64" t="b">
        <f t="shared" si="125"/>
        <v>0</v>
      </c>
    </row>
    <row r="1099" spans="1:28" ht="15" customHeight="1" x14ac:dyDescent="0.3">
      <c r="A1099" s="65" t="s">
        <v>2318</v>
      </c>
      <c r="B1099" s="81">
        <v>45200</v>
      </c>
      <c r="C1099" s="59">
        <f t="shared" si="119"/>
        <v>2023</v>
      </c>
      <c r="D1099" s="59">
        <f t="shared" si="120"/>
        <v>10</v>
      </c>
      <c r="E1099" s="59">
        <f t="shared" si="121"/>
        <v>40</v>
      </c>
      <c r="F1099" s="65" t="s">
        <v>59</v>
      </c>
      <c r="G1099" s="65" t="s">
        <v>46</v>
      </c>
      <c r="H1099" s="65" t="s">
        <v>2319</v>
      </c>
      <c r="I1099" s="65" t="s">
        <v>65</v>
      </c>
      <c r="J1099" s="65" t="s">
        <v>123</v>
      </c>
      <c r="K1099" s="65" t="s">
        <v>74</v>
      </c>
      <c r="L1099" s="65" t="s">
        <v>119</v>
      </c>
      <c r="M1099" s="67">
        <v>445</v>
      </c>
      <c r="N1099" s="65" t="s">
        <v>114</v>
      </c>
      <c r="O1099" s="68">
        <v>58.37</v>
      </c>
      <c r="P1099" s="68">
        <v>25974.65</v>
      </c>
      <c r="Q1099" s="68">
        <v>1665.79</v>
      </c>
      <c r="R1099" s="62">
        <f t="shared" si="122"/>
        <v>6.4131374243733788E-2</v>
      </c>
      <c r="S1099" s="67">
        <v>24</v>
      </c>
      <c r="T1099" s="66">
        <v>45224</v>
      </c>
      <c r="U1099" s="66">
        <v>45229</v>
      </c>
      <c r="V1099" s="63">
        <f t="shared" si="123"/>
        <v>5</v>
      </c>
      <c r="W1099" s="65" t="s">
        <v>128</v>
      </c>
      <c r="X1099" s="64" t="b">
        <f t="shared" si="124"/>
        <v>0</v>
      </c>
      <c r="Y1099" s="67">
        <v>111</v>
      </c>
      <c r="Z1099" s="67">
        <v>212</v>
      </c>
      <c r="AA1099" s="65" t="s">
        <v>83</v>
      </c>
      <c r="AB1099" s="64" t="b">
        <f t="shared" si="125"/>
        <v>1</v>
      </c>
    </row>
    <row r="1100" spans="1:28" ht="15" customHeight="1" x14ac:dyDescent="0.3">
      <c r="A1100" s="57" t="s">
        <v>2320</v>
      </c>
      <c r="B1100" s="82">
        <v>45489</v>
      </c>
      <c r="C1100" s="59">
        <f t="shared" si="119"/>
        <v>2024</v>
      </c>
      <c r="D1100" s="59">
        <f t="shared" si="120"/>
        <v>7</v>
      </c>
      <c r="E1100" s="59">
        <f t="shared" si="121"/>
        <v>29</v>
      </c>
      <c r="F1100" s="57" t="s">
        <v>59</v>
      </c>
      <c r="G1100" s="57" t="s">
        <v>45</v>
      </c>
      <c r="H1100" s="57" t="s">
        <v>2321</v>
      </c>
      <c r="I1100" s="57" t="s">
        <v>66</v>
      </c>
      <c r="J1100" s="57" t="s">
        <v>143</v>
      </c>
      <c r="K1100" s="57" t="s">
        <v>74</v>
      </c>
      <c r="L1100" s="57" t="s">
        <v>135</v>
      </c>
      <c r="M1100" s="60">
        <v>796</v>
      </c>
      <c r="N1100" s="57" t="s">
        <v>140</v>
      </c>
      <c r="O1100" s="61">
        <v>299.63</v>
      </c>
      <c r="P1100" s="61">
        <v>238505.48</v>
      </c>
      <c r="Q1100" s="61">
        <v>14269.19</v>
      </c>
      <c r="R1100" s="62">
        <f t="shared" si="122"/>
        <v>5.9827514235731606E-2</v>
      </c>
      <c r="S1100" s="60">
        <v>11</v>
      </c>
      <c r="T1100" s="58">
        <v>45500</v>
      </c>
      <c r="U1100" s="58">
        <v>45503</v>
      </c>
      <c r="V1100" s="63">
        <f t="shared" si="123"/>
        <v>3</v>
      </c>
      <c r="W1100" s="57" t="s">
        <v>128</v>
      </c>
      <c r="X1100" s="64" t="b">
        <f t="shared" si="124"/>
        <v>0</v>
      </c>
      <c r="Y1100" s="60">
        <v>88</v>
      </c>
      <c r="Z1100" s="60">
        <v>320</v>
      </c>
      <c r="AA1100" s="57" t="s">
        <v>83</v>
      </c>
      <c r="AB1100" s="64" t="b">
        <f t="shared" si="125"/>
        <v>1</v>
      </c>
    </row>
    <row r="1101" spans="1:28" ht="15" customHeight="1" x14ac:dyDescent="0.3">
      <c r="A1101" s="65" t="s">
        <v>2322</v>
      </c>
      <c r="B1101" s="81">
        <v>45061</v>
      </c>
      <c r="C1101" s="59">
        <f t="shared" si="119"/>
        <v>2023</v>
      </c>
      <c r="D1101" s="59">
        <f t="shared" si="120"/>
        <v>5</v>
      </c>
      <c r="E1101" s="59">
        <f t="shared" si="121"/>
        <v>20</v>
      </c>
      <c r="F1101" s="65" t="s">
        <v>54</v>
      </c>
      <c r="G1101" s="65" t="s">
        <v>43</v>
      </c>
      <c r="H1101" s="65" t="s">
        <v>2323</v>
      </c>
      <c r="I1101" s="65" t="s">
        <v>64</v>
      </c>
      <c r="J1101" s="65" t="s">
        <v>131</v>
      </c>
      <c r="K1101" s="65" t="s">
        <v>75</v>
      </c>
      <c r="L1101" s="65" t="s">
        <v>124</v>
      </c>
      <c r="M1101" s="67">
        <v>470</v>
      </c>
      <c r="N1101" s="65" t="s">
        <v>114</v>
      </c>
      <c r="O1101" s="68">
        <v>182.17</v>
      </c>
      <c r="P1101" s="68">
        <v>85619.9</v>
      </c>
      <c r="Q1101" s="68">
        <v>2294.89</v>
      </c>
      <c r="R1101" s="62">
        <f t="shared" si="122"/>
        <v>2.6803231491744326E-2</v>
      </c>
      <c r="S1101" s="67">
        <v>16</v>
      </c>
      <c r="T1101" s="66">
        <v>45077</v>
      </c>
      <c r="U1101" s="66">
        <v>45074</v>
      </c>
      <c r="V1101" s="63">
        <f t="shared" si="123"/>
        <v>-3</v>
      </c>
      <c r="W1101" s="65" t="s">
        <v>115</v>
      </c>
      <c r="X1101" s="64" t="b">
        <f t="shared" si="124"/>
        <v>1</v>
      </c>
      <c r="Y1101" s="67">
        <v>127</v>
      </c>
      <c r="Z1101" s="67">
        <v>349</v>
      </c>
      <c r="AA1101" s="65" t="s">
        <v>116</v>
      </c>
      <c r="AB1101" s="64" t="b">
        <f t="shared" si="125"/>
        <v>0</v>
      </c>
    </row>
    <row r="1102" spans="1:28" ht="15" customHeight="1" x14ac:dyDescent="0.3">
      <c r="A1102" s="57" t="s">
        <v>2324</v>
      </c>
      <c r="B1102" s="82">
        <v>45221</v>
      </c>
      <c r="C1102" s="59">
        <f t="shared" si="119"/>
        <v>2023</v>
      </c>
      <c r="D1102" s="59">
        <f t="shared" si="120"/>
        <v>10</v>
      </c>
      <c r="E1102" s="59">
        <f t="shared" si="121"/>
        <v>43</v>
      </c>
      <c r="F1102" s="57" t="s">
        <v>52</v>
      </c>
      <c r="G1102" s="57" t="s">
        <v>39</v>
      </c>
      <c r="H1102" s="57" t="s">
        <v>2325</v>
      </c>
      <c r="I1102" s="57" t="s">
        <v>64</v>
      </c>
      <c r="J1102" s="57" t="s">
        <v>139</v>
      </c>
      <c r="K1102" s="57" t="s">
        <v>72</v>
      </c>
      <c r="L1102" s="57" t="s">
        <v>135</v>
      </c>
      <c r="M1102" s="60">
        <v>627</v>
      </c>
      <c r="N1102" s="57" t="s">
        <v>114</v>
      </c>
      <c r="O1102" s="61">
        <v>1384.96</v>
      </c>
      <c r="P1102" s="61">
        <v>868369.92000000004</v>
      </c>
      <c r="Q1102" s="61">
        <v>54913.09</v>
      </c>
      <c r="R1102" s="62">
        <f t="shared" si="122"/>
        <v>6.3236978544811862E-2</v>
      </c>
      <c r="S1102" s="60">
        <v>29</v>
      </c>
      <c r="T1102" s="58">
        <v>45250</v>
      </c>
      <c r="U1102" s="58">
        <v>45250</v>
      </c>
      <c r="V1102" s="63">
        <f t="shared" si="123"/>
        <v>0</v>
      </c>
      <c r="W1102" s="57" t="s">
        <v>115</v>
      </c>
      <c r="X1102" s="64" t="b">
        <f t="shared" si="124"/>
        <v>1</v>
      </c>
      <c r="Y1102" s="60">
        <v>229</v>
      </c>
      <c r="Z1102" s="60">
        <v>18</v>
      </c>
      <c r="AA1102" s="57" t="s">
        <v>116</v>
      </c>
      <c r="AB1102" s="64" t="b">
        <f t="shared" si="125"/>
        <v>0</v>
      </c>
    </row>
    <row r="1103" spans="1:28" ht="15" customHeight="1" x14ac:dyDescent="0.3">
      <c r="A1103" s="65" t="s">
        <v>2326</v>
      </c>
      <c r="B1103" s="81">
        <v>45375</v>
      </c>
      <c r="C1103" s="59">
        <f t="shared" si="119"/>
        <v>2024</v>
      </c>
      <c r="D1103" s="59">
        <f t="shared" si="120"/>
        <v>3</v>
      </c>
      <c r="E1103" s="59">
        <f t="shared" si="121"/>
        <v>13</v>
      </c>
      <c r="F1103" s="65" t="s">
        <v>55</v>
      </c>
      <c r="G1103" s="65" t="s">
        <v>43</v>
      </c>
      <c r="H1103" s="65" t="s">
        <v>2327</v>
      </c>
      <c r="I1103" s="65" t="s">
        <v>65</v>
      </c>
      <c r="J1103" s="65" t="s">
        <v>151</v>
      </c>
      <c r="K1103" s="65" t="s">
        <v>73</v>
      </c>
      <c r="L1103" s="65" t="s">
        <v>119</v>
      </c>
      <c r="M1103" s="67">
        <v>30</v>
      </c>
      <c r="N1103" s="65" t="s">
        <v>132</v>
      </c>
      <c r="O1103" s="68">
        <v>288.91000000000003</v>
      </c>
      <c r="P1103" s="68">
        <v>8667.2999999999993</v>
      </c>
      <c r="Q1103" s="68">
        <v>433.52</v>
      </c>
      <c r="R1103" s="62">
        <f t="shared" si="122"/>
        <v>5.0017883308527453E-2</v>
      </c>
      <c r="S1103" s="67">
        <v>17</v>
      </c>
      <c r="T1103" s="66">
        <v>45392</v>
      </c>
      <c r="U1103" s="66">
        <v>45392</v>
      </c>
      <c r="V1103" s="63">
        <f t="shared" si="123"/>
        <v>0</v>
      </c>
      <c r="W1103" s="65" t="s">
        <v>115</v>
      </c>
      <c r="X1103" s="64" t="b">
        <f t="shared" si="124"/>
        <v>1</v>
      </c>
      <c r="Y1103" s="67">
        <v>17</v>
      </c>
      <c r="Z1103" s="67">
        <v>498</v>
      </c>
      <c r="AA1103" s="65" t="s">
        <v>116</v>
      </c>
      <c r="AB1103" s="64" t="b">
        <f t="shared" si="125"/>
        <v>0</v>
      </c>
    </row>
    <row r="1104" spans="1:28" ht="15" customHeight="1" x14ac:dyDescent="0.3">
      <c r="A1104" s="57" t="s">
        <v>2328</v>
      </c>
      <c r="B1104" s="82">
        <v>45642</v>
      </c>
      <c r="C1104" s="59">
        <f t="shared" si="119"/>
        <v>2024</v>
      </c>
      <c r="D1104" s="59">
        <f t="shared" si="120"/>
        <v>12</v>
      </c>
      <c r="E1104" s="59">
        <f t="shared" si="121"/>
        <v>51</v>
      </c>
      <c r="F1104" s="57" t="s">
        <v>56</v>
      </c>
      <c r="G1104" s="57" t="s">
        <v>44</v>
      </c>
      <c r="H1104" s="57" t="s">
        <v>2329</v>
      </c>
      <c r="I1104" s="57" t="s">
        <v>69</v>
      </c>
      <c r="J1104" s="57" t="s">
        <v>139</v>
      </c>
      <c r="K1104" s="57" t="s">
        <v>74</v>
      </c>
      <c r="L1104" s="57" t="s">
        <v>146</v>
      </c>
      <c r="M1104" s="60">
        <v>73</v>
      </c>
      <c r="N1104" s="57" t="s">
        <v>140</v>
      </c>
      <c r="O1104" s="61">
        <v>86.37</v>
      </c>
      <c r="P1104" s="61">
        <v>6305.01</v>
      </c>
      <c r="Q1104" s="61">
        <v>464.34</v>
      </c>
      <c r="R1104" s="62">
        <f t="shared" si="122"/>
        <v>7.3646195644416101E-2</v>
      </c>
      <c r="S1104" s="60">
        <v>26</v>
      </c>
      <c r="T1104" s="58">
        <v>45668</v>
      </c>
      <c r="U1104" s="58">
        <v>45668</v>
      </c>
      <c r="V1104" s="63">
        <f t="shared" si="123"/>
        <v>0</v>
      </c>
      <c r="W1104" s="57" t="s">
        <v>115</v>
      </c>
      <c r="X1104" s="64" t="b">
        <f t="shared" si="124"/>
        <v>1</v>
      </c>
      <c r="Y1104" s="60">
        <v>288</v>
      </c>
      <c r="Z1104" s="60">
        <v>118</v>
      </c>
      <c r="AA1104" s="57" t="s">
        <v>116</v>
      </c>
      <c r="AB1104" s="64" t="b">
        <f t="shared" si="125"/>
        <v>0</v>
      </c>
    </row>
    <row r="1105" spans="1:28" ht="15" customHeight="1" x14ac:dyDescent="0.3">
      <c r="A1105" s="65" t="s">
        <v>2330</v>
      </c>
      <c r="B1105" s="81">
        <v>45423</v>
      </c>
      <c r="C1105" s="59">
        <f t="shared" si="119"/>
        <v>2024</v>
      </c>
      <c r="D1105" s="59">
        <f t="shared" si="120"/>
        <v>5</v>
      </c>
      <c r="E1105" s="59">
        <f t="shared" si="121"/>
        <v>19</v>
      </c>
      <c r="F1105" s="65" t="s">
        <v>52</v>
      </c>
      <c r="G1105" s="65" t="s">
        <v>41</v>
      </c>
      <c r="H1105" s="65" t="s">
        <v>2331</v>
      </c>
      <c r="I1105" s="65" t="s">
        <v>65</v>
      </c>
      <c r="J1105" s="65" t="s">
        <v>131</v>
      </c>
      <c r="K1105" s="65" t="s">
        <v>73</v>
      </c>
      <c r="L1105" s="65" t="s">
        <v>119</v>
      </c>
      <c r="M1105" s="67">
        <v>174</v>
      </c>
      <c r="N1105" s="65" t="s">
        <v>163</v>
      </c>
      <c r="O1105" s="68">
        <v>628.67999999999995</v>
      </c>
      <c r="P1105" s="68">
        <v>109390.32</v>
      </c>
      <c r="Q1105" s="68">
        <v>8225.2999999999993</v>
      </c>
      <c r="R1105" s="62">
        <f t="shared" si="122"/>
        <v>7.5192210791594716E-2</v>
      </c>
      <c r="S1105" s="67">
        <v>4</v>
      </c>
      <c r="T1105" s="66">
        <v>45427</v>
      </c>
      <c r="U1105" s="66">
        <v>45427</v>
      </c>
      <c r="V1105" s="63">
        <f t="shared" si="123"/>
        <v>0</v>
      </c>
      <c r="W1105" s="65" t="s">
        <v>115</v>
      </c>
      <c r="X1105" s="64" t="b">
        <f t="shared" si="124"/>
        <v>1</v>
      </c>
      <c r="Y1105" s="67">
        <v>160</v>
      </c>
      <c r="Z1105" s="67">
        <v>302</v>
      </c>
      <c r="AA1105" s="65" t="s">
        <v>84</v>
      </c>
      <c r="AB1105" s="64" t="b">
        <f t="shared" si="125"/>
        <v>1</v>
      </c>
    </row>
    <row r="1106" spans="1:28" ht="15" customHeight="1" x14ac:dyDescent="0.3">
      <c r="A1106" s="57" t="s">
        <v>2332</v>
      </c>
      <c r="B1106" s="82">
        <v>45051</v>
      </c>
      <c r="C1106" s="59">
        <f t="shared" si="119"/>
        <v>2023</v>
      </c>
      <c r="D1106" s="59">
        <f t="shared" si="120"/>
        <v>5</v>
      </c>
      <c r="E1106" s="59">
        <f t="shared" si="121"/>
        <v>18</v>
      </c>
      <c r="F1106" s="57" t="s">
        <v>56</v>
      </c>
      <c r="G1106" s="57" t="s">
        <v>41</v>
      </c>
      <c r="H1106" s="57" t="s">
        <v>2333</v>
      </c>
      <c r="I1106" s="57" t="s">
        <v>68</v>
      </c>
      <c r="J1106" s="57" t="s">
        <v>151</v>
      </c>
      <c r="K1106" s="57" t="s">
        <v>73</v>
      </c>
      <c r="L1106" s="57" t="s">
        <v>156</v>
      </c>
      <c r="M1106" s="60">
        <v>36</v>
      </c>
      <c r="N1106" s="57" t="s">
        <v>136</v>
      </c>
      <c r="O1106" s="61">
        <v>640.13</v>
      </c>
      <c r="P1106" s="61">
        <v>23044.68</v>
      </c>
      <c r="Q1106" s="61">
        <v>537.16</v>
      </c>
      <c r="R1106" s="62">
        <f t="shared" si="122"/>
        <v>2.3309501368645603E-2</v>
      </c>
      <c r="S1106" s="60">
        <v>1</v>
      </c>
      <c r="T1106" s="58">
        <v>45052</v>
      </c>
      <c r="U1106" s="58">
        <v>45064</v>
      </c>
      <c r="V1106" s="63">
        <f t="shared" si="123"/>
        <v>12</v>
      </c>
      <c r="W1106" s="57" t="s">
        <v>125</v>
      </c>
      <c r="X1106" s="64" t="b">
        <f t="shared" si="124"/>
        <v>0</v>
      </c>
      <c r="Y1106" s="60">
        <v>351</v>
      </c>
      <c r="Z1106" s="60">
        <v>301</v>
      </c>
      <c r="AA1106" s="57" t="s">
        <v>83</v>
      </c>
      <c r="AB1106" s="64" t="b">
        <f t="shared" si="125"/>
        <v>1</v>
      </c>
    </row>
    <row r="1107" spans="1:28" ht="15" customHeight="1" x14ac:dyDescent="0.3">
      <c r="A1107" s="65" t="s">
        <v>2334</v>
      </c>
      <c r="B1107" s="81">
        <v>44956</v>
      </c>
      <c r="C1107" s="59">
        <f t="shared" si="119"/>
        <v>2023</v>
      </c>
      <c r="D1107" s="59">
        <f t="shared" si="120"/>
        <v>1</v>
      </c>
      <c r="E1107" s="59">
        <f t="shared" si="121"/>
        <v>5</v>
      </c>
      <c r="F1107" s="65" t="s">
        <v>56</v>
      </c>
      <c r="G1107" s="65" t="s">
        <v>41</v>
      </c>
      <c r="H1107" s="65" t="s">
        <v>2335</v>
      </c>
      <c r="I1107" s="65" t="s">
        <v>69</v>
      </c>
      <c r="J1107" s="65" t="s">
        <v>112</v>
      </c>
      <c r="K1107" s="65" t="s">
        <v>73</v>
      </c>
      <c r="L1107" s="65" t="s">
        <v>156</v>
      </c>
      <c r="M1107" s="67">
        <v>320</v>
      </c>
      <c r="N1107" s="65" t="s">
        <v>120</v>
      </c>
      <c r="O1107" s="68">
        <v>684.55</v>
      </c>
      <c r="P1107" s="68">
        <v>219056</v>
      </c>
      <c r="Q1107" s="68">
        <v>15167.11</v>
      </c>
      <c r="R1107" s="62">
        <f t="shared" si="122"/>
        <v>6.9238505222408889E-2</v>
      </c>
      <c r="S1107" s="67">
        <v>8</v>
      </c>
      <c r="T1107" s="66">
        <v>44964</v>
      </c>
      <c r="U1107" s="66">
        <v>44963</v>
      </c>
      <c r="V1107" s="63">
        <f t="shared" si="123"/>
        <v>-1</v>
      </c>
      <c r="W1107" s="65" t="s">
        <v>115</v>
      </c>
      <c r="X1107" s="64" t="b">
        <f t="shared" si="124"/>
        <v>1</v>
      </c>
      <c r="Y1107" s="67">
        <v>377</v>
      </c>
      <c r="Z1107" s="67">
        <v>284</v>
      </c>
      <c r="AA1107" s="65" t="s">
        <v>82</v>
      </c>
      <c r="AB1107" s="64" t="b">
        <f t="shared" si="125"/>
        <v>1</v>
      </c>
    </row>
    <row r="1108" spans="1:28" ht="15" customHeight="1" x14ac:dyDescent="0.3">
      <c r="A1108" s="57" t="s">
        <v>2336</v>
      </c>
      <c r="B1108" s="82">
        <v>45572</v>
      </c>
      <c r="C1108" s="59">
        <f t="shared" si="119"/>
        <v>2024</v>
      </c>
      <c r="D1108" s="59">
        <f t="shared" si="120"/>
        <v>10</v>
      </c>
      <c r="E1108" s="59">
        <f t="shared" si="121"/>
        <v>41</v>
      </c>
      <c r="F1108" s="57" t="s">
        <v>52</v>
      </c>
      <c r="G1108" s="57" t="s">
        <v>45</v>
      </c>
      <c r="H1108" s="57" t="s">
        <v>2337</v>
      </c>
      <c r="I1108" s="57" t="s">
        <v>64</v>
      </c>
      <c r="J1108" s="57" t="s">
        <v>112</v>
      </c>
      <c r="K1108" s="57" t="s">
        <v>74</v>
      </c>
      <c r="L1108" s="57" t="s">
        <v>135</v>
      </c>
      <c r="M1108" s="60">
        <v>294</v>
      </c>
      <c r="N1108" s="57" t="s">
        <v>163</v>
      </c>
      <c r="O1108" s="61">
        <v>295.91000000000003</v>
      </c>
      <c r="P1108" s="61">
        <v>86997.54</v>
      </c>
      <c r="Q1108" s="61">
        <v>1936.73</v>
      </c>
      <c r="R1108" s="62">
        <f t="shared" si="122"/>
        <v>2.2261893842055767E-2</v>
      </c>
      <c r="S1108" s="60">
        <v>17</v>
      </c>
      <c r="T1108" s="58">
        <v>45589</v>
      </c>
      <c r="U1108" s="58">
        <v>45584</v>
      </c>
      <c r="V1108" s="63">
        <f t="shared" si="123"/>
        <v>-5</v>
      </c>
      <c r="W1108" s="57" t="s">
        <v>115</v>
      </c>
      <c r="X1108" s="64" t="b">
        <f t="shared" si="124"/>
        <v>1</v>
      </c>
      <c r="Y1108" s="60">
        <v>280</v>
      </c>
      <c r="Z1108" s="60">
        <v>226</v>
      </c>
      <c r="AA1108" s="57" t="s">
        <v>81</v>
      </c>
      <c r="AB1108" s="64" t="b">
        <f t="shared" si="125"/>
        <v>1</v>
      </c>
    </row>
    <row r="1109" spans="1:28" ht="15" customHeight="1" x14ac:dyDescent="0.3">
      <c r="A1109" s="65" t="s">
        <v>2338</v>
      </c>
      <c r="B1109" s="81">
        <v>45550</v>
      </c>
      <c r="C1109" s="59">
        <f t="shared" si="119"/>
        <v>2024</v>
      </c>
      <c r="D1109" s="59">
        <f t="shared" si="120"/>
        <v>9</v>
      </c>
      <c r="E1109" s="59">
        <f t="shared" si="121"/>
        <v>38</v>
      </c>
      <c r="F1109" s="65" t="s">
        <v>58</v>
      </c>
      <c r="G1109" s="65" t="s">
        <v>43</v>
      </c>
      <c r="H1109" s="65" t="s">
        <v>2339</v>
      </c>
      <c r="I1109" s="65" t="s">
        <v>69</v>
      </c>
      <c r="J1109" s="65" t="s">
        <v>139</v>
      </c>
      <c r="K1109" s="65" t="s">
        <v>74</v>
      </c>
      <c r="L1109" s="65" t="s">
        <v>156</v>
      </c>
      <c r="M1109" s="67">
        <v>669</v>
      </c>
      <c r="N1109" s="65" t="s">
        <v>140</v>
      </c>
      <c r="O1109" s="68">
        <v>296.10000000000002</v>
      </c>
      <c r="P1109" s="68">
        <v>198090.9</v>
      </c>
      <c r="Q1109" s="68">
        <v>8325.7999999999993</v>
      </c>
      <c r="R1109" s="62">
        <f t="shared" si="122"/>
        <v>4.2030199267104142E-2</v>
      </c>
      <c r="S1109" s="67">
        <v>3</v>
      </c>
      <c r="T1109" s="66">
        <v>45553</v>
      </c>
      <c r="U1109" s="66">
        <v>45555</v>
      </c>
      <c r="V1109" s="63">
        <f t="shared" si="123"/>
        <v>2</v>
      </c>
      <c r="W1109" s="65" t="s">
        <v>128</v>
      </c>
      <c r="X1109" s="64" t="b">
        <f t="shared" si="124"/>
        <v>0</v>
      </c>
      <c r="Y1109" s="67">
        <v>397</v>
      </c>
      <c r="Z1109" s="67">
        <v>211</v>
      </c>
      <c r="AA1109" s="65" t="s">
        <v>81</v>
      </c>
      <c r="AB1109" s="64" t="b">
        <f t="shared" si="125"/>
        <v>1</v>
      </c>
    </row>
    <row r="1110" spans="1:28" ht="15" customHeight="1" x14ac:dyDescent="0.3">
      <c r="A1110" s="57" t="s">
        <v>2340</v>
      </c>
      <c r="B1110" s="82">
        <v>45172</v>
      </c>
      <c r="C1110" s="59">
        <f t="shared" si="119"/>
        <v>2023</v>
      </c>
      <c r="D1110" s="59">
        <f t="shared" si="120"/>
        <v>9</v>
      </c>
      <c r="E1110" s="59">
        <f t="shared" si="121"/>
        <v>36</v>
      </c>
      <c r="F1110" s="57" t="s">
        <v>59</v>
      </c>
      <c r="G1110" s="57" t="s">
        <v>39</v>
      </c>
      <c r="H1110" s="57" t="s">
        <v>2341</v>
      </c>
      <c r="I1110" s="57" t="s">
        <v>66</v>
      </c>
      <c r="J1110" s="57" t="s">
        <v>151</v>
      </c>
      <c r="K1110" s="57" t="s">
        <v>72</v>
      </c>
      <c r="L1110" s="57" t="s">
        <v>124</v>
      </c>
      <c r="M1110" s="60">
        <v>290</v>
      </c>
      <c r="N1110" s="57" t="s">
        <v>132</v>
      </c>
      <c r="O1110" s="61">
        <v>1128.33</v>
      </c>
      <c r="P1110" s="61">
        <v>327215.7</v>
      </c>
      <c r="Q1110" s="61">
        <v>17191.259999999998</v>
      </c>
      <c r="R1110" s="62">
        <f t="shared" si="122"/>
        <v>5.2538004747327213E-2</v>
      </c>
      <c r="S1110" s="60">
        <v>29</v>
      </c>
      <c r="T1110" s="58">
        <v>45201</v>
      </c>
      <c r="U1110" s="58">
        <v>45201</v>
      </c>
      <c r="V1110" s="63">
        <f t="shared" si="123"/>
        <v>0</v>
      </c>
      <c r="W1110" s="57" t="s">
        <v>115</v>
      </c>
      <c r="X1110" s="64" t="b">
        <f t="shared" si="124"/>
        <v>1</v>
      </c>
      <c r="Y1110" s="60">
        <v>421</v>
      </c>
      <c r="Z1110" s="60">
        <v>355</v>
      </c>
      <c r="AA1110" s="57" t="s">
        <v>116</v>
      </c>
      <c r="AB1110" s="64" t="b">
        <f t="shared" si="125"/>
        <v>0</v>
      </c>
    </row>
    <row r="1111" spans="1:28" ht="15" customHeight="1" x14ac:dyDescent="0.3">
      <c r="A1111" s="65" t="s">
        <v>2342</v>
      </c>
      <c r="B1111" s="81">
        <v>45653</v>
      </c>
      <c r="C1111" s="59">
        <f t="shared" si="119"/>
        <v>2024</v>
      </c>
      <c r="D1111" s="59">
        <f t="shared" si="120"/>
        <v>12</v>
      </c>
      <c r="E1111" s="59">
        <f t="shared" si="121"/>
        <v>52</v>
      </c>
      <c r="F1111" s="65" t="s">
        <v>57</v>
      </c>
      <c r="G1111" s="65" t="s">
        <v>41</v>
      </c>
      <c r="H1111" s="65" t="s">
        <v>2343</v>
      </c>
      <c r="I1111" s="65" t="s">
        <v>67</v>
      </c>
      <c r="J1111" s="65" t="s">
        <v>143</v>
      </c>
      <c r="K1111" s="65" t="s">
        <v>74</v>
      </c>
      <c r="L1111" s="65" t="s">
        <v>119</v>
      </c>
      <c r="M1111" s="67">
        <v>847</v>
      </c>
      <c r="N1111" s="65" t="s">
        <v>120</v>
      </c>
      <c r="O1111" s="68">
        <v>678.74</v>
      </c>
      <c r="P1111" s="68">
        <v>574892.78</v>
      </c>
      <c r="Q1111" s="68">
        <v>16606.38</v>
      </c>
      <c r="R1111" s="62">
        <f t="shared" si="122"/>
        <v>2.8886047238234579E-2</v>
      </c>
      <c r="S1111" s="67">
        <v>20</v>
      </c>
      <c r="T1111" s="66">
        <v>45673</v>
      </c>
      <c r="U1111" s="66">
        <v>45672</v>
      </c>
      <c r="V1111" s="63">
        <f t="shared" si="123"/>
        <v>-1</v>
      </c>
      <c r="W1111" s="65" t="s">
        <v>115</v>
      </c>
      <c r="X1111" s="64" t="b">
        <f t="shared" si="124"/>
        <v>1</v>
      </c>
      <c r="Y1111" s="67">
        <v>165</v>
      </c>
      <c r="Z1111" s="67">
        <v>188</v>
      </c>
      <c r="AA1111" s="65" t="s">
        <v>84</v>
      </c>
      <c r="AB1111" s="64" t="b">
        <f t="shared" si="125"/>
        <v>1</v>
      </c>
    </row>
    <row r="1112" spans="1:28" ht="15" customHeight="1" x14ac:dyDescent="0.3">
      <c r="A1112" s="57" t="s">
        <v>2344</v>
      </c>
      <c r="B1112" s="82">
        <v>45089</v>
      </c>
      <c r="C1112" s="59">
        <f t="shared" si="119"/>
        <v>2023</v>
      </c>
      <c r="D1112" s="59">
        <f t="shared" si="120"/>
        <v>6</v>
      </c>
      <c r="E1112" s="59">
        <f t="shared" si="121"/>
        <v>24</v>
      </c>
      <c r="F1112" s="57" t="s">
        <v>53</v>
      </c>
      <c r="G1112" s="57" t="s">
        <v>39</v>
      </c>
      <c r="H1112" s="57" t="s">
        <v>2345</v>
      </c>
      <c r="I1112" s="57" t="s">
        <v>69</v>
      </c>
      <c r="J1112" s="57" t="s">
        <v>151</v>
      </c>
      <c r="K1112" s="57" t="s">
        <v>74</v>
      </c>
      <c r="L1112" s="57" t="s">
        <v>135</v>
      </c>
      <c r="M1112" s="60">
        <v>840</v>
      </c>
      <c r="N1112" s="57" t="s">
        <v>136</v>
      </c>
      <c r="O1112" s="61">
        <v>1825.57</v>
      </c>
      <c r="P1112" s="61">
        <v>1533478.8</v>
      </c>
      <c r="Q1112" s="61">
        <v>96548.6302</v>
      </c>
      <c r="R1112" s="62">
        <f t="shared" si="122"/>
        <v>6.2960524918896824E-2</v>
      </c>
      <c r="S1112" s="60">
        <v>15</v>
      </c>
      <c r="T1112" s="58">
        <v>45104</v>
      </c>
      <c r="U1112" s="58">
        <v>45109</v>
      </c>
      <c r="V1112" s="63">
        <f t="shared" si="123"/>
        <v>5</v>
      </c>
      <c r="W1112" s="57" t="s">
        <v>125</v>
      </c>
      <c r="X1112" s="64" t="b">
        <f t="shared" si="124"/>
        <v>0</v>
      </c>
      <c r="Y1112" s="60">
        <v>259</v>
      </c>
      <c r="Z1112" s="60">
        <v>486</v>
      </c>
      <c r="AA1112" s="57" t="s">
        <v>82</v>
      </c>
      <c r="AB1112" s="64" t="b">
        <f t="shared" si="125"/>
        <v>1</v>
      </c>
    </row>
    <row r="1113" spans="1:28" ht="15" customHeight="1" x14ac:dyDescent="0.3">
      <c r="A1113" s="65" t="s">
        <v>2346</v>
      </c>
      <c r="B1113" s="81">
        <v>45245</v>
      </c>
      <c r="C1113" s="59">
        <f t="shared" si="119"/>
        <v>2023</v>
      </c>
      <c r="D1113" s="59">
        <f t="shared" si="120"/>
        <v>11</v>
      </c>
      <c r="E1113" s="59">
        <f t="shared" si="121"/>
        <v>46</v>
      </c>
      <c r="F1113" s="65" t="s">
        <v>58</v>
      </c>
      <c r="G1113" s="65" t="s">
        <v>43</v>
      </c>
      <c r="H1113" s="65" t="s">
        <v>2347</v>
      </c>
      <c r="I1113" s="65" t="s">
        <v>68</v>
      </c>
      <c r="J1113" s="65" t="s">
        <v>123</v>
      </c>
      <c r="K1113" s="65" t="s">
        <v>73</v>
      </c>
      <c r="L1113" s="65" t="s">
        <v>119</v>
      </c>
      <c r="M1113" s="67">
        <v>173</v>
      </c>
      <c r="N1113" s="65" t="s">
        <v>114</v>
      </c>
      <c r="O1113" s="68">
        <v>243.57</v>
      </c>
      <c r="P1113" s="68">
        <v>42137.61</v>
      </c>
      <c r="Q1113" s="68">
        <v>863.88</v>
      </c>
      <c r="R1113" s="62">
        <f t="shared" si="122"/>
        <v>2.0501400055674728E-2</v>
      </c>
      <c r="S1113" s="67">
        <v>15</v>
      </c>
      <c r="T1113" s="66">
        <v>45260</v>
      </c>
      <c r="U1113" s="66">
        <v>45261</v>
      </c>
      <c r="V1113" s="63">
        <f t="shared" si="123"/>
        <v>1</v>
      </c>
      <c r="W1113" s="65" t="s">
        <v>125</v>
      </c>
      <c r="X1113" s="64" t="b">
        <f t="shared" si="124"/>
        <v>0</v>
      </c>
      <c r="Y1113" s="67">
        <v>363</v>
      </c>
      <c r="Z1113" s="67">
        <v>320</v>
      </c>
      <c r="AA1113" s="65" t="s">
        <v>116</v>
      </c>
      <c r="AB1113" s="64" t="b">
        <f t="shared" si="125"/>
        <v>0</v>
      </c>
    </row>
    <row r="1114" spans="1:28" ht="15" customHeight="1" x14ac:dyDescent="0.3">
      <c r="A1114" s="57" t="s">
        <v>2348</v>
      </c>
      <c r="B1114" s="82">
        <v>45491</v>
      </c>
      <c r="C1114" s="59">
        <f t="shared" si="119"/>
        <v>2024</v>
      </c>
      <c r="D1114" s="59">
        <f t="shared" si="120"/>
        <v>7</v>
      </c>
      <c r="E1114" s="59">
        <f t="shared" si="121"/>
        <v>29</v>
      </c>
      <c r="F1114" s="57" t="s">
        <v>61</v>
      </c>
      <c r="G1114" s="57" t="s">
        <v>45</v>
      </c>
      <c r="H1114" s="57" t="s">
        <v>2349</v>
      </c>
      <c r="I1114" s="57" t="s">
        <v>67</v>
      </c>
      <c r="J1114" s="57" t="s">
        <v>131</v>
      </c>
      <c r="K1114" s="57" t="s">
        <v>72</v>
      </c>
      <c r="L1114" s="57" t="s">
        <v>119</v>
      </c>
      <c r="M1114" s="60">
        <v>907</v>
      </c>
      <c r="N1114" s="57" t="s">
        <v>114</v>
      </c>
      <c r="O1114" s="61">
        <v>160.54</v>
      </c>
      <c r="P1114" s="61">
        <v>145609.78</v>
      </c>
      <c r="Q1114" s="61">
        <v>4385.18</v>
      </c>
      <c r="R1114" s="62">
        <f t="shared" si="122"/>
        <v>3.0115971605753408E-2</v>
      </c>
      <c r="S1114" s="60">
        <v>24</v>
      </c>
      <c r="T1114" s="58">
        <v>45515</v>
      </c>
      <c r="U1114" s="58">
        <v>45516</v>
      </c>
      <c r="V1114" s="63">
        <f t="shared" si="123"/>
        <v>1</v>
      </c>
      <c r="W1114" s="57" t="s">
        <v>125</v>
      </c>
      <c r="X1114" s="64" t="b">
        <f t="shared" si="124"/>
        <v>0</v>
      </c>
      <c r="Y1114" s="60">
        <v>189</v>
      </c>
      <c r="Z1114" s="60">
        <v>150</v>
      </c>
      <c r="AA1114" s="57" t="s">
        <v>82</v>
      </c>
      <c r="AB1114" s="64" t="b">
        <f t="shared" si="125"/>
        <v>1</v>
      </c>
    </row>
    <row r="1115" spans="1:28" ht="15" customHeight="1" x14ac:dyDescent="0.3">
      <c r="A1115" s="65" t="s">
        <v>2350</v>
      </c>
      <c r="B1115" s="81">
        <v>44941</v>
      </c>
      <c r="C1115" s="59">
        <f t="shared" si="119"/>
        <v>2023</v>
      </c>
      <c r="D1115" s="59">
        <f t="shared" si="120"/>
        <v>1</v>
      </c>
      <c r="E1115" s="59">
        <f t="shared" si="121"/>
        <v>3</v>
      </c>
      <c r="F1115" s="65" t="s">
        <v>55</v>
      </c>
      <c r="G1115" s="65" t="s">
        <v>44</v>
      </c>
      <c r="H1115" s="65" t="s">
        <v>2351</v>
      </c>
      <c r="I1115" s="65" t="s">
        <v>66</v>
      </c>
      <c r="J1115" s="65" t="s">
        <v>112</v>
      </c>
      <c r="K1115" s="65" t="s">
        <v>71</v>
      </c>
      <c r="L1115" s="65" t="s">
        <v>135</v>
      </c>
      <c r="M1115" s="67">
        <v>927</v>
      </c>
      <c r="N1115" s="65" t="s">
        <v>163</v>
      </c>
      <c r="O1115" s="68">
        <v>146.41999999999999</v>
      </c>
      <c r="P1115" s="68">
        <v>135731.34</v>
      </c>
      <c r="Q1115" s="68">
        <v>7444.57</v>
      </c>
      <c r="R1115" s="62">
        <f t="shared" si="122"/>
        <v>5.4847833963769903E-2</v>
      </c>
      <c r="S1115" s="67">
        <v>22</v>
      </c>
      <c r="T1115" s="66">
        <v>44963</v>
      </c>
      <c r="U1115" s="66">
        <v>44958</v>
      </c>
      <c r="V1115" s="63">
        <f t="shared" si="123"/>
        <v>-5</v>
      </c>
      <c r="W1115" s="65" t="s">
        <v>115</v>
      </c>
      <c r="X1115" s="64" t="b">
        <f t="shared" si="124"/>
        <v>1</v>
      </c>
      <c r="Y1115" s="67">
        <v>337</v>
      </c>
      <c r="Z1115" s="67">
        <v>222</v>
      </c>
      <c r="AA1115" s="65" t="s">
        <v>116</v>
      </c>
      <c r="AB1115" s="64" t="b">
        <f t="shared" si="125"/>
        <v>0</v>
      </c>
    </row>
    <row r="1116" spans="1:28" ht="15" customHeight="1" x14ac:dyDescent="0.3">
      <c r="A1116" s="57" t="s">
        <v>2352</v>
      </c>
      <c r="B1116" s="82">
        <v>45492</v>
      </c>
      <c r="C1116" s="59">
        <f t="shared" si="119"/>
        <v>2024</v>
      </c>
      <c r="D1116" s="59">
        <f t="shared" si="120"/>
        <v>7</v>
      </c>
      <c r="E1116" s="59">
        <f t="shared" si="121"/>
        <v>29</v>
      </c>
      <c r="F1116" s="57" t="s">
        <v>55</v>
      </c>
      <c r="G1116" s="57" t="s">
        <v>45</v>
      </c>
      <c r="H1116" s="57" t="s">
        <v>2353</v>
      </c>
      <c r="I1116" s="57" t="s">
        <v>68</v>
      </c>
      <c r="J1116" s="57" t="s">
        <v>139</v>
      </c>
      <c r="K1116" s="57" t="s">
        <v>74</v>
      </c>
      <c r="L1116" s="57" t="s">
        <v>146</v>
      </c>
      <c r="M1116" s="60">
        <v>233</v>
      </c>
      <c r="N1116" s="57" t="s">
        <v>136</v>
      </c>
      <c r="O1116" s="61">
        <v>297.2</v>
      </c>
      <c r="P1116" s="61">
        <v>69247.600000000006</v>
      </c>
      <c r="Q1116" s="61">
        <v>4353.13</v>
      </c>
      <c r="R1116" s="62">
        <f t="shared" si="122"/>
        <v>6.2863261687047631E-2</v>
      </c>
      <c r="S1116" s="60">
        <v>14</v>
      </c>
      <c r="T1116" s="58">
        <v>45506</v>
      </c>
      <c r="U1116" s="58">
        <v>45518</v>
      </c>
      <c r="V1116" s="63">
        <f t="shared" si="123"/>
        <v>12</v>
      </c>
      <c r="W1116" s="57" t="s">
        <v>128</v>
      </c>
      <c r="X1116" s="64" t="b">
        <f t="shared" si="124"/>
        <v>0</v>
      </c>
      <c r="Y1116" s="60">
        <v>265</v>
      </c>
      <c r="Z1116" s="60">
        <v>127</v>
      </c>
      <c r="AA1116" s="57" t="s">
        <v>84</v>
      </c>
      <c r="AB1116" s="64" t="b">
        <f t="shared" si="125"/>
        <v>1</v>
      </c>
    </row>
    <row r="1117" spans="1:28" ht="15" customHeight="1" x14ac:dyDescent="0.3">
      <c r="A1117" s="65" t="s">
        <v>2354</v>
      </c>
      <c r="B1117" s="81">
        <v>45344</v>
      </c>
      <c r="C1117" s="59">
        <f t="shared" si="119"/>
        <v>2024</v>
      </c>
      <c r="D1117" s="59">
        <f t="shared" si="120"/>
        <v>2</v>
      </c>
      <c r="E1117" s="59">
        <f t="shared" si="121"/>
        <v>8</v>
      </c>
      <c r="F1117" s="65" t="s">
        <v>53</v>
      </c>
      <c r="G1117" s="65" t="s">
        <v>39</v>
      </c>
      <c r="H1117" s="65" t="s">
        <v>2355</v>
      </c>
      <c r="I1117" s="65" t="s">
        <v>67</v>
      </c>
      <c r="J1117" s="65" t="s">
        <v>151</v>
      </c>
      <c r="K1117" s="65" t="s">
        <v>74</v>
      </c>
      <c r="L1117" s="65" t="s">
        <v>156</v>
      </c>
      <c r="M1117" s="67">
        <v>793</v>
      </c>
      <c r="N1117" s="65" t="s">
        <v>140</v>
      </c>
      <c r="O1117" s="68">
        <v>2144.1799999999998</v>
      </c>
      <c r="P1117" s="68">
        <v>1639255.3774000001</v>
      </c>
      <c r="Q1117" s="68">
        <v>96548.6302</v>
      </c>
      <c r="R1117" s="62">
        <f t="shared" si="122"/>
        <v>5.8897857851248549E-2</v>
      </c>
      <c r="S1117" s="67">
        <v>26</v>
      </c>
      <c r="T1117" s="66">
        <v>45370</v>
      </c>
      <c r="U1117" s="66">
        <v>45373</v>
      </c>
      <c r="V1117" s="63">
        <f t="shared" si="123"/>
        <v>3</v>
      </c>
      <c r="W1117" s="65" t="s">
        <v>128</v>
      </c>
      <c r="X1117" s="64" t="b">
        <f t="shared" si="124"/>
        <v>0</v>
      </c>
      <c r="Y1117" s="67">
        <v>290</v>
      </c>
      <c r="Z1117" s="67">
        <v>247</v>
      </c>
      <c r="AA1117" s="65" t="s">
        <v>84</v>
      </c>
      <c r="AB1117" s="64" t="b">
        <f t="shared" si="125"/>
        <v>1</v>
      </c>
    </row>
    <row r="1118" spans="1:28" ht="15" customHeight="1" x14ac:dyDescent="0.3">
      <c r="A1118" s="57" t="s">
        <v>2356</v>
      </c>
      <c r="B1118" s="82">
        <v>45022</v>
      </c>
      <c r="C1118" s="59">
        <f t="shared" si="119"/>
        <v>2023</v>
      </c>
      <c r="D1118" s="59">
        <f t="shared" si="120"/>
        <v>4</v>
      </c>
      <c r="E1118" s="59">
        <f t="shared" si="121"/>
        <v>14</v>
      </c>
      <c r="F1118" s="57" t="s">
        <v>55</v>
      </c>
      <c r="G1118" s="57" t="s">
        <v>45</v>
      </c>
      <c r="H1118" s="57" t="s">
        <v>2357</v>
      </c>
      <c r="I1118" s="57" t="s">
        <v>66</v>
      </c>
      <c r="J1118" s="57" t="s">
        <v>112</v>
      </c>
      <c r="K1118" s="57" t="s">
        <v>71</v>
      </c>
      <c r="L1118" s="57" t="s">
        <v>113</v>
      </c>
      <c r="M1118" s="60">
        <v>155</v>
      </c>
      <c r="N1118" s="57" t="s">
        <v>136</v>
      </c>
      <c r="O1118" s="61">
        <v>210.26</v>
      </c>
      <c r="P1118" s="61">
        <v>32590.3</v>
      </c>
      <c r="Q1118" s="61">
        <v>2031.35</v>
      </c>
      <c r="R1118" s="62">
        <f t="shared" si="122"/>
        <v>6.2329895705163806E-2</v>
      </c>
      <c r="S1118" s="60">
        <v>28</v>
      </c>
      <c r="T1118" s="58">
        <v>45050</v>
      </c>
      <c r="U1118" s="58">
        <v>45047</v>
      </c>
      <c r="V1118" s="63">
        <f t="shared" si="123"/>
        <v>-3</v>
      </c>
      <c r="W1118" s="57" t="s">
        <v>115</v>
      </c>
      <c r="X1118" s="64" t="b">
        <f t="shared" si="124"/>
        <v>1</v>
      </c>
      <c r="Y1118" s="60">
        <v>354</v>
      </c>
      <c r="Z1118" s="60">
        <v>50</v>
      </c>
      <c r="AA1118" s="57" t="s">
        <v>84</v>
      </c>
      <c r="AB1118" s="64" t="b">
        <f t="shared" si="125"/>
        <v>1</v>
      </c>
    </row>
    <row r="1119" spans="1:28" ht="15" customHeight="1" x14ac:dyDescent="0.3">
      <c r="A1119" s="65" t="s">
        <v>2358</v>
      </c>
      <c r="B1119" s="81">
        <v>45157</v>
      </c>
      <c r="C1119" s="59">
        <f t="shared" si="119"/>
        <v>2023</v>
      </c>
      <c r="D1119" s="59">
        <f t="shared" si="120"/>
        <v>8</v>
      </c>
      <c r="E1119" s="59">
        <f t="shared" si="121"/>
        <v>33</v>
      </c>
      <c r="F1119" s="65" t="s">
        <v>52</v>
      </c>
      <c r="G1119" s="65" t="s">
        <v>45</v>
      </c>
      <c r="H1119" s="65" t="s">
        <v>2359</v>
      </c>
      <c r="I1119" s="65" t="s">
        <v>67</v>
      </c>
      <c r="J1119" s="65" t="s">
        <v>139</v>
      </c>
      <c r="K1119" s="65" t="s">
        <v>73</v>
      </c>
      <c r="L1119" s="65" t="s">
        <v>113</v>
      </c>
      <c r="M1119" s="67">
        <v>974</v>
      </c>
      <c r="N1119" s="65" t="s">
        <v>132</v>
      </c>
      <c r="O1119" s="68">
        <v>146.38999999999999</v>
      </c>
      <c r="P1119" s="68">
        <v>142583.85999999999</v>
      </c>
      <c r="Q1119" s="68">
        <v>8598.77</v>
      </c>
      <c r="R1119" s="62">
        <f t="shared" si="122"/>
        <v>6.0306755617360909E-2</v>
      </c>
      <c r="S1119" s="67">
        <v>23</v>
      </c>
      <c r="T1119" s="66">
        <v>45180</v>
      </c>
      <c r="U1119" s="66">
        <v>45180</v>
      </c>
      <c r="V1119" s="63">
        <f t="shared" si="123"/>
        <v>0</v>
      </c>
      <c r="W1119" s="65" t="s">
        <v>115</v>
      </c>
      <c r="X1119" s="64" t="b">
        <f t="shared" si="124"/>
        <v>1</v>
      </c>
      <c r="Y1119" s="67">
        <v>359</v>
      </c>
      <c r="Z1119" s="67">
        <v>190</v>
      </c>
      <c r="AA1119" s="65" t="s">
        <v>116</v>
      </c>
      <c r="AB1119" s="64" t="b">
        <f t="shared" si="125"/>
        <v>0</v>
      </c>
    </row>
    <row r="1120" spans="1:28" ht="15" customHeight="1" x14ac:dyDescent="0.3">
      <c r="A1120" s="57" t="s">
        <v>2360</v>
      </c>
      <c r="B1120" s="82">
        <v>45043</v>
      </c>
      <c r="C1120" s="59">
        <f t="shared" si="119"/>
        <v>2023</v>
      </c>
      <c r="D1120" s="59">
        <f t="shared" si="120"/>
        <v>4</v>
      </c>
      <c r="E1120" s="59">
        <f t="shared" si="121"/>
        <v>17</v>
      </c>
      <c r="F1120" s="57" t="s">
        <v>55</v>
      </c>
      <c r="G1120" s="57" t="s">
        <v>44</v>
      </c>
      <c r="H1120" s="57" t="s">
        <v>2361</v>
      </c>
      <c r="I1120" s="57" t="s">
        <v>67</v>
      </c>
      <c r="J1120" s="57" t="s">
        <v>112</v>
      </c>
      <c r="K1120" s="57" t="s">
        <v>72</v>
      </c>
      <c r="L1120" s="57" t="s">
        <v>113</v>
      </c>
      <c r="M1120" s="60">
        <v>959</v>
      </c>
      <c r="N1120" s="57" t="s">
        <v>163</v>
      </c>
      <c r="O1120" s="61">
        <v>118.78</v>
      </c>
      <c r="P1120" s="61">
        <v>113910.02</v>
      </c>
      <c r="Q1120" s="61">
        <v>4973.3599999999997</v>
      </c>
      <c r="R1120" s="62">
        <f t="shared" si="122"/>
        <v>4.3660426009933098E-2</v>
      </c>
      <c r="S1120" s="60">
        <v>14</v>
      </c>
      <c r="T1120" s="58">
        <v>45057</v>
      </c>
      <c r="U1120" s="58">
        <v>45057</v>
      </c>
      <c r="V1120" s="63">
        <f t="shared" si="123"/>
        <v>0</v>
      </c>
      <c r="W1120" s="57" t="s">
        <v>115</v>
      </c>
      <c r="X1120" s="64" t="b">
        <f t="shared" si="124"/>
        <v>1</v>
      </c>
      <c r="Y1120" s="60">
        <v>278</v>
      </c>
      <c r="Z1120" s="60">
        <v>482</v>
      </c>
      <c r="AA1120" s="57" t="s">
        <v>81</v>
      </c>
      <c r="AB1120" s="64" t="b">
        <f t="shared" si="125"/>
        <v>1</v>
      </c>
    </row>
    <row r="1121" spans="1:28" ht="15" customHeight="1" x14ac:dyDescent="0.3">
      <c r="A1121" s="65" t="s">
        <v>2362</v>
      </c>
      <c r="B1121" s="81">
        <v>45399</v>
      </c>
      <c r="C1121" s="59">
        <f t="shared" si="119"/>
        <v>2024</v>
      </c>
      <c r="D1121" s="59">
        <f t="shared" si="120"/>
        <v>4</v>
      </c>
      <c r="E1121" s="59">
        <f t="shared" si="121"/>
        <v>16</v>
      </c>
      <c r="F1121" s="65" t="s">
        <v>57</v>
      </c>
      <c r="G1121" s="65" t="s">
        <v>43</v>
      </c>
      <c r="H1121" s="65" t="s">
        <v>2363</v>
      </c>
      <c r="I1121" s="65" t="s">
        <v>65</v>
      </c>
      <c r="J1121" s="65" t="s">
        <v>139</v>
      </c>
      <c r="K1121" s="65" t="s">
        <v>73</v>
      </c>
      <c r="L1121" s="65" t="s">
        <v>156</v>
      </c>
      <c r="M1121" s="67">
        <v>877</v>
      </c>
      <c r="N1121" s="65" t="s">
        <v>163</v>
      </c>
      <c r="O1121" s="68">
        <v>272.22000000000003</v>
      </c>
      <c r="P1121" s="68">
        <v>238736.94</v>
      </c>
      <c r="Q1121" s="68">
        <v>4793.1400000000003</v>
      </c>
      <c r="R1121" s="62">
        <f t="shared" si="122"/>
        <v>2.0077077305254896E-2</v>
      </c>
      <c r="S1121" s="67">
        <v>24</v>
      </c>
      <c r="T1121" s="66">
        <v>45423</v>
      </c>
      <c r="U1121" s="66">
        <v>45425</v>
      </c>
      <c r="V1121" s="63">
        <f t="shared" si="123"/>
        <v>2</v>
      </c>
      <c r="W1121" s="65" t="s">
        <v>125</v>
      </c>
      <c r="X1121" s="64" t="b">
        <f t="shared" si="124"/>
        <v>0</v>
      </c>
      <c r="Y1121" s="67">
        <v>216</v>
      </c>
      <c r="Z1121" s="67">
        <v>499</v>
      </c>
      <c r="AA1121" s="65" t="s">
        <v>116</v>
      </c>
      <c r="AB1121" s="64" t="b">
        <f t="shared" si="125"/>
        <v>0</v>
      </c>
    </row>
    <row r="1122" spans="1:28" ht="15" customHeight="1" x14ac:dyDescent="0.3">
      <c r="A1122" s="57" t="s">
        <v>2364</v>
      </c>
      <c r="B1122" s="82">
        <v>45047</v>
      </c>
      <c r="C1122" s="59">
        <f t="shared" si="119"/>
        <v>2023</v>
      </c>
      <c r="D1122" s="59">
        <f t="shared" si="120"/>
        <v>5</v>
      </c>
      <c r="E1122" s="59">
        <f t="shared" si="121"/>
        <v>18</v>
      </c>
      <c r="F1122" s="57" t="s">
        <v>55</v>
      </c>
      <c r="G1122" s="57" t="s">
        <v>43</v>
      </c>
      <c r="H1122" s="57" t="s">
        <v>2365</v>
      </c>
      <c r="I1122" s="57" t="s">
        <v>68</v>
      </c>
      <c r="J1122" s="57" t="s">
        <v>112</v>
      </c>
      <c r="K1122" s="57" t="s">
        <v>75</v>
      </c>
      <c r="L1122" s="57" t="s">
        <v>146</v>
      </c>
      <c r="M1122" s="60">
        <v>39</v>
      </c>
      <c r="N1122" s="57" t="s">
        <v>132</v>
      </c>
      <c r="O1122" s="61">
        <v>252.24</v>
      </c>
      <c r="P1122" s="61">
        <v>9837.36</v>
      </c>
      <c r="Q1122" s="61">
        <v>267.67</v>
      </c>
      <c r="R1122" s="62">
        <f t="shared" si="122"/>
        <v>2.7209535891743315E-2</v>
      </c>
      <c r="S1122" s="60">
        <v>2</v>
      </c>
      <c r="T1122" s="58">
        <v>45049</v>
      </c>
      <c r="U1122" s="58">
        <v>45051</v>
      </c>
      <c r="V1122" s="63">
        <f t="shared" si="123"/>
        <v>2</v>
      </c>
      <c r="W1122" s="57" t="s">
        <v>125</v>
      </c>
      <c r="X1122" s="64" t="b">
        <f t="shared" si="124"/>
        <v>0</v>
      </c>
      <c r="Y1122" s="60">
        <v>320</v>
      </c>
      <c r="Z1122" s="60">
        <v>494</v>
      </c>
      <c r="AA1122" s="57" t="s">
        <v>82</v>
      </c>
      <c r="AB1122" s="64" t="b">
        <f t="shared" si="125"/>
        <v>1</v>
      </c>
    </row>
    <row r="1123" spans="1:28" ht="15" customHeight="1" x14ac:dyDescent="0.3">
      <c r="A1123" s="65" t="s">
        <v>2366</v>
      </c>
      <c r="B1123" s="81">
        <v>45590</v>
      </c>
      <c r="C1123" s="59">
        <f t="shared" si="119"/>
        <v>2024</v>
      </c>
      <c r="D1123" s="59">
        <f t="shared" si="120"/>
        <v>10</v>
      </c>
      <c r="E1123" s="59">
        <f t="shared" si="121"/>
        <v>43</v>
      </c>
      <c r="F1123" s="65" t="s">
        <v>56</v>
      </c>
      <c r="G1123" s="65" t="s">
        <v>46</v>
      </c>
      <c r="H1123" s="65" t="s">
        <v>2367</v>
      </c>
      <c r="I1123" s="65" t="s">
        <v>68</v>
      </c>
      <c r="J1123" s="65" t="s">
        <v>143</v>
      </c>
      <c r="K1123" s="65" t="s">
        <v>74</v>
      </c>
      <c r="L1123" s="65" t="s">
        <v>119</v>
      </c>
      <c r="M1123" s="67">
        <v>54</v>
      </c>
      <c r="N1123" s="65" t="s">
        <v>136</v>
      </c>
      <c r="O1123" s="68">
        <v>64.05</v>
      </c>
      <c r="P1123" s="68">
        <v>3458.7</v>
      </c>
      <c r="Q1123" s="68">
        <v>180.11</v>
      </c>
      <c r="R1123" s="62">
        <f t="shared" si="122"/>
        <v>5.2074478850435139E-2</v>
      </c>
      <c r="S1123" s="67">
        <v>13</v>
      </c>
      <c r="T1123" s="66">
        <v>45603</v>
      </c>
      <c r="U1123" s="66">
        <v>45604</v>
      </c>
      <c r="V1123" s="63">
        <f t="shared" si="123"/>
        <v>1</v>
      </c>
      <c r="W1123" s="65" t="s">
        <v>125</v>
      </c>
      <c r="X1123" s="64" t="b">
        <f t="shared" si="124"/>
        <v>0</v>
      </c>
      <c r="Y1123" s="67">
        <v>337</v>
      </c>
      <c r="Z1123" s="67">
        <v>236</v>
      </c>
      <c r="AA1123" s="65" t="s">
        <v>116</v>
      </c>
      <c r="AB1123" s="64" t="b">
        <f t="shared" si="125"/>
        <v>0</v>
      </c>
    </row>
    <row r="1124" spans="1:28" ht="15" customHeight="1" x14ac:dyDescent="0.3">
      <c r="A1124" s="57" t="s">
        <v>2368</v>
      </c>
      <c r="B1124" s="82">
        <v>45084</v>
      </c>
      <c r="C1124" s="59">
        <f t="shared" si="119"/>
        <v>2023</v>
      </c>
      <c r="D1124" s="59">
        <f t="shared" si="120"/>
        <v>6</v>
      </c>
      <c r="E1124" s="59">
        <f t="shared" si="121"/>
        <v>23</v>
      </c>
      <c r="F1124" s="57" t="s">
        <v>58</v>
      </c>
      <c r="G1124" s="57" t="s">
        <v>45</v>
      </c>
      <c r="H1124" s="57" t="s">
        <v>2369</v>
      </c>
      <c r="I1124" s="57" t="s">
        <v>69</v>
      </c>
      <c r="J1124" s="57" t="s">
        <v>123</v>
      </c>
      <c r="K1124" s="57" t="s">
        <v>75</v>
      </c>
      <c r="L1124" s="57" t="s">
        <v>135</v>
      </c>
      <c r="M1124" s="60">
        <v>796</v>
      </c>
      <c r="N1124" s="57" t="s">
        <v>132</v>
      </c>
      <c r="O1124" s="61">
        <v>148.82</v>
      </c>
      <c r="P1124" s="61">
        <v>118460.72</v>
      </c>
      <c r="Q1124" s="61">
        <v>7167.8</v>
      </c>
      <c r="R1124" s="62">
        <f t="shared" si="122"/>
        <v>6.0507820651436194E-2</v>
      </c>
      <c r="S1124" s="60">
        <v>26</v>
      </c>
      <c r="T1124" s="58">
        <v>45110</v>
      </c>
      <c r="U1124" s="58">
        <v>45111</v>
      </c>
      <c r="V1124" s="63">
        <f t="shared" si="123"/>
        <v>1</v>
      </c>
      <c r="W1124" s="57" t="s">
        <v>128</v>
      </c>
      <c r="X1124" s="64" t="b">
        <f t="shared" si="124"/>
        <v>0</v>
      </c>
      <c r="Y1124" s="60">
        <v>206</v>
      </c>
      <c r="Z1124" s="60">
        <v>21</v>
      </c>
      <c r="AA1124" s="57" t="s">
        <v>81</v>
      </c>
      <c r="AB1124" s="64" t="b">
        <f t="shared" si="125"/>
        <v>1</v>
      </c>
    </row>
    <row r="1125" spans="1:28" ht="15" customHeight="1" x14ac:dyDescent="0.3">
      <c r="A1125" s="65" t="s">
        <v>2370</v>
      </c>
      <c r="B1125" s="81">
        <v>45437</v>
      </c>
      <c r="C1125" s="59">
        <f t="shared" si="119"/>
        <v>2024</v>
      </c>
      <c r="D1125" s="59">
        <f t="shared" si="120"/>
        <v>5</v>
      </c>
      <c r="E1125" s="59">
        <f t="shared" si="121"/>
        <v>21</v>
      </c>
      <c r="F1125" s="65" t="s">
        <v>52</v>
      </c>
      <c r="G1125" s="65" t="s">
        <v>43</v>
      </c>
      <c r="H1125" s="65" t="s">
        <v>2371</v>
      </c>
      <c r="I1125" s="65" t="s">
        <v>68</v>
      </c>
      <c r="J1125" s="65" t="s">
        <v>131</v>
      </c>
      <c r="K1125" s="65" t="s">
        <v>74</v>
      </c>
      <c r="L1125" s="65" t="s">
        <v>146</v>
      </c>
      <c r="M1125" s="67">
        <v>480</v>
      </c>
      <c r="N1125" s="65" t="s">
        <v>120</v>
      </c>
      <c r="O1125" s="68">
        <v>208.3</v>
      </c>
      <c r="P1125" s="68">
        <v>99984</v>
      </c>
      <c r="Q1125" s="68">
        <v>4503.97</v>
      </c>
      <c r="R1125" s="62">
        <f t="shared" si="122"/>
        <v>4.5046907505200837E-2</v>
      </c>
      <c r="S1125" s="67">
        <v>14</v>
      </c>
      <c r="T1125" s="66">
        <v>45451</v>
      </c>
      <c r="U1125" s="66">
        <v>45463</v>
      </c>
      <c r="V1125" s="63">
        <f t="shared" si="123"/>
        <v>12</v>
      </c>
      <c r="W1125" s="65" t="s">
        <v>128</v>
      </c>
      <c r="X1125" s="64" t="b">
        <f t="shared" si="124"/>
        <v>0</v>
      </c>
      <c r="Y1125" s="67">
        <v>152</v>
      </c>
      <c r="Z1125" s="67">
        <v>109</v>
      </c>
      <c r="AA1125" s="65" t="s">
        <v>83</v>
      </c>
      <c r="AB1125" s="64" t="b">
        <f t="shared" si="125"/>
        <v>1</v>
      </c>
    </row>
    <row r="1126" spans="1:28" ht="15" customHeight="1" x14ac:dyDescent="0.3">
      <c r="A1126" s="57" t="s">
        <v>2372</v>
      </c>
      <c r="B1126" s="82">
        <v>45225</v>
      </c>
      <c r="C1126" s="59">
        <f t="shared" si="119"/>
        <v>2023</v>
      </c>
      <c r="D1126" s="59">
        <f t="shared" si="120"/>
        <v>10</v>
      </c>
      <c r="E1126" s="59">
        <f t="shared" si="121"/>
        <v>43</v>
      </c>
      <c r="F1126" s="57" t="s">
        <v>59</v>
      </c>
      <c r="G1126" s="57" t="s">
        <v>43</v>
      </c>
      <c r="H1126" s="57" t="s">
        <v>2373</v>
      </c>
      <c r="I1126" s="57" t="s">
        <v>68</v>
      </c>
      <c r="J1126" s="57" t="s">
        <v>112</v>
      </c>
      <c r="K1126" s="57" t="s">
        <v>75</v>
      </c>
      <c r="L1126" s="57" t="s">
        <v>113</v>
      </c>
      <c r="M1126" s="60">
        <v>43</v>
      </c>
      <c r="N1126" s="57" t="s">
        <v>132</v>
      </c>
      <c r="O1126" s="61">
        <v>215.04</v>
      </c>
      <c r="P1126" s="61">
        <v>9246.7199999999993</v>
      </c>
      <c r="Q1126" s="61">
        <v>590.32000000000005</v>
      </c>
      <c r="R1126" s="62">
        <f t="shared" si="122"/>
        <v>6.3841016057585839E-2</v>
      </c>
      <c r="S1126" s="60">
        <v>27</v>
      </c>
      <c r="T1126" s="58">
        <v>45252</v>
      </c>
      <c r="U1126" s="58">
        <v>45260</v>
      </c>
      <c r="V1126" s="63">
        <f t="shared" si="123"/>
        <v>8</v>
      </c>
      <c r="W1126" s="57" t="s">
        <v>128</v>
      </c>
      <c r="X1126" s="64" t="b">
        <f t="shared" si="124"/>
        <v>0</v>
      </c>
      <c r="Y1126" s="60">
        <v>479</v>
      </c>
      <c r="Z1126" s="60">
        <v>326</v>
      </c>
      <c r="AA1126" s="57" t="s">
        <v>82</v>
      </c>
      <c r="AB1126" s="64" t="b">
        <f t="shared" si="125"/>
        <v>1</v>
      </c>
    </row>
    <row r="1127" spans="1:28" ht="15" customHeight="1" x14ac:dyDescent="0.3">
      <c r="A1127" s="65" t="s">
        <v>2374</v>
      </c>
      <c r="B1127" s="81">
        <v>45448</v>
      </c>
      <c r="C1127" s="59">
        <f t="shared" si="119"/>
        <v>2024</v>
      </c>
      <c r="D1127" s="59">
        <f t="shared" si="120"/>
        <v>6</v>
      </c>
      <c r="E1127" s="59">
        <f t="shared" si="121"/>
        <v>23</v>
      </c>
      <c r="F1127" s="65" t="s">
        <v>55</v>
      </c>
      <c r="G1127" s="65" t="s">
        <v>42</v>
      </c>
      <c r="H1127" s="65" t="s">
        <v>2375</v>
      </c>
      <c r="I1127" s="65" t="s">
        <v>67</v>
      </c>
      <c r="J1127" s="65" t="s">
        <v>131</v>
      </c>
      <c r="K1127" s="65" t="s">
        <v>71</v>
      </c>
      <c r="L1127" s="65" t="s">
        <v>124</v>
      </c>
      <c r="M1127" s="67">
        <v>662</v>
      </c>
      <c r="N1127" s="65" t="s">
        <v>136</v>
      </c>
      <c r="O1127" s="68">
        <v>115.43</v>
      </c>
      <c r="P1127" s="68">
        <v>76414.66</v>
      </c>
      <c r="Q1127" s="68">
        <v>3920.97</v>
      </c>
      <c r="R1127" s="62">
        <f t="shared" si="122"/>
        <v>5.131175091271753E-2</v>
      </c>
      <c r="S1127" s="67">
        <v>24</v>
      </c>
      <c r="T1127" s="66">
        <v>45472</v>
      </c>
      <c r="U1127" s="66">
        <v>45472</v>
      </c>
      <c r="V1127" s="63">
        <f t="shared" si="123"/>
        <v>0</v>
      </c>
      <c r="W1127" s="65" t="s">
        <v>115</v>
      </c>
      <c r="X1127" s="64" t="b">
        <f t="shared" si="124"/>
        <v>1</v>
      </c>
      <c r="Y1127" s="67">
        <v>180</v>
      </c>
      <c r="Z1127" s="67">
        <v>32</v>
      </c>
      <c r="AA1127" s="65" t="s">
        <v>116</v>
      </c>
      <c r="AB1127" s="64" t="b">
        <f t="shared" si="125"/>
        <v>0</v>
      </c>
    </row>
    <row r="1128" spans="1:28" ht="15" customHeight="1" x14ac:dyDescent="0.3">
      <c r="A1128" s="57" t="s">
        <v>2376</v>
      </c>
      <c r="B1128" s="82">
        <v>45649</v>
      </c>
      <c r="C1128" s="59">
        <f t="shared" si="119"/>
        <v>2024</v>
      </c>
      <c r="D1128" s="59">
        <f t="shared" si="120"/>
        <v>12</v>
      </c>
      <c r="E1128" s="59">
        <f t="shared" si="121"/>
        <v>52</v>
      </c>
      <c r="F1128" s="57" t="s">
        <v>54</v>
      </c>
      <c r="G1128" s="57" t="s">
        <v>41</v>
      </c>
      <c r="H1128" s="57" t="s">
        <v>2377</v>
      </c>
      <c r="I1128" s="57" t="s">
        <v>64</v>
      </c>
      <c r="J1128" s="57" t="s">
        <v>112</v>
      </c>
      <c r="K1128" s="57" t="s">
        <v>74</v>
      </c>
      <c r="L1128" s="57" t="s">
        <v>156</v>
      </c>
      <c r="M1128" s="60">
        <v>436</v>
      </c>
      <c r="N1128" s="57" t="s">
        <v>132</v>
      </c>
      <c r="O1128" s="61">
        <v>606.42999999999995</v>
      </c>
      <c r="P1128" s="61">
        <v>264403.48</v>
      </c>
      <c r="Q1128" s="61">
        <v>6464.82</v>
      </c>
      <c r="R1128" s="62">
        <f t="shared" si="122"/>
        <v>2.445058590000404E-2</v>
      </c>
      <c r="S1128" s="60">
        <v>19</v>
      </c>
      <c r="T1128" s="58">
        <v>45668</v>
      </c>
      <c r="U1128" s="58">
        <v>45668</v>
      </c>
      <c r="V1128" s="63">
        <f t="shared" si="123"/>
        <v>0</v>
      </c>
      <c r="W1128" s="57" t="s">
        <v>115</v>
      </c>
      <c r="X1128" s="64" t="b">
        <f t="shared" si="124"/>
        <v>1</v>
      </c>
      <c r="Y1128" s="60">
        <v>211</v>
      </c>
      <c r="Z1128" s="60">
        <v>126</v>
      </c>
      <c r="AA1128" s="57" t="s">
        <v>82</v>
      </c>
      <c r="AB1128" s="64" t="b">
        <f t="shared" si="125"/>
        <v>1</v>
      </c>
    </row>
    <row r="1129" spans="1:28" ht="15" customHeight="1" x14ac:dyDescent="0.3">
      <c r="A1129" s="65" t="s">
        <v>2378</v>
      </c>
      <c r="B1129" s="81">
        <v>45206</v>
      </c>
      <c r="C1129" s="59">
        <f t="shared" si="119"/>
        <v>2023</v>
      </c>
      <c r="D1129" s="59">
        <f t="shared" si="120"/>
        <v>10</v>
      </c>
      <c r="E1129" s="59">
        <f t="shared" si="121"/>
        <v>40</v>
      </c>
      <c r="F1129" s="65" t="s">
        <v>54</v>
      </c>
      <c r="G1129" s="65" t="s">
        <v>46</v>
      </c>
      <c r="H1129" s="65" t="s">
        <v>2379</v>
      </c>
      <c r="I1129" s="65" t="s">
        <v>65</v>
      </c>
      <c r="J1129" s="65" t="s">
        <v>151</v>
      </c>
      <c r="K1129" s="65" t="s">
        <v>74</v>
      </c>
      <c r="L1129" s="65" t="s">
        <v>156</v>
      </c>
      <c r="M1129" s="67">
        <v>839</v>
      </c>
      <c r="N1129" s="65" t="s">
        <v>140</v>
      </c>
      <c r="O1129" s="68">
        <v>56.96</v>
      </c>
      <c r="P1129" s="68">
        <v>47789.440000000002</v>
      </c>
      <c r="Q1129" s="68">
        <v>1506.37</v>
      </c>
      <c r="R1129" s="62">
        <f t="shared" si="122"/>
        <v>3.1520980367210828E-2</v>
      </c>
      <c r="S1129" s="67">
        <v>7</v>
      </c>
      <c r="T1129" s="66">
        <v>45213</v>
      </c>
      <c r="U1129" s="66">
        <v>45221</v>
      </c>
      <c r="V1129" s="63">
        <f t="shared" si="123"/>
        <v>8</v>
      </c>
      <c r="W1129" s="65" t="s">
        <v>125</v>
      </c>
      <c r="X1129" s="64" t="b">
        <f t="shared" si="124"/>
        <v>0</v>
      </c>
      <c r="Y1129" s="67">
        <v>272</v>
      </c>
      <c r="Z1129" s="67">
        <v>364</v>
      </c>
      <c r="AA1129" s="65" t="s">
        <v>116</v>
      </c>
      <c r="AB1129" s="64" t="b">
        <f t="shared" si="125"/>
        <v>0</v>
      </c>
    </row>
    <row r="1130" spans="1:28" ht="15" customHeight="1" x14ac:dyDescent="0.3">
      <c r="A1130" s="57" t="s">
        <v>2380</v>
      </c>
      <c r="B1130" s="82">
        <v>45352</v>
      </c>
      <c r="C1130" s="59">
        <f t="shared" si="119"/>
        <v>2024</v>
      </c>
      <c r="D1130" s="59">
        <f t="shared" si="120"/>
        <v>3</v>
      </c>
      <c r="E1130" s="59">
        <f t="shared" si="121"/>
        <v>9</v>
      </c>
      <c r="F1130" s="57" t="s">
        <v>54</v>
      </c>
      <c r="G1130" s="57" t="s">
        <v>40</v>
      </c>
      <c r="H1130" s="57" t="s">
        <v>2381</v>
      </c>
      <c r="I1130" s="57" t="s">
        <v>69</v>
      </c>
      <c r="J1130" s="57" t="s">
        <v>123</v>
      </c>
      <c r="K1130" s="57" t="s">
        <v>75</v>
      </c>
      <c r="L1130" s="57" t="s">
        <v>135</v>
      </c>
      <c r="M1130" s="60">
        <v>895</v>
      </c>
      <c r="N1130" s="57" t="s">
        <v>114</v>
      </c>
      <c r="O1130" s="61">
        <v>896.2</v>
      </c>
      <c r="P1130" s="61">
        <v>802099</v>
      </c>
      <c r="Q1130" s="61">
        <v>56467.68</v>
      </c>
      <c r="R1130" s="62">
        <f t="shared" si="122"/>
        <v>7.0399888293091004E-2</v>
      </c>
      <c r="S1130" s="60">
        <v>3</v>
      </c>
      <c r="T1130" s="58">
        <v>45355</v>
      </c>
      <c r="U1130" s="58">
        <v>45358</v>
      </c>
      <c r="V1130" s="63">
        <f t="shared" si="123"/>
        <v>3</v>
      </c>
      <c r="W1130" s="57" t="s">
        <v>128</v>
      </c>
      <c r="X1130" s="64" t="b">
        <f t="shared" si="124"/>
        <v>0</v>
      </c>
      <c r="Y1130" s="60">
        <v>440</v>
      </c>
      <c r="Z1130" s="60">
        <v>355</v>
      </c>
      <c r="AA1130" s="57" t="s">
        <v>116</v>
      </c>
      <c r="AB1130" s="64" t="b">
        <f t="shared" si="125"/>
        <v>0</v>
      </c>
    </row>
    <row r="1131" spans="1:28" ht="15" customHeight="1" x14ac:dyDescent="0.3">
      <c r="A1131" s="65" t="s">
        <v>2382</v>
      </c>
      <c r="B1131" s="81">
        <v>45421</v>
      </c>
      <c r="C1131" s="59">
        <f t="shared" si="119"/>
        <v>2024</v>
      </c>
      <c r="D1131" s="59">
        <f t="shared" si="120"/>
        <v>5</v>
      </c>
      <c r="E1131" s="59">
        <f t="shared" si="121"/>
        <v>19</v>
      </c>
      <c r="F1131" s="65" t="s">
        <v>55</v>
      </c>
      <c r="G1131" s="65" t="s">
        <v>46</v>
      </c>
      <c r="H1131" s="65" t="s">
        <v>2383</v>
      </c>
      <c r="I1131" s="65" t="s">
        <v>65</v>
      </c>
      <c r="J1131" s="65" t="s">
        <v>143</v>
      </c>
      <c r="K1131" s="65" t="s">
        <v>72</v>
      </c>
      <c r="L1131" s="65" t="s">
        <v>124</v>
      </c>
      <c r="M1131" s="67">
        <v>230</v>
      </c>
      <c r="N1131" s="65" t="s">
        <v>132</v>
      </c>
      <c r="O1131" s="68">
        <v>45.17</v>
      </c>
      <c r="P1131" s="68">
        <v>10389.1</v>
      </c>
      <c r="Q1131" s="68">
        <v>659.65</v>
      </c>
      <c r="R1131" s="62">
        <f t="shared" si="122"/>
        <v>6.3494431663955492E-2</v>
      </c>
      <c r="S1131" s="67">
        <v>15</v>
      </c>
      <c r="T1131" s="66">
        <v>45436</v>
      </c>
      <c r="U1131" s="66">
        <v>45436</v>
      </c>
      <c r="V1131" s="63">
        <f t="shared" si="123"/>
        <v>0</v>
      </c>
      <c r="W1131" s="65" t="s">
        <v>115</v>
      </c>
      <c r="X1131" s="64" t="b">
        <f t="shared" si="124"/>
        <v>1</v>
      </c>
      <c r="Y1131" s="67">
        <v>202</v>
      </c>
      <c r="Z1131" s="67">
        <v>43</v>
      </c>
      <c r="AA1131" s="65" t="s">
        <v>116</v>
      </c>
      <c r="AB1131" s="64" t="b">
        <f t="shared" si="125"/>
        <v>0</v>
      </c>
    </row>
    <row r="1132" spans="1:28" ht="15" customHeight="1" x14ac:dyDescent="0.3">
      <c r="A1132" s="57" t="s">
        <v>2384</v>
      </c>
      <c r="B1132" s="82">
        <v>45410</v>
      </c>
      <c r="C1132" s="59">
        <f t="shared" si="119"/>
        <v>2024</v>
      </c>
      <c r="D1132" s="59">
        <f t="shared" si="120"/>
        <v>4</v>
      </c>
      <c r="E1132" s="59">
        <f t="shared" si="121"/>
        <v>18</v>
      </c>
      <c r="F1132" s="57" t="s">
        <v>61</v>
      </c>
      <c r="G1132" s="57" t="s">
        <v>46</v>
      </c>
      <c r="H1132" s="57" t="s">
        <v>2385</v>
      </c>
      <c r="I1132" s="57" t="s">
        <v>69</v>
      </c>
      <c r="J1132" s="57" t="s">
        <v>123</v>
      </c>
      <c r="K1132" s="57" t="s">
        <v>75</v>
      </c>
      <c r="L1132" s="57" t="s">
        <v>119</v>
      </c>
      <c r="M1132" s="60">
        <v>877</v>
      </c>
      <c r="N1132" s="57" t="s">
        <v>114</v>
      </c>
      <c r="O1132" s="61">
        <v>88.68</v>
      </c>
      <c r="P1132" s="61">
        <v>77772.36</v>
      </c>
      <c r="Q1132" s="61">
        <v>5730.71</v>
      </c>
      <c r="R1132" s="62">
        <f t="shared" si="122"/>
        <v>7.368568987748346E-2</v>
      </c>
      <c r="S1132" s="60">
        <v>23</v>
      </c>
      <c r="T1132" s="58">
        <v>45433</v>
      </c>
      <c r="U1132" s="58">
        <v>45445</v>
      </c>
      <c r="V1132" s="63">
        <f t="shared" si="123"/>
        <v>12</v>
      </c>
      <c r="W1132" s="57" t="s">
        <v>128</v>
      </c>
      <c r="X1132" s="64" t="b">
        <f t="shared" si="124"/>
        <v>0</v>
      </c>
      <c r="Y1132" s="60">
        <v>204</v>
      </c>
      <c r="Z1132" s="60">
        <v>6</v>
      </c>
      <c r="AA1132" s="57" t="s">
        <v>116</v>
      </c>
      <c r="AB1132" s="64" t="b">
        <f t="shared" si="125"/>
        <v>0</v>
      </c>
    </row>
    <row r="1133" spans="1:28" ht="15" customHeight="1" x14ac:dyDescent="0.3">
      <c r="A1133" s="65" t="s">
        <v>2386</v>
      </c>
      <c r="B1133" s="81">
        <v>45176</v>
      </c>
      <c r="C1133" s="59">
        <f t="shared" si="119"/>
        <v>2023</v>
      </c>
      <c r="D1133" s="59">
        <f t="shared" si="120"/>
        <v>9</v>
      </c>
      <c r="E1133" s="59">
        <f t="shared" si="121"/>
        <v>36</v>
      </c>
      <c r="F1133" s="65" t="s">
        <v>56</v>
      </c>
      <c r="G1133" s="65" t="s">
        <v>40</v>
      </c>
      <c r="H1133" s="65" t="s">
        <v>2387</v>
      </c>
      <c r="I1133" s="65" t="s">
        <v>66</v>
      </c>
      <c r="J1133" s="65" t="s">
        <v>131</v>
      </c>
      <c r="K1133" s="65" t="s">
        <v>74</v>
      </c>
      <c r="L1133" s="65" t="s">
        <v>146</v>
      </c>
      <c r="M1133" s="67">
        <v>543</v>
      </c>
      <c r="N1133" s="65" t="s">
        <v>132</v>
      </c>
      <c r="O1133" s="68">
        <v>790.44</v>
      </c>
      <c r="P1133" s="68">
        <v>429208.92</v>
      </c>
      <c r="Q1133" s="68">
        <v>11611.58</v>
      </c>
      <c r="R1133" s="62">
        <f t="shared" si="122"/>
        <v>2.7053445207988688E-2</v>
      </c>
      <c r="S1133" s="67">
        <v>14</v>
      </c>
      <c r="T1133" s="66">
        <v>45190</v>
      </c>
      <c r="U1133" s="66">
        <v>45187</v>
      </c>
      <c r="V1133" s="63">
        <f t="shared" si="123"/>
        <v>-3</v>
      </c>
      <c r="W1133" s="65" t="s">
        <v>115</v>
      </c>
      <c r="X1133" s="64" t="b">
        <f t="shared" si="124"/>
        <v>1</v>
      </c>
      <c r="Y1133" s="67">
        <v>472</v>
      </c>
      <c r="Z1133" s="67">
        <v>127</v>
      </c>
      <c r="AA1133" s="65" t="s">
        <v>116</v>
      </c>
      <c r="AB1133" s="64" t="b">
        <f t="shared" si="125"/>
        <v>0</v>
      </c>
    </row>
    <row r="1134" spans="1:28" ht="15" customHeight="1" x14ac:dyDescent="0.3">
      <c r="A1134" s="57" t="s">
        <v>2388</v>
      </c>
      <c r="B1134" s="82">
        <v>45394</v>
      </c>
      <c r="C1134" s="59">
        <f t="shared" si="119"/>
        <v>2024</v>
      </c>
      <c r="D1134" s="59">
        <f t="shared" si="120"/>
        <v>4</v>
      </c>
      <c r="E1134" s="59">
        <f t="shared" si="121"/>
        <v>15</v>
      </c>
      <c r="F1134" s="57" t="s">
        <v>60</v>
      </c>
      <c r="G1134" s="57" t="s">
        <v>42</v>
      </c>
      <c r="H1134" s="57" t="s">
        <v>2389</v>
      </c>
      <c r="I1134" s="57" t="s">
        <v>67</v>
      </c>
      <c r="J1134" s="57" t="s">
        <v>151</v>
      </c>
      <c r="K1134" s="57" t="s">
        <v>74</v>
      </c>
      <c r="L1134" s="57" t="s">
        <v>124</v>
      </c>
      <c r="M1134" s="60">
        <v>701</v>
      </c>
      <c r="N1134" s="57" t="s">
        <v>136</v>
      </c>
      <c r="O1134" s="61">
        <v>86.58</v>
      </c>
      <c r="P1134" s="61">
        <v>60692.58</v>
      </c>
      <c r="Q1134" s="61">
        <v>4819.8</v>
      </c>
      <c r="R1134" s="62">
        <f t="shared" si="122"/>
        <v>7.9413331909765572E-2</v>
      </c>
      <c r="S1134" s="60">
        <v>11</v>
      </c>
      <c r="T1134" s="58">
        <v>45405</v>
      </c>
      <c r="U1134" s="58">
        <v>45402</v>
      </c>
      <c r="V1134" s="63">
        <f t="shared" si="123"/>
        <v>-3</v>
      </c>
      <c r="W1134" s="57" t="s">
        <v>115</v>
      </c>
      <c r="X1134" s="64" t="b">
        <f t="shared" si="124"/>
        <v>1</v>
      </c>
      <c r="Y1134" s="60">
        <v>403</v>
      </c>
      <c r="Z1134" s="60">
        <v>90</v>
      </c>
      <c r="AA1134" s="57" t="s">
        <v>116</v>
      </c>
      <c r="AB1134" s="64" t="b">
        <f t="shared" si="125"/>
        <v>0</v>
      </c>
    </row>
    <row r="1135" spans="1:28" ht="15" customHeight="1" x14ac:dyDescent="0.3">
      <c r="A1135" s="65" t="s">
        <v>2390</v>
      </c>
      <c r="B1135" s="81">
        <v>45491</v>
      </c>
      <c r="C1135" s="59">
        <f t="shared" si="119"/>
        <v>2024</v>
      </c>
      <c r="D1135" s="59">
        <f t="shared" si="120"/>
        <v>7</v>
      </c>
      <c r="E1135" s="59">
        <f t="shared" si="121"/>
        <v>29</v>
      </c>
      <c r="F1135" s="65" t="s">
        <v>55</v>
      </c>
      <c r="G1135" s="65" t="s">
        <v>45</v>
      </c>
      <c r="H1135" s="65" t="s">
        <v>2391</v>
      </c>
      <c r="I1135" s="65" t="s">
        <v>68</v>
      </c>
      <c r="J1135" s="65" t="s">
        <v>139</v>
      </c>
      <c r="K1135" s="65" t="s">
        <v>72</v>
      </c>
      <c r="L1135" s="65" t="s">
        <v>146</v>
      </c>
      <c r="M1135" s="67">
        <v>957</v>
      </c>
      <c r="N1135" s="65" t="s">
        <v>120</v>
      </c>
      <c r="O1135" s="68">
        <v>196.85</v>
      </c>
      <c r="P1135" s="68">
        <v>188385.45</v>
      </c>
      <c r="Q1135" s="68">
        <v>6134.66</v>
      </c>
      <c r="R1135" s="62">
        <f t="shared" si="122"/>
        <v>3.256440452274844E-2</v>
      </c>
      <c r="S1135" s="67">
        <v>15</v>
      </c>
      <c r="T1135" s="66">
        <v>45506</v>
      </c>
      <c r="U1135" s="66">
        <v>45506</v>
      </c>
      <c r="V1135" s="63">
        <f t="shared" si="123"/>
        <v>0</v>
      </c>
      <c r="W1135" s="65" t="s">
        <v>128</v>
      </c>
      <c r="X1135" s="64" t="b">
        <f t="shared" si="124"/>
        <v>0</v>
      </c>
      <c r="Y1135" s="67">
        <v>383</v>
      </c>
      <c r="Z1135" s="67">
        <v>129</v>
      </c>
      <c r="AA1135" s="65" t="s">
        <v>82</v>
      </c>
      <c r="AB1135" s="64" t="b">
        <f t="shared" si="125"/>
        <v>1</v>
      </c>
    </row>
    <row r="1136" spans="1:28" ht="15" customHeight="1" x14ac:dyDescent="0.3">
      <c r="A1136" s="57" t="s">
        <v>2392</v>
      </c>
      <c r="B1136" s="82">
        <v>45075</v>
      </c>
      <c r="C1136" s="59">
        <f t="shared" si="119"/>
        <v>2023</v>
      </c>
      <c r="D1136" s="59">
        <f t="shared" si="120"/>
        <v>5</v>
      </c>
      <c r="E1136" s="59">
        <f t="shared" si="121"/>
        <v>22</v>
      </c>
      <c r="F1136" s="57" t="s">
        <v>61</v>
      </c>
      <c r="G1136" s="57" t="s">
        <v>44</v>
      </c>
      <c r="H1136" s="57" t="s">
        <v>2393</v>
      </c>
      <c r="I1136" s="57" t="s">
        <v>68</v>
      </c>
      <c r="J1136" s="57" t="s">
        <v>123</v>
      </c>
      <c r="K1136" s="57" t="s">
        <v>73</v>
      </c>
      <c r="L1136" s="57" t="s">
        <v>146</v>
      </c>
      <c r="M1136" s="60">
        <v>376</v>
      </c>
      <c r="N1136" s="57" t="s">
        <v>120</v>
      </c>
      <c r="O1136" s="61">
        <v>149.52000000000001</v>
      </c>
      <c r="P1136" s="61">
        <v>56219.519999999997</v>
      </c>
      <c r="Q1136" s="61">
        <v>1164.1300000000001</v>
      </c>
      <c r="R1136" s="62">
        <f t="shared" si="122"/>
        <v>2.0706864804253045E-2</v>
      </c>
      <c r="S1136" s="60">
        <v>28</v>
      </c>
      <c r="T1136" s="58">
        <v>45103</v>
      </c>
      <c r="U1136" s="58">
        <v>45103</v>
      </c>
      <c r="V1136" s="63">
        <f t="shared" si="123"/>
        <v>0</v>
      </c>
      <c r="W1136" s="57" t="s">
        <v>115</v>
      </c>
      <c r="X1136" s="64" t="b">
        <f t="shared" si="124"/>
        <v>1</v>
      </c>
      <c r="Y1136" s="60">
        <v>152</v>
      </c>
      <c r="Z1136" s="60">
        <v>16</v>
      </c>
      <c r="AA1136" s="57" t="s">
        <v>83</v>
      </c>
      <c r="AB1136" s="64" t="b">
        <f t="shared" si="125"/>
        <v>1</v>
      </c>
    </row>
    <row r="1137" spans="1:28" ht="15" customHeight="1" x14ac:dyDescent="0.3">
      <c r="A1137" s="65" t="s">
        <v>2394</v>
      </c>
      <c r="B1137" s="81">
        <v>45319</v>
      </c>
      <c r="C1137" s="59">
        <f t="shared" si="119"/>
        <v>2024</v>
      </c>
      <c r="D1137" s="59">
        <f t="shared" si="120"/>
        <v>1</v>
      </c>
      <c r="E1137" s="59">
        <f t="shared" si="121"/>
        <v>5</v>
      </c>
      <c r="F1137" s="65" t="s">
        <v>60</v>
      </c>
      <c r="G1137" s="65" t="s">
        <v>43</v>
      </c>
      <c r="H1137" s="65" t="s">
        <v>2395</v>
      </c>
      <c r="I1137" s="65" t="s">
        <v>64</v>
      </c>
      <c r="J1137" s="65" t="s">
        <v>143</v>
      </c>
      <c r="K1137" s="65" t="s">
        <v>72</v>
      </c>
      <c r="L1137" s="65" t="s">
        <v>119</v>
      </c>
      <c r="M1137" s="67">
        <v>941</v>
      </c>
      <c r="N1137" s="65" t="s">
        <v>114</v>
      </c>
      <c r="O1137" s="68">
        <v>245.96</v>
      </c>
      <c r="P1137" s="68">
        <v>231448.36</v>
      </c>
      <c r="Q1137" s="68">
        <v>18480.080000000002</v>
      </c>
      <c r="R1137" s="62">
        <f t="shared" si="122"/>
        <v>7.9845370258834425E-2</v>
      </c>
      <c r="S1137" s="67">
        <v>13</v>
      </c>
      <c r="T1137" s="66">
        <v>45332</v>
      </c>
      <c r="U1137" s="66">
        <v>45340</v>
      </c>
      <c r="V1137" s="63">
        <f t="shared" si="123"/>
        <v>8</v>
      </c>
      <c r="W1137" s="65" t="s">
        <v>128</v>
      </c>
      <c r="X1137" s="64" t="b">
        <f t="shared" si="124"/>
        <v>0</v>
      </c>
      <c r="Y1137" s="67">
        <v>169</v>
      </c>
      <c r="Z1137" s="67">
        <v>320</v>
      </c>
      <c r="AA1137" s="65" t="s">
        <v>84</v>
      </c>
      <c r="AB1137" s="64" t="b">
        <f t="shared" si="125"/>
        <v>1</v>
      </c>
    </row>
    <row r="1138" spans="1:28" ht="15" customHeight="1" x14ac:dyDescent="0.3">
      <c r="A1138" s="57" t="s">
        <v>2396</v>
      </c>
      <c r="B1138" s="82">
        <v>45122</v>
      </c>
      <c r="C1138" s="59">
        <f t="shared" si="119"/>
        <v>2023</v>
      </c>
      <c r="D1138" s="59">
        <f t="shared" si="120"/>
        <v>7</v>
      </c>
      <c r="E1138" s="59">
        <f t="shared" si="121"/>
        <v>28</v>
      </c>
      <c r="F1138" s="57" t="s">
        <v>53</v>
      </c>
      <c r="G1138" s="57" t="s">
        <v>41</v>
      </c>
      <c r="H1138" s="57" t="s">
        <v>2397</v>
      </c>
      <c r="I1138" s="57" t="s">
        <v>65</v>
      </c>
      <c r="J1138" s="57" t="s">
        <v>151</v>
      </c>
      <c r="K1138" s="57" t="s">
        <v>73</v>
      </c>
      <c r="L1138" s="57" t="s">
        <v>119</v>
      </c>
      <c r="M1138" s="60">
        <v>850</v>
      </c>
      <c r="N1138" s="57" t="s">
        <v>136</v>
      </c>
      <c r="O1138" s="61">
        <v>636.13</v>
      </c>
      <c r="P1138" s="61">
        <v>540710.5</v>
      </c>
      <c r="Q1138" s="61">
        <v>19932.990000000002</v>
      </c>
      <c r="R1138" s="62">
        <f t="shared" si="122"/>
        <v>3.6864440398327758E-2</v>
      </c>
      <c r="S1138" s="60">
        <v>18</v>
      </c>
      <c r="T1138" s="58">
        <v>45140</v>
      </c>
      <c r="U1138" s="58">
        <v>45137</v>
      </c>
      <c r="V1138" s="63">
        <f t="shared" si="123"/>
        <v>-3</v>
      </c>
      <c r="W1138" s="57" t="s">
        <v>115</v>
      </c>
      <c r="X1138" s="64" t="b">
        <f t="shared" si="124"/>
        <v>1</v>
      </c>
      <c r="Y1138" s="60">
        <v>428</v>
      </c>
      <c r="Z1138" s="60">
        <v>185</v>
      </c>
      <c r="AA1138" s="57" t="s">
        <v>116</v>
      </c>
      <c r="AB1138" s="64" t="b">
        <f t="shared" si="125"/>
        <v>0</v>
      </c>
    </row>
    <row r="1139" spans="1:28" ht="15" customHeight="1" x14ac:dyDescent="0.3">
      <c r="A1139" s="65" t="s">
        <v>2398</v>
      </c>
      <c r="B1139" s="81">
        <v>45540</v>
      </c>
      <c r="C1139" s="59">
        <f t="shared" si="119"/>
        <v>2024</v>
      </c>
      <c r="D1139" s="59">
        <f t="shared" si="120"/>
        <v>9</v>
      </c>
      <c r="E1139" s="59">
        <f t="shared" si="121"/>
        <v>36</v>
      </c>
      <c r="F1139" s="65" t="s">
        <v>57</v>
      </c>
      <c r="G1139" s="65" t="s">
        <v>39</v>
      </c>
      <c r="H1139" s="65" t="s">
        <v>2399</v>
      </c>
      <c r="I1139" s="65" t="s">
        <v>65</v>
      </c>
      <c r="J1139" s="65" t="s">
        <v>151</v>
      </c>
      <c r="K1139" s="65" t="s">
        <v>74</v>
      </c>
      <c r="L1139" s="65" t="s">
        <v>119</v>
      </c>
      <c r="M1139" s="67">
        <v>752</v>
      </c>
      <c r="N1139" s="65" t="s">
        <v>136</v>
      </c>
      <c r="O1139" s="68">
        <v>1371.77</v>
      </c>
      <c r="P1139" s="68">
        <v>1031571.04</v>
      </c>
      <c r="Q1139" s="68">
        <v>61977.99</v>
      </c>
      <c r="R1139" s="62">
        <f t="shared" si="122"/>
        <v>6.0081165132359664E-2</v>
      </c>
      <c r="S1139" s="67">
        <v>26</v>
      </c>
      <c r="T1139" s="66">
        <v>45566</v>
      </c>
      <c r="U1139" s="66">
        <v>45565</v>
      </c>
      <c r="V1139" s="63">
        <f t="shared" si="123"/>
        <v>-1</v>
      </c>
      <c r="W1139" s="65" t="s">
        <v>115</v>
      </c>
      <c r="X1139" s="64" t="b">
        <f t="shared" si="124"/>
        <v>1</v>
      </c>
      <c r="Y1139" s="67">
        <v>240</v>
      </c>
      <c r="Z1139" s="67">
        <v>109</v>
      </c>
      <c r="AA1139" s="65" t="s">
        <v>116</v>
      </c>
      <c r="AB1139" s="64" t="b">
        <f t="shared" si="125"/>
        <v>0</v>
      </c>
    </row>
    <row r="1140" spans="1:28" ht="15" customHeight="1" x14ac:dyDescent="0.3">
      <c r="A1140" s="57" t="s">
        <v>2400</v>
      </c>
      <c r="B1140" s="82">
        <v>45447</v>
      </c>
      <c r="C1140" s="59">
        <f t="shared" si="119"/>
        <v>2024</v>
      </c>
      <c r="D1140" s="59">
        <f t="shared" si="120"/>
        <v>6</v>
      </c>
      <c r="E1140" s="59">
        <f t="shared" si="121"/>
        <v>23</v>
      </c>
      <c r="F1140" s="57" t="s">
        <v>56</v>
      </c>
      <c r="G1140" s="57" t="s">
        <v>45</v>
      </c>
      <c r="H1140" s="57" t="s">
        <v>2401</v>
      </c>
      <c r="I1140" s="57" t="s">
        <v>65</v>
      </c>
      <c r="J1140" s="57" t="s">
        <v>131</v>
      </c>
      <c r="K1140" s="57" t="s">
        <v>71</v>
      </c>
      <c r="L1140" s="57" t="s">
        <v>135</v>
      </c>
      <c r="M1140" s="60">
        <v>924</v>
      </c>
      <c r="N1140" s="57" t="s">
        <v>136</v>
      </c>
      <c r="O1140" s="61">
        <v>190.51</v>
      </c>
      <c r="P1140" s="61">
        <v>176031.24</v>
      </c>
      <c r="Q1140" s="61">
        <v>5386.72</v>
      </c>
      <c r="R1140" s="62">
        <f t="shared" si="122"/>
        <v>3.0600931970938799E-2</v>
      </c>
      <c r="S1140" s="60">
        <v>6</v>
      </c>
      <c r="T1140" s="58">
        <v>45453</v>
      </c>
      <c r="U1140" s="58">
        <v>45454</v>
      </c>
      <c r="V1140" s="63">
        <f t="shared" si="123"/>
        <v>1</v>
      </c>
      <c r="W1140" s="57" t="s">
        <v>128</v>
      </c>
      <c r="X1140" s="64" t="b">
        <f t="shared" si="124"/>
        <v>0</v>
      </c>
      <c r="Y1140" s="60">
        <v>286</v>
      </c>
      <c r="Z1140" s="60">
        <v>285</v>
      </c>
      <c r="AA1140" s="57" t="s">
        <v>81</v>
      </c>
      <c r="AB1140" s="64" t="b">
        <f t="shared" si="125"/>
        <v>1</v>
      </c>
    </row>
    <row r="1141" spans="1:28" ht="15" customHeight="1" x14ac:dyDescent="0.3">
      <c r="A1141" s="65" t="s">
        <v>2402</v>
      </c>
      <c r="B1141" s="81">
        <v>45066</v>
      </c>
      <c r="C1141" s="59">
        <f t="shared" si="119"/>
        <v>2023</v>
      </c>
      <c r="D1141" s="59">
        <f t="shared" si="120"/>
        <v>5</v>
      </c>
      <c r="E1141" s="59">
        <f t="shared" si="121"/>
        <v>20</v>
      </c>
      <c r="F1141" s="65" t="s">
        <v>55</v>
      </c>
      <c r="G1141" s="65" t="s">
        <v>40</v>
      </c>
      <c r="H1141" s="65" t="s">
        <v>2403</v>
      </c>
      <c r="I1141" s="65" t="s">
        <v>68</v>
      </c>
      <c r="J1141" s="65" t="s">
        <v>143</v>
      </c>
      <c r="K1141" s="65" t="s">
        <v>71</v>
      </c>
      <c r="L1141" s="65" t="s">
        <v>156</v>
      </c>
      <c r="M1141" s="67">
        <v>559</v>
      </c>
      <c r="N1141" s="65" t="s">
        <v>140</v>
      </c>
      <c r="O1141" s="68">
        <v>640.16</v>
      </c>
      <c r="P1141" s="68">
        <v>357849.44</v>
      </c>
      <c r="Q1141" s="68">
        <v>19615.060000000001</v>
      </c>
      <c r="R1141" s="62">
        <f t="shared" si="122"/>
        <v>5.4813722776819215E-2</v>
      </c>
      <c r="S1141" s="67">
        <v>3</v>
      </c>
      <c r="T1141" s="66">
        <v>45069</v>
      </c>
      <c r="U1141" s="66">
        <v>45071</v>
      </c>
      <c r="V1141" s="63">
        <f t="shared" si="123"/>
        <v>2</v>
      </c>
      <c r="W1141" s="65" t="s">
        <v>125</v>
      </c>
      <c r="X1141" s="64" t="b">
        <f t="shared" si="124"/>
        <v>0</v>
      </c>
      <c r="Y1141" s="67">
        <v>244</v>
      </c>
      <c r="Z1141" s="67">
        <v>469</v>
      </c>
      <c r="AA1141" s="65" t="s">
        <v>82</v>
      </c>
      <c r="AB1141" s="64" t="b">
        <f t="shared" si="125"/>
        <v>1</v>
      </c>
    </row>
    <row r="1142" spans="1:28" ht="15" customHeight="1" x14ac:dyDescent="0.3">
      <c r="A1142" s="57" t="s">
        <v>2404</v>
      </c>
      <c r="B1142" s="82">
        <v>44998</v>
      </c>
      <c r="C1142" s="59">
        <f t="shared" si="119"/>
        <v>2023</v>
      </c>
      <c r="D1142" s="59">
        <f t="shared" si="120"/>
        <v>3</v>
      </c>
      <c r="E1142" s="59">
        <f t="shared" si="121"/>
        <v>11</v>
      </c>
      <c r="F1142" s="57" t="s">
        <v>58</v>
      </c>
      <c r="G1142" s="57" t="s">
        <v>44</v>
      </c>
      <c r="H1142" s="57" t="s">
        <v>2405</v>
      </c>
      <c r="I1142" s="57" t="s">
        <v>65</v>
      </c>
      <c r="J1142" s="57" t="s">
        <v>151</v>
      </c>
      <c r="K1142" s="57" t="s">
        <v>75</v>
      </c>
      <c r="L1142" s="57" t="s">
        <v>113</v>
      </c>
      <c r="M1142" s="60">
        <v>591</v>
      </c>
      <c r="N1142" s="57" t="s">
        <v>163</v>
      </c>
      <c r="O1142" s="61">
        <v>146.93</v>
      </c>
      <c r="P1142" s="61">
        <v>86835.63</v>
      </c>
      <c r="Q1142" s="61">
        <v>6446.86</v>
      </c>
      <c r="R1142" s="62">
        <f t="shared" si="122"/>
        <v>7.4242105458323951E-2</v>
      </c>
      <c r="S1142" s="60">
        <v>19</v>
      </c>
      <c r="T1142" s="58">
        <v>45017</v>
      </c>
      <c r="U1142" s="58">
        <v>45029</v>
      </c>
      <c r="V1142" s="63">
        <f t="shared" si="123"/>
        <v>12</v>
      </c>
      <c r="W1142" s="57" t="s">
        <v>128</v>
      </c>
      <c r="X1142" s="64" t="b">
        <f t="shared" si="124"/>
        <v>0</v>
      </c>
      <c r="Y1142" s="60">
        <v>320</v>
      </c>
      <c r="Z1142" s="60">
        <v>347</v>
      </c>
      <c r="AA1142" s="57" t="s">
        <v>81</v>
      </c>
      <c r="AB1142" s="64" t="b">
        <f t="shared" si="125"/>
        <v>1</v>
      </c>
    </row>
    <row r="1143" spans="1:28" ht="15" customHeight="1" x14ac:dyDescent="0.3">
      <c r="A1143" s="65" t="s">
        <v>2406</v>
      </c>
      <c r="B1143" s="81">
        <v>45209</v>
      </c>
      <c r="C1143" s="59">
        <f t="shared" si="119"/>
        <v>2023</v>
      </c>
      <c r="D1143" s="59">
        <f t="shared" si="120"/>
        <v>10</v>
      </c>
      <c r="E1143" s="59">
        <f t="shared" si="121"/>
        <v>41</v>
      </c>
      <c r="F1143" s="65" t="s">
        <v>52</v>
      </c>
      <c r="G1143" s="65" t="s">
        <v>45</v>
      </c>
      <c r="H1143" s="65" t="s">
        <v>2407</v>
      </c>
      <c r="I1143" s="65" t="s">
        <v>67</v>
      </c>
      <c r="J1143" s="65" t="s">
        <v>151</v>
      </c>
      <c r="K1143" s="65" t="s">
        <v>72</v>
      </c>
      <c r="L1143" s="65" t="s">
        <v>119</v>
      </c>
      <c r="M1143" s="67">
        <v>125</v>
      </c>
      <c r="N1143" s="65" t="s">
        <v>132</v>
      </c>
      <c r="O1143" s="68">
        <v>146.37</v>
      </c>
      <c r="P1143" s="68">
        <v>18296.25</v>
      </c>
      <c r="Q1143" s="68">
        <v>717.41</v>
      </c>
      <c r="R1143" s="62">
        <f t="shared" si="122"/>
        <v>3.9210767233722757E-2</v>
      </c>
      <c r="S1143" s="67">
        <v>15</v>
      </c>
      <c r="T1143" s="66">
        <v>45224</v>
      </c>
      <c r="U1143" s="66">
        <v>45224</v>
      </c>
      <c r="V1143" s="63">
        <f t="shared" si="123"/>
        <v>0</v>
      </c>
      <c r="W1143" s="65" t="s">
        <v>115</v>
      </c>
      <c r="X1143" s="64" t="b">
        <f t="shared" si="124"/>
        <v>1</v>
      </c>
      <c r="Y1143" s="67">
        <v>435</v>
      </c>
      <c r="Z1143" s="67">
        <v>480</v>
      </c>
      <c r="AA1143" s="65" t="s">
        <v>82</v>
      </c>
      <c r="AB1143" s="64" t="b">
        <f t="shared" si="125"/>
        <v>1</v>
      </c>
    </row>
    <row r="1144" spans="1:28" ht="15" customHeight="1" x14ac:dyDescent="0.3">
      <c r="A1144" s="57" t="s">
        <v>2408</v>
      </c>
      <c r="B1144" s="82">
        <v>45351</v>
      </c>
      <c r="C1144" s="59">
        <f t="shared" si="119"/>
        <v>2024</v>
      </c>
      <c r="D1144" s="59">
        <f t="shared" si="120"/>
        <v>2</v>
      </c>
      <c r="E1144" s="59">
        <f t="shared" si="121"/>
        <v>9</v>
      </c>
      <c r="F1144" s="57" t="s">
        <v>58</v>
      </c>
      <c r="G1144" s="57" t="s">
        <v>40</v>
      </c>
      <c r="H1144" s="57" t="s">
        <v>2409</v>
      </c>
      <c r="I1144" s="57" t="s">
        <v>69</v>
      </c>
      <c r="J1144" s="57" t="s">
        <v>139</v>
      </c>
      <c r="K1144" s="57" t="s">
        <v>72</v>
      </c>
      <c r="L1144" s="57" t="s">
        <v>156</v>
      </c>
      <c r="M1144" s="60">
        <v>248</v>
      </c>
      <c r="N1144" s="57" t="s">
        <v>136</v>
      </c>
      <c r="O1144" s="61">
        <v>942.52</v>
      </c>
      <c r="P1144" s="61">
        <v>233744.96</v>
      </c>
      <c r="Q1144" s="61">
        <v>14075.01</v>
      </c>
      <c r="R1144" s="62">
        <f t="shared" si="122"/>
        <v>6.0215244854905113E-2</v>
      </c>
      <c r="S1144" s="60">
        <v>25</v>
      </c>
      <c r="T1144" s="58">
        <v>45376</v>
      </c>
      <c r="U1144" s="58">
        <v>45384</v>
      </c>
      <c r="V1144" s="63">
        <f t="shared" si="123"/>
        <v>8</v>
      </c>
      <c r="W1144" s="57" t="s">
        <v>125</v>
      </c>
      <c r="X1144" s="64" t="b">
        <f t="shared" si="124"/>
        <v>0</v>
      </c>
      <c r="Y1144" s="60">
        <v>79</v>
      </c>
      <c r="Z1144" s="60">
        <v>409</v>
      </c>
      <c r="AA1144" s="57" t="s">
        <v>83</v>
      </c>
      <c r="AB1144" s="64" t="b">
        <f t="shared" si="125"/>
        <v>1</v>
      </c>
    </row>
    <row r="1145" spans="1:28" ht="15" customHeight="1" x14ac:dyDescent="0.3">
      <c r="A1145" s="65" t="s">
        <v>2410</v>
      </c>
      <c r="B1145" s="81">
        <v>45275</v>
      </c>
      <c r="C1145" s="59">
        <f t="shared" si="119"/>
        <v>2023</v>
      </c>
      <c r="D1145" s="59">
        <f t="shared" si="120"/>
        <v>12</v>
      </c>
      <c r="E1145" s="59">
        <f t="shared" si="121"/>
        <v>50</v>
      </c>
      <c r="F1145" s="65" t="s">
        <v>58</v>
      </c>
      <c r="G1145" s="65" t="s">
        <v>43</v>
      </c>
      <c r="H1145" s="65" t="s">
        <v>2411</v>
      </c>
      <c r="I1145" s="65" t="s">
        <v>68</v>
      </c>
      <c r="J1145" s="65" t="s">
        <v>131</v>
      </c>
      <c r="K1145" s="65" t="s">
        <v>71</v>
      </c>
      <c r="L1145" s="65" t="s">
        <v>119</v>
      </c>
      <c r="M1145" s="67">
        <v>344</v>
      </c>
      <c r="N1145" s="65" t="s">
        <v>136</v>
      </c>
      <c r="O1145" s="68">
        <v>279.14999999999998</v>
      </c>
      <c r="P1145" s="68">
        <v>96027.6</v>
      </c>
      <c r="Q1145" s="68">
        <v>3003.19</v>
      </c>
      <c r="R1145" s="62">
        <f t="shared" si="122"/>
        <v>3.1274237823292465E-2</v>
      </c>
      <c r="S1145" s="67">
        <v>23</v>
      </c>
      <c r="T1145" s="66">
        <v>45298</v>
      </c>
      <c r="U1145" s="66">
        <v>45298</v>
      </c>
      <c r="V1145" s="63">
        <f t="shared" si="123"/>
        <v>0</v>
      </c>
      <c r="W1145" s="65" t="s">
        <v>115</v>
      </c>
      <c r="X1145" s="64" t="b">
        <f t="shared" si="124"/>
        <v>1</v>
      </c>
      <c r="Y1145" s="67">
        <v>495</v>
      </c>
      <c r="Z1145" s="67">
        <v>162</v>
      </c>
      <c r="AA1145" s="65" t="s">
        <v>82</v>
      </c>
      <c r="AB1145" s="64" t="b">
        <f t="shared" si="125"/>
        <v>1</v>
      </c>
    </row>
    <row r="1146" spans="1:28" ht="15" customHeight="1" x14ac:dyDescent="0.3">
      <c r="A1146" s="57" t="s">
        <v>2412</v>
      </c>
      <c r="B1146" s="82">
        <v>45446</v>
      </c>
      <c r="C1146" s="59">
        <f t="shared" si="119"/>
        <v>2024</v>
      </c>
      <c r="D1146" s="59">
        <f t="shared" si="120"/>
        <v>6</v>
      </c>
      <c r="E1146" s="59">
        <f t="shared" si="121"/>
        <v>23</v>
      </c>
      <c r="F1146" s="57" t="s">
        <v>53</v>
      </c>
      <c r="G1146" s="57" t="s">
        <v>42</v>
      </c>
      <c r="H1146" s="57" t="s">
        <v>2413</v>
      </c>
      <c r="I1146" s="57" t="s">
        <v>67</v>
      </c>
      <c r="J1146" s="57" t="s">
        <v>131</v>
      </c>
      <c r="K1146" s="57" t="s">
        <v>73</v>
      </c>
      <c r="L1146" s="57" t="s">
        <v>113</v>
      </c>
      <c r="M1146" s="60">
        <v>450</v>
      </c>
      <c r="N1146" s="57" t="s">
        <v>136</v>
      </c>
      <c r="O1146" s="61">
        <v>113.01</v>
      </c>
      <c r="P1146" s="61">
        <v>50854.5</v>
      </c>
      <c r="Q1146" s="61">
        <v>2923.51</v>
      </c>
      <c r="R1146" s="62">
        <f t="shared" si="122"/>
        <v>5.7487734615422434E-2</v>
      </c>
      <c r="S1146" s="60">
        <v>5</v>
      </c>
      <c r="T1146" s="58">
        <v>45451</v>
      </c>
      <c r="U1146" s="58">
        <v>45446</v>
      </c>
      <c r="V1146" s="63">
        <f t="shared" si="123"/>
        <v>-5</v>
      </c>
      <c r="W1146" s="57" t="s">
        <v>115</v>
      </c>
      <c r="X1146" s="64" t="b">
        <f t="shared" si="124"/>
        <v>1</v>
      </c>
      <c r="Y1146" s="60">
        <v>91</v>
      </c>
      <c r="Z1146" s="60">
        <v>446</v>
      </c>
      <c r="AA1146" s="57" t="s">
        <v>116</v>
      </c>
      <c r="AB1146" s="64" t="b">
        <f t="shared" si="125"/>
        <v>0</v>
      </c>
    </row>
    <row r="1147" spans="1:28" ht="15" customHeight="1" x14ac:dyDescent="0.3">
      <c r="A1147" s="65" t="s">
        <v>2414</v>
      </c>
      <c r="B1147" s="81">
        <v>45200</v>
      </c>
      <c r="C1147" s="59">
        <f t="shared" si="119"/>
        <v>2023</v>
      </c>
      <c r="D1147" s="59">
        <f t="shared" si="120"/>
        <v>10</v>
      </c>
      <c r="E1147" s="59">
        <f t="shared" si="121"/>
        <v>40</v>
      </c>
      <c r="F1147" s="65" t="s">
        <v>52</v>
      </c>
      <c r="G1147" s="65" t="s">
        <v>45</v>
      </c>
      <c r="H1147" s="65" t="s">
        <v>2415</v>
      </c>
      <c r="I1147" s="65" t="s">
        <v>66</v>
      </c>
      <c r="J1147" s="65" t="s">
        <v>143</v>
      </c>
      <c r="K1147" s="65" t="s">
        <v>72</v>
      </c>
      <c r="L1147" s="65" t="s">
        <v>124</v>
      </c>
      <c r="M1147" s="67">
        <v>157</v>
      </c>
      <c r="N1147" s="65" t="s">
        <v>120</v>
      </c>
      <c r="O1147" s="68">
        <v>211.85</v>
      </c>
      <c r="P1147" s="68">
        <v>33260.449999999997</v>
      </c>
      <c r="Q1147" s="68">
        <v>1336.64</v>
      </c>
      <c r="R1147" s="62">
        <f t="shared" si="122"/>
        <v>4.0187069026426291E-2</v>
      </c>
      <c r="S1147" s="67">
        <v>28</v>
      </c>
      <c r="T1147" s="66">
        <v>45228</v>
      </c>
      <c r="U1147" s="66">
        <v>45230</v>
      </c>
      <c r="V1147" s="63">
        <f t="shared" si="123"/>
        <v>2</v>
      </c>
      <c r="W1147" s="65" t="s">
        <v>125</v>
      </c>
      <c r="X1147" s="64" t="b">
        <f t="shared" si="124"/>
        <v>0</v>
      </c>
      <c r="Y1147" s="67">
        <v>148</v>
      </c>
      <c r="Z1147" s="67">
        <v>74</v>
      </c>
      <c r="AA1147" s="65" t="s">
        <v>116</v>
      </c>
      <c r="AB1147" s="64" t="b">
        <f t="shared" si="125"/>
        <v>0</v>
      </c>
    </row>
    <row r="1148" spans="1:28" ht="15" customHeight="1" x14ac:dyDescent="0.3">
      <c r="A1148" s="57" t="s">
        <v>2416</v>
      </c>
      <c r="B1148" s="82">
        <v>44929</v>
      </c>
      <c r="C1148" s="59">
        <f t="shared" si="119"/>
        <v>2023</v>
      </c>
      <c r="D1148" s="59">
        <f t="shared" si="120"/>
        <v>1</v>
      </c>
      <c r="E1148" s="59">
        <f t="shared" si="121"/>
        <v>1</v>
      </c>
      <c r="F1148" s="57" t="s">
        <v>53</v>
      </c>
      <c r="G1148" s="57" t="s">
        <v>40</v>
      </c>
      <c r="H1148" s="57" t="s">
        <v>2417</v>
      </c>
      <c r="I1148" s="57" t="s">
        <v>67</v>
      </c>
      <c r="J1148" s="57" t="s">
        <v>151</v>
      </c>
      <c r="K1148" s="57" t="s">
        <v>73</v>
      </c>
      <c r="L1148" s="57" t="s">
        <v>119</v>
      </c>
      <c r="M1148" s="60">
        <v>18</v>
      </c>
      <c r="N1148" s="57" t="s">
        <v>136</v>
      </c>
      <c r="O1148" s="61">
        <v>853.95</v>
      </c>
      <c r="P1148" s="61">
        <v>15371.1</v>
      </c>
      <c r="Q1148" s="61">
        <v>502.21</v>
      </c>
      <c r="R1148" s="62">
        <f t="shared" si="122"/>
        <v>3.2672352661813404E-2</v>
      </c>
      <c r="S1148" s="60">
        <v>10</v>
      </c>
      <c r="T1148" s="58">
        <v>44939</v>
      </c>
      <c r="U1148" s="58">
        <v>44938</v>
      </c>
      <c r="V1148" s="63">
        <f t="shared" si="123"/>
        <v>-1</v>
      </c>
      <c r="W1148" s="57" t="s">
        <v>115</v>
      </c>
      <c r="X1148" s="64" t="b">
        <f t="shared" si="124"/>
        <v>1</v>
      </c>
      <c r="Y1148" s="60">
        <v>29</v>
      </c>
      <c r="Z1148" s="60">
        <v>198</v>
      </c>
      <c r="AA1148" s="57" t="s">
        <v>83</v>
      </c>
      <c r="AB1148" s="64" t="b">
        <f t="shared" si="125"/>
        <v>1</v>
      </c>
    </row>
    <row r="1149" spans="1:28" ht="15" customHeight="1" x14ac:dyDescent="0.3">
      <c r="A1149" s="65" t="s">
        <v>2418</v>
      </c>
      <c r="B1149" s="81">
        <v>45216</v>
      </c>
      <c r="C1149" s="59">
        <f t="shared" si="119"/>
        <v>2023</v>
      </c>
      <c r="D1149" s="59">
        <f t="shared" si="120"/>
        <v>10</v>
      </c>
      <c r="E1149" s="59">
        <f t="shared" si="121"/>
        <v>42</v>
      </c>
      <c r="F1149" s="65" t="s">
        <v>60</v>
      </c>
      <c r="G1149" s="65" t="s">
        <v>43</v>
      </c>
      <c r="H1149" s="65" t="s">
        <v>2419</v>
      </c>
      <c r="I1149" s="65" t="s">
        <v>67</v>
      </c>
      <c r="J1149" s="65" t="s">
        <v>139</v>
      </c>
      <c r="K1149" s="65" t="s">
        <v>73</v>
      </c>
      <c r="L1149" s="65" t="s">
        <v>156</v>
      </c>
      <c r="M1149" s="67">
        <v>297</v>
      </c>
      <c r="N1149" s="65" t="s">
        <v>132</v>
      </c>
      <c r="O1149" s="68">
        <v>152.32</v>
      </c>
      <c r="P1149" s="68">
        <v>45239.040000000001</v>
      </c>
      <c r="Q1149" s="68">
        <v>1754.86</v>
      </c>
      <c r="R1149" s="62">
        <f t="shared" si="122"/>
        <v>3.8790831989361396E-2</v>
      </c>
      <c r="S1149" s="67">
        <v>7</v>
      </c>
      <c r="T1149" s="66">
        <v>45223</v>
      </c>
      <c r="U1149" s="66">
        <v>45223</v>
      </c>
      <c r="V1149" s="63">
        <f t="shared" si="123"/>
        <v>0</v>
      </c>
      <c r="W1149" s="65" t="s">
        <v>115</v>
      </c>
      <c r="X1149" s="64" t="b">
        <f t="shared" si="124"/>
        <v>1</v>
      </c>
      <c r="Y1149" s="67">
        <v>122</v>
      </c>
      <c r="Z1149" s="67">
        <v>411</v>
      </c>
      <c r="AA1149" s="65" t="s">
        <v>81</v>
      </c>
      <c r="AB1149" s="64" t="b">
        <f t="shared" si="125"/>
        <v>1</v>
      </c>
    </row>
    <row r="1150" spans="1:28" ht="15" customHeight="1" x14ac:dyDescent="0.3">
      <c r="A1150" s="57" t="s">
        <v>2420</v>
      </c>
      <c r="B1150" s="82">
        <v>45232</v>
      </c>
      <c r="C1150" s="59">
        <f t="shared" si="119"/>
        <v>2023</v>
      </c>
      <c r="D1150" s="59">
        <f t="shared" si="120"/>
        <v>11</v>
      </c>
      <c r="E1150" s="59">
        <f t="shared" si="121"/>
        <v>44</v>
      </c>
      <c r="F1150" s="57" t="s">
        <v>53</v>
      </c>
      <c r="G1150" s="57" t="s">
        <v>43</v>
      </c>
      <c r="H1150" s="57" t="s">
        <v>2421</v>
      </c>
      <c r="I1150" s="57" t="s">
        <v>66</v>
      </c>
      <c r="J1150" s="57" t="s">
        <v>112</v>
      </c>
      <c r="K1150" s="57" t="s">
        <v>73</v>
      </c>
      <c r="L1150" s="57" t="s">
        <v>135</v>
      </c>
      <c r="M1150" s="60">
        <v>397</v>
      </c>
      <c r="N1150" s="57" t="s">
        <v>136</v>
      </c>
      <c r="O1150" s="61">
        <v>247.32</v>
      </c>
      <c r="P1150" s="61">
        <v>98186.04</v>
      </c>
      <c r="Q1150" s="61">
        <v>3017.3</v>
      </c>
      <c r="R1150" s="62">
        <f t="shared" si="122"/>
        <v>3.0730437850431693E-2</v>
      </c>
      <c r="S1150" s="60">
        <v>25</v>
      </c>
      <c r="T1150" s="58">
        <v>45257</v>
      </c>
      <c r="U1150" s="58">
        <v>45256</v>
      </c>
      <c r="V1150" s="63">
        <f t="shared" si="123"/>
        <v>-1</v>
      </c>
      <c r="W1150" s="57" t="s">
        <v>115</v>
      </c>
      <c r="X1150" s="64" t="b">
        <f t="shared" si="124"/>
        <v>1</v>
      </c>
      <c r="Y1150" s="60">
        <v>386</v>
      </c>
      <c r="Z1150" s="60">
        <v>408</v>
      </c>
      <c r="AA1150" s="57" t="s">
        <v>82</v>
      </c>
      <c r="AB1150" s="64" t="b">
        <f t="shared" si="125"/>
        <v>1</v>
      </c>
    </row>
    <row r="1151" spans="1:28" ht="15" customHeight="1" x14ac:dyDescent="0.3">
      <c r="A1151" s="65" t="s">
        <v>2422</v>
      </c>
      <c r="B1151" s="81">
        <v>45528</v>
      </c>
      <c r="C1151" s="59">
        <f t="shared" si="119"/>
        <v>2024</v>
      </c>
      <c r="D1151" s="59">
        <f t="shared" si="120"/>
        <v>8</v>
      </c>
      <c r="E1151" s="59">
        <f t="shared" si="121"/>
        <v>34</v>
      </c>
      <c r="F1151" s="65" t="s">
        <v>54</v>
      </c>
      <c r="G1151" s="65" t="s">
        <v>42</v>
      </c>
      <c r="H1151" s="65" t="s">
        <v>2423</v>
      </c>
      <c r="I1151" s="65" t="s">
        <v>67</v>
      </c>
      <c r="J1151" s="65" t="s">
        <v>123</v>
      </c>
      <c r="K1151" s="65" t="s">
        <v>73</v>
      </c>
      <c r="L1151" s="65" t="s">
        <v>124</v>
      </c>
      <c r="M1151" s="67">
        <v>59</v>
      </c>
      <c r="N1151" s="65" t="s">
        <v>132</v>
      </c>
      <c r="O1151" s="68">
        <v>108.56</v>
      </c>
      <c r="P1151" s="68">
        <v>6405.04</v>
      </c>
      <c r="Q1151" s="68">
        <v>474.71</v>
      </c>
      <c r="R1151" s="62">
        <f t="shared" si="122"/>
        <v>7.4115071880893793E-2</v>
      </c>
      <c r="S1151" s="67">
        <v>17</v>
      </c>
      <c r="T1151" s="66">
        <v>45545</v>
      </c>
      <c r="U1151" s="66">
        <v>45546</v>
      </c>
      <c r="V1151" s="63">
        <f t="shared" si="123"/>
        <v>1</v>
      </c>
      <c r="W1151" s="65" t="s">
        <v>128</v>
      </c>
      <c r="X1151" s="64" t="b">
        <f t="shared" si="124"/>
        <v>0</v>
      </c>
      <c r="Y1151" s="67">
        <v>481</v>
      </c>
      <c r="Z1151" s="67">
        <v>444</v>
      </c>
      <c r="AA1151" s="65" t="s">
        <v>81</v>
      </c>
      <c r="AB1151" s="64" t="b">
        <f t="shared" si="125"/>
        <v>1</v>
      </c>
    </row>
    <row r="1152" spans="1:28" ht="15" customHeight="1" x14ac:dyDescent="0.3">
      <c r="A1152" s="57" t="s">
        <v>2424</v>
      </c>
      <c r="B1152" s="82">
        <v>45520</v>
      </c>
      <c r="C1152" s="59">
        <f t="shared" si="119"/>
        <v>2024</v>
      </c>
      <c r="D1152" s="59">
        <f t="shared" si="120"/>
        <v>8</v>
      </c>
      <c r="E1152" s="59">
        <f t="shared" si="121"/>
        <v>33</v>
      </c>
      <c r="F1152" s="57" t="s">
        <v>57</v>
      </c>
      <c r="G1152" s="57" t="s">
        <v>46</v>
      </c>
      <c r="H1152" s="57" t="s">
        <v>2425</v>
      </c>
      <c r="I1152" s="57" t="s">
        <v>69</v>
      </c>
      <c r="J1152" s="57" t="s">
        <v>131</v>
      </c>
      <c r="K1152" s="57" t="s">
        <v>75</v>
      </c>
      <c r="L1152" s="57" t="s">
        <v>124</v>
      </c>
      <c r="M1152" s="60">
        <v>859</v>
      </c>
      <c r="N1152" s="57" t="s">
        <v>140</v>
      </c>
      <c r="O1152" s="61">
        <v>53.74</v>
      </c>
      <c r="P1152" s="61">
        <v>46162.66</v>
      </c>
      <c r="Q1152" s="61">
        <v>2023.37</v>
      </c>
      <c r="R1152" s="62">
        <f t="shared" si="122"/>
        <v>4.38313130135915E-2</v>
      </c>
      <c r="S1152" s="60">
        <v>7</v>
      </c>
      <c r="T1152" s="58">
        <v>45527</v>
      </c>
      <c r="U1152" s="58">
        <v>45528</v>
      </c>
      <c r="V1152" s="63">
        <f t="shared" si="123"/>
        <v>1</v>
      </c>
      <c r="W1152" s="57" t="s">
        <v>125</v>
      </c>
      <c r="X1152" s="64" t="b">
        <f t="shared" si="124"/>
        <v>0</v>
      </c>
      <c r="Y1152" s="60">
        <v>325</v>
      </c>
      <c r="Z1152" s="60">
        <v>360</v>
      </c>
      <c r="AA1152" s="57" t="s">
        <v>82</v>
      </c>
      <c r="AB1152" s="64" t="b">
        <f t="shared" si="125"/>
        <v>1</v>
      </c>
    </row>
    <row r="1153" spans="1:28" ht="15" customHeight="1" x14ac:dyDescent="0.3">
      <c r="A1153" s="65" t="s">
        <v>2426</v>
      </c>
      <c r="B1153" s="81">
        <v>45602</v>
      </c>
      <c r="C1153" s="59">
        <f t="shared" si="119"/>
        <v>2024</v>
      </c>
      <c r="D1153" s="59">
        <f t="shared" si="120"/>
        <v>11</v>
      </c>
      <c r="E1153" s="59">
        <f t="shared" si="121"/>
        <v>45</v>
      </c>
      <c r="F1153" s="65" t="s">
        <v>54</v>
      </c>
      <c r="G1153" s="65" t="s">
        <v>45</v>
      </c>
      <c r="H1153" s="65" t="s">
        <v>2427</v>
      </c>
      <c r="I1153" s="65" t="s">
        <v>68</v>
      </c>
      <c r="J1153" s="65" t="s">
        <v>139</v>
      </c>
      <c r="K1153" s="65" t="s">
        <v>75</v>
      </c>
      <c r="L1153" s="65" t="s">
        <v>124</v>
      </c>
      <c r="M1153" s="67">
        <v>526</v>
      </c>
      <c r="N1153" s="65" t="s">
        <v>163</v>
      </c>
      <c r="O1153" s="68">
        <v>207.41</v>
      </c>
      <c r="P1153" s="68">
        <v>109097.66</v>
      </c>
      <c r="Q1153" s="68">
        <v>3787.52</v>
      </c>
      <c r="R1153" s="62">
        <f t="shared" si="122"/>
        <v>3.4716784942958448E-2</v>
      </c>
      <c r="S1153" s="67">
        <v>22</v>
      </c>
      <c r="T1153" s="66">
        <v>45624</v>
      </c>
      <c r="U1153" s="66">
        <v>45636</v>
      </c>
      <c r="V1153" s="63">
        <f t="shared" si="123"/>
        <v>12</v>
      </c>
      <c r="W1153" s="65" t="s">
        <v>125</v>
      </c>
      <c r="X1153" s="64" t="b">
        <f t="shared" si="124"/>
        <v>0</v>
      </c>
      <c r="Y1153" s="67">
        <v>426</v>
      </c>
      <c r="Z1153" s="67">
        <v>286</v>
      </c>
      <c r="AA1153" s="65" t="s">
        <v>116</v>
      </c>
      <c r="AB1153" s="64" t="b">
        <f t="shared" si="125"/>
        <v>0</v>
      </c>
    </row>
    <row r="1154" spans="1:28" ht="15" customHeight="1" x14ac:dyDescent="0.3">
      <c r="A1154" s="57" t="s">
        <v>2428</v>
      </c>
      <c r="B1154" s="82">
        <v>45428</v>
      </c>
      <c r="C1154" s="59">
        <f t="shared" ref="C1154:C1217" si="126">YEAR(B1154)</f>
        <v>2024</v>
      </c>
      <c r="D1154" s="59">
        <f t="shared" ref="D1154:D1217" si="127">MONTH(B1154)</f>
        <v>5</v>
      </c>
      <c r="E1154" s="59">
        <f t="shared" ref="E1154:E1217" si="128">WEEKNUM(B1154,1)</f>
        <v>20</v>
      </c>
      <c r="F1154" s="57" t="s">
        <v>55</v>
      </c>
      <c r="G1154" s="57" t="s">
        <v>45</v>
      </c>
      <c r="H1154" s="57" t="s">
        <v>2429</v>
      </c>
      <c r="I1154" s="57" t="s">
        <v>64</v>
      </c>
      <c r="J1154" s="57" t="s">
        <v>143</v>
      </c>
      <c r="K1154" s="57" t="s">
        <v>71</v>
      </c>
      <c r="L1154" s="57" t="s">
        <v>113</v>
      </c>
      <c r="M1154" s="60">
        <v>925</v>
      </c>
      <c r="N1154" s="57" t="s">
        <v>120</v>
      </c>
      <c r="O1154" s="61">
        <v>274.20999999999998</v>
      </c>
      <c r="P1154" s="61">
        <v>253644.25</v>
      </c>
      <c r="Q1154" s="61">
        <v>11897.05</v>
      </c>
      <c r="R1154" s="62">
        <f t="shared" ref="R1154:R1217" si="129">Q1154/P1154</f>
        <v>4.6904473489937183E-2</v>
      </c>
      <c r="S1154" s="60">
        <v>26</v>
      </c>
      <c r="T1154" s="58">
        <v>45454</v>
      </c>
      <c r="U1154" s="58">
        <v>45457</v>
      </c>
      <c r="V1154" s="63">
        <f t="shared" ref="V1154:V1217" si="130">U1154-T1154</f>
        <v>3</v>
      </c>
      <c r="W1154" s="57" t="s">
        <v>128</v>
      </c>
      <c r="X1154" s="64" t="b">
        <f t="shared" ref="X1154:X1217" si="131">IF(W1154="Entregado", TRUE(), FALSE())</f>
        <v>0</v>
      </c>
      <c r="Y1154" s="60">
        <v>28</v>
      </c>
      <c r="Z1154" s="60">
        <v>181</v>
      </c>
      <c r="AA1154" s="57" t="s">
        <v>83</v>
      </c>
      <c r="AB1154" s="64" t="b">
        <f t="shared" ref="AB1154:AB1217" si="132">IF(AA1154="Ninguna",FALSE(),TRUE())</f>
        <v>1</v>
      </c>
    </row>
    <row r="1155" spans="1:28" ht="15" customHeight="1" x14ac:dyDescent="0.3">
      <c r="A1155" s="65" t="s">
        <v>2430</v>
      </c>
      <c r="B1155" s="81">
        <v>45079</v>
      </c>
      <c r="C1155" s="59">
        <f t="shared" si="126"/>
        <v>2023</v>
      </c>
      <c r="D1155" s="59">
        <f t="shared" si="127"/>
        <v>6</v>
      </c>
      <c r="E1155" s="59">
        <f t="shared" si="128"/>
        <v>22</v>
      </c>
      <c r="F1155" s="65" t="s">
        <v>60</v>
      </c>
      <c r="G1155" s="65" t="s">
        <v>46</v>
      </c>
      <c r="H1155" s="65" t="s">
        <v>2431</v>
      </c>
      <c r="I1155" s="65" t="s">
        <v>66</v>
      </c>
      <c r="J1155" s="65" t="s">
        <v>139</v>
      </c>
      <c r="K1155" s="65" t="s">
        <v>75</v>
      </c>
      <c r="L1155" s="65" t="s">
        <v>156</v>
      </c>
      <c r="M1155" s="67">
        <v>864</v>
      </c>
      <c r="N1155" s="65" t="s">
        <v>132</v>
      </c>
      <c r="O1155" s="68">
        <v>84.1</v>
      </c>
      <c r="P1155" s="68">
        <v>72662.399999999994</v>
      </c>
      <c r="Q1155" s="68">
        <v>2850.7</v>
      </c>
      <c r="R1155" s="62">
        <f t="shared" si="129"/>
        <v>3.9232120051085569E-2</v>
      </c>
      <c r="S1155" s="67">
        <v>12</v>
      </c>
      <c r="T1155" s="66">
        <v>45091</v>
      </c>
      <c r="U1155" s="66">
        <v>45091</v>
      </c>
      <c r="V1155" s="63">
        <f t="shared" si="130"/>
        <v>0</v>
      </c>
      <c r="W1155" s="65" t="s">
        <v>115</v>
      </c>
      <c r="X1155" s="64" t="b">
        <f t="shared" si="131"/>
        <v>1</v>
      </c>
      <c r="Y1155" s="67">
        <v>258</v>
      </c>
      <c r="Z1155" s="67">
        <v>450</v>
      </c>
      <c r="AA1155" s="65" t="s">
        <v>84</v>
      </c>
      <c r="AB1155" s="64" t="b">
        <f t="shared" si="132"/>
        <v>1</v>
      </c>
    </row>
    <row r="1156" spans="1:28" ht="15" customHeight="1" x14ac:dyDescent="0.3">
      <c r="A1156" s="57" t="s">
        <v>2432</v>
      </c>
      <c r="B1156" s="82">
        <v>45384</v>
      </c>
      <c r="C1156" s="59">
        <f t="shared" si="126"/>
        <v>2024</v>
      </c>
      <c r="D1156" s="59">
        <f t="shared" si="127"/>
        <v>4</v>
      </c>
      <c r="E1156" s="59">
        <f t="shared" si="128"/>
        <v>14</v>
      </c>
      <c r="F1156" s="57" t="s">
        <v>61</v>
      </c>
      <c r="G1156" s="57" t="s">
        <v>41</v>
      </c>
      <c r="H1156" s="57" t="s">
        <v>2433</v>
      </c>
      <c r="I1156" s="57" t="s">
        <v>68</v>
      </c>
      <c r="J1156" s="57" t="s">
        <v>151</v>
      </c>
      <c r="K1156" s="57" t="s">
        <v>72</v>
      </c>
      <c r="L1156" s="57" t="s">
        <v>146</v>
      </c>
      <c r="M1156" s="60">
        <v>647</v>
      </c>
      <c r="N1156" s="57" t="s">
        <v>114</v>
      </c>
      <c r="O1156" s="61">
        <v>447.27</v>
      </c>
      <c r="P1156" s="61">
        <v>289383.69</v>
      </c>
      <c r="Q1156" s="61">
        <v>18713.04</v>
      </c>
      <c r="R1156" s="62">
        <f t="shared" si="129"/>
        <v>6.4665150962723572E-2</v>
      </c>
      <c r="S1156" s="60">
        <v>25</v>
      </c>
      <c r="T1156" s="58">
        <v>45409</v>
      </c>
      <c r="U1156" s="58">
        <v>45411</v>
      </c>
      <c r="V1156" s="63">
        <f t="shared" si="130"/>
        <v>2</v>
      </c>
      <c r="W1156" s="57" t="s">
        <v>125</v>
      </c>
      <c r="X1156" s="64" t="b">
        <f t="shared" si="131"/>
        <v>0</v>
      </c>
      <c r="Y1156" s="60">
        <v>185</v>
      </c>
      <c r="Z1156" s="60">
        <v>96</v>
      </c>
      <c r="AA1156" s="57" t="s">
        <v>84</v>
      </c>
      <c r="AB1156" s="64" t="b">
        <f t="shared" si="132"/>
        <v>1</v>
      </c>
    </row>
    <row r="1157" spans="1:28" ht="15" customHeight="1" x14ac:dyDescent="0.3">
      <c r="A1157" s="65" t="s">
        <v>2434</v>
      </c>
      <c r="B1157" s="81">
        <v>45478</v>
      </c>
      <c r="C1157" s="59">
        <f t="shared" si="126"/>
        <v>2024</v>
      </c>
      <c r="D1157" s="59">
        <f t="shared" si="127"/>
        <v>7</v>
      </c>
      <c r="E1157" s="59">
        <f t="shared" si="128"/>
        <v>27</v>
      </c>
      <c r="F1157" s="65" t="s">
        <v>60</v>
      </c>
      <c r="G1157" s="65" t="s">
        <v>41</v>
      </c>
      <c r="H1157" s="65" t="s">
        <v>2435</v>
      </c>
      <c r="I1157" s="65" t="s">
        <v>65</v>
      </c>
      <c r="J1157" s="65" t="s">
        <v>123</v>
      </c>
      <c r="K1157" s="65" t="s">
        <v>75</v>
      </c>
      <c r="L1157" s="65" t="s">
        <v>146</v>
      </c>
      <c r="M1157" s="67">
        <v>596</v>
      </c>
      <c r="N1157" s="65" t="s">
        <v>140</v>
      </c>
      <c r="O1157" s="68">
        <v>570.23</v>
      </c>
      <c r="P1157" s="68">
        <v>339857.08</v>
      </c>
      <c r="Q1157" s="68">
        <v>26601.7</v>
      </c>
      <c r="R1157" s="62">
        <f t="shared" si="129"/>
        <v>7.8273196486005239E-2</v>
      </c>
      <c r="S1157" s="67">
        <v>17</v>
      </c>
      <c r="T1157" s="66">
        <v>45495</v>
      </c>
      <c r="U1157" s="66">
        <v>45500</v>
      </c>
      <c r="V1157" s="63">
        <f t="shared" si="130"/>
        <v>5</v>
      </c>
      <c r="W1157" s="65" t="s">
        <v>128</v>
      </c>
      <c r="X1157" s="64" t="b">
        <f t="shared" si="131"/>
        <v>0</v>
      </c>
      <c r="Y1157" s="67">
        <v>416</v>
      </c>
      <c r="Z1157" s="67">
        <v>50</v>
      </c>
      <c r="AA1157" s="65" t="s">
        <v>116</v>
      </c>
      <c r="AB1157" s="64" t="b">
        <f t="shared" si="132"/>
        <v>0</v>
      </c>
    </row>
    <row r="1158" spans="1:28" ht="15" customHeight="1" x14ac:dyDescent="0.3">
      <c r="A1158" s="57" t="s">
        <v>2436</v>
      </c>
      <c r="B1158" s="82">
        <v>45422</v>
      </c>
      <c r="C1158" s="59">
        <f t="shared" si="126"/>
        <v>2024</v>
      </c>
      <c r="D1158" s="59">
        <f t="shared" si="127"/>
        <v>5</v>
      </c>
      <c r="E1158" s="59">
        <f t="shared" si="128"/>
        <v>19</v>
      </c>
      <c r="F1158" s="57" t="s">
        <v>61</v>
      </c>
      <c r="G1158" s="57" t="s">
        <v>46</v>
      </c>
      <c r="H1158" s="57" t="s">
        <v>2437</v>
      </c>
      <c r="I1158" s="57" t="s">
        <v>69</v>
      </c>
      <c r="J1158" s="57" t="s">
        <v>131</v>
      </c>
      <c r="K1158" s="57" t="s">
        <v>72</v>
      </c>
      <c r="L1158" s="57" t="s">
        <v>146</v>
      </c>
      <c r="M1158" s="60">
        <v>686</v>
      </c>
      <c r="N1158" s="57" t="s">
        <v>163</v>
      </c>
      <c r="O1158" s="61">
        <v>51.24</v>
      </c>
      <c r="P1158" s="61">
        <v>35150.639999999999</v>
      </c>
      <c r="Q1158" s="61">
        <v>1626.84</v>
      </c>
      <c r="R1158" s="62">
        <f t="shared" si="129"/>
        <v>4.6281945364294932E-2</v>
      </c>
      <c r="S1158" s="60">
        <v>13</v>
      </c>
      <c r="T1158" s="58">
        <v>45435</v>
      </c>
      <c r="U1158" s="58">
        <v>45440</v>
      </c>
      <c r="V1158" s="63">
        <f t="shared" si="130"/>
        <v>5</v>
      </c>
      <c r="W1158" s="57" t="s">
        <v>128</v>
      </c>
      <c r="X1158" s="64" t="b">
        <f t="shared" si="131"/>
        <v>0</v>
      </c>
      <c r="Y1158" s="60">
        <v>74</v>
      </c>
      <c r="Z1158" s="60">
        <v>313</v>
      </c>
      <c r="AA1158" s="57" t="s">
        <v>116</v>
      </c>
      <c r="AB1158" s="64" t="b">
        <f t="shared" si="132"/>
        <v>0</v>
      </c>
    </row>
    <row r="1159" spans="1:28" ht="15" customHeight="1" x14ac:dyDescent="0.3">
      <c r="A1159" s="65" t="s">
        <v>2438</v>
      </c>
      <c r="B1159" s="81">
        <v>45280</v>
      </c>
      <c r="C1159" s="59">
        <f t="shared" si="126"/>
        <v>2023</v>
      </c>
      <c r="D1159" s="59">
        <f t="shared" si="127"/>
        <v>12</v>
      </c>
      <c r="E1159" s="59">
        <f t="shared" si="128"/>
        <v>51</v>
      </c>
      <c r="F1159" s="65" t="s">
        <v>57</v>
      </c>
      <c r="G1159" s="65" t="s">
        <v>44</v>
      </c>
      <c r="H1159" s="65" t="s">
        <v>2439</v>
      </c>
      <c r="I1159" s="65" t="s">
        <v>64</v>
      </c>
      <c r="J1159" s="65" t="s">
        <v>112</v>
      </c>
      <c r="K1159" s="65" t="s">
        <v>72</v>
      </c>
      <c r="L1159" s="65" t="s">
        <v>135</v>
      </c>
      <c r="M1159" s="67">
        <v>287</v>
      </c>
      <c r="N1159" s="65" t="s">
        <v>163</v>
      </c>
      <c r="O1159" s="68">
        <v>93.78</v>
      </c>
      <c r="P1159" s="68">
        <v>26914.86</v>
      </c>
      <c r="Q1159" s="68">
        <v>1928.77</v>
      </c>
      <c r="R1159" s="62">
        <f t="shared" si="129"/>
        <v>7.1661899783242416E-2</v>
      </c>
      <c r="S1159" s="67">
        <v>20</v>
      </c>
      <c r="T1159" s="66">
        <v>45300</v>
      </c>
      <c r="U1159" s="66">
        <v>45302</v>
      </c>
      <c r="V1159" s="63">
        <f t="shared" si="130"/>
        <v>2</v>
      </c>
      <c r="W1159" s="65" t="s">
        <v>125</v>
      </c>
      <c r="X1159" s="64" t="b">
        <f t="shared" si="131"/>
        <v>0</v>
      </c>
      <c r="Y1159" s="67">
        <v>44</v>
      </c>
      <c r="Z1159" s="67">
        <v>33</v>
      </c>
      <c r="AA1159" s="65" t="s">
        <v>116</v>
      </c>
      <c r="AB1159" s="64" t="b">
        <f t="shared" si="132"/>
        <v>0</v>
      </c>
    </row>
    <row r="1160" spans="1:28" ht="15" customHeight="1" x14ac:dyDescent="0.3">
      <c r="A1160" s="57" t="s">
        <v>2440</v>
      </c>
      <c r="B1160" s="82">
        <v>45267</v>
      </c>
      <c r="C1160" s="59">
        <f t="shared" si="126"/>
        <v>2023</v>
      </c>
      <c r="D1160" s="59">
        <f t="shared" si="127"/>
        <v>12</v>
      </c>
      <c r="E1160" s="59">
        <f t="shared" si="128"/>
        <v>49</v>
      </c>
      <c r="F1160" s="57" t="s">
        <v>53</v>
      </c>
      <c r="G1160" s="57" t="s">
        <v>39</v>
      </c>
      <c r="H1160" s="57" t="s">
        <v>2441</v>
      </c>
      <c r="I1160" s="57" t="s">
        <v>69</v>
      </c>
      <c r="J1160" s="57" t="s">
        <v>151</v>
      </c>
      <c r="K1160" s="57" t="s">
        <v>73</v>
      </c>
      <c r="L1160" s="57" t="s">
        <v>119</v>
      </c>
      <c r="M1160" s="60">
        <v>963</v>
      </c>
      <c r="N1160" s="57" t="s">
        <v>163</v>
      </c>
      <c r="O1160" s="61">
        <v>2143.34</v>
      </c>
      <c r="P1160" s="61">
        <v>1639255.3774000001</v>
      </c>
      <c r="Q1160" s="61">
        <v>96548.6302</v>
      </c>
      <c r="R1160" s="62">
        <f t="shared" si="129"/>
        <v>5.8897857851248549E-2</v>
      </c>
      <c r="S1160" s="60">
        <v>25</v>
      </c>
      <c r="T1160" s="58">
        <v>45292</v>
      </c>
      <c r="U1160" s="58">
        <v>45287</v>
      </c>
      <c r="V1160" s="63">
        <f t="shared" si="130"/>
        <v>-5</v>
      </c>
      <c r="W1160" s="57" t="s">
        <v>115</v>
      </c>
      <c r="X1160" s="64" t="b">
        <f t="shared" si="131"/>
        <v>1</v>
      </c>
      <c r="Y1160" s="60">
        <v>68</v>
      </c>
      <c r="Z1160" s="60">
        <v>442</v>
      </c>
      <c r="AA1160" s="57" t="s">
        <v>116</v>
      </c>
      <c r="AB1160" s="64" t="b">
        <f t="shared" si="132"/>
        <v>0</v>
      </c>
    </row>
    <row r="1161" spans="1:28" ht="15" customHeight="1" x14ac:dyDescent="0.3">
      <c r="A1161" s="65" t="s">
        <v>2442</v>
      </c>
      <c r="B1161" s="81">
        <v>45492</v>
      </c>
      <c r="C1161" s="59">
        <f t="shared" si="126"/>
        <v>2024</v>
      </c>
      <c r="D1161" s="59">
        <f t="shared" si="127"/>
        <v>7</v>
      </c>
      <c r="E1161" s="59">
        <f t="shared" si="128"/>
        <v>29</v>
      </c>
      <c r="F1161" s="65" t="s">
        <v>53</v>
      </c>
      <c r="G1161" s="65" t="s">
        <v>43</v>
      </c>
      <c r="H1161" s="65" t="s">
        <v>2443</v>
      </c>
      <c r="I1161" s="65" t="s">
        <v>69</v>
      </c>
      <c r="J1161" s="65" t="s">
        <v>131</v>
      </c>
      <c r="K1161" s="65" t="s">
        <v>71</v>
      </c>
      <c r="L1161" s="65" t="s">
        <v>119</v>
      </c>
      <c r="M1161" s="67">
        <v>845</v>
      </c>
      <c r="N1161" s="65" t="s">
        <v>132</v>
      </c>
      <c r="O1161" s="68">
        <v>271.27999999999997</v>
      </c>
      <c r="P1161" s="68">
        <v>229231.6</v>
      </c>
      <c r="Q1161" s="68">
        <v>6747.23</v>
      </c>
      <c r="R1161" s="62">
        <f t="shared" si="129"/>
        <v>2.9434118158229491E-2</v>
      </c>
      <c r="S1161" s="67">
        <v>4</v>
      </c>
      <c r="T1161" s="66">
        <v>45496</v>
      </c>
      <c r="U1161" s="66">
        <v>45508</v>
      </c>
      <c r="V1161" s="63">
        <f t="shared" si="130"/>
        <v>12</v>
      </c>
      <c r="W1161" s="65" t="s">
        <v>125</v>
      </c>
      <c r="X1161" s="64" t="b">
        <f t="shared" si="131"/>
        <v>0</v>
      </c>
      <c r="Y1161" s="67">
        <v>497</v>
      </c>
      <c r="Z1161" s="67">
        <v>20</v>
      </c>
      <c r="AA1161" s="65" t="s">
        <v>82</v>
      </c>
      <c r="AB1161" s="64" t="b">
        <f t="shared" si="132"/>
        <v>1</v>
      </c>
    </row>
    <row r="1162" spans="1:28" ht="15" customHeight="1" x14ac:dyDescent="0.3">
      <c r="A1162" s="57" t="s">
        <v>2444</v>
      </c>
      <c r="B1162" s="82">
        <v>45483</v>
      </c>
      <c r="C1162" s="59">
        <f t="shared" si="126"/>
        <v>2024</v>
      </c>
      <c r="D1162" s="59">
        <f t="shared" si="127"/>
        <v>7</v>
      </c>
      <c r="E1162" s="59">
        <f t="shared" si="128"/>
        <v>28</v>
      </c>
      <c r="F1162" s="57" t="s">
        <v>52</v>
      </c>
      <c r="G1162" s="57" t="s">
        <v>39</v>
      </c>
      <c r="H1162" s="57" t="s">
        <v>2445</v>
      </c>
      <c r="I1162" s="57" t="s">
        <v>65</v>
      </c>
      <c r="J1162" s="57" t="s">
        <v>143</v>
      </c>
      <c r="K1162" s="57" t="s">
        <v>73</v>
      </c>
      <c r="L1162" s="57" t="s">
        <v>119</v>
      </c>
      <c r="M1162" s="60">
        <v>998</v>
      </c>
      <c r="N1162" s="57" t="s">
        <v>140</v>
      </c>
      <c r="O1162" s="61">
        <v>1962.04</v>
      </c>
      <c r="P1162" s="61">
        <v>1639255.3774000001</v>
      </c>
      <c r="Q1162" s="61">
        <v>96548.6302</v>
      </c>
      <c r="R1162" s="62">
        <f t="shared" si="129"/>
        <v>5.8897857851248549E-2</v>
      </c>
      <c r="S1162" s="60">
        <v>10</v>
      </c>
      <c r="T1162" s="58">
        <v>45493</v>
      </c>
      <c r="U1162" s="58">
        <v>45493</v>
      </c>
      <c r="V1162" s="63">
        <f t="shared" si="130"/>
        <v>0</v>
      </c>
      <c r="W1162" s="57" t="s">
        <v>128</v>
      </c>
      <c r="X1162" s="64" t="b">
        <f t="shared" si="131"/>
        <v>0</v>
      </c>
      <c r="Y1162" s="60">
        <v>415</v>
      </c>
      <c r="Z1162" s="60">
        <v>183</v>
      </c>
      <c r="AA1162" s="57" t="s">
        <v>83</v>
      </c>
      <c r="AB1162" s="64" t="b">
        <f t="shared" si="132"/>
        <v>1</v>
      </c>
    </row>
    <row r="1163" spans="1:28" ht="15" customHeight="1" x14ac:dyDescent="0.3">
      <c r="A1163" s="65" t="s">
        <v>2446</v>
      </c>
      <c r="B1163" s="81">
        <v>45313</v>
      </c>
      <c r="C1163" s="59">
        <f t="shared" si="126"/>
        <v>2024</v>
      </c>
      <c r="D1163" s="59">
        <f t="shared" si="127"/>
        <v>1</v>
      </c>
      <c r="E1163" s="59">
        <f t="shared" si="128"/>
        <v>4</v>
      </c>
      <c r="F1163" s="65" t="s">
        <v>55</v>
      </c>
      <c r="G1163" s="65" t="s">
        <v>43</v>
      </c>
      <c r="H1163" s="65" t="s">
        <v>2447</v>
      </c>
      <c r="I1163" s="65" t="s">
        <v>64</v>
      </c>
      <c r="J1163" s="65" t="s">
        <v>131</v>
      </c>
      <c r="K1163" s="65" t="s">
        <v>73</v>
      </c>
      <c r="L1163" s="65" t="s">
        <v>135</v>
      </c>
      <c r="M1163" s="67">
        <v>309</v>
      </c>
      <c r="N1163" s="65" t="s">
        <v>136</v>
      </c>
      <c r="O1163" s="68">
        <v>147.80000000000001</v>
      </c>
      <c r="P1163" s="68">
        <v>45670.2</v>
      </c>
      <c r="Q1163" s="68">
        <v>2320.3200000000002</v>
      </c>
      <c r="R1163" s="62">
        <f t="shared" si="129"/>
        <v>5.0805996032423778E-2</v>
      </c>
      <c r="S1163" s="67">
        <v>3</v>
      </c>
      <c r="T1163" s="66">
        <v>45316</v>
      </c>
      <c r="U1163" s="66">
        <v>45315</v>
      </c>
      <c r="V1163" s="63">
        <f t="shared" si="130"/>
        <v>-1</v>
      </c>
      <c r="W1163" s="65" t="s">
        <v>115</v>
      </c>
      <c r="X1163" s="64" t="b">
        <f t="shared" si="131"/>
        <v>1</v>
      </c>
      <c r="Y1163" s="67">
        <v>366</v>
      </c>
      <c r="Z1163" s="67">
        <v>292</v>
      </c>
      <c r="AA1163" s="65" t="s">
        <v>84</v>
      </c>
      <c r="AB1163" s="64" t="b">
        <f t="shared" si="132"/>
        <v>1</v>
      </c>
    </row>
    <row r="1164" spans="1:28" ht="15" customHeight="1" x14ac:dyDescent="0.3">
      <c r="A1164" s="57" t="s">
        <v>2448</v>
      </c>
      <c r="B1164" s="82">
        <v>45393</v>
      </c>
      <c r="C1164" s="59">
        <f t="shared" si="126"/>
        <v>2024</v>
      </c>
      <c r="D1164" s="59">
        <f t="shared" si="127"/>
        <v>4</v>
      </c>
      <c r="E1164" s="59">
        <f t="shared" si="128"/>
        <v>15</v>
      </c>
      <c r="F1164" s="57" t="s">
        <v>58</v>
      </c>
      <c r="G1164" s="57" t="s">
        <v>46</v>
      </c>
      <c r="H1164" s="57" t="s">
        <v>2449</v>
      </c>
      <c r="I1164" s="57" t="s">
        <v>69</v>
      </c>
      <c r="J1164" s="57" t="s">
        <v>139</v>
      </c>
      <c r="K1164" s="57" t="s">
        <v>75</v>
      </c>
      <c r="L1164" s="57" t="s">
        <v>146</v>
      </c>
      <c r="M1164" s="60">
        <v>811</v>
      </c>
      <c r="N1164" s="57" t="s">
        <v>114</v>
      </c>
      <c r="O1164" s="61">
        <v>82.5</v>
      </c>
      <c r="P1164" s="61">
        <v>66907.5</v>
      </c>
      <c r="Q1164" s="61">
        <v>3949.98</v>
      </c>
      <c r="R1164" s="62">
        <f t="shared" si="129"/>
        <v>5.90364308933976E-2</v>
      </c>
      <c r="S1164" s="60">
        <v>9</v>
      </c>
      <c r="T1164" s="58">
        <v>45402</v>
      </c>
      <c r="U1164" s="58">
        <v>45397</v>
      </c>
      <c r="V1164" s="63">
        <f t="shared" si="130"/>
        <v>-5</v>
      </c>
      <c r="W1164" s="57" t="s">
        <v>115</v>
      </c>
      <c r="X1164" s="64" t="b">
        <f t="shared" si="131"/>
        <v>1</v>
      </c>
      <c r="Y1164" s="60">
        <v>209</v>
      </c>
      <c r="Z1164" s="60">
        <v>63</v>
      </c>
      <c r="AA1164" s="57" t="s">
        <v>116</v>
      </c>
      <c r="AB1164" s="64" t="b">
        <f t="shared" si="132"/>
        <v>0</v>
      </c>
    </row>
    <row r="1165" spans="1:28" ht="15" customHeight="1" x14ac:dyDescent="0.3">
      <c r="A1165" s="65" t="s">
        <v>2450</v>
      </c>
      <c r="B1165" s="81">
        <v>45256</v>
      </c>
      <c r="C1165" s="59">
        <f t="shared" si="126"/>
        <v>2023</v>
      </c>
      <c r="D1165" s="59">
        <f t="shared" si="127"/>
        <v>11</v>
      </c>
      <c r="E1165" s="59">
        <f t="shared" si="128"/>
        <v>48</v>
      </c>
      <c r="F1165" s="65" t="s">
        <v>59</v>
      </c>
      <c r="G1165" s="65" t="s">
        <v>41</v>
      </c>
      <c r="H1165" s="65" t="s">
        <v>2451</v>
      </c>
      <c r="I1165" s="65" t="s">
        <v>65</v>
      </c>
      <c r="J1165" s="65" t="s">
        <v>123</v>
      </c>
      <c r="K1165" s="65" t="s">
        <v>75</v>
      </c>
      <c r="L1165" s="65" t="s">
        <v>124</v>
      </c>
      <c r="M1165" s="67">
        <v>598</v>
      </c>
      <c r="N1165" s="65" t="s">
        <v>140</v>
      </c>
      <c r="O1165" s="68">
        <v>525.22</v>
      </c>
      <c r="P1165" s="68">
        <v>314081.56</v>
      </c>
      <c r="Q1165" s="68">
        <v>23047.7</v>
      </c>
      <c r="R1165" s="62">
        <f t="shared" si="129"/>
        <v>7.3381258040109074E-2</v>
      </c>
      <c r="S1165" s="67">
        <v>13</v>
      </c>
      <c r="T1165" s="66">
        <v>45269</v>
      </c>
      <c r="U1165" s="66">
        <v>45269</v>
      </c>
      <c r="V1165" s="63">
        <f t="shared" si="130"/>
        <v>0</v>
      </c>
      <c r="W1165" s="65" t="s">
        <v>115</v>
      </c>
      <c r="X1165" s="64" t="b">
        <f t="shared" si="131"/>
        <v>1</v>
      </c>
      <c r="Y1165" s="67">
        <v>238</v>
      </c>
      <c r="Z1165" s="67">
        <v>496</v>
      </c>
      <c r="AA1165" s="65" t="s">
        <v>116</v>
      </c>
      <c r="AB1165" s="64" t="b">
        <f t="shared" si="132"/>
        <v>0</v>
      </c>
    </row>
    <row r="1166" spans="1:28" ht="15" customHeight="1" x14ac:dyDescent="0.3">
      <c r="A1166" s="57" t="s">
        <v>2452</v>
      </c>
      <c r="B1166" s="82">
        <v>45120</v>
      </c>
      <c r="C1166" s="59">
        <f t="shared" si="126"/>
        <v>2023</v>
      </c>
      <c r="D1166" s="59">
        <f t="shared" si="127"/>
        <v>7</v>
      </c>
      <c r="E1166" s="59">
        <f t="shared" si="128"/>
        <v>28</v>
      </c>
      <c r="F1166" s="57" t="s">
        <v>60</v>
      </c>
      <c r="G1166" s="57" t="s">
        <v>44</v>
      </c>
      <c r="H1166" s="57" t="s">
        <v>2453</v>
      </c>
      <c r="I1166" s="57" t="s">
        <v>66</v>
      </c>
      <c r="J1166" s="57" t="s">
        <v>112</v>
      </c>
      <c r="K1166" s="57" t="s">
        <v>72</v>
      </c>
      <c r="L1166" s="57" t="s">
        <v>119</v>
      </c>
      <c r="M1166" s="60">
        <v>819</v>
      </c>
      <c r="N1166" s="57" t="s">
        <v>140</v>
      </c>
      <c r="O1166" s="61">
        <v>116.87</v>
      </c>
      <c r="P1166" s="61">
        <v>95716.53</v>
      </c>
      <c r="Q1166" s="61">
        <v>4443.74</v>
      </c>
      <c r="R1166" s="62">
        <f t="shared" si="129"/>
        <v>4.642604574152448E-2</v>
      </c>
      <c r="S1166" s="60">
        <v>18</v>
      </c>
      <c r="T1166" s="58">
        <v>45138</v>
      </c>
      <c r="U1166" s="58">
        <v>45140</v>
      </c>
      <c r="V1166" s="63">
        <f t="shared" si="130"/>
        <v>2</v>
      </c>
      <c r="W1166" s="57" t="s">
        <v>125</v>
      </c>
      <c r="X1166" s="64" t="b">
        <f t="shared" si="131"/>
        <v>0</v>
      </c>
      <c r="Y1166" s="60">
        <v>339</v>
      </c>
      <c r="Z1166" s="60">
        <v>402</v>
      </c>
      <c r="AA1166" s="57" t="s">
        <v>84</v>
      </c>
      <c r="AB1166" s="64" t="b">
        <f t="shared" si="132"/>
        <v>1</v>
      </c>
    </row>
    <row r="1167" spans="1:28" ht="15" customHeight="1" x14ac:dyDescent="0.3">
      <c r="A1167" s="65" t="s">
        <v>2454</v>
      </c>
      <c r="B1167" s="81">
        <v>45641</v>
      </c>
      <c r="C1167" s="59">
        <f t="shared" si="126"/>
        <v>2024</v>
      </c>
      <c r="D1167" s="59">
        <f t="shared" si="127"/>
        <v>12</v>
      </c>
      <c r="E1167" s="59">
        <f t="shared" si="128"/>
        <v>51</v>
      </c>
      <c r="F1167" s="65" t="s">
        <v>60</v>
      </c>
      <c r="G1167" s="65" t="s">
        <v>41</v>
      </c>
      <c r="H1167" s="65" t="s">
        <v>2455</v>
      </c>
      <c r="I1167" s="65" t="s">
        <v>65</v>
      </c>
      <c r="J1167" s="65" t="s">
        <v>123</v>
      </c>
      <c r="K1167" s="65" t="s">
        <v>75</v>
      </c>
      <c r="L1167" s="65" t="s">
        <v>124</v>
      </c>
      <c r="M1167" s="67">
        <v>658</v>
      </c>
      <c r="N1167" s="65" t="s">
        <v>140</v>
      </c>
      <c r="O1167" s="68">
        <v>568.59</v>
      </c>
      <c r="P1167" s="68">
        <v>374132.22</v>
      </c>
      <c r="Q1167" s="68">
        <v>27712.22</v>
      </c>
      <c r="R1167" s="62">
        <f t="shared" si="129"/>
        <v>7.4070658763364466E-2</v>
      </c>
      <c r="S1167" s="67">
        <v>15</v>
      </c>
      <c r="T1167" s="66">
        <v>45656</v>
      </c>
      <c r="U1167" s="66">
        <v>45655</v>
      </c>
      <c r="V1167" s="63">
        <f t="shared" si="130"/>
        <v>-1</v>
      </c>
      <c r="W1167" s="65" t="s">
        <v>115</v>
      </c>
      <c r="X1167" s="64" t="b">
        <f t="shared" si="131"/>
        <v>1</v>
      </c>
      <c r="Y1167" s="67">
        <v>307</v>
      </c>
      <c r="Z1167" s="67">
        <v>123</v>
      </c>
      <c r="AA1167" s="65" t="s">
        <v>83</v>
      </c>
      <c r="AB1167" s="64" t="b">
        <f t="shared" si="132"/>
        <v>1</v>
      </c>
    </row>
    <row r="1168" spans="1:28" ht="15" customHeight="1" x14ac:dyDescent="0.3">
      <c r="A1168" s="57" t="s">
        <v>2456</v>
      </c>
      <c r="B1168" s="82">
        <v>45171</v>
      </c>
      <c r="C1168" s="59">
        <f t="shared" si="126"/>
        <v>2023</v>
      </c>
      <c r="D1168" s="59">
        <f t="shared" si="127"/>
        <v>9</v>
      </c>
      <c r="E1168" s="59">
        <f t="shared" si="128"/>
        <v>35</v>
      </c>
      <c r="F1168" s="57" t="s">
        <v>55</v>
      </c>
      <c r="G1168" s="57" t="s">
        <v>39</v>
      </c>
      <c r="H1168" s="57" t="s">
        <v>2457</v>
      </c>
      <c r="I1168" s="57" t="s">
        <v>67</v>
      </c>
      <c r="J1168" s="57" t="s">
        <v>139</v>
      </c>
      <c r="K1168" s="57" t="s">
        <v>75</v>
      </c>
      <c r="L1168" s="57" t="s">
        <v>124</v>
      </c>
      <c r="M1168" s="60">
        <v>627</v>
      </c>
      <c r="N1168" s="57" t="s">
        <v>132</v>
      </c>
      <c r="O1168" s="61">
        <v>1159.6199999999999</v>
      </c>
      <c r="P1168" s="61">
        <v>727081.74</v>
      </c>
      <c r="Q1168" s="61">
        <v>47289.5</v>
      </c>
      <c r="R1168" s="62">
        <f t="shared" si="129"/>
        <v>6.5040142529229239E-2</v>
      </c>
      <c r="S1168" s="60">
        <v>4</v>
      </c>
      <c r="T1168" s="58">
        <v>45175</v>
      </c>
      <c r="U1168" s="58">
        <v>45180</v>
      </c>
      <c r="V1168" s="63">
        <f t="shared" si="130"/>
        <v>5</v>
      </c>
      <c r="W1168" s="57" t="s">
        <v>128</v>
      </c>
      <c r="X1168" s="64" t="b">
        <f t="shared" si="131"/>
        <v>0</v>
      </c>
      <c r="Y1168" s="60">
        <v>191</v>
      </c>
      <c r="Z1168" s="60">
        <v>100</v>
      </c>
      <c r="AA1168" s="57" t="s">
        <v>82</v>
      </c>
      <c r="AB1168" s="64" t="b">
        <f t="shared" si="132"/>
        <v>1</v>
      </c>
    </row>
    <row r="1169" spans="1:28" ht="15" customHeight="1" x14ac:dyDescent="0.3">
      <c r="A1169" s="65" t="s">
        <v>2458</v>
      </c>
      <c r="B1169" s="81">
        <v>45512</v>
      </c>
      <c r="C1169" s="59">
        <f t="shared" si="126"/>
        <v>2024</v>
      </c>
      <c r="D1169" s="59">
        <f t="shared" si="127"/>
        <v>8</v>
      </c>
      <c r="E1169" s="59">
        <f t="shared" si="128"/>
        <v>32</v>
      </c>
      <c r="F1169" s="65" t="s">
        <v>54</v>
      </c>
      <c r="G1169" s="65" t="s">
        <v>41</v>
      </c>
      <c r="H1169" s="65" t="s">
        <v>2459</v>
      </c>
      <c r="I1169" s="65" t="s">
        <v>68</v>
      </c>
      <c r="J1169" s="65" t="s">
        <v>112</v>
      </c>
      <c r="K1169" s="65" t="s">
        <v>74</v>
      </c>
      <c r="L1169" s="65" t="s">
        <v>135</v>
      </c>
      <c r="M1169" s="67">
        <v>616</v>
      </c>
      <c r="N1169" s="65" t="s">
        <v>114</v>
      </c>
      <c r="O1169" s="68">
        <v>652.66</v>
      </c>
      <c r="P1169" s="68">
        <v>402038.56</v>
      </c>
      <c r="Q1169" s="68">
        <v>19827.05</v>
      </c>
      <c r="R1169" s="62">
        <f t="shared" si="129"/>
        <v>4.9316289462383908E-2</v>
      </c>
      <c r="S1169" s="67">
        <v>15</v>
      </c>
      <c r="T1169" s="66">
        <v>45527</v>
      </c>
      <c r="U1169" s="66">
        <v>45524</v>
      </c>
      <c r="V1169" s="63">
        <f t="shared" si="130"/>
        <v>-3</v>
      </c>
      <c r="W1169" s="65" t="s">
        <v>115</v>
      </c>
      <c r="X1169" s="64" t="b">
        <f t="shared" si="131"/>
        <v>1</v>
      </c>
      <c r="Y1169" s="67">
        <v>371</v>
      </c>
      <c r="Z1169" s="67">
        <v>118</v>
      </c>
      <c r="AA1169" s="65" t="s">
        <v>116</v>
      </c>
      <c r="AB1169" s="64" t="b">
        <f t="shared" si="132"/>
        <v>0</v>
      </c>
    </row>
    <row r="1170" spans="1:28" ht="15" customHeight="1" x14ac:dyDescent="0.3">
      <c r="A1170" s="57" t="s">
        <v>2460</v>
      </c>
      <c r="B1170" s="82">
        <v>45319</v>
      </c>
      <c r="C1170" s="59">
        <f t="shared" si="126"/>
        <v>2024</v>
      </c>
      <c r="D1170" s="59">
        <f t="shared" si="127"/>
        <v>1</v>
      </c>
      <c r="E1170" s="59">
        <f t="shared" si="128"/>
        <v>5</v>
      </c>
      <c r="F1170" s="57" t="s">
        <v>56</v>
      </c>
      <c r="G1170" s="57" t="s">
        <v>46</v>
      </c>
      <c r="H1170" s="57" t="s">
        <v>2461</v>
      </c>
      <c r="I1170" s="57" t="s">
        <v>65</v>
      </c>
      <c r="J1170" s="57" t="s">
        <v>112</v>
      </c>
      <c r="K1170" s="57" t="s">
        <v>72</v>
      </c>
      <c r="L1170" s="57" t="s">
        <v>135</v>
      </c>
      <c r="M1170" s="60">
        <v>144</v>
      </c>
      <c r="N1170" s="57" t="s">
        <v>132</v>
      </c>
      <c r="O1170" s="61">
        <v>69.959999999999994</v>
      </c>
      <c r="P1170" s="61">
        <v>10074.24</v>
      </c>
      <c r="Q1170" s="61">
        <v>566.11</v>
      </c>
      <c r="R1170" s="62">
        <f t="shared" si="129"/>
        <v>5.619381710183597E-2</v>
      </c>
      <c r="S1170" s="60">
        <v>22</v>
      </c>
      <c r="T1170" s="58">
        <v>45341</v>
      </c>
      <c r="U1170" s="58">
        <v>45349</v>
      </c>
      <c r="V1170" s="63">
        <f t="shared" si="130"/>
        <v>8</v>
      </c>
      <c r="W1170" s="57" t="s">
        <v>125</v>
      </c>
      <c r="X1170" s="64" t="b">
        <f t="shared" si="131"/>
        <v>0</v>
      </c>
      <c r="Y1170" s="60">
        <v>102</v>
      </c>
      <c r="Z1170" s="60">
        <v>340</v>
      </c>
      <c r="AA1170" s="57" t="s">
        <v>116</v>
      </c>
      <c r="AB1170" s="64" t="b">
        <f t="shared" si="132"/>
        <v>0</v>
      </c>
    </row>
    <row r="1171" spans="1:28" ht="15" customHeight="1" x14ac:dyDescent="0.3">
      <c r="A1171" s="65" t="s">
        <v>2462</v>
      </c>
      <c r="B1171" s="81">
        <v>45166</v>
      </c>
      <c r="C1171" s="59">
        <f t="shared" si="126"/>
        <v>2023</v>
      </c>
      <c r="D1171" s="59">
        <f t="shared" si="127"/>
        <v>8</v>
      </c>
      <c r="E1171" s="59">
        <f t="shared" si="128"/>
        <v>35</v>
      </c>
      <c r="F1171" s="65" t="s">
        <v>55</v>
      </c>
      <c r="G1171" s="65" t="s">
        <v>44</v>
      </c>
      <c r="H1171" s="65" t="s">
        <v>2463</v>
      </c>
      <c r="I1171" s="65" t="s">
        <v>65</v>
      </c>
      <c r="J1171" s="65" t="s">
        <v>151</v>
      </c>
      <c r="K1171" s="65" t="s">
        <v>72</v>
      </c>
      <c r="L1171" s="65" t="s">
        <v>156</v>
      </c>
      <c r="M1171" s="67">
        <v>589</v>
      </c>
      <c r="N1171" s="65" t="s">
        <v>114</v>
      </c>
      <c r="O1171" s="68">
        <v>101.91</v>
      </c>
      <c r="P1171" s="68">
        <v>60024.99</v>
      </c>
      <c r="Q1171" s="68">
        <v>2373.08</v>
      </c>
      <c r="R1171" s="62">
        <f t="shared" si="129"/>
        <v>3.9534867061202343E-2</v>
      </c>
      <c r="S1171" s="67">
        <v>2</v>
      </c>
      <c r="T1171" s="66">
        <v>45168</v>
      </c>
      <c r="U1171" s="66">
        <v>45171</v>
      </c>
      <c r="V1171" s="63">
        <f t="shared" si="130"/>
        <v>3</v>
      </c>
      <c r="W1171" s="65" t="s">
        <v>125</v>
      </c>
      <c r="X1171" s="64" t="b">
        <f t="shared" si="131"/>
        <v>0</v>
      </c>
      <c r="Y1171" s="67">
        <v>240</v>
      </c>
      <c r="Z1171" s="67">
        <v>77</v>
      </c>
      <c r="AA1171" s="65" t="s">
        <v>82</v>
      </c>
      <c r="AB1171" s="64" t="b">
        <f t="shared" si="132"/>
        <v>1</v>
      </c>
    </row>
    <row r="1172" spans="1:28" ht="15" customHeight="1" x14ac:dyDescent="0.3">
      <c r="A1172" s="57" t="s">
        <v>2464</v>
      </c>
      <c r="B1172" s="82">
        <v>45347</v>
      </c>
      <c r="C1172" s="59">
        <f t="shared" si="126"/>
        <v>2024</v>
      </c>
      <c r="D1172" s="59">
        <f t="shared" si="127"/>
        <v>2</v>
      </c>
      <c r="E1172" s="59">
        <f t="shared" si="128"/>
        <v>9</v>
      </c>
      <c r="F1172" s="57" t="s">
        <v>59</v>
      </c>
      <c r="G1172" s="57" t="s">
        <v>39</v>
      </c>
      <c r="H1172" s="57" t="s">
        <v>2465</v>
      </c>
      <c r="I1172" s="57" t="s">
        <v>65</v>
      </c>
      <c r="J1172" s="57" t="s">
        <v>112</v>
      </c>
      <c r="K1172" s="57" t="s">
        <v>74</v>
      </c>
      <c r="L1172" s="57" t="s">
        <v>119</v>
      </c>
      <c r="M1172" s="60">
        <v>156</v>
      </c>
      <c r="N1172" s="57" t="s">
        <v>114</v>
      </c>
      <c r="O1172" s="61">
        <v>1275.8800000000001</v>
      </c>
      <c r="P1172" s="61">
        <v>199037.28</v>
      </c>
      <c r="Q1172" s="61">
        <v>15727.1</v>
      </c>
      <c r="R1172" s="62">
        <f t="shared" si="129"/>
        <v>7.9015850698924348E-2</v>
      </c>
      <c r="S1172" s="60">
        <v>15</v>
      </c>
      <c r="T1172" s="58">
        <v>45362</v>
      </c>
      <c r="U1172" s="58">
        <v>45367</v>
      </c>
      <c r="V1172" s="63">
        <f t="shared" si="130"/>
        <v>5</v>
      </c>
      <c r="W1172" s="57" t="s">
        <v>125</v>
      </c>
      <c r="X1172" s="64" t="b">
        <f t="shared" si="131"/>
        <v>0</v>
      </c>
      <c r="Y1172" s="60">
        <v>252</v>
      </c>
      <c r="Z1172" s="60">
        <v>457</v>
      </c>
      <c r="AA1172" s="57" t="s">
        <v>81</v>
      </c>
      <c r="AB1172" s="64" t="b">
        <f t="shared" si="132"/>
        <v>1</v>
      </c>
    </row>
    <row r="1173" spans="1:28" ht="15" customHeight="1" x14ac:dyDescent="0.3">
      <c r="A1173" s="65" t="s">
        <v>2466</v>
      </c>
      <c r="B1173" s="81">
        <v>44971</v>
      </c>
      <c r="C1173" s="59">
        <f t="shared" si="126"/>
        <v>2023</v>
      </c>
      <c r="D1173" s="59">
        <f t="shared" si="127"/>
        <v>2</v>
      </c>
      <c r="E1173" s="59">
        <f t="shared" si="128"/>
        <v>7</v>
      </c>
      <c r="F1173" s="65" t="s">
        <v>53</v>
      </c>
      <c r="G1173" s="65" t="s">
        <v>44</v>
      </c>
      <c r="H1173" s="65" t="s">
        <v>2467</v>
      </c>
      <c r="I1173" s="65" t="s">
        <v>69</v>
      </c>
      <c r="J1173" s="65" t="s">
        <v>131</v>
      </c>
      <c r="K1173" s="65" t="s">
        <v>72</v>
      </c>
      <c r="L1173" s="65" t="s">
        <v>146</v>
      </c>
      <c r="M1173" s="67">
        <v>499</v>
      </c>
      <c r="N1173" s="65" t="s">
        <v>132</v>
      </c>
      <c r="O1173" s="68">
        <v>101.69</v>
      </c>
      <c r="P1173" s="68">
        <v>50743.31</v>
      </c>
      <c r="Q1173" s="68">
        <v>3046.68</v>
      </c>
      <c r="R1173" s="62">
        <f t="shared" si="129"/>
        <v>6.0041018215011989E-2</v>
      </c>
      <c r="S1173" s="67">
        <v>8</v>
      </c>
      <c r="T1173" s="66">
        <v>44979</v>
      </c>
      <c r="U1173" s="66">
        <v>44979</v>
      </c>
      <c r="V1173" s="63">
        <f t="shared" si="130"/>
        <v>0</v>
      </c>
      <c r="W1173" s="65" t="s">
        <v>115</v>
      </c>
      <c r="X1173" s="64" t="b">
        <f t="shared" si="131"/>
        <v>1</v>
      </c>
      <c r="Y1173" s="67">
        <v>423</v>
      </c>
      <c r="Z1173" s="67">
        <v>180</v>
      </c>
      <c r="AA1173" s="65" t="s">
        <v>116</v>
      </c>
      <c r="AB1173" s="64" t="b">
        <f t="shared" si="132"/>
        <v>0</v>
      </c>
    </row>
    <row r="1174" spans="1:28" ht="15" customHeight="1" x14ac:dyDescent="0.3">
      <c r="A1174" s="57" t="s">
        <v>2468</v>
      </c>
      <c r="B1174" s="82">
        <v>45252</v>
      </c>
      <c r="C1174" s="59">
        <f t="shared" si="126"/>
        <v>2023</v>
      </c>
      <c r="D1174" s="59">
        <f t="shared" si="127"/>
        <v>11</v>
      </c>
      <c r="E1174" s="59">
        <f t="shared" si="128"/>
        <v>47</v>
      </c>
      <c r="F1174" s="57" t="s">
        <v>61</v>
      </c>
      <c r="G1174" s="57" t="s">
        <v>45</v>
      </c>
      <c r="H1174" s="57" t="s">
        <v>2469</v>
      </c>
      <c r="I1174" s="57" t="s">
        <v>64</v>
      </c>
      <c r="J1174" s="57" t="s">
        <v>123</v>
      </c>
      <c r="K1174" s="57" t="s">
        <v>71</v>
      </c>
      <c r="L1174" s="57" t="s">
        <v>113</v>
      </c>
      <c r="M1174" s="60">
        <v>487</v>
      </c>
      <c r="N1174" s="57" t="s">
        <v>114</v>
      </c>
      <c r="O1174" s="61">
        <v>149.12</v>
      </c>
      <c r="P1174" s="61">
        <v>72621.440000000002</v>
      </c>
      <c r="Q1174" s="61">
        <v>1643.48</v>
      </c>
      <c r="R1174" s="62">
        <f t="shared" si="129"/>
        <v>2.2630782314423951E-2</v>
      </c>
      <c r="S1174" s="60">
        <v>8</v>
      </c>
      <c r="T1174" s="58">
        <v>45260</v>
      </c>
      <c r="U1174" s="58">
        <v>45261</v>
      </c>
      <c r="V1174" s="63">
        <f t="shared" si="130"/>
        <v>1</v>
      </c>
      <c r="W1174" s="57" t="s">
        <v>128</v>
      </c>
      <c r="X1174" s="64" t="b">
        <f t="shared" si="131"/>
        <v>0</v>
      </c>
      <c r="Y1174" s="60">
        <v>219</v>
      </c>
      <c r="Z1174" s="60">
        <v>198</v>
      </c>
      <c r="AA1174" s="57" t="s">
        <v>82</v>
      </c>
      <c r="AB1174" s="64" t="b">
        <f t="shared" si="132"/>
        <v>1</v>
      </c>
    </row>
    <row r="1175" spans="1:28" ht="15" customHeight="1" x14ac:dyDescent="0.3">
      <c r="A1175" s="65" t="s">
        <v>2470</v>
      </c>
      <c r="B1175" s="81">
        <v>45411</v>
      </c>
      <c r="C1175" s="59">
        <f t="shared" si="126"/>
        <v>2024</v>
      </c>
      <c r="D1175" s="59">
        <f t="shared" si="127"/>
        <v>4</v>
      </c>
      <c r="E1175" s="59">
        <f t="shared" si="128"/>
        <v>18</v>
      </c>
      <c r="F1175" s="65" t="s">
        <v>54</v>
      </c>
      <c r="G1175" s="65" t="s">
        <v>43</v>
      </c>
      <c r="H1175" s="65" t="s">
        <v>2471</v>
      </c>
      <c r="I1175" s="65" t="s">
        <v>65</v>
      </c>
      <c r="J1175" s="65" t="s">
        <v>143</v>
      </c>
      <c r="K1175" s="65" t="s">
        <v>71</v>
      </c>
      <c r="L1175" s="65" t="s">
        <v>135</v>
      </c>
      <c r="M1175" s="67">
        <v>168</v>
      </c>
      <c r="N1175" s="65" t="s">
        <v>140</v>
      </c>
      <c r="O1175" s="68">
        <v>234.05</v>
      </c>
      <c r="P1175" s="68">
        <v>39320.400000000001</v>
      </c>
      <c r="Q1175" s="68">
        <v>1556.98</v>
      </c>
      <c r="R1175" s="62">
        <f t="shared" si="129"/>
        <v>3.9597257403281759E-2</v>
      </c>
      <c r="S1175" s="67">
        <v>17</v>
      </c>
      <c r="T1175" s="66">
        <v>45428</v>
      </c>
      <c r="U1175" s="66">
        <v>45436</v>
      </c>
      <c r="V1175" s="63">
        <f t="shared" si="130"/>
        <v>8</v>
      </c>
      <c r="W1175" s="65" t="s">
        <v>128</v>
      </c>
      <c r="X1175" s="64" t="b">
        <f t="shared" si="131"/>
        <v>0</v>
      </c>
      <c r="Y1175" s="67">
        <v>396</v>
      </c>
      <c r="Z1175" s="67">
        <v>476</v>
      </c>
      <c r="AA1175" s="65" t="s">
        <v>116</v>
      </c>
      <c r="AB1175" s="64" t="b">
        <f t="shared" si="132"/>
        <v>0</v>
      </c>
    </row>
    <row r="1176" spans="1:28" ht="15" customHeight="1" x14ac:dyDescent="0.3">
      <c r="A1176" s="57" t="s">
        <v>2472</v>
      </c>
      <c r="B1176" s="82">
        <v>45649</v>
      </c>
      <c r="C1176" s="59">
        <f t="shared" si="126"/>
        <v>2024</v>
      </c>
      <c r="D1176" s="59">
        <f t="shared" si="127"/>
        <v>12</v>
      </c>
      <c r="E1176" s="59">
        <f t="shared" si="128"/>
        <v>52</v>
      </c>
      <c r="F1176" s="57" t="s">
        <v>54</v>
      </c>
      <c r="G1176" s="57" t="s">
        <v>41</v>
      </c>
      <c r="H1176" s="57" t="s">
        <v>2473</v>
      </c>
      <c r="I1176" s="57" t="s">
        <v>65</v>
      </c>
      <c r="J1176" s="57" t="s">
        <v>143</v>
      </c>
      <c r="K1176" s="57" t="s">
        <v>74</v>
      </c>
      <c r="L1176" s="57" t="s">
        <v>124</v>
      </c>
      <c r="M1176" s="60">
        <v>393</v>
      </c>
      <c r="N1176" s="57" t="s">
        <v>132</v>
      </c>
      <c r="O1176" s="61">
        <v>686.14</v>
      </c>
      <c r="P1176" s="61">
        <v>269653.02</v>
      </c>
      <c r="Q1176" s="61">
        <v>15477.78</v>
      </c>
      <c r="R1176" s="62">
        <f t="shared" si="129"/>
        <v>5.7398875043194394E-2</v>
      </c>
      <c r="S1176" s="60">
        <v>12</v>
      </c>
      <c r="T1176" s="58">
        <v>45661</v>
      </c>
      <c r="U1176" s="58">
        <v>45669</v>
      </c>
      <c r="V1176" s="63">
        <f t="shared" si="130"/>
        <v>8</v>
      </c>
      <c r="W1176" s="57" t="s">
        <v>125</v>
      </c>
      <c r="X1176" s="64" t="b">
        <f t="shared" si="131"/>
        <v>0</v>
      </c>
      <c r="Y1176" s="60">
        <v>473</v>
      </c>
      <c r="Z1176" s="60">
        <v>446</v>
      </c>
      <c r="AA1176" s="57" t="s">
        <v>84</v>
      </c>
      <c r="AB1176" s="64" t="b">
        <f t="shared" si="132"/>
        <v>1</v>
      </c>
    </row>
    <row r="1177" spans="1:28" ht="15" customHeight="1" x14ac:dyDescent="0.3">
      <c r="A1177" s="65" t="s">
        <v>2474</v>
      </c>
      <c r="B1177" s="81">
        <v>45317</v>
      </c>
      <c r="C1177" s="59">
        <f t="shared" si="126"/>
        <v>2024</v>
      </c>
      <c r="D1177" s="59">
        <f t="shared" si="127"/>
        <v>1</v>
      </c>
      <c r="E1177" s="59">
        <f t="shared" si="128"/>
        <v>4</v>
      </c>
      <c r="F1177" s="65" t="s">
        <v>52</v>
      </c>
      <c r="G1177" s="65" t="s">
        <v>44</v>
      </c>
      <c r="H1177" s="65" t="s">
        <v>2475</v>
      </c>
      <c r="I1177" s="65" t="s">
        <v>67</v>
      </c>
      <c r="J1177" s="65" t="s">
        <v>123</v>
      </c>
      <c r="K1177" s="65" t="s">
        <v>75</v>
      </c>
      <c r="L1177" s="65" t="s">
        <v>156</v>
      </c>
      <c r="M1177" s="67">
        <v>172</v>
      </c>
      <c r="N1177" s="65" t="s">
        <v>114</v>
      </c>
      <c r="O1177" s="68">
        <v>85.68</v>
      </c>
      <c r="P1177" s="68">
        <v>14736.96</v>
      </c>
      <c r="Q1177" s="68">
        <v>344.55</v>
      </c>
      <c r="R1177" s="62">
        <f t="shared" si="129"/>
        <v>2.3379991531496322E-2</v>
      </c>
      <c r="S1177" s="67">
        <v>19</v>
      </c>
      <c r="T1177" s="66">
        <v>45336</v>
      </c>
      <c r="U1177" s="66">
        <v>45333</v>
      </c>
      <c r="V1177" s="63">
        <f t="shared" si="130"/>
        <v>-3</v>
      </c>
      <c r="W1177" s="65" t="s">
        <v>115</v>
      </c>
      <c r="X1177" s="64" t="b">
        <f t="shared" si="131"/>
        <v>1</v>
      </c>
      <c r="Y1177" s="67">
        <v>335</v>
      </c>
      <c r="Z1177" s="67">
        <v>359</v>
      </c>
      <c r="AA1177" s="65" t="s">
        <v>82</v>
      </c>
      <c r="AB1177" s="64" t="b">
        <f t="shared" si="132"/>
        <v>1</v>
      </c>
    </row>
    <row r="1178" spans="1:28" ht="15" customHeight="1" x14ac:dyDescent="0.3">
      <c r="A1178" s="57" t="s">
        <v>2476</v>
      </c>
      <c r="B1178" s="82">
        <v>45322</v>
      </c>
      <c r="C1178" s="59">
        <f t="shared" si="126"/>
        <v>2024</v>
      </c>
      <c r="D1178" s="59">
        <f t="shared" si="127"/>
        <v>1</v>
      </c>
      <c r="E1178" s="59">
        <f t="shared" si="128"/>
        <v>5</v>
      </c>
      <c r="F1178" s="57" t="s">
        <v>57</v>
      </c>
      <c r="G1178" s="57" t="s">
        <v>42</v>
      </c>
      <c r="H1178" s="57" t="s">
        <v>2477</v>
      </c>
      <c r="I1178" s="57" t="s">
        <v>67</v>
      </c>
      <c r="J1178" s="57" t="s">
        <v>151</v>
      </c>
      <c r="K1178" s="57" t="s">
        <v>71</v>
      </c>
      <c r="L1178" s="57" t="s">
        <v>113</v>
      </c>
      <c r="M1178" s="60">
        <v>450</v>
      </c>
      <c r="N1178" s="57" t="s">
        <v>163</v>
      </c>
      <c r="O1178" s="61">
        <v>59.14</v>
      </c>
      <c r="P1178" s="61">
        <v>26613</v>
      </c>
      <c r="Q1178" s="61">
        <v>570.4</v>
      </c>
      <c r="R1178" s="62">
        <f t="shared" si="129"/>
        <v>2.1433134182542366E-2</v>
      </c>
      <c r="S1178" s="60">
        <v>10</v>
      </c>
      <c r="T1178" s="58">
        <v>45332</v>
      </c>
      <c r="U1178" s="58">
        <v>45335</v>
      </c>
      <c r="V1178" s="63">
        <f t="shared" si="130"/>
        <v>3</v>
      </c>
      <c r="W1178" s="57" t="s">
        <v>128</v>
      </c>
      <c r="X1178" s="64" t="b">
        <f t="shared" si="131"/>
        <v>0</v>
      </c>
      <c r="Y1178" s="60">
        <v>216</v>
      </c>
      <c r="Z1178" s="60">
        <v>189</v>
      </c>
      <c r="AA1178" s="57" t="s">
        <v>81</v>
      </c>
      <c r="AB1178" s="64" t="b">
        <f t="shared" si="132"/>
        <v>1</v>
      </c>
    </row>
    <row r="1179" spans="1:28" ht="15" customHeight="1" x14ac:dyDescent="0.3">
      <c r="A1179" s="65" t="s">
        <v>2478</v>
      </c>
      <c r="B1179" s="81">
        <v>45606</v>
      </c>
      <c r="C1179" s="59">
        <f t="shared" si="126"/>
        <v>2024</v>
      </c>
      <c r="D1179" s="59">
        <f t="shared" si="127"/>
        <v>11</v>
      </c>
      <c r="E1179" s="59">
        <f t="shared" si="128"/>
        <v>46</v>
      </c>
      <c r="F1179" s="65" t="s">
        <v>59</v>
      </c>
      <c r="G1179" s="65" t="s">
        <v>45</v>
      </c>
      <c r="H1179" s="65" t="s">
        <v>2479</v>
      </c>
      <c r="I1179" s="65" t="s">
        <v>66</v>
      </c>
      <c r="J1179" s="65" t="s">
        <v>112</v>
      </c>
      <c r="K1179" s="65" t="s">
        <v>74</v>
      </c>
      <c r="L1179" s="65" t="s">
        <v>135</v>
      </c>
      <c r="M1179" s="67">
        <v>862</v>
      </c>
      <c r="N1179" s="65" t="s">
        <v>132</v>
      </c>
      <c r="O1179" s="68">
        <v>231.64</v>
      </c>
      <c r="P1179" s="68">
        <v>199673.68</v>
      </c>
      <c r="Q1179" s="68">
        <v>9384.9500000000007</v>
      </c>
      <c r="R1179" s="62">
        <f t="shared" si="129"/>
        <v>4.7001437545499243E-2</v>
      </c>
      <c r="S1179" s="67">
        <v>9</v>
      </c>
      <c r="T1179" s="66">
        <v>45615</v>
      </c>
      <c r="U1179" s="66">
        <v>45618</v>
      </c>
      <c r="V1179" s="63">
        <f t="shared" si="130"/>
        <v>3</v>
      </c>
      <c r="W1179" s="65" t="s">
        <v>125</v>
      </c>
      <c r="X1179" s="64" t="b">
        <f t="shared" si="131"/>
        <v>0</v>
      </c>
      <c r="Y1179" s="67">
        <v>201</v>
      </c>
      <c r="Z1179" s="67">
        <v>327</v>
      </c>
      <c r="AA1179" s="65" t="s">
        <v>84</v>
      </c>
      <c r="AB1179" s="64" t="b">
        <f t="shared" si="132"/>
        <v>1</v>
      </c>
    </row>
    <row r="1180" spans="1:28" ht="15" customHeight="1" x14ac:dyDescent="0.3">
      <c r="A1180" s="57" t="s">
        <v>2480</v>
      </c>
      <c r="B1180" s="82">
        <v>45594</v>
      </c>
      <c r="C1180" s="59">
        <f t="shared" si="126"/>
        <v>2024</v>
      </c>
      <c r="D1180" s="59">
        <f t="shared" si="127"/>
        <v>10</v>
      </c>
      <c r="E1180" s="59">
        <f t="shared" si="128"/>
        <v>44</v>
      </c>
      <c r="F1180" s="57" t="s">
        <v>54</v>
      </c>
      <c r="G1180" s="57" t="s">
        <v>41</v>
      </c>
      <c r="H1180" s="57" t="s">
        <v>2481</v>
      </c>
      <c r="I1180" s="57" t="s">
        <v>66</v>
      </c>
      <c r="J1180" s="57" t="s">
        <v>139</v>
      </c>
      <c r="K1180" s="57" t="s">
        <v>71</v>
      </c>
      <c r="L1180" s="57" t="s">
        <v>156</v>
      </c>
      <c r="M1180" s="60">
        <v>198</v>
      </c>
      <c r="N1180" s="57" t="s">
        <v>120</v>
      </c>
      <c r="O1180" s="61">
        <v>677.8</v>
      </c>
      <c r="P1180" s="61">
        <v>134204.4</v>
      </c>
      <c r="Q1180" s="61">
        <v>5363</v>
      </c>
      <c r="R1180" s="62">
        <f t="shared" si="129"/>
        <v>3.9961431964972836E-2</v>
      </c>
      <c r="S1180" s="60">
        <v>5</v>
      </c>
      <c r="T1180" s="58">
        <v>45599</v>
      </c>
      <c r="U1180" s="58">
        <v>45599</v>
      </c>
      <c r="V1180" s="63">
        <f t="shared" si="130"/>
        <v>0</v>
      </c>
      <c r="W1180" s="57" t="s">
        <v>115</v>
      </c>
      <c r="X1180" s="64" t="b">
        <f t="shared" si="131"/>
        <v>1</v>
      </c>
      <c r="Y1180" s="60">
        <v>28</v>
      </c>
      <c r="Z1180" s="60">
        <v>102</v>
      </c>
      <c r="AA1180" s="57" t="s">
        <v>83</v>
      </c>
      <c r="AB1180" s="64" t="b">
        <f t="shared" si="132"/>
        <v>1</v>
      </c>
    </row>
    <row r="1181" spans="1:28" ht="15" customHeight="1" x14ac:dyDescent="0.3">
      <c r="A1181" s="65" t="s">
        <v>2482</v>
      </c>
      <c r="B1181" s="81">
        <v>45082</v>
      </c>
      <c r="C1181" s="59">
        <f t="shared" si="126"/>
        <v>2023</v>
      </c>
      <c r="D1181" s="59">
        <f t="shared" si="127"/>
        <v>6</v>
      </c>
      <c r="E1181" s="59">
        <f t="shared" si="128"/>
        <v>23</v>
      </c>
      <c r="F1181" s="65" t="s">
        <v>59</v>
      </c>
      <c r="G1181" s="65" t="s">
        <v>43</v>
      </c>
      <c r="H1181" s="65" t="s">
        <v>2483</v>
      </c>
      <c r="I1181" s="65" t="s">
        <v>67</v>
      </c>
      <c r="J1181" s="65" t="s">
        <v>131</v>
      </c>
      <c r="K1181" s="65" t="s">
        <v>73</v>
      </c>
      <c r="L1181" s="65" t="s">
        <v>124</v>
      </c>
      <c r="M1181" s="67">
        <v>424</v>
      </c>
      <c r="N1181" s="65" t="s">
        <v>132</v>
      </c>
      <c r="O1181" s="68">
        <v>192.28</v>
      </c>
      <c r="P1181" s="68">
        <v>81526.720000000001</v>
      </c>
      <c r="Q1181" s="68">
        <v>3774.52</v>
      </c>
      <c r="R1181" s="62">
        <f t="shared" si="129"/>
        <v>4.6297949923656934E-2</v>
      </c>
      <c r="S1181" s="67">
        <v>6</v>
      </c>
      <c r="T1181" s="66">
        <v>45088</v>
      </c>
      <c r="U1181" s="66">
        <v>45088</v>
      </c>
      <c r="V1181" s="63">
        <f t="shared" si="130"/>
        <v>0</v>
      </c>
      <c r="W1181" s="65" t="s">
        <v>115</v>
      </c>
      <c r="X1181" s="64" t="b">
        <f t="shared" si="131"/>
        <v>1</v>
      </c>
      <c r="Y1181" s="67">
        <v>493</v>
      </c>
      <c r="Z1181" s="67">
        <v>332</v>
      </c>
      <c r="AA1181" s="65" t="s">
        <v>116</v>
      </c>
      <c r="AB1181" s="64" t="b">
        <f t="shared" si="132"/>
        <v>0</v>
      </c>
    </row>
    <row r="1182" spans="1:28" ht="15" customHeight="1" x14ac:dyDescent="0.3">
      <c r="A1182" s="57" t="s">
        <v>2484</v>
      </c>
      <c r="B1182" s="82">
        <v>45434</v>
      </c>
      <c r="C1182" s="59">
        <f t="shared" si="126"/>
        <v>2024</v>
      </c>
      <c r="D1182" s="59">
        <f t="shared" si="127"/>
        <v>5</v>
      </c>
      <c r="E1182" s="59">
        <f t="shared" si="128"/>
        <v>21</v>
      </c>
      <c r="F1182" s="57" t="s">
        <v>55</v>
      </c>
      <c r="G1182" s="57" t="s">
        <v>44</v>
      </c>
      <c r="H1182" s="57" t="s">
        <v>2485</v>
      </c>
      <c r="I1182" s="57" t="s">
        <v>64</v>
      </c>
      <c r="J1182" s="57" t="s">
        <v>151</v>
      </c>
      <c r="K1182" s="57" t="s">
        <v>74</v>
      </c>
      <c r="L1182" s="57" t="s">
        <v>119</v>
      </c>
      <c r="M1182" s="60">
        <v>348</v>
      </c>
      <c r="N1182" s="57" t="s">
        <v>132</v>
      </c>
      <c r="O1182" s="61">
        <v>117.56</v>
      </c>
      <c r="P1182" s="61">
        <v>40910.879999999997</v>
      </c>
      <c r="Q1182" s="61">
        <v>1463.04</v>
      </c>
      <c r="R1182" s="62">
        <f t="shared" si="129"/>
        <v>3.5761636024451197E-2</v>
      </c>
      <c r="S1182" s="60">
        <v>20</v>
      </c>
      <c r="T1182" s="58">
        <v>45454</v>
      </c>
      <c r="U1182" s="58">
        <v>45454</v>
      </c>
      <c r="V1182" s="63">
        <f t="shared" si="130"/>
        <v>0</v>
      </c>
      <c r="W1182" s="57" t="s">
        <v>115</v>
      </c>
      <c r="X1182" s="64" t="b">
        <f t="shared" si="131"/>
        <v>1</v>
      </c>
      <c r="Y1182" s="60">
        <v>446</v>
      </c>
      <c r="Z1182" s="60">
        <v>365</v>
      </c>
      <c r="AA1182" s="57" t="s">
        <v>116</v>
      </c>
      <c r="AB1182" s="64" t="b">
        <f t="shared" si="132"/>
        <v>0</v>
      </c>
    </row>
    <row r="1183" spans="1:28" ht="15" customHeight="1" x14ac:dyDescent="0.3">
      <c r="A1183" s="65" t="s">
        <v>2486</v>
      </c>
      <c r="B1183" s="81">
        <v>44964</v>
      </c>
      <c r="C1183" s="59">
        <f t="shared" si="126"/>
        <v>2023</v>
      </c>
      <c r="D1183" s="59">
        <f t="shared" si="127"/>
        <v>2</v>
      </c>
      <c r="E1183" s="59">
        <f t="shared" si="128"/>
        <v>6</v>
      </c>
      <c r="F1183" s="65" t="s">
        <v>61</v>
      </c>
      <c r="G1183" s="65" t="s">
        <v>39</v>
      </c>
      <c r="H1183" s="65" t="s">
        <v>2487</v>
      </c>
      <c r="I1183" s="65" t="s">
        <v>66</v>
      </c>
      <c r="J1183" s="65" t="s">
        <v>112</v>
      </c>
      <c r="K1183" s="65" t="s">
        <v>72</v>
      </c>
      <c r="L1183" s="65" t="s">
        <v>156</v>
      </c>
      <c r="M1183" s="67">
        <v>616</v>
      </c>
      <c r="N1183" s="65" t="s">
        <v>132</v>
      </c>
      <c r="O1183" s="68">
        <v>1765.62</v>
      </c>
      <c r="P1183" s="68">
        <v>1087621.92</v>
      </c>
      <c r="Q1183" s="68">
        <v>32501.48</v>
      </c>
      <c r="R1183" s="62">
        <f t="shared" si="129"/>
        <v>2.9883068189725342E-2</v>
      </c>
      <c r="S1183" s="67">
        <v>26</v>
      </c>
      <c r="T1183" s="66">
        <v>44990</v>
      </c>
      <c r="U1183" s="66">
        <v>44995</v>
      </c>
      <c r="V1183" s="63">
        <f t="shared" si="130"/>
        <v>5</v>
      </c>
      <c r="W1183" s="65" t="s">
        <v>128</v>
      </c>
      <c r="X1183" s="64" t="b">
        <f t="shared" si="131"/>
        <v>0</v>
      </c>
      <c r="Y1183" s="67">
        <v>485</v>
      </c>
      <c r="Z1183" s="67">
        <v>274</v>
      </c>
      <c r="AA1183" s="65" t="s">
        <v>116</v>
      </c>
      <c r="AB1183" s="64" t="b">
        <f t="shared" si="132"/>
        <v>0</v>
      </c>
    </row>
    <row r="1184" spans="1:28" ht="15" customHeight="1" x14ac:dyDescent="0.3">
      <c r="A1184" s="57" t="s">
        <v>2488</v>
      </c>
      <c r="B1184" s="82">
        <v>45056</v>
      </c>
      <c r="C1184" s="59">
        <f t="shared" si="126"/>
        <v>2023</v>
      </c>
      <c r="D1184" s="59">
        <f t="shared" si="127"/>
        <v>5</v>
      </c>
      <c r="E1184" s="59">
        <f t="shared" si="128"/>
        <v>19</v>
      </c>
      <c r="F1184" s="57" t="s">
        <v>61</v>
      </c>
      <c r="G1184" s="57" t="s">
        <v>43</v>
      </c>
      <c r="H1184" s="57" t="s">
        <v>2489</v>
      </c>
      <c r="I1184" s="57" t="s">
        <v>68</v>
      </c>
      <c r="J1184" s="57" t="s">
        <v>143</v>
      </c>
      <c r="K1184" s="57" t="s">
        <v>71</v>
      </c>
      <c r="L1184" s="57" t="s">
        <v>135</v>
      </c>
      <c r="M1184" s="60">
        <v>190</v>
      </c>
      <c r="N1184" s="57" t="s">
        <v>114</v>
      </c>
      <c r="O1184" s="61">
        <v>183.87</v>
      </c>
      <c r="P1184" s="61">
        <v>34935.300000000003</v>
      </c>
      <c r="Q1184" s="61">
        <v>2143.23</v>
      </c>
      <c r="R1184" s="62">
        <f t="shared" si="129"/>
        <v>6.1348550033919841E-2</v>
      </c>
      <c r="S1184" s="60">
        <v>2</v>
      </c>
      <c r="T1184" s="58">
        <v>45058</v>
      </c>
      <c r="U1184" s="58">
        <v>45063</v>
      </c>
      <c r="V1184" s="63">
        <f t="shared" si="130"/>
        <v>5</v>
      </c>
      <c r="W1184" s="57" t="s">
        <v>125</v>
      </c>
      <c r="X1184" s="64" t="b">
        <f t="shared" si="131"/>
        <v>0</v>
      </c>
      <c r="Y1184" s="60">
        <v>211</v>
      </c>
      <c r="Z1184" s="60">
        <v>458</v>
      </c>
      <c r="AA1184" s="57" t="s">
        <v>83</v>
      </c>
      <c r="AB1184" s="64" t="b">
        <f t="shared" si="132"/>
        <v>1</v>
      </c>
    </row>
    <row r="1185" spans="1:28" ht="15" customHeight="1" x14ac:dyDescent="0.3">
      <c r="A1185" s="65" t="s">
        <v>2490</v>
      </c>
      <c r="B1185" s="81">
        <v>45441</v>
      </c>
      <c r="C1185" s="59">
        <f t="shared" si="126"/>
        <v>2024</v>
      </c>
      <c r="D1185" s="59">
        <f t="shared" si="127"/>
        <v>5</v>
      </c>
      <c r="E1185" s="59">
        <f t="shared" si="128"/>
        <v>22</v>
      </c>
      <c r="F1185" s="65" t="s">
        <v>60</v>
      </c>
      <c r="G1185" s="65" t="s">
        <v>42</v>
      </c>
      <c r="H1185" s="65" t="s">
        <v>2491</v>
      </c>
      <c r="I1185" s="65" t="s">
        <v>68</v>
      </c>
      <c r="J1185" s="65" t="s">
        <v>139</v>
      </c>
      <c r="K1185" s="65" t="s">
        <v>72</v>
      </c>
      <c r="L1185" s="65" t="s">
        <v>119</v>
      </c>
      <c r="M1185" s="67">
        <v>297</v>
      </c>
      <c r="N1185" s="65" t="s">
        <v>132</v>
      </c>
      <c r="O1185" s="68">
        <v>57.7</v>
      </c>
      <c r="P1185" s="68">
        <v>17136.900000000001</v>
      </c>
      <c r="Q1185" s="68">
        <v>871.83</v>
      </c>
      <c r="R1185" s="62">
        <f t="shared" si="129"/>
        <v>5.0874428864030249E-2</v>
      </c>
      <c r="S1185" s="67">
        <v>27</v>
      </c>
      <c r="T1185" s="66">
        <v>45468</v>
      </c>
      <c r="U1185" s="66">
        <v>45473</v>
      </c>
      <c r="V1185" s="63">
        <f t="shared" si="130"/>
        <v>5</v>
      </c>
      <c r="W1185" s="65" t="s">
        <v>125</v>
      </c>
      <c r="X1185" s="64" t="b">
        <f t="shared" si="131"/>
        <v>0</v>
      </c>
      <c r="Y1185" s="67">
        <v>153</v>
      </c>
      <c r="Z1185" s="67">
        <v>129</v>
      </c>
      <c r="AA1185" s="65" t="s">
        <v>82</v>
      </c>
      <c r="AB1185" s="64" t="b">
        <f t="shared" si="132"/>
        <v>1</v>
      </c>
    </row>
    <row r="1186" spans="1:28" ht="15" customHeight="1" x14ac:dyDescent="0.3">
      <c r="A1186" s="57" t="s">
        <v>2492</v>
      </c>
      <c r="B1186" s="82">
        <v>45531</v>
      </c>
      <c r="C1186" s="59">
        <f t="shared" si="126"/>
        <v>2024</v>
      </c>
      <c r="D1186" s="59">
        <f t="shared" si="127"/>
        <v>8</v>
      </c>
      <c r="E1186" s="59">
        <f t="shared" si="128"/>
        <v>35</v>
      </c>
      <c r="F1186" s="57" t="s">
        <v>53</v>
      </c>
      <c r="G1186" s="57" t="s">
        <v>44</v>
      </c>
      <c r="H1186" s="57" t="s">
        <v>2493</v>
      </c>
      <c r="I1186" s="57" t="s">
        <v>64</v>
      </c>
      <c r="J1186" s="57" t="s">
        <v>112</v>
      </c>
      <c r="K1186" s="57" t="s">
        <v>74</v>
      </c>
      <c r="L1186" s="57" t="s">
        <v>124</v>
      </c>
      <c r="M1186" s="60">
        <v>843</v>
      </c>
      <c r="N1186" s="57" t="s">
        <v>120</v>
      </c>
      <c r="O1186" s="61">
        <v>154.58000000000001</v>
      </c>
      <c r="P1186" s="61">
        <v>130310.94</v>
      </c>
      <c r="Q1186" s="61">
        <v>4171.16</v>
      </c>
      <c r="R1186" s="62">
        <f t="shared" si="129"/>
        <v>3.2009284868944998E-2</v>
      </c>
      <c r="S1186" s="60">
        <v>24</v>
      </c>
      <c r="T1186" s="58">
        <v>45555</v>
      </c>
      <c r="U1186" s="58">
        <v>45555</v>
      </c>
      <c r="V1186" s="63">
        <f t="shared" si="130"/>
        <v>0</v>
      </c>
      <c r="W1186" s="57" t="s">
        <v>115</v>
      </c>
      <c r="X1186" s="64" t="b">
        <f t="shared" si="131"/>
        <v>1</v>
      </c>
      <c r="Y1186" s="60">
        <v>479</v>
      </c>
      <c r="Z1186" s="60">
        <v>240</v>
      </c>
      <c r="AA1186" s="57" t="s">
        <v>116</v>
      </c>
      <c r="AB1186" s="64" t="b">
        <f t="shared" si="132"/>
        <v>0</v>
      </c>
    </row>
    <row r="1187" spans="1:28" ht="15" customHeight="1" x14ac:dyDescent="0.3">
      <c r="A1187" s="65" t="s">
        <v>2494</v>
      </c>
      <c r="B1187" s="81">
        <v>45266</v>
      </c>
      <c r="C1187" s="59">
        <f t="shared" si="126"/>
        <v>2023</v>
      </c>
      <c r="D1187" s="59">
        <f t="shared" si="127"/>
        <v>12</v>
      </c>
      <c r="E1187" s="59">
        <f t="shared" si="128"/>
        <v>49</v>
      </c>
      <c r="F1187" s="65" t="s">
        <v>60</v>
      </c>
      <c r="G1187" s="65" t="s">
        <v>40</v>
      </c>
      <c r="H1187" s="65" t="s">
        <v>2495</v>
      </c>
      <c r="I1187" s="65" t="s">
        <v>67</v>
      </c>
      <c r="J1187" s="65" t="s">
        <v>151</v>
      </c>
      <c r="K1187" s="65" t="s">
        <v>71</v>
      </c>
      <c r="L1187" s="65" t="s">
        <v>146</v>
      </c>
      <c r="M1187" s="67">
        <v>196</v>
      </c>
      <c r="N1187" s="65" t="s">
        <v>136</v>
      </c>
      <c r="O1187" s="68">
        <v>960.42</v>
      </c>
      <c r="P1187" s="68">
        <v>188242.32</v>
      </c>
      <c r="Q1187" s="68">
        <v>7374.46</v>
      </c>
      <c r="R1187" s="62">
        <f t="shared" si="129"/>
        <v>3.9175356529817525E-2</v>
      </c>
      <c r="S1187" s="67">
        <v>27</v>
      </c>
      <c r="T1187" s="66">
        <v>45293</v>
      </c>
      <c r="U1187" s="66">
        <v>45305</v>
      </c>
      <c r="V1187" s="63">
        <f t="shared" si="130"/>
        <v>12</v>
      </c>
      <c r="W1187" s="65" t="s">
        <v>125</v>
      </c>
      <c r="X1187" s="64" t="b">
        <f t="shared" si="131"/>
        <v>0</v>
      </c>
      <c r="Y1187" s="67">
        <v>230</v>
      </c>
      <c r="Z1187" s="67">
        <v>133</v>
      </c>
      <c r="AA1187" s="65" t="s">
        <v>84</v>
      </c>
      <c r="AB1187" s="64" t="b">
        <f t="shared" si="132"/>
        <v>1</v>
      </c>
    </row>
    <row r="1188" spans="1:28" ht="15" customHeight="1" x14ac:dyDescent="0.3">
      <c r="A1188" s="57" t="s">
        <v>2496</v>
      </c>
      <c r="B1188" s="82">
        <v>45029</v>
      </c>
      <c r="C1188" s="59">
        <f t="shared" si="126"/>
        <v>2023</v>
      </c>
      <c r="D1188" s="59">
        <f t="shared" si="127"/>
        <v>4</v>
      </c>
      <c r="E1188" s="59">
        <f t="shared" si="128"/>
        <v>15</v>
      </c>
      <c r="F1188" s="57" t="s">
        <v>54</v>
      </c>
      <c r="G1188" s="57" t="s">
        <v>40</v>
      </c>
      <c r="H1188" s="57" t="s">
        <v>2497</v>
      </c>
      <c r="I1188" s="57" t="s">
        <v>66</v>
      </c>
      <c r="J1188" s="57" t="s">
        <v>139</v>
      </c>
      <c r="K1188" s="57" t="s">
        <v>72</v>
      </c>
      <c r="L1188" s="57" t="s">
        <v>156</v>
      </c>
      <c r="M1188" s="60">
        <v>893</v>
      </c>
      <c r="N1188" s="57" t="s">
        <v>132</v>
      </c>
      <c r="O1188" s="61">
        <v>931.68</v>
      </c>
      <c r="P1188" s="61">
        <v>831990.24</v>
      </c>
      <c r="Q1188" s="61">
        <v>46182.51</v>
      </c>
      <c r="R1188" s="62">
        <f t="shared" si="129"/>
        <v>5.5508475676349284E-2</v>
      </c>
      <c r="S1188" s="60">
        <v>13</v>
      </c>
      <c r="T1188" s="58">
        <v>45042</v>
      </c>
      <c r="U1188" s="58">
        <v>45037</v>
      </c>
      <c r="V1188" s="63">
        <f t="shared" si="130"/>
        <v>-5</v>
      </c>
      <c r="W1188" s="57" t="s">
        <v>115</v>
      </c>
      <c r="X1188" s="64" t="b">
        <f t="shared" si="131"/>
        <v>1</v>
      </c>
      <c r="Y1188" s="60">
        <v>101</v>
      </c>
      <c r="Z1188" s="60">
        <v>156</v>
      </c>
      <c r="AA1188" s="57" t="s">
        <v>82</v>
      </c>
      <c r="AB1188" s="64" t="b">
        <f t="shared" si="132"/>
        <v>1</v>
      </c>
    </row>
    <row r="1189" spans="1:28" ht="15" customHeight="1" x14ac:dyDescent="0.3">
      <c r="A1189" s="65" t="s">
        <v>2498</v>
      </c>
      <c r="B1189" s="81">
        <v>45377</v>
      </c>
      <c r="C1189" s="59">
        <f t="shared" si="126"/>
        <v>2024</v>
      </c>
      <c r="D1189" s="59">
        <f t="shared" si="127"/>
        <v>3</v>
      </c>
      <c r="E1189" s="59">
        <f t="shared" si="128"/>
        <v>13</v>
      </c>
      <c r="F1189" s="65" t="s">
        <v>57</v>
      </c>
      <c r="G1189" s="65" t="s">
        <v>46</v>
      </c>
      <c r="H1189" s="65" t="s">
        <v>2499</v>
      </c>
      <c r="I1189" s="65" t="s">
        <v>65</v>
      </c>
      <c r="J1189" s="65" t="s">
        <v>139</v>
      </c>
      <c r="K1189" s="65" t="s">
        <v>75</v>
      </c>
      <c r="L1189" s="65" t="s">
        <v>113</v>
      </c>
      <c r="M1189" s="67">
        <v>147</v>
      </c>
      <c r="N1189" s="65" t="s">
        <v>163</v>
      </c>
      <c r="O1189" s="68">
        <v>77.599999999999994</v>
      </c>
      <c r="P1189" s="68">
        <v>11407.2</v>
      </c>
      <c r="Q1189" s="68">
        <v>277.58</v>
      </c>
      <c r="R1189" s="62">
        <f t="shared" si="129"/>
        <v>2.4333754120204779E-2</v>
      </c>
      <c r="S1189" s="67">
        <v>6</v>
      </c>
      <c r="T1189" s="66">
        <v>45383</v>
      </c>
      <c r="U1189" s="66">
        <v>45386</v>
      </c>
      <c r="V1189" s="63">
        <f t="shared" si="130"/>
        <v>3</v>
      </c>
      <c r="W1189" s="65" t="s">
        <v>128</v>
      </c>
      <c r="X1189" s="64" t="b">
        <f t="shared" si="131"/>
        <v>0</v>
      </c>
      <c r="Y1189" s="67">
        <v>314</v>
      </c>
      <c r="Z1189" s="67">
        <v>424</v>
      </c>
      <c r="AA1189" s="65" t="s">
        <v>116</v>
      </c>
      <c r="AB1189" s="64" t="b">
        <f t="shared" si="132"/>
        <v>0</v>
      </c>
    </row>
    <row r="1190" spans="1:28" ht="15" customHeight="1" x14ac:dyDescent="0.3">
      <c r="A1190" s="57" t="s">
        <v>2500</v>
      </c>
      <c r="B1190" s="82">
        <v>45029</v>
      </c>
      <c r="C1190" s="59">
        <f t="shared" si="126"/>
        <v>2023</v>
      </c>
      <c r="D1190" s="59">
        <f t="shared" si="127"/>
        <v>4</v>
      </c>
      <c r="E1190" s="59">
        <f t="shared" si="128"/>
        <v>15</v>
      </c>
      <c r="F1190" s="57" t="s">
        <v>60</v>
      </c>
      <c r="G1190" s="57" t="s">
        <v>41</v>
      </c>
      <c r="H1190" s="57" t="s">
        <v>2501</v>
      </c>
      <c r="I1190" s="57" t="s">
        <v>67</v>
      </c>
      <c r="J1190" s="57" t="s">
        <v>139</v>
      </c>
      <c r="K1190" s="57" t="s">
        <v>75</v>
      </c>
      <c r="L1190" s="57" t="s">
        <v>124</v>
      </c>
      <c r="M1190" s="60">
        <v>139</v>
      </c>
      <c r="N1190" s="57" t="s">
        <v>120</v>
      </c>
      <c r="O1190" s="61">
        <v>620.09</v>
      </c>
      <c r="P1190" s="61">
        <v>86192.51</v>
      </c>
      <c r="Q1190" s="61">
        <v>2486.41</v>
      </c>
      <c r="R1190" s="62">
        <f t="shared" si="129"/>
        <v>2.8847170131140167E-2</v>
      </c>
      <c r="S1190" s="60">
        <v>5</v>
      </c>
      <c r="T1190" s="58">
        <v>45034</v>
      </c>
      <c r="U1190" s="58">
        <v>45031</v>
      </c>
      <c r="V1190" s="63">
        <f t="shared" si="130"/>
        <v>-3</v>
      </c>
      <c r="W1190" s="57" t="s">
        <v>115</v>
      </c>
      <c r="X1190" s="64" t="b">
        <f t="shared" si="131"/>
        <v>1</v>
      </c>
      <c r="Y1190" s="60">
        <v>176</v>
      </c>
      <c r="Z1190" s="60">
        <v>434</v>
      </c>
      <c r="AA1190" s="57" t="s">
        <v>83</v>
      </c>
      <c r="AB1190" s="64" t="b">
        <f t="shared" si="132"/>
        <v>1</v>
      </c>
    </row>
    <row r="1191" spans="1:28" ht="15" customHeight="1" x14ac:dyDescent="0.3">
      <c r="A1191" s="65" t="s">
        <v>2502</v>
      </c>
      <c r="B1191" s="81">
        <v>45465</v>
      </c>
      <c r="C1191" s="59">
        <f t="shared" si="126"/>
        <v>2024</v>
      </c>
      <c r="D1191" s="59">
        <f t="shared" si="127"/>
        <v>6</v>
      </c>
      <c r="E1191" s="59">
        <f t="shared" si="128"/>
        <v>25</v>
      </c>
      <c r="F1191" s="65" t="s">
        <v>60</v>
      </c>
      <c r="G1191" s="65" t="s">
        <v>39</v>
      </c>
      <c r="H1191" s="65" t="s">
        <v>2503</v>
      </c>
      <c r="I1191" s="65" t="s">
        <v>66</v>
      </c>
      <c r="J1191" s="65" t="s">
        <v>139</v>
      </c>
      <c r="K1191" s="65" t="s">
        <v>73</v>
      </c>
      <c r="L1191" s="65" t="s">
        <v>119</v>
      </c>
      <c r="M1191" s="67">
        <v>203</v>
      </c>
      <c r="N1191" s="65" t="s">
        <v>136</v>
      </c>
      <c r="O1191" s="68">
        <v>1297.06</v>
      </c>
      <c r="P1191" s="68">
        <v>263303.18</v>
      </c>
      <c r="Q1191" s="68">
        <v>6423.21</v>
      </c>
      <c r="R1191" s="62">
        <f t="shared" si="129"/>
        <v>2.4394730059849639E-2</v>
      </c>
      <c r="S1191" s="67">
        <v>25</v>
      </c>
      <c r="T1191" s="66">
        <v>45490</v>
      </c>
      <c r="U1191" s="66">
        <v>45490</v>
      </c>
      <c r="V1191" s="63">
        <f t="shared" si="130"/>
        <v>0</v>
      </c>
      <c r="W1191" s="65" t="s">
        <v>115</v>
      </c>
      <c r="X1191" s="64" t="b">
        <f t="shared" si="131"/>
        <v>1</v>
      </c>
      <c r="Y1191" s="67">
        <v>180</v>
      </c>
      <c r="Z1191" s="67">
        <v>388</v>
      </c>
      <c r="AA1191" s="65" t="s">
        <v>83</v>
      </c>
      <c r="AB1191" s="64" t="b">
        <f t="shared" si="132"/>
        <v>1</v>
      </c>
    </row>
    <row r="1192" spans="1:28" ht="15" customHeight="1" x14ac:dyDescent="0.3">
      <c r="A1192" s="57" t="s">
        <v>2504</v>
      </c>
      <c r="B1192" s="82">
        <v>45394</v>
      </c>
      <c r="C1192" s="59">
        <f t="shared" si="126"/>
        <v>2024</v>
      </c>
      <c r="D1192" s="59">
        <f t="shared" si="127"/>
        <v>4</v>
      </c>
      <c r="E1192" s="59">
        <f t="shared" si="128"/>
        <v>15</v>
      </c>
      <c r="F1192" s="57" t="s">
        <v>60</v>
      </c>
      <c r="G1192" s="57" t="s">
        <v>46</v>
      </c>
      <c r="H1192" s="57" t="s">
        <v>2505</v>
      </c>
      <c r="I1192" s="57" t="s">
        <v>64</v>
      </c>
      <c r="J1192" s="57" t="s">
        <v>112</v>
      </c>
      <c r="K1192" s="57" t="s">
        <v>74</v>
      </c>
      <c r="L1192" s="57" t="s">
        <v>124</v>
      </c>
      <c r="M1192" s="60">
        <v>325</v>
      </c>
      <c r="N1192" s="57" t="s">
        <v>114</v>
      </c>
      <c r="O1192" s="61">
        <v>58.92</v>
      </c>
      <c r="P1192" s="61">
        <v>19149</v>
      </c>
      <c r="Q1192" s="61">
        <v>1316.28</v>
      </c>
      <c r="R1192" s="62">
        <f t="shared" si="129"/>
        <v>6.8738837537208206E-2</v>
      </c>
      <c r="S1192" s="60">
        <v>1</v>
      </c>
      <c r="T1192" s="58">
        <v>45395</v>
      </c>
      <c r="U1192" s="58">
        <v>45398</v>
      </c>
      <c r="V1192" s="63">
        <f t="shared" si="130"/>
        <v>3</v>
      </c>
      <c r="W1192" s="57" t="s">
        <v>125</v>
      </c>
      <c r="X1192" s="64" t="b">
        <f t="shared" si="131"/>
        <v>0</v>
      </c>
      <c r="Y1192" s="60">
        <v>471</v>
      </c>
      <c r="Z1192" s="60">
        <v>424</v>
      </c>
      <c r="AA1192" s="57" t="s">
        <v>116</v>
      </c>
      <c r="AB1192" s="64" t="b">
        <f t="shared" si="132"/>
        <v>0</v>
      </c>
    </row>
    <row r="1193" spans="1:28" ht="15" customHeight="1" x14ac:dyDescent="0.3">
      <c r="A1193" s="65" t="s">
        <v>2506</v>
      </c>
      <c r="B1193" s="81">
        <v>44942</v>
      </c>
      <c r="C1193" s="59">
        <f t="shared" si="126"/>
        <v>2023</v>
      </c>
      <c r="D1193" s="59">
        <f t="shared" si="127"/>
        <v>1</v>
      </c>
      <c r="E1193" s="59">
        <f t="shared" si="128"/>
        <v>3</v>
      </c>
      <c r="F1193" s="65" t="s">
        <v>59</v>
      </c>
      <c r="G1193" s="65" t="s">
        <v>44</v>
      </c>
      <c r="H1193" s="65" t="s">
        <v>2507</v>
      </c>
      <c r="I1193" s="65" t="s">
        <v>68</v>
      </c>
      <c r="J1193" s="65" t="s">
        <v>139</v>
      </c>
      <c r="K1193" s="65" t="s">
        <v>72</v>
      </c>
      <c r="L1193" s="65" t="s">
        <v>119</v>
      </c>
      <c r="M1193" s="67">
        <v>993</v>
      </c>
      <c r="N1193" s="65" t="s">
        <v>132</v>
      </c>
      <c r="O1193" s="68">
        <v>96.11</v>
      </c>
      <c r="P1193" s="68">
        <v>95437.23</v>
      </c>
      <c r="Q1193" s="68">
        <v>6217.22</v>
      </c>
      <c r="R1193" s="62">
        <f t="shared" si="129"/>
        <v>6.5144598182491256E-2</v>
      </c>
      <c r="S1193" s="67">
        <v>21</v>
      </c>
      <c r="T1193" s="66">
        <v>44963</v>
      </c>
      <c r="U1193" s="66">
        <v>44963</v>
      </c>
      <c r="V1193" s="63">
        <f t="shared" si="130"/>
        <v>0</v>
      </c>
      <c r="W1193" s="65" t="s">
        <v>115</v>
      </c>
      <c r="X1193" s="64" t="b">
        <f t="shared" si="131"/>
        <v>1</v>
      </c>
      <c r="Y1193" s="67">
        <v>414</v>
      </c>
      <c r="Z1193" s="67">
        <v>317</v>
      </c>
      <c r="AA1193" s="65" t="s">
        <v>83</v>
      </c>
      <c r="AB1193" s="64" t="b">
        <f t="shared" si="132"/>
        <v>1</v>
      </c>
    </row>
    <row r="1194" spans="1:28" ht="15" customHeight="1" x14ac:dyDescent="0.3">
      <c r="A1194" s="57" t="s">
        <v>2508</v>
      </c>
      <c r="B1194" s="82">
        <v>45074</v>
      </c>
      <c r="C1194" s="59">
        <f t="shared" si="126"/>
        <v>2023</v>
      </c>
      <c r="D1194" s="59">
        <f t="shared" si="127"/>
        <v>5</v>
      </c>
      <c r="E1194" s="59">
        <f t="shared" si="128"/>
        <v>22</v>
      </c>
      <c r="F1194" s="57" t="s">
        <v>55</v>
      </c>
      <c r="G1194" s="57" t="s">
        <v>40</v>
      </c>
      <c r="H1194" s="57" t="s">
        <v>2509</v>
      </c>
      <c r="I1194" s="57" t="s">
        <v>64</v>
      </c>
      <c r="J1194" s="57" t="s">
        <v>112</v>
      </c>
      <c r="K1194" s="57" t="s">
        <v>73</v>
      </c>
      <c r="L1194" s="57" t="s">
        <v>124</v>
      </c>
      <c r="M1194" s="60">
        <v>794</v>
      </c>
      <c r="N1194" s="57" t="s">
        <v>136</v>
      </c>
      <c r="O1194" s="61">
        <v>643.11</v>
      </c>
      <c r="P1194" s="61">
        <v>510629.34</v>
      </c>
      <c r="Q1194" s="61">
        <v>33292.410000000003</v>
      </c>
      <c r="R1194" s="62">
        <f t="shared" si="129"/>
        <v>6.5198779999598153E-2</v>
      </c>
      <c r="S1194" s="60">
        <v>22</v>
      </c>
      <c r="T1194" s="58">
        <v>45096</v>
      </c>
      <c r="U1194" s="58">
        <v>45104</v>
      </c>
      <c r="V1194" s="63">
        <f t="shared" si="130"/>
        <v>8</v>
      </c>
      <c r="W1194" s="57" t="s">
        <v>125</v>
      </c>
      <c r="X1194" s="64" t="b">
        <f t="shared" si="131"/>
        <v>0</v>
      </c>
      <c r="Y1194" s="60">
        <v>231</v>
      </c>
      <c r="Z1194" s="60">
        <v>157</v>
      </c>
      <c r="AA1194" s="57" t="s">
        <v>84</v>
      </c>
      <c r="AB1194" s="64" t="b">
        <f t="shared" si="132"/>
        <v>1</v>
      </c>
    </row>
    <row r="1195" spans="1:28" ht="15" customHeight="1" x14ac:dyDescent="0.3">
      <c r="A1195" s="65" t="s">
        <v>2510</v>
      </c>
      <c r="B1195" s="81">
        <v>45346</v>
      </c>
      <c r="C1195" s="59">
        <f t="shared" si="126"/>
        <v>2024</v>
      </c>
      <c r="D1195" s="59">
        <f t="shared" si="127"/>
        <v>2</v>
      </c>
      <c r="E1195" s="59">
        <f t="shared" si="128"/>
        <v>8</v>
      </c>
      <c r="F1195" s="65" t="s">
        <v>57</v>
      </c>
      <c r="G1195" s="65" t="s">
        <v>40</v>
      </c>
      <c r="H1195" s="65" t="s">
        <v>2511</v>
      </c>
      <c r="I1195" s="65" t="s">
        <v>66</v>
      </c>
      <c r="J1195" s="65" t="s">
        <v>139</v>
      </c>
      <c r="K1195" s="65" t="s">
        <v>74</v>
      </c>
      <c r="L1195" s="65" t="s">
        <v>146</v>
      </c>
      <c r="M1195" s="67">
        <v>873</v>
      </c>
      <c r="N1195" s="65" t="s">
        <v>163</v>
      </c>
      <c r="O1195" s="68">
        <v>992.77</v>
      </c>
      <c r="P1195" s="68">
        <v>866688.21</v>
      </c>
      <c r="Q1195" s="68">
        <v>54583.61</v>
      </c>
      <c r="R1195" s="62">
        <f t="shared" si="129"/>
        <v>6.2979522935935645E-2</v>
      </c>
      <c r="S1195" s="67">
        <v>21</v>
      </c>
      <c r="T1195" s="66">
        <v>45367</v>
      </c>
      <c r="U1195" s="66">
        <v>45366</v>
      </c>
      <c r="V1195" s="63">
        <f t="shared" si="130"/>
        <v>-1</v>
      </c>
      <c r="W1195" s="65" t="s">
        <v>115</v>
      </c>
      <c r="X1195" s="64" t="b">
        <f t="shared" si="131"/>
        <v>1</v>
      </c>
      <c r="Y1195" s="67">
        <v>11</v>
      </c>
      <c r="Z1195" s="67">
        <v>358</v>
      </c>
      <c r="AA1195" s="65" t="s">
        <v>116</v>
      </c>
      <c r="AB1195" s="64" t="b">
        <f t="shared" si="132"/>
        <v>0</v>
      </c>
    </row>
    <row r="1196" spans="1:28" ht="15" customHeight="1" x14ac:dyDescent="0.3">
      <c r="A1196" s="57" t="s">
        <v>2512</v>
      </c>
      <c r="B1196" s="82">
        <v>45597</v>
      </c>
      <c r="C1196" s="59">
        <f t="shared" si="126"/>
        <v>2024</v>
      </c>
      <c r="D1196" s="59">
        <f t="shared" si="127"/>
        <v>11</v>
      </c>
      <c r="E1196" s="59">
        <f t="shared" si="128"/>
        <v>44</v>
      </c>
      <c r="F1196" s="57" t="s">
        <v>61</v>
      </c>
      <c r="G1196" s="57" t="s">
        <v>40</v>
      </c>
      <c r="H1196" s="57" t="s">
        <v>2513</v>
      </c>
      <c r="I1196" s="57" t="s">
        <v>64</v>
      </c>
      <c r="J1196" s="57" t="s">
        <v>139</v>
      </c>
      <c r="K1196" s="57" t="s">
        <v>75</v>
      </c>
      <c r="L1196" s="57" t="s">
        <v>156</v>
      </c>
      <c r="M1196" s="60">
        <v>153</v>
      </c>
      <c r="N1196" s="57" t="s">
        <v>120</v>
      </c>
      <c r="O1196" s="61">
        <v>1109.5</v>
      </c>
      <c r="P1196" s="61">
        <v>169753.5</v>
      </c>
      <c r="Q1196" s="61">
        <v>10212.9</v>
      </c>
      <c r="R1196" s="62">
        <f t="shared" si="129"/>
        <v>6.0163118875310374E-2</v>
      </c>
      <c r="S1196" s="60">
        <v>6</v>
      </c>
      <c r="T1196" s="58">
        <v>45603</v>
      </c>
      <c r="U1196" s="58">
        <v>45604</v>
      </c>
      <c r="V1196" s="63">
        <f t="shared" si="130"/>
        <v>1</v>
      </c>
      <c r="W1196" s="57" t="s">
        <v>128</v>
      </c>
      <c r="X1196" s="64" t="b">
        <f t="shared" si="131"/>
        <v>0</v>
      </c>
      <c r="Y1196" s="60">
        <v>185</v>
      </c>
      <c r="Z1196" s="60">
        <v>189</v>
      </c>
      <c r="AA1196" s="57" t="s">
        <v>82</v>
      </c>
      <c r="AB1196" s="64" t="b">
        <f t="shared" si="132"/>
        <v>1</v>
      </c>
    </row>
    <row r="1197" spans="1:28" ht="15" customHeight="1" x14ac:dyDescent="0.3">
      <c r="A1197" s="65" t="s">
        <v>2514</v>
      </c>
      <c r="B1197" s="81">
        <v>45085</v>
      </c>
      <c r="C1197" s="59">
        <f t="shared" si="126"/>
        <v>2023</v>
      </c>
      <c r="D1197" s="59">
        <f t="shared" si="127"/>
        <v>6</v>
      </c>
      <c r="E1197" s="59">
        <f t="shared" si="128"/>
        <v>23</v>
      </c>
      <c r="F1197" s="65" t="s">
        <v>52</v>
      </c>
      <c r="G1197" s="65" t="s">
        <v>44</v>
      </c>
      <c r="H1197" s="65" t="s">
        <v>2515</v>
      </c>
      <c r="I1197" s="65" t="s">
        <v>66</v>
      </c>
      <c r="J1197" s="65" t="s">
        <v>151</v>
      </c>
      <c r="K1197" s="65" t="s">
        <v>72</v>
      </c>
      <c r="L1197" s="65" t="s">
        <v>113</v>
      </c>
      <c r="M1197" s="67">
        <v>25</v>
      </c>
      <c r="N1197" s="65" t="s">
        <v>120</v>
      </c>
      <c r="O1197" s="68">
        <v>176.42</v>
      </c>
      <c r="P1197" s="68">
        <v>4410.5</v>
      </c>
      <c r="Q1197" s="68">
        <v>214.44</v>
      </c>
      <c r="R1197" s="62">
        <f t="shared" si="129"/>
        <v>4.8620337830177981E-2</v>
      </c>
      <c r="S1197" s="67">
        <v>6</v>
      </c>
      <c r="T1197" s="66">
        <v>45091</v>
      </c>
      <c r="U1197" s="66">
        <v>45091</v>
      </c>
      <c r="V1197" s="63">
        <f t="shared" si="130"/>
        <v>0</v>
      </c>
      <c r="W1197" s="65" t="s">
        <v>115</v>
      </c>
      <c r="X1197" s="64" t="b">
        <f t="shared" si="131"/>
        <v>1</v>
      </c>
      <c r="Y1197" s="67">
        <v>248</v>
      </c>
      <c r="Z1197" s="67">
        <v>99</v>
      </c>
      <c r="AA1197" s="65" t="s">
        <v>84</v>
      </c>
      <c r="AB1197" s="64" t="b">
        <f t="shared" si="132"/>
        <v>1</v>
      </c>
    </row>
    <row r="1198" spans="1:28" ht="15" customHeight="1" x14ac:dyDescent="0.3">
      <c r="A1198" s="57" t="s">
        <v>2516</v>
      </c>
      <c r="B1198" s="82">
        <v>45003</v>
      </c>
      <c r="C1198" s="59">
        <f t="shared" si="126"/>
        <v>2023</v>
      </c>
      <c r="D1198" s="59">
        <f t="shared" si="127"/>
        <v>3</v>
      </c>
      <c r="E1198" s="59">
        <f t="shared" si="128"/>
        <v>11</v>
      </c>
      <c r="F1198" s="57" t="s">
        <v>59</v>
      </c>
      <c r="G1198" s="57" t="s">
        <v>40</v>
      </c>
      <c r="H1198" s="57" t="s">
        <v>2517</v>
      </c>
      <c r="I1198" s="57" t="s">
        <v>66</v>
      </c>
      <c r="J1198" s="57" t="s">
        <v>112</v>
      </c>
      <c r="K1198" s="57" t="s">
        <v>71</v>
      </c>
      <c r="L1198" s="57" t="s">
        <v>146</v>
      </c>
      <c r="M1198" s="60">
        <v>311</v>
      </c>
      <c r="N1198" s="57" t="s">
        <v>114</v>
      </c>
      <c r="O1198" s="61">
        <v>962.14</v>
      </c>
      <c r="P1198" s="61">
        <v>299225.53999999998</v>
      </c>
      <c r="Q1198" s="61">
        <v>17515.669999999998</v>
      </c>
      <c r="R1198" s="62">
        <f t="shared" si="129"/>
        <v>5.8536681060045878E-2</v>
      </c>
      <c r="S1198" s="60">
        <v>23</v>
      </c>
      <c r="T1198" s="58">
        <v>45026</v>
      </c>
      <c r="U1198" s="58">
        <v>45028</v>
      </c>
      <c r="V1198" s="63">
        <f t="shared" si="130"/>
        <v>2</v>
      </c>
      <c r="W1198" s="57" t="s">
        <v>128</v>
      </c>
      <c r="X1198" s="64" t="b">
        <f t="shared" si="131"/>
        <v>0</v>
      </c>
      <c r="Y1198" s="60">
        <v>419</v>
      </c>
      <c r="Z1198" s="60">
        <v>410</v>
      </c>
      <c r="AA1198" s="57" t="s">
        <v>81</v>
      </c>
      <c r="AB1198" s="64" t="b">
        <f t="shared" si="132"/>
        <v>1</v>
      </c>
    </row>
    <row r="1199" spans="1:28" ht="15" customHeight="1" x14ac:dyDescent="0.3">
      <c r="A1199" s="65" t="s">
        <v>2518</v>
      </c>
      <c r="B1199" s="81">
        <v>45407</v>
      </c>
      <c r="C1199" s="59">
        <f t="shared" si="126"/>
        <v>2024</v>
      </c>
      <c r="D1199" s="59">
        <f t="shared" si="127"/>
        <v>4</v>
      </c>
      <c r="E1199" s="59">
        <f t="shared" si="128"/>
        <v>17</v>
      </c>
      <c r="F1199" s="65" t="s">
        <v>54</v>
      </c>
      <c r="G1199" s="65" t="s">
        <v>43</v>
      </c>
      <c r="H1199" s="65" t="s">
        <v>2519</v>
      </c>
      <c r="I1199" s="65" t="s">
        <v>64</v>
      </c>
      <c r="J1199" s="65" t="s">
        <v>143</v>
      </c>
      <c r="K1199" s="65" t="s">
        <v>75</v>
      </c>
      <c r="L1199" s="65" t="s">
        <v>156</v>
      </c>
      <c r="M1199" s="67">
        <v>432</v>
      </c>
      <c r="N1199" s="65" t="s">
        <v>114</v>
      </c>
      <c r="O1199" s="68">
        <v>169.46</v>
      </c>
      <c r="P1199" s="68">
        <v>73206.720000000001</v>
      </c>
      <c r="Q1199" s="68">
        <v>1632.63</v>
      </c>
      <c r="R1199" s="62">
        <f t="shared" si="129"/>
        <v>2.2301641160811469E-2</v>
      </c>
      <c r="S1199" s="67">
        <v>16</v>
      </c>
      <c r="T1199" s="66">
        <v>45423</v>
      </c>
      <c r="U1199" s="66">
        <v>45422</v>
      </c>
      <c r="V1199" s="63">
        <f t="shared" si="130"/>
        <v>-1</v>
      </c>
      <c r="W1199" s="65" t="s">
        <v>115</v>
      </c>
      <c r="X1199" s="64" t="b">
        <f t="shared" si="131"/>
        <v>1</v>
      </c>
      <c r="Y1199" s="67">
        <v>265</v>
      </c>
      <c r="Z1199" s="67">
        <v>433</v>
      </c>
      <c r="AA1199" s="65" t="s">
        <v>82</v>
      </c>
      <c r="AB1199" s="64" t="b">
        <f t="shared" si="132"/>
        <v>1</v>
      </c>
    </row>
    <row r="1200" spans="1:28" ht="15" customHeight="1" x14ac:dyDescent="0.3">
      <c r="A1200" s="57" t="s">
        <v>2520</v>
      </c>
      <c r="B1200" s="82">
        <v>45198</v>
      </c>
      <c r="C1200" s="59">
        <f t="shared" si="126"/>
        <v>2023</v>
      </c>
      <c r="D1200" s="59">
        <f t="shared" si="127"/>
        <v>9</v>
      </c>
      <c r="E1200" s="59">
        <f t="shared" si="128"/>
        <v>39</v>
      </c>
      <c r="F1200" s="57" t="s">
        <v>57</v>
      </c>
      <c r="G1200" s="57" t="s">
        <v>45</v>
      </c>
      <c r="H1200" s="57" t="s">
        <v>2521</v>
      </c>
      <c r="I1200" s="57" t="s">
        <v>69</v>
      </c>
      <c r="J1200" s="57" t="s">
        <v>112</v>
      </c>
      <c r="K1200" s="57" t="s">
        <v>71</v>
      </c>
      <c r="L1200" s="57" t="s">
        <v>113</v>
      </c>
      <c r="M1200" s="60">
        <v>254</v>
      </c>
      <c r="N1200" s="57" t="s">
        <v>114</v>
      </c>
      <c r="O1200" s="61">
        <v>156.9</v>
      </c>
      <c r="P1200" s="61">
        <v>39852.6</v>
      </c>
      <c r="Q1200" s="61">
        <v>2283.0700000000002</v>
      </c>
      <c r="R1200" s="62">
        <f t="shared" si="129"/>
        <v>5.7287855748432981E-2</v>
      </c>
      <c r="S1200" s="60">
        <v>4</v>
      </c>
      <c r="T1200" s="58">
        <v>45202</v>
      </c>
      <c r="U1200" s="58">
        <v>45202</v>
      </c>
      <c r="V1200" s="63">
        <f t="shared" si="130"/>
        <v>0</v>
      </c>
      <c r="W1200" s="57" t="s">
        <v>115</v>
      </c>
      <c r="X1200" s="64" t="b">
        <f t="shared" si="131"/>
        <v>1</v>
      </c>
      <c r="Y1200" s="60">
        <v>389</v>
      </c>
      <c r="Z1200" s="60">
        <v>465</v>
      </c>
      <c r="AA1200" s="57" t="s">
        <v>116</v>
      </c>
      <c r="AB1200" s="64" t="b">
        <f t="shared" si="132"/>
        <v>0</v>
      </c>
    </row>
    <row r="1201" spans="1:28" ht="15" customHeight="1" x14ac:dyDescent="0.3">
      <c r="A1201" s="65" t="s">
        <v>2522</v>
      </c>
      <c r="B1201" s="81">
        <v>45273</v>
      </c>
      <c r="C1201" s="59">
        <f t="shared" si="126"/>
        <v>2023</v>
      </c>
      <c r="D1201" s="59">
        <f t="shared" si="127"/>
        <v>12</v>
      </c>
      <c r="E1201" s="59">
        <f t="shared" si="128"/>
        <v>50</v>
      </c>
      <c r="F1201" s="65" t="s">
        <v>61</v>
      </c>
      <c r="G1201" s="65" t="s">
        <v>44</v>
      </c>
      <c r="H1201" s="65" t="s">
        <v>2523</v>
      </c>
      <c r="I1201" s="65" t="s">
        <v>65</v>
      </c>
      <c r="J1201" s="65" t="s">
        <v>123</v>
      </c>
      <c r="K1201" s="65" t="s">
        <v>71</v>
      </c>
      <c r="L1201" s="65" t="s">
        <v>124</v>
      </c>
      <c r="M1201" s="67">
        <v>936</v>
      </c>
      <c r="N1201" s="65" t="s">
        <v>136</v>
      </c>
      <c r="O1201" s="68">
        <v>162.03</v>
      </c>
      <c r="P1201" s="68">
        <v>151660.07999999999</v>
      </c>
      <c r="Q1201" s="68">
        <v>10111.58</v>
      </c>
      <c r="R1201" s="62">
        <f t="shared" si="129"/>
        <v>6.6672653739863516E-2</v>
      </c>
      <c r="S1201" s="67">
        <v>11</v>
      </c>
      <c r="T1201" s="66">
        <v>45284</v>
      </c>
      <c r="U1201" s="66">
        <v>45289</v>
      </c>
      <c r="V1201" s="63">
        <f t="shared" si="130"/>
        <v>5</v>
      </c>
      <c r="W1201" s="65" t="s">
        <v>128</v>
      </c>
      <c r="X1201" s="64" t="b">
        <f t="shared" si="131"/>
        <v>0</v>
      </c>
      <c r="Y1201" s="67">
        <v>134</v>
      </c>
      <c r="Z1201" s="67">
        <v>51</v>
      </c>
      <c r="AA1201" s="65" t="s">
        <v>116</v>
      </c>
      <c r="AB1201" s="64" t="b">
        <f t="shared" si="132"/>
        <v>0</v>
      </c>
    </row>
    <row r="1202" spans="1:28" ht="15" customHeight="1" x14ac:dyDescent="0.3">
      <c r="A1202" s="57" t="s">
        <v>2524</v>
      </c>
      <c r="B1202" s="82">
        <v>45565</v>
      </c>
      <c r="C1202" s="59">
        <f t="shared" si="126"/>
        <v>2024</v>
      </c>
      <c r="D1202" s="59">
        <f t="shared" si="127"/>
        <v>9</v>
      </c>
      <c r="E1202" s="59">
        <f t="shared" si="128"/>
        <v>40</v>
      </c>
      <c r="F1202" s="57" t="s">
        <v>57</v>
      </c>
      <c r="G1202" s="57" t="s">
        <v>39</v>
      </c>
      <c r="H1202" s="57" t="s">
        <v>2525</v>
      </c>
      <c r="I1202" s="57" t="s">
        <v>67</v>
      </c>
      <c r="J1202" s="57" t="s">
        <v>143</v>
      </c>
      <c r="K1202" s="57" t="s">
        <v>72</v>
      </c>
      <c r="L1202" s="57" t="s">
        <v>113</v>
      </c>
      <c r="M1202" s="60">
        <v>116</v>
      </c>
      <c r="N1202" s="57" t="s">
        <v>132</v>
      </c>
      <c r="O1202" s="61">
        <v>1744.51</v>
      </c>
      <c r="P1202" s="61">
        <v>202363.16</v>
      </c>
      <c r="Q1202" s="61">
        <v>10122.51</v>
      </c>
      <c r="R1202" s="62">
        <f t="shared" si="129"/>
        <v>5.0021505890696705E-2</v>
      </c>
      <c r="S1202" s="60">
        <v>24</v>
      </c>
      <c r="T1202" s="58">
        <v>45589</v>
      </c>
      <c r="U1202" s="58">
        <v>45589</v>
      </c>
      <c r="V1202" s="63">
        <f t="shared" si="130"/>
        <v>0</v>
      </c>
      <c r="W1202" s="57" t="s">
        <v>115</v>
      </c>
      <c r="X1202" s="64" t="b">
        <f t="shared" si="131"/>
        <v>1</v>
      </c>
      <c r="Y1202" s="60">
        <v>244</v>
      </c>
      <c r="Z1202" s="60">
        <v>48</v>
      </c>
      <c r="AA1202" s="57" t="s">
        <v>83</v>
      </c>
      <c r="AB1202" s="64" t="b">
        <f t="shared" si="132"/>
        <v>1</v>
      </c>
    </row>
    <row r="1203" spans="1:28" ht="15" customHeight="1" x14ac:dyDescent="0.3">
      <c r="A1203" s="65" t="s">
        <v>2526</v>
      </c>
      <c r="B1203" s="81">
        <v>45636</v>
      </c>
      <c r="C1203" s="59">
        <f t="shared" si="126"/>
        <v>2024</v>
      </c>
      <c r="D1203" s="59">
        <f t="shared" si="127"/>
        <v>12</v>
      </c>
      <c r="E1203" s="59">
        <f t="shared" si="128"/>
        <v>50</v>
      </c>
      <c r="F1203" s="65" t="s">
        <v>56</v>
      </c>
      <c r="G1203" s="65" t="s">
        <v>45</v>
      </c>
      <c r="H1203" s="65" t="s">
        <v>2527</v>
      </c>
      <c r="I1203" s="65" t="s">
        <v>68</v>
      </c>
      <c r="J1203" s="65" t="s">
        <v>151</v>
      </c>
      <c r="K1203" s="65" t="s">
        <v>72</v>
      </c>
      <c r="L1203" s="65" t="s">
        <v>135</v>
      </c>
      <c r="M1203" s="67">
        <v>97</v>
      </c>
      <c r="N1203" s="65" t="s">
        <v>140</v>
      </c>
      <c r="O1203" s="68">
        <v>238.93</v>
      </c>
      <c r="P1203" s="68">
        <v>23176.21</v>
      </c>
      <c r="Q1203" s="68">
        <v>960.67</v>
      </c>
      <c r="R1203" s="62">
        <f t="shared" si="129"/>
        <v>4.1450694483696857E-2</v>
      </c>
      <c r="S1203" s="67">
        <v>23</v>
      </c>
      <c r="T1203" s="66">
        <v>45659</v>
      </c>
      <c r="U1203" s="66">
        <v>45659</v>
      </c>
      <c r="V1203" s="63">
        <f t="shared" si="130"/>
        <v>0</v>
      </c>
      <c r="W1203" s="65" t="s">
        <v>115</v>
      </c>
      <c r="X1203" s="64" t="b">
        <f t="shared" si="131"/>
        <v>1</v>
      </c>
      <c r="Y1203" s="67">
        <v>30</v>
      </c>
      <c r="Z1203" s="67">
        <v>445</v>
      </c>
      <c r="AA1203" s="65" t="s">
        <v>116</v>
      </c>
      <c r="AB1203" s="64" t="b">
        <f t="shared" si="132"/>
        <v>0</v>
      </c>
    </row>
    <row r="1204" spans="1:28" ht="15" customHeight="1" x14ac:dyDescent="0.3">
      <c r="A1204" s="57" t="s">
        <v>2528</v>
      </c>
      <c r="B1204" s="82">
        <v>45334</v>
      </c>
      <c r="C1204" s="59">
        <f t="shared" si="126"/>
        <v>2024</v>
      </c>
      <c r="D1204" s="59">
        <f t="shared" si="127"/>
        <v>2</v>
      </c>
      <c r="E1204" s="59">
        <f t="shared" si="128"/>
        <v>7</v>
      </c>
      <c r="F1204" s="57" t="s">
        <v>56</v>
      </c>
      <c r="G1204" s="57" t="s">
        <v>46</v>
      </c>
      <c r="H1204" s="57" t="s">
        <v>2529</v>
      </c>
      <c r="I1204" s="57" t="s">
        <v>65</v>
      </c>
      <c r="J1204" s="57" t="s">
        <v>112</v>
      </c>
      <c r="K1204" s="57" t="s">
        <v>71</v>
      </c>
      <c r="L1204" s="57" t="s">
        <v>113</v>
      </c>
      <c r="M1204" s="60">
        <v>138</v>
      </c>
      <c r="N1204" s="57" t="s">
        <v>120</v>
      </c>
      <c r="O1204" s="61">
        <v>79.510000000000005</v>
      </c>
      <c r="P1204" s="61">
        <v>10972.38</v>
      </c>
      <c r="Q1204" s="61">
        <v>402.09</v>
      </c>
      <c r="R1204" s="62">
        <f t="shared" si="129"/>
        <v>3.6645650260016517E-2</v>
      </c>
      <c r="S1204" s="60">
        <v>9</v>
      </c>
      <c r="T1204" s="58">
        <v>45343</v>
      </c>
      <c r="U1204" s="58">
        <v>45343</v>
      </c>
      <c r="V1204" s="63">
        <f t="shared" si="130"/>
        <v>0</v>
      </c>
      <c r="W1204" s="57" t="s">
        <v>115</v>
      </c>
      <c r="X1204" s="64" t="b">
        <f t="shared" si="131"/>
        <v>1</v>
      </c>
      <c r="Y1204" s="60">
        <v>346</v>
      </c>
      <c r="Z1204" s="60">
        <v>99</v>
      </c>
      <c r="AA1204" s="57" t="s">
        <v>116</v>
      </c>
      <c r="AB1204" s="64" t="b">
        <f t="shared" si="132"/>
        <v>0</v>
      </c>
    </row>
    <row r="1205" spans="1:28" ht="15" customHeight="1" x14ac:dyDescent="0.3">
      <c r="A1205" s="65" t="s">
        <v>2530</v>
      </c>
      <c r="B1205" s="81">
        <v>45592</v>
      </c>
      <c r="C1205" s="59">
        <f t="shared" si="126"/>
        <v>2024</v>
      </c>
      <c r="D1205" s="59">
        <f t="shared" si="127"/>
        <v>10</v>
      </c>
      <c r="E1205" s="59">
        <f t="shared" si="128"/>
        <v>44</v>
      </c>
      <c r="F1205" s="65" t="s">
        <v>60</v>
      </c>
      <c r="G1205" s="65" t="s">
        <v>39</v>
      </c>
      <c r="H1205" s="65" t="s">
        <v>2531</v>
      </c>
      <c r="I1205" s="65" t="s">
        <v>67</v>
      </c>
      <c r="J1205" s="65" t="s">
        <v>151</v>
      </c>
      <c r="K1205" s="65" t="s">
        <v>73</v>
      </c>
      <c r="L1205" s="65" t="s">
        <v>156</v>
      </c>
      <c r="M1205" s="67">
        <v>916</v>
      </c>
      <c r="N1205" s="65" t="s">
        <v>140</v>
      </c>
      <c r="O1205" s="68">
        <v>1893.93</v>
      </c>
      <c r="P1205" s="68">
        <v>1639255.3774000001</v>
      </c>
      <c r="Q1205" s="68">
        <v>96548.6302</v>
      </c>
      <c r="R1205" s="62">
        <f t="shared" si="129"/>
        <v>5.8897857851248549E-2</v>
      </c>
      <c r="S1205" s="67">
        <v>23</v>
      </c>
      <c r="T1205" s="66">
        <v>45615</v>
      </c>
      <c r="U1205" s="66">
        <v>45620</v>
      </c>
      <c r="V1205" s="63">
        <f t="shared" si="130"/>
        <v>5</v>
      </c>
      <c r="W1205" s="65" t="s">
        <v>128</v>
      </c>
      <c r="X1205" s="64" t="b">
        <f t="shared" si="131"/>
        <v>0</v>
      </c>
      <c r="Y1205" s="67">
        <v>455</v>
      </c>
      <c r="Z1205" s="67">
        <v>443</v>
      </c>
      <c r="AA1205" s="65" t="s">
        <v>116</v>
      </c>
      <c r="AB1205" s="64" t="b">
        <f t="shared" si="132"/>
        <v>0</v>
      </c>
    </row>
    <row r="1206" spans="1:28" ht="15" customHeight="1" x14ac:dyDescent="0.3">
      <c r="A1206" s="57" t="s">
        <v>2532</v>
      </c>
      <c r="B1206" s="82">
        <v>45009</v>
      </c>
      <c r="C1206" s="59">
        <f t="shared" si="126"/>
        <v>2023</v>
      </c>
      <c r="D1206" s="59">
        <f t="shared" si="127"/>
        <v>3</v>
      </c>
      <c r="E1206" s="59">
        <f t="shared" si="128"/>
        <v>12</v>
      </c>
      <c r="F1206" s="57" t="s">
        <v>60</v>
      </c>
      <c r="G1206" s="57" t="s">
        <v>45</v>
      </c>
      <c r="H1206" s="57" t="s">
        <v>2533</v>
      </c>
      <c r="I1206" s="57" t="s">
        <v>67</v>
      </c>
      <c r="J1206" s="57" t="s">
        <v>143</v>
      </c>
      <c r="K1206" s="57" t="s">
        <v>71</v>
      </c>
      <c r="L1206" s="57" t="s">
        <v>146</v>
      </c>
      <c r="M1206" s="60">
        <v>896</v>
      </c>
      <c r="N1206" s="57" t="s">
        <v>120</v>
      </c>
      <c r="O1206" s="61">
        <v>273.51</v>
      </c>
      <c r="P1206" s="61">
        <v>245064.95999999999</v>
      </c>
      <c r="Q1206" s="61">
        <v>15088.18</v>
      </c>
      <c r="R1206" s="62">
        <f t="shared" si="129"/>
        <v>6.1568083825610978E-2</v>
      </c>
      <c r="S1206" s="60">
        <v>3</v>
      </c>
      <c r="T1206" s="58">
        <v>45012</v>
      </c>
      <c r="U1206" s="58">
        <v>45014</v>
      </c>
      <c r="V1206" s="63">
        <f t="shared" si="130"/>
        <v>2</v>
      </c>
      <c r="W1206" s="57" t="s">
        <v>125</v>
      </c>
      <c r="X1206" s="64" t="b">
        <f t="shared" si="131"/>
        <v>0</v>
      </c>
      <c r="Y1206" s="60">
        <v>258</v>
      </c>
      <c r="Z1206" s="60">
        <v>381</v>
      </c>
      <c r="AA1206" s="57" t="s">
        <v>116</v>
      </c>
      <c r="AB1206" s="64" t="b">
        <f t="shared" si="132"/>
        <v>0</v>
      </c>
    </row>
    <row r="1207" spans="1:28" ht="15" customHeight="1" x14ac:dyDescent="0.3">
      <c r="A1207" s="65" t="s">
        <v>2534</v>
      </c>
      <c r="B1207" s="81">
        <v>45263</v>
      </c>
      <c r="C1207" s="59">
        <f t="shared" si="126"/>
        <v>2023</v>
      </c>
      <c r="D1207" s="59">
        <f t="shared" si="127"/>
        <v>12</v>
      </c>
      <c r="E1207" s="59">
        <f t="shared" si="128"/>
        <v>49</v>
      </c>
      <c r="F1207" s="65" t="s">
        <v>56</v>
      </c>
      <c r="G1207" s="65" t="s">
        <v>42</v>
      </c>
      <c r="H1207" s="65" t="s">
        <v>2535</v>
      </c>
      <c r="I1207" s="65" t="s">
        <v>68</v>
      </c>
      <c r="J1207" s="65" t="s">
        <v>151</v>
      </c>
      <c r="K1207" s="65" t="s">
        <v>71</v>
      </c>
      <c r="L1207" s="65" t="s">
        <v>146</v>
      </c>
      <c r="M1207" s="67">
        <v>350</v>
      </c>
      <c r="N1207" s="65" t="s">
        <v>114</v>
      </c>
      <c r="O1207" s="68">
        <v>59.6</v>
      </c>
      <c r="P1207" s="68">
        <v>20860</v>
      </c>
      <c r="Q1207" s="68">
        <v>1507.3</v>
      </c>
      <c r="R1207" s="62">
        <f t="shared" si="129"/>
        <v>7.2257909875359544E-2</v>
      </c>
      <c r="S1207" s="67">
        <v>19</v>
      </c>
      <c r="T1207" s="66">
        <v>45282</v>
      </c>
      <c r="U1207" s="66">
        <v>45282</v>
      </c>
      <c r="V1207" s="63">
        <f t="shared" si="130"/>
        <v>0</v>
      </c>
      <c r="W1207" s="65" t="s">
        <v>115</v>
      </c>
      <c r="X1207" s="64" t="b">
        <f t="shared" si="131"/>
        <v>1</v>
      </c>
      <c r="Y1207" s="67">
        <v>103</v>
      </c>
      <c r="Z1207" s="67">
        <v>250</v>
      </c>
      <c r="AA1207" s="65" t="s">
        <v>81</v>
      </c>
      <c r="AB1207" s="64" t="b">
        <f t="shared" si="132"/>
        <v>1</v>
      </c>
    </row>
    <row r="1208" spans="1:28" ht="15" customHeight="1" x14ac:dyDescent="0.3">
      <c r="A1208" s="57" t="s">
        <v>2536</v>
      </c>
      <c r="B1208" s="82">
        <v>45617</v>
      </c>
      <c r="C1208" s="59">
        <f t="shared" si="126"/>
        <v>2024</v>
      </c>
      <c r="D1208" s="59">
        <f t="shared" si="127"/>
        <v>11</v>
      </c>
      <c r="E1208" s="59">
        <f t="shared" si="128"/>
        <v>47</v>
      </c>
      <c r="F1208" s="57" t="s">
        <v>52</v>
      </c>
      <c r="G1208" s="57" t="s">
        <v>40</v>
      </c>
      <c r="H1208" s="57" t="s">
        <v>2537</v>
      </c>
      <c r="I1208" s="57" t="s">
        <v>65</v>
      </c>
      <c r="J1208" s="57" t="s">
        <v>151</v>
      </c>
      <c r="K1208" s="57" t="s">
        <v>72</v>
      </c>
      <c r="L1208" s="57" t="s">
        <v>135</v>
      </c>
      <c r="M1208" s="60">
        <v>13</v>
      </c>
      <c r="N1208" s="57" t="s">
        <v>132</v>
      </c>
      <c r="O1208" s="61">
        <v>1038.4100000000001</v>
      </c>
      <c r="P1208" s="61">
        <v>13499.33</v>
      </c>
      <c r="Q1208" s="61">
        <v>547.26</v>
      </c>
      <c r="R1208" s="62">
        <f t="shared" si="129"/>
        <v>4.0539789752528456E-2</v>
      </c>
      <c r="S1208" s="60">
        <v>8</v>
      </c>
      <c r="T1208" s="58">
        <v>45625</v>
      </c>
      <c r="U1208" s="58">
        <v>45624</v>
      </c>
      <c r="V1208" s="63">
        <f t="shared" si="130"/>
        <v>-1</v>
      </c>
      <c r="W1208" s="57" t="s">
        <v>115</v>
      </c>
      <c r="X1208" s="64" t="b">
        <f t="shared" si="131"/>
        <v>1</v>
      </c>
      <c r="Y1208" s="60">
        <v>430</v>
      </c>
      <c r="Z1208" s="60">
        <v>373</v>
      </c>
      <c r="AA1208" s="57" t="s">
        <v>83</v>
      </c>
      <c r="AB1208" s="64" t="b">
        <f t="shared" si="132"/>
        <v>1</v>
      </c>
    </row>
    <row r="1209" spans="1:28" ht="15" customHeight="1" x14ac:dyDescent="0.3">
      <c r="A1209" s="65" t="s">
        <v>2538</v>
      </c>
      <c r="B1209" s="81">
        <v>45473</v>
      </c>
      <c r="C1209" s="59">
        <f t="shared" si="126"/>
        <v>2024</v>
      </c>
      <c r="D1209" s="59">
        <f t="shared" si="127"/>
        <v>6</v>
      </c>
      <c r="E1209" s="59">
        <f t="shared" si="128"/>
        <v>27</v>
      </c>
      <c r="F1209" s="65" t="s">
        <v>61</v>
      </c>
      <c r="G1209" s="65" t="s">
        <v>42</v>
      </c>
      <c r="H1209" s="65" t="s">
        <v>2539</v>
      </c>
      <c r="I1209" s="65" t="s">
        <v>68</v>
      </c>
      <c r="J1209" s="65" t="s">
        <v>131</v>
      </c>
      <c r="K1209" s="65" t="s">
        <v>74</v>
      </c>
      <c r="L1209" s="65" t="s">
        <v>156</v>
      </c>
      <c r="M1209" s="67">
        <v>336</v>
      </c>
      <c r="N1209" s="65" t="s">
        <v>132</v>
      </c>
      <c r="O1209" s="68">
        <v>110.45</v>
      </c>
      <c r="P1209" s="68">
        <v>37111.199999999997</v>
      </c>
      <c r="Q1209" s="68">
        <v>2456.25</v>
      </c>
      <c r="R1209" s="62">
        <f t="shared" si="129"/>
        <v>6.6186218715643799E-2</v>
      </c>
      <c r="S1209" s="67">
        <v>5</v>
      </c>
      <c r="T1209" s="66">
        <v>45478</v>
      </c>
      <c r="U1209" s="66">
        <v>45483</v>
      </c>
      <c r="V1209" s="63">
        <f t="shared" si="130"/>
        <v>5</v>
      </c>
      <c r="W1209" s="65" t="s">
        <v>125</v>
      </c>
      <c r="X1209" s="64" t="b">
        <f t="shared" si="131"/>
        <v>0</v>
      </c>
      <c r="Y1209" s="67">
        <v>381</v>
      </c>
      <c r="Z1209" s="67">
        <v>463</v>
      </c>
      <c r="AA1209" s="65" t="s">
        <v>81</v>
      </c>
      <c r="AB1209" s="64" t="b">
        <f t="shared" si="132"/>
        <v>1</v>
      </c>
    </row>
    <row r="1210" spans="1:28" ht="15" customHeight="1" x14ac:dyDescent="0.3">
      <c r="A1210" s="57" t="s">
        <v>2540</v>
      </c>
      <c r="B1210" s="82">
        <v>45316</v>
      </c>
      <c r="C1210" s="59">
        <f t="shared" si="126"/>
        <v>2024</v>
      </c>
      <c r="D1210" s="59">
        <f t="shared" si="127"/>
        <v>1</v>
      </c>
      <c r="E1210" s="59">
        <f t="shared" si="128"/>
        <v>4</v>
      </c>
      <c r="F1210" s="57" t="s">
        <v>54</v>
      </c>
      <c r="G1210" s="57" t="s">
        <v>41</v>
      </c>
      <c r="H1210" s="57" t="s">
        <v>2541</v>
      </c>
      <c r="I1210" s="57" t="s">
        <v>66</v>
      </c>
      <c r="J1210" s="57" t="s">
        <v>112</v>
      </c>
      <c r="K1210" s="57" t="s">
        <v>75</v>
      </c>
      <c r="L1210" s="57" t="s">
        <v>113</v>
      </c>
      <c r="M1210" s="60">
        <v>419</v>
      </c>
      <c r="N1210" s="57" t="s">
        <v>120</v>
      </c>
      <c r="O1210" s="61">
        <v>464.45</v>
      </c>
      <c r="P1210" s="61">
        <v>194604.55</v>
      </c>
      <c r="Q1210" s="61">
        <v>10446.629999999999</v>
      </c>
      <c r="R1210" s="62">
        <f t="shared" si="129"/>
        <v>5.3681324511682796E-2</v>
      </c>
      <c r="S1210" s="60">
        <v>4</v>
      </c>
      <c r="T1210" s="58">
        <v>45320</v>
      </c>
      <c r="U1210" s="58">
        <v>45320</v>
      </c>
      <c r="V1210" s="63">
        <f t="shared" si="130"/>
        <v>0</v>
      </c>
      <c r="W1210" s="57" t="s">
        <v>125</v>
      </c>
      <c r="X1210" s="64" t="b">
        <f t="shared" si="131"/>
        <v>0</v>
      </c>
      <c r="Y1210" s="60">
        <v>468</v>
      </c>
      <c r="Z1210" s="60">
        <v>53</v>
      </c>
      <c r="AA1210" s="57" t="s">
        <v>82</v>
      </c>
      <c r="AB1210" s="64" t="b">
        <f t="shared" si="132"/>
        <v>1</v>
      </c>
    </row>
    <row r="1211" spans="1:28" ht="15" customHeight="1" x14ac:dyDescent="0.3">
      <c r="A1211" s="65" t="s">
        <v>2542</v>
      </c>
      <c r="B1211" s="81">
        <v>45251</v>
      </c>
      <c r="C1211" s="59">
        <f t="shared" si="126"/>
        <v>2023</v>
      </c>
      <c r="D1211" s="59">
        <f t="shared" si="127"/>
        <v>11</v>
      </c>
      <c r="E1211" s="59">
        <f t="shared" si="128"/>
        <v>47</v>
      </c>
      <c r="F1211" s="65" t="s">
        <v>53</v>
      </c>
      <c r="G1211" s="65" t="s">
        <v>41</v>
      </c>
      <c r="H1211" s="65" t="s">
        <v>2543</v>
      </c>
      <c r="I1211" s="65" t="s">
        <v>68</v>
      </c>
      <c r="J1211" s="65" t="s">
        <v>151</v>
      </c>
      <c r="K1211" s="65" t="s">
        <v>72</v>
      </c>
      <c r="L1211" s="65" t="s">
        <v>135</v>
      </c>
      <c r="M1211" s="67">
        <v>888</v>
      </c>
      <c r="N1211" s="65" t="s">
        <v>136</v>
      </c>
      <c r="O1211" s="68">
        <v>606.17999999999995</v>
      </c>
      <c r="P1211" s="68">
        <v>538287.84</v>
      </c>
      <c r="Q1211" s="68">
        <v>39278.97</v>
      </c>
      <c r="R1211" s="62">
        <f t="shared" si="129"/>
        <v>7.2970197506226409E-2</v>
      </c>
      <c r="S1211" s="67">
        <v>24</v>
      </c>
      <c r="T1211" s="66">
        <v>45275</v>
      </c>
      <c r="U1211" s="66">
        <v>45275</v>
      </c>
      <c r="V1211" s="63">
        <f t="shared" si="130"/>
        <v>0</v>
      </c>
      <c r="W1211" s="65" t="s">
        <v>115</v>
      </c>
      <c r="X1211" s="64" t="b">
        <f t="shared" si="131"/>
        <v>1</v>
      </c>
      <c r="Y1211" s="67">
        <v>0</v>
      </c>
      <c r="Z1211" s="67">
        <v>374</v>
      </c>
      <c r="AA1211" s="65" t="s">
        <v>116</v>
      </c>
      <c r="AB1211" s="64" t="b">
        <f t="shared" si="132"/>
        <v>0</v>
      </c>
    </row>
    <row r="1212" spans="1:28" ht="15" customHeight="1" x14ac:dyDescent="0.3">
      <c r="A1212" s="57" t="s">
        <v>2544</v>
      </c>
      <c r="B1212" s="82">
        <v>45568</v>
      </c>
      <c r="C1212" s="59">
        <f t="shared" si="126"/>
        <v>2024</v>
      </c>
      <c r="D1212" s="59">
        <f t="shared" si="127"/>
        <v>10</v>
      </c>
      <c r="E1212" s="59">
        <f t="shared" si="128"/>
        <v>40</v>
      </c>
      <c r="F1212" s="57" t="s">
        <v>53</v>
      </c>
      <c r="G1212" s="57" t="s">
        <v>45</v>
      </c>
      <c r="H1212" s="57" t="s">
        <v>2545</v>
      </c>
      <c r="I1212" s="57" t="s">
        <v>64</v>
      </c>
      <c r="J1212" s="57" t="s">
        <v>131</v>
      </c>
      <c r="K1212" s="57" t="s">
        <v>73</v>
      </c>
      <c r="L1212" s="57" t="s">
        <v>124</v>
      </c>
      <c r="M1212" s="60">
        <v>315</v>
      </c>
      <c r="N1212" s="57" t="s">
        <v>114</v>
      </c>
      <c r="O1212" s="61">
        <v>190.27</v>
      </c>
      <c r="P1212" s="61">
        <v>59935.05</v>
      </c>
      <c r="Q1212" s="61">
        <v>3096.77</v>
      </c>
      <c r="R1212" s="62">
        <f t="shared" si="129"/>
        <v>5.1668764771198153E-2</v>
      </c>
      <c r="S1212" s="60">
        <v>6</v>
      </c>
      <c r="T1212" s="58">
        <v>45574</v>
      </c>
      <c r="U1212" s="58">
        <v>45574</v>
      </c>
      <c r="V1212" s="63">
        <f t="shared" si="130"/>
        <v>0</v>
      </c>
      <c r="W1212" s="57" t="s">
        <v>115</v>
      </c>
      <c r="X1212" s="64" t="b">
        <f t="shared" si="131"/>
        <v>1</v>
      </c>
      <c r="Y1212" s="60">
        <v>428</v>
      </c>
      <c r="Z1212" s="60">
        <v>388</v>
      </c>
      <c r="AA1212" s="57" t="s">
        <v>81</v>
      </c>
      <c r="AB1212" s="64" t="b">
        <f t="shared" si="132"/>
        <v>1</v>
      </c>
    </row>
    <row r="1213" spans="1:28" ht="15" customHeight="1" x14ac:dyDescent="0.3">
      <c r="A1213" s="65" t="s">
        <v>2546</v>
      </c>
      <c r="B1213" s="81">
        <v>45426</v>
      </c>
      <c r="C1213" s="59">
        <f t="shared" si="126"/>
        <v>2024</v>
      </c>
      <c r="D1213" s="59">
        <f t="shared" si="127"/>
        <v>5</v>
      </c>
      <c r="E1213" s="59">
        <f t="shared" si="128"/>
        <v>20</v>
      </c>
      <c r="F1213" s="65" t="s">
        <v>59</v>
      </c>
      <c r="G1213" s="65" t="s">
        <v>42</v>
      </c>
      <c r="H1213" s="65" t="s">
        <v>2547</v>
      </c>
      <c r="I1213" s="65" t="s">
        <v>69</v>
      </c>
      <c r="J1213" s="65" t="s">
        <v>131</v>
      </c>
      <c r="K1213" s="65" t="s">
        <v>75</v>
      </c>
      <c r="L1213" s="65" t="s">
        <v>119</v>
      </c>
      <c r="M1213" s="67">
        <v>917</v>
      </c>
      <c r="N1213" s="65" t="s">
        <v>132</v>
      </c>
      <c r="O1213" s="68">
        <v>117.31</v>
      </c>
      <c r="P1213" s="68">
        <v>107573.27</v>
      </c>
      <c r="Q1213" s="68">
        <v>5492.45</v>
      </c>
      <c r="R1213" s="62">
        <f t="shared" si="129"/>
        <v>5.1057758121511039E-2</v>
      </c>
      <c r="S1213" s="67">
        <v>2</v>
      </c>
      <c r="T1213" s="66">
        <v>45428</v>
      </c>
      <c r="U1213" s="66">
        <v>45428</v>
      </c>
      <c r="V1213" s="63">
        <f t="shared" si="130"/>
        <v>0</v>
      </c>
      <c r="W1213" s="65" t="s">
        <v>115</v>
      </c>
      <c r="X1213" s="64" t="b">
        <f t="shared" si="131"/>
        <v>1</v>
      </c>
      <c r="Y1213" s="67">
        <v>437</v>
      </c>
      <c r="Z1213" s="67">
        <v>136</v>
      </c>
      <c r="AA1213" s="65" t="s">
        <v>81</v>
      </c>
      <c r="AB1213" s="64" t="b">
        <f t="shared" si="132"/>
        <v>1</v>
      </c>
    </row>
    <row r="1214" spans="1:28" ht="15" customHeight="1" x14ac:dyDescent="0.3">
      <c r="A1214" s="57" t="s">
        <v>2548</v>
      </c>
      <c r="B1214" s="82">
        <v>45481</v>
      </c>
      <c r="C1214" s="59">
        <f t="shared" si="126"/>
        <v>2024</v>
      </c>
      <c r="D1214" s="59">
        <f t="shared" si="127"/>
        <v>7</v>
      </c>
      <c r="E1214" s="59">
        <f t="shared" si="128"/>
        <v>28</v>
      </c>
      <c r="F1214" s="57" t="s">
        <v>52</v>
      </c>
      <c r="G1214" s="57" t="s">
        <v>44</v>
      </c>
      <c r="H1214" s="57" t="s">
        <v>2549</v>
      </c>
      <c r="I1214" s="57" t="s">
        <v>69</v>
      </c>
      <c r="J1214" s="57" t="s">
        <v>139</v>
      </c>
      <c r="K1214" s="57" t="s">
        <v>72</v>
      </c>
      <c r="L1214" s="57" t="s">
        <v>124</v>
      </c>
      <c r="M1214" s="60">
        <v>616</v>
      </c>
      <c r="N1214" s="57" t="s">
        <v>132</v>
      </c>
      <c r="O1214" s="61">
        <v>87.21</v>
      </c>
      <c r="P1214" s="61">
        <v>53721.36</v>
      </c>
      <c r="Q1214" s="61">
        <v>2937.09</v>
      </c>
      <c r="R1214" s="62">
        <f t="shared" si="129"/>
        <v>5.4672666514771782E-2</v>
      </c>
      <c r="S1214" s="60">
        <v>20</v>
      </c>
      <c r="T1214" s="58">
        <v>45501</v>
      </c>
      <c r="U1214" s="58">
        <v>45503</v>
      </c>
      <c r="V1214" s="63">
        <f t="shared" si="130"/>
        <v>2</v>
      </c>
      <c r="W1214" s="57" t="s">
        <v>128</v>
      </c>
      <c r="X1214" s="64" t="b">
        <f t="shared" si="131"/>
        <v>0</v>
      </c>
      <c r="Y1214" s="60">
        <v>433</v>
      </c>
      <c r="Z1214" s="60">
        <v>161</v>
      </c>
      <c r="AA1214" s="57" t="s">
        <v>116</v>
      </c>
      <c r="AB1214" s="64" t="b">
        <f t="shared" si="132"/>
        <v>0</v>
      </c>
    </row>
    <row r="1215" spans="1:28" ht="15" customHeight="1" x14ac:dyDescent="0.3">
      <c r="A1215" s="65" t="s">
        <v>2550</v>
      </c>
      <c r="B1215" s="81">
        <v>44963</v>
      </c>
      <c r="C1215" s="59">
        <f t="shared" si="126"/>
        <v>2023</v>
      </c>
      <c r="D1215" s="59">
        <f t="shared" si="127"/>
        <v>2</v>
      </c>
      <c r="E1215" s="59">
        <f t="shared" si="128"/>
        <v>6</v>
      </c>
      <c r="F1215" s="65" t="s">
        <v>52</v>
      </c>
      <c r="G1215" s="65" t="s">
        <v>39</v>
      </c>
      <c r="H1215" s="65" t="s">
        <v>2551</v>
      </c>
      <c r="I1215" s="65" t="s">
        <v>69</v>
      </c>
      <c r="J1215" s="65" t="s">
        <v>139</v>
      </c>
      <c r="K1215" s="65" t="s">
        <v>72</v>
      </c>
      <c r="L1215" s="65" t="s">
        <v>156</v>
      </c>
      <c r="M1215" s="67">
        <v>730</v>
      </c>
      <c r="N1215" s="65" t="s">
        <v>163</v>
      </c>
      <c r="O1215" s="68">
        <v>1745.75</v>
      </c>
      <c r="P1215" s="68">
        <v>1274397.5</v>
      </c>
      <c r="Q1215" s="68">
        <v>82783.490000000005</v>
      </c>
      <c r="R1215" s="62">
        <f t="shared" si="129"/>
        <v>6.4958923726702228E-2</v>
      </c>
      <c r="S1215" s="67">
        <v>28</v>
      </c>
      <c r="T1215" s="66">
        <v>44991</v>
      </c>
      <c r="U1215" s="66">
        <v>44992</v>
      </c>
      <c r="V1215" s="63">
        <f t="shared" si="130"/>
        <v>1</v>
      </c>
      <c r="W1215" s="65" t="s">
        <v>128</v>
      </c>
      <c r="X1215" s="64" t="b">
        <f t="shared" si="131"/>
        <v>0</v>
      </c>
      <c r="Y1215" s="67">
        <v>206</v>
      </c>
      <c r="Z1215" s="67">
        <v>353</v>
      </c>
      <c r="AA1215" s="65" t="s">
        <v>82</v>
      </c>
      <c r="AB1215" s="64" t="b">
        <f t="shared" si="132"/>
        <v>1</v>
      </c>
    </row>
    <row r="1216" spans="1:28" ht="15" customHeight="1" x14ac:dyDescent="0.3">
      <c r="A1216" s="57" t="s">
        <v>2552</v>
      </c>
      <c r="B1216" s="82">
        <v>45559</v>
      </c>
      <c r="C1216" s="59">
        <f t="shared" si="126"/>
        <v>2024</v>
      </c>
      <c r="D1216" s="59">
        <f t="shared" si="127"/>
        <v>9</v>
      </c>
      <c r="E1216" s="59">
        <f t="shared" si="128"/>
        <v>39</v>
      </c>
      <c r="F1216" s="57" t="s">
        <v>54</v>
      </c>
      <c r="G1216" s="57" t="s">
        <v>42</v>
      </c>
      <c r="H1216" s="57" t="s">
        <v>2553</v>
      </c>
      <c r="I1216" s="57" t="s">
        <v>65</v>
      </c>
      <c r="J1216" s="57" t="s">
        <v>143</v>
      </c>
      <c r="K1216" s="57" t="s">
        <v>74</v>
      </c>
      <c r="L1216" s="57" t="s">
        <v>135</v>
      </c>
      <c r="M1216" s="60">
        <v>234</v>
      </c>
      <c r="N1216" s="57" t="s">
        <v>132</v>
      </c>
      <c r="O1216" s="61">
        <v>66.66</v>
      </c>
      <c r="P1216" s="61">
        <v>15598.44</v>
      </c>
      <c r="Q1216" s="61">
        <v>1214.83</v>
      </c>
      <c r="R1216" s="62">
        <f t="shared" si="129"/>
        <v>7.7881506099327868E-2</v>
      </c>
      <c r="S1216" s="60">
        <v>11</v>
      </c>
      <c r="T1216" s="58">
        <v>45570</v>
      </c>
      <c r="U1216" s="58">
        <v>45570</v>
      </c>
      <c r="V1216" s="63">
        <f t="shared" si="130"/>
        <v>0</v>
      </c>
      <c r="W1216" s="57" t="s">
        <v>115</v>
      </c>
      <c r="X1216" s="64" t="b">
        <f t="shared" si="131"/>
        <v>1</v>
      </c>
      <c r="Y1216" s="60">
        <v>134</v>
      </c>
      <c r="Z1216" s="60">
        <v>291</v>
      </c>
      <c r="AA1216" s="57" t="s">
        <v>116</v>
      </c>
      <c r="AB1216" s="64" t="b">
        <f t="shared" si="132"/>
        <v>0</v>
      </c>
    </row>
    <row r="1217" spans="1:28" ht="15" customHeight="1" x14ac:dyDescent="0.3">
      <c r="A1217" s="65" t="s">
        <v>2554</v>
      </c>
      <c r="B1217" s="81">
        <v>44997</v>
      </c>
      <c r="C1217" s="59">
        <f t="shared" si="126"/>
        <v>2023</v>
      </c>
      <c r="D1217" s="59">
        <f t="shared" si="127"/>
        <v>3</v>
      </c>
      <c r="E1217" s="59">
        <f t="shared" si="128"/>
        <v>11</v>
      </c>
      <c r="F1217" s="65" t="s">
        <v>57</v>
      </c>
      <c r="G1217" s="65" t="s">
        <v>41</v>
      </c>
      <c r="H1217" s="65" t="s">
        <v>2555</v>
      </c>
      <c r="I1217" s="65" t="s">
        <v>65</v>
      </c>
      <c r="J1217" s="65" t="s">
        <v>112</v>
      </c>
      <c r="K1217" s="65" t="s">
        <v>73</v>
      </c>
      <c r="L1217" s="65" t="s">
        <v>146</v>
      </c>
      <c r="M1217" s="67">
        <v>980</v>
      </c>
      <c r="N1217" s="65" t="s">
        <v>163</v>
      </c>
      <c r="O1217" s="68">
        <v>634.89</v>
      </c>
      <c r="P1217" s="68">
        <v>622192.19999999995</v>
      </c>
      <c r="Q1217" s="68">
        <v>15190.08</v>
      </c>
      <c r="R1217" s="62">
        <f t="shared" si="129"/>
        <v>2.4413806537594011E-2</v>
      </c>
      <c r="S1217" s="67">
        <v>4</v>
      </c>
      <c r="T1217" s="66">
        <v>45001</v>
      </c>
      <c r="U1217" s="66">
        <v>45006</v>
      </c>
      <c r="V1217" s="63">
        <f t="shared" si="130"/>
        <v>5</v>
      </c>
      <c r="W1217" s="65" t="s">
        <v>125</v>
      </c>
      <c r="X1217" s="64" t="b">
        <f t="shared" si="131"/>
        <v>0</v>
      </c>
      <c r="Y1217" s="67">
        <v>446</v>
      </c>
      <c r="Z1217" s="67">
        <v>478</v>
      </c>
      <c r="AA1217" s="65" t="s">
        <v>82</v>
      </c>
      <c r="AB1217" s="64" t="b">
        <f t="shared" si="132"/>
        <v>1</v>
      </c>
    </row>
    <row r="1218" spans="1:28" ht="15" customHeight="1" x14ac:dyDescent="0.3">
      <c r="A1218" s="57" t="s">
        <v>2556</v>
      </c>
      <c r="B1218" s="82">
        <v>45167</v>
      </c>
      <c r="C1218" s="59">
        <f t="shared" ref="C1218:C1281" si="133">YEAR(B1218)</f>
        <v>2023</v>
      </c>
      <c r="D1218" s="59">
        <f t="shared" ref="D1218:D1281" si="134">MONTH(B1218)</f>
        <v>8</v>
      </c>
      <c r="E1218" s="59">
        <f t="shared" ref="E1218:E1281" si="135">WEEKNUM(B1218,1)</f>
        <v>35</v>
      </c>
      <c r="F1218" s="57" t="s">
        <v>53</v>
      </c>
      <c r="G1218" s="57" t="s">
        <v>42</v>
      </c>
      <c r="H1218" s="57" t="s">
        <v>2557</v>
      </c>
      <c r="I1218" s="57" t="s">
        <v>66</v>
      </c>
      <c r="J1218" s="57" t="s">
        <v>139</v>
      </c>
      <c r="K1218" s="57" t="s">
        <v>73</v>
      </c>
      <c r="L1218" s="57" t="s">
        <v>135</v>
      </c>
      <c r="M1218" s="60">
        <v>357</v>
      </c>
      <c r="N1218" s="57" t="s">
        <v>132</v>
      </c>
      <c r="O1218" s="61">
        <v>67.260000000000005</v>
      </c>
      <c r="P1218" s="61">
        <v>24011.82</v>
      </c>
      <c r="Q1218" s="61">
        <v>557.22</v>
      </c>
      <c r="R1218" s="62">
        <f t="shared" ref="R1218:R1281" si="136">Q1218/P1218</f>
        <v>2.3206071010027564E-2</v>
      </c>
      <c r="S1218" s="60">
        <v>15</v>
      </c>
      <c r="T1218" s="58">
        <v>45182</v>
      </c>
      <c r="U1218" s="58">
        <v>45182</v>
      </c>
      <c r="V1218" s="63">
        <f t="shared" ref="V1218:V1281" si="137">U1218-T1218</f>
        <v>0</v>
      </c>
      <c r="W1218" s="57" t="s">
        <v>115</v>
      </c>
      <c r="X1218" s="64" t="b">
        <f t="shared" ref="X1218:X1281" si="138">IF(W1218="Entregado", TRUE(), FALSE())</f>
        <v>1</v>
      </c>
      <c r="Y1218" s="60">
        <v>270</v>
      </c>
      <c r="Z1218" s="60">
        <v>499</v>
      </c>
      <c r="AA1218" s="57" t="s">
        <v>81</v>
      </c>
      <c r="AB1218" s="64" t="b">
        <f t="shared" ref="AB1218:AB1281" si="139">IF(AA1218="Ninguna",FALSE(),TRUE())</f>
        <v>1</v>
      </c>
    </row>
    <row r="1219" spans="1:28" ht="15" customHeight="1" x14ac:dyDescent="0.3">
      <c r="A1219" s="65" t="s">
        <v>2558</v>
      </c>
      <c r="B1219" s="81">
        <v>45573</v>
      </c>
      <c r="C1219" s="59">
        <f t="shared" si="133"/>
        <v>2024</v>
      </c>
      <c r="D1219" s="59">
        <f t="shared" si="134"/>
        <v>10</v>
      </c>
      <c r="E1219" s="59">
        <f t="shared" si="135"/>
        <v>41</v>
      </c>
      <c r="F1219" s="65" t="s">
        <v>57</v>
      </c>
      <c r="G1219" s="65" t="s">
        <v>44</v>
      </c>
      <c r="H1219" s="65" t="s">
        <v>2559</v>
      </c>
      <c r="I1219" s="65" t="s">
        <v>69</v>
      </c>
      <c r="J1219" s="65" t="s">
        <v>143</v>
      </c>
      <c r="K1219" s="65" t="s">
        <v>72</v>
      </c>
      <c r="L1219" s="65" t="s">
        <v>119</v>
      </c>
      <c r="M1219" s="67">
        <v>330</v>
      </c>
      <c r="N1219" s="65" t="s">
        <v>132</v>
      </c>
      <c r="O1219" s="68">
        <v>106.6</v>
      </c>
      <c r="P1219" s="68">
        <v>35178</v>
      </c>
      <c r="Q1219" s="68">
        <v>2682.43</v>
      </c>
      <c r="R1219" s="62">
        <f t="shared" si="136"/>
        <v>7.6253055887202228E-2</v>
      </c>
      <c r="S1219" s="67">
        <v>6</v>
      </c>
      <c r="T1219" s="66">
        <v>45579</v>
      </c>
      <c r="U1219" s="66">
        <v>45579</v>
      </c>
      <c r="V1219" s="63">
        <f t="shared" si="137"/>
        <v>0</v>
      </c>
      <c r="W1219" s="65" t="s">
        <v>115</v>
      </c>
      <c r="X1219" s="64" t="b">
        <f t="shared" si="138"/>
        <v>1</v>
      </c>
      <c r="Y1219" s="67">
        <v>88</v>
      </c>
      <c r="Z1219" s="67">
        <v>403</v>
      </c>
      <c r="AA1219" s="65" t="s">
        <v>81</v>
      </c>
      <c r="AB1219" s="64" t="b">
        <f t="shared" si="139"/>
        <v>1</v>
      </c>
    </row>
    <row r="1220" spans="1:28" ht="15" customHeight="1" x14ac:dyDescent="0.3">
      <c r="A1220" s="57" t="s">
        <v>2560</v>
      </c>
      <c r="B1220" s="82">
        <v>45627</v>
      </c>
      <c r="C1220" s="59">
        <f t="shared" si="133"/>
        <v>2024</v>
      </c>
      <c r="D1220" s="59">
        <f t="shared" si="134"/>
        <v>12</v>
      </c>
      <c r="E1220" s="59">
        <f t="shared" si="135"/>
        <v>49</v>
      </c>
      <c r="F1220" s="57" t="s">
        <v>57</v>
      </c>
      <c r="G1220" s="57" t="s">
        <v>42</v>
      </c>
      <c r="H1220" s="57" t="s">
        <v>2561</v>
      </c>
      <c r="I1220" s="57" t="s">
        <v>66</v>
      </c>
      <c r="J1220" s="57" t="s">
        <v>112</v>
      </c>
      <c r="K1220" s="57" t="s">
        <v>74</v>
      </c>
      <c r="L1220" s="57" t="s">
        <v>156</v>
      </c>
      <c r="M1220" s="60">
        <v>568</v>
      </c>
      <c r="N1220" s="57" t="s">
        <v>136</v>
      </c>
      <c r="O1220" s="61">
        <v>87.64</v>
      </c>
      <c r="P1220" s="61">
        <v>49779.519999999997</v>
      </c>
      <c r="Q1220" s="61">
        <v>2578.21</v>
      </c>
      <c r="R1220" s="62">
        <f t="shared" si="136"/>
        <v>5.1792584580968241E-2</v>
      </c>
      <c r="S1220" s="60">
        <v>22</v>
      </c>
      <c r="T1220" s="58">
        <v>45649</v>
      </c>
      <c r="U1220" s="58">
        <v>45661</v>
      </c>
      <c r="V1220" s="63">
        <f t="shared" si="137"/>
        <v>12</v>
      </c>
      <c r="W1220" s="57" t="s">
        <v>125</v>
      </c>
      <c r="X1220" s="64" t="b">
        <f t="shared" si="138"/>
        <v>0</v>
      </c>
      <c r="Y1220" s="60">
        <v>194</v>
      </c>
      <c r="Z1220" s="60">
        <v>80</v>
      </c>
      <c r="AA1220" s="57" t="s">
        <v>116</v>
      </c>
      <c r="AB1220" s="64" t="b">
        <f t="shared" si="139"/>
        <v>0</v>
      </c>
    </row>
    <row r="1221" spans="1:28" ht="15" customHeight="1" x14ac:dyDescent="0.3">
      <c r="A1221" s="65" t="s">
        <v>2562</v>
      </c>
      <c r="B1221" s="81">
        <v>45221</v>
      </c>
      <c r="C1221" s="59">
        <f t="shared" si="133"/>
        <v>2023</v>
      </c>
      <c r="D1221" s="59">
        <f t="shared" si="134"/>
        <v>10</v>
      </c>
      <c r="E1221" s="59">
        <f t="shared" si="135"/>
        <v>43</v>
      </c>
      <c r="F1221" s="65" t="s">
        <v>52</v>
      </c>
      <c r="G1221" s="65" t="s">
        <v>39</v>
      </c>
      <c r="H1221" s="65" t="s">
        <v>2563</v>
      </c>
      <c r="I1221" s="65" t="s">
        <v>69</v>
      </c>
      <c r="J1221" s="65" t="s">
        <v>143</v>
      </c>
      <c r="K1221" s="65" t="s">
        <v>72</v>
      </c>
      <c r="L1221" s="65" t="s">
        <v>135</v>
      </c>
      <c r="M1221" s="67">
        <v>997</v>
      </c>
      <c r="N1221" s="65" t="s">
        <v>136</v>
      </c>
      <c r="O1221" s="68">
        <v>2147.8000000000002</v>
      </c>
      <c r="P1221" s="68">
        <v>1639255.3774000001</v>
      </c>
      <c r="Q1221" s="68">
        <v>96548.6302</v>
      </c>
      <c r="R1221" s="62">
        <f t="shared" si="136"/>
        <v>5.8897857851248549E-2</v>
      </c>
      <c r="S1221" s="67">
        <v>17</v>
      </c>
      <c r="T1221" s="66">
        <v>45238</v>
      </c>
      <c r="U1221" s="66">
        <v>45241</v>
      </c>
      <c r="V1221" s="63">
        <f t="shared" si="137"/>
        <v>3</v>
      </c>
      <c r="W1221" s="65" t="s">
        <v>128</v>
      </c>
      <c r="X1221" s="64" t="b">
        <f t="shared" si="138"/>
        <v>0</v>
      </c>
      <c r="Y1221" s="67">
        <v>413</v>
      </c>
      <c r="Z1221" s="67">
        <v>467</v>
      </c>
      <c r="AA1221" s="65" t="s">
        <v>116</v>
      </c>
      <c r="AB1221" s="64" t="b">
        <f t="shared" si="139"/>
        <v>0</v>
      </c>
    </row>
    <row r="1222" spans="1:28" ht="15" customHeight="1" x14ac:dyDescent="0.3">
      <c r="A1222" s="57" t="s">
        <v>2564</v>
      </c>
      <c r="B1222" s="82">
        <v>45159</v>
      </c>
      <c r="C1222" s="59">
        <f t="shared" si="133"/>
        <v>2023</v>
      </c>
      <c r="D1222" s="59">
        <f t="shared" si="134"/>
        <v>8</v>
      </c>
      <c r="E1222" s="59">
        <f t="shared" si="135"/>
        <v>34</v>
      </c>
      <c r="F1222" s="57" t="s">
        <v>57</v>
      </c>
      <c r="G1222" s="57" t="s">
        <v>46</v>
      </c>
      <c r="H1222" s="57" t="s">
        <v>2565</v>
      </c>
      <c r="I1222" s="57" t="s">
        <v>65</v>
      </c>
      <c r="J1222" s="57" t="s">
        <v>131</v>
      </c>
      <c r="K1222" s="57" t="s">
        <v>71</v>
      </c>
      <c r="L1222" s="57" t="s">
        <v>124</v>
      </c>
      <c r="M1222" s="60">
        <v>190</v>
      </c>
      <c r="N1222" s="57" t="s">
        <v>114</v>
      </c>
      <c r="O1222" s="61">
        <v>52.16</v>
      </c>
      <c r="P1222" s="61">
        <v>9910.4</v>
      </c>
      <c r="Q1222" s="61">
        <v>485.07</v>
      </c>
      <c r="R1222" s="62">
        <f t="shared" si="136"/>
        <v>4.8945552147239266E-2</v>
      </c>
      <c r="S1222" s="60">
        <v>24</v>
      </c>
      <c r="T1222" s="58">
        <v>45183</v>
      </c>
      <c r="U1222" s="58">
        <v>45183</v>
      </c>
      <c r="V1222" s="63">
        <f t="shared" si="137"/>
        <v>0</v>
      </c>
      <c r="W1222" s="57" t="s">
        <v>115</v>
      </c>
      <c r="X1222" s="64" t="b">
        <f t="shared" si="138"/>
        <v>1</v>
      </c>
      <c r="Y1222" s="60">
        <v>121</v>
      </c>
      <c r="Z1222" s="60">
        <v>219</v>
      </c>
      <c r="AA1222" s="57" t="s">
        <v>116</v>
      </c>
      <c r="AB1222" s="64" t="b">
        <f t="shared" si="139"/>
        <v>0</v>
      </c>
    </row>
    <row r="1223" spans="1:28" ht="15" customHeight="1" x14ac:dyDescent="0.3">
      <c r="A1223" s="65" t="s">
        <v>2566</v>
      </c>
      <c r="B1223" s="81">
        <v>45019</v>
      </c>
      <c r="C1223" s="59">
        <f t="shared" si="133"/>
        <v>2023</v>
      </c>
      <c r="D1223" s="59">
        <f t="shared" si="134"/>
        <v>4</v>
      </c>
      <c r="E1223" s="59">
        <f t="shared" si="135"/>
        <v>14</v>
      </c>
      <c r="F1223" s="65" t="s">
        <v>53</v>
      </c>
      <c r="G1223" s="65" t="s">
        <v>44</v>
      </c>
      <c r="H1223" s="65" t="s">
        <v>2567</v>
      </c>
      <c r="I1223" s="65" t="s">
        <v>64</v>
      </c>
      <c r="J1223" s="65" t="s">
        <v>131</v>
      </c>
      <c r="K1223" s="65" t="s">
        <v>71</v>
      </c>
      <c r="L1223" s="65" t="s">
        <v>113</v>
      </c>
      <c r="M1223" s="67">
        <v>627</v>
      </c>
      <c r="N1223" s="65" t="s">
        <v>132</v>
      </c>
      <c r="O1223" s="68">
        <v>97.85</v>
      </c>
      <c r="P1223" s="68">
        <v>61351.95</v>
      </c>
      <c r="Q1223" s="68">
        <v>1571.8</v>
      </c>
      <c r="R1223" s="62">
        <f t="shared" si="136"/>
        <v>2.5619397590459635E-2</v>
      </c>
      <c r="S1223" s="67">
        <v>6</v>
      </c>
      <c r="T1223" s="66">
        <v>45025</v>
      </c>
      <c r="U1223" s="66">
        <v>45020</v>
      </c>
      <c r="V1223" s="63">
        <f t="shared" si="137"/>
        <v>-5</v>
      </c>
      <c r="W1223" s="65" t="s">
        <v>115</v>
      </c>
      <c r="X1223" s="64" t="b">
        <f t="shared" si="138"/>
        <v>1</v>
      </c>
      <c r="Y1223" s="67">
        <v>461</v>
      </c>
      <c r="Z1223" s="67">
        <v>84</v>
      </c>
      <c r="AA1223" s="65" t="s">
        <v>83</v>
      </c>
      <c r="AB1223" s="64" t="b">
        <f t="shared" si="139"/>
        <v>1</v>
      </c>
    </row>
    <row r="1224" spans="1:28" ht="15" customHeight="1" x14ac:dyDescent="0.3">
      <c r="A1224" s="57" t="s">
        <v>2568</v>
      </c>
      <c r="B1224" s="82">
        <v>45371</v>
      </c>
      <c r="C1224" s="59">
        <f t="shared" si="133"/>
        <v>2024</v>
      </c>
      <c r="D1224" s="59">
        <f t="shared" si="134"/>
        <v>3</v>
      </c>
      <c r="E1224" s="59">
        <f t="shared" si="135"/>
        <v>12</v>
      </c>
      <c r="F1224" s="57" t="s">
        <v>61</v>
      </c>
      <c r="G1224" s="57" t="s">
        <v>41</v>
      </c>
      <c r="H1224" s="57" t="s">
        <v>2569</v>
      </c>
      <c r="I1224" s="57" t="s">
        <v>64</v>
      </c>
      <c r="J1224" s="57" t="s">
        <v>112</v>
      </c>
      <c r="K1224" s="57" t="s">
        <v>74</v>
      </c>
      <c r="L1224" s="57" t="s">
        <v>124</v>
      </c>
      <c r="M1224" s="60">
        <v>720</v>
      </c>
      <c r="N1224" s="57" t="s">
        <v>114</v>
      </c>
      <c r="O1224" s="61">
        <v>653.59</v>
      </c>
      <c r="P1224" s="61">
        <v>470584.8</v>
      </c>
      <c r="Q1224" s="61">
        <v>31098.77</v>
      </c>
      <c r="R1224" s="62">
        <f t="shared" si="136"/>
        <v>6.6085368673191314E-2</v>
      </c>
      <c r="S1224" s="60">
        <v>19</v>
      </c>
      <c r="T1224" s="58">
        <v>45390</v>
      </c>
      <c r="U1224" s="58">
        <v>45391</v>
      </c>
      <c r="V1224" s="63">
        <f t="shared" si="137"/>
        <v>1</v>
      </c>
      <c r="W1224" s="57" t="s">
        <v>125</v>
      </c>
      <c r="X1224" s="64" t="b">
        <f t="shared" si="138"/>
        <v>0</v>
      </c>
      <c r="Y1224" s="60">
        <v>115</v>
      </c>
      <c r="Z1224" s="60">
        <v>82</v>
      </c>
      <c r="AA1224" s="57" t="s">
        <v>116</v>
      </c>
      <c r="AB1224" s="64" t="b">
        <f t="shared" si="139"/>
        <v>0</v>
      </c>
    </row>
    <row r="1225" spans="1:28" ht="15" customHeight="1" x14ac:dyDescent="0.3">
      <c r="A1225" s="65" t="s">
        <v>2570</v>
      </c>
      <c r="B1225" s="81">
        <v>45027</v>
      </c>
      <c r="C1225" s="59">
        <f t="shared" si="133"/>
        <v>2023</v>
      </c>
      <c r="D1225" s="59">
        <f t="shared" si="134"/>
        <v>4</v>
      </c>
      <c r="E1225" s="59">
        <f t="shared" si="135"/>
        <v>15</v>
      </c>
      <c r="F1225" s="65" t="s">
        <v>58</v>
      </c>
      <c r="G1225" s="65" t="s">
        <v>39</v>
      </c>
      <c r="H1225" s="65" t="s">
        <v>2571</v>
      </c>
      <c r="I1225" s="65" t="s">
        <v>64</v>
      </c>
      <c r="J1225" s="65" t="s">
        <v>143</v>
      </c>
      <c r="K1225" s="65" t="s">
        <v>72</v>
      </c>
      <c r="L1225" s="65" t="s">
        <v>156</v>
      </c>
      <c r="M1225" s="67">
        <v>395</v>
      </c>
      <c r="N1225" s="65" t="s">
        <v>114</v>
      </c>
      <c r="O1225" s="68">
        <v>1650.74</v>
      </c>
      <c r="P1225" s="68">
        <v>652042.30000000005</v>
      </c>
      <c r="Q1225" s="68">
        <v>42274.17</v>
      </c>
      <c r="R1225" s="62">
        <f t="shared" si="136"/>
        <v>6.483347782804888E-2</v>
      </c>
      <c r="S1225" s="67">
        <v>25</v>
      </c>
      <c r="T1225" s="66">
        <v>45052</v>
      </c>
      <c r="U1225" s="66">
        <v>45053</v>
      </c>
      <c r="V1225" s="63">
        <f t="shared" si="137"/>
        <v>1</v>
      </c>
      <c r="W1225" s="65" t="s">
        <v>128</v>
      </c>
      <c r="X1225" s="64" t="b">
        <f t="shared" si="138"/>
        <v>0</v>
      </c>
      <c r="Y1225" s="67">
        <v>195</v>
      </c>
      <c r="Z1225" s="67">
        <v>318</v>
      </c>
      <c r="AA1225" s="65" t="s">
        <v>82</v>
      </c>
      <c r="AB1225" s="64" t="b">
        <f t="shared" si="139"/>
        <v>1</v>
      </c>
    </row>
    <row r="1226" spans="1:28" ht="15" customHeight="1" x14ac:dyDescent="0.3">
      <c r="A1226" s="57" t="s">
        <v>2572</v>
      </c>
      <c r="B1226" s="82">
        <v>45575</v>
      </c>
      <c r="C1226" s="59">
        <f t="shared" si="133"/>
        <v>2024</v>
      </c>
      <c r="D1226" s="59">
        <f t="shared" si="134"/>
        <v>10</v>
      </c>
      <c r="E1226" s="59">
        <f t="shared" si="135"/>
        <v>41</v>
      </c>
      <c r="F1226" s="57" t="s">
        <v>57</v>
      </c>
      <c r="G1226" s="57" t="s">
        <v>42</v>
      </c>
      <c r="H1226" s="57" t="s">
        <v>2573</v>
      </c>
      <c r="I1226" s="57" t="s">
        <v>68</v>
      </c>
      <c r="J1226" s="57" t="s">
        <v>143</v>
      </c>
      <c r="K1226" s="57" t="s">
        <v>74</v>
      </c>
      <c r="L1226" s="57" t="s">
        <v>135</v>
      </c>
      <c r="M1226" s="60">
        <v>627</v>
      </c>
      <c r="N1226" s="57" t="s">
        <v>114</v>
      </c>
      <c r="O1226" s="61">
        <v>114.35</v>
      </c>
      <c r="P1226" s="61">
        <v>71697.45</v>
      </c>
      <c r="Q1226" s="61">
        <v>2774.85</v>
      </c>
      <c r="R1226" s="62">
        <f t="shared" si="136"/>
        <v>3.870221325863054E-2</v>
      </c>
      <c r="S1226" s="60">
        <v>2</v>
      </c>
      <c r="T1226" s="58">
        <v>45577</v>
      </c>
      <c r="U1226" s="58">
        <v>45577</v>
      </c>
      <c r="V1226" s="63">
        <f t="shared" si="137"/>
        <v>0</v>
      </c>
      <c r="W1226" s="57" t="s">
        <v>115</v>
      </c>
      <c r="X1226" s="64" t="b">
        <f t="shared" si="138"/>
        <v>1</v>
      </c>
      <c r="Y1226" s="60">
        <v>35</v>
      </c>
      <c r="Z1226" s="60">
        <v>66</v>
      </c>
      <c r="AA1226" s="57" t="s">
        <v>116</v>
      </c>
      <c r="AB1226" s="64" t="b">
        <f t="shared" si="139"/>
        <v>0</v>
      </c>
    </row>
    <row r="1227" spans="1:28" ht="15" customHeight="1" x14ac:dyDescent="0.3">
      <c r="A1227" s="65" t="s">
        <v>2574</v>
      </c>
      <c r="B1227" s="81">
        <v>45647</v>
      </c>
      <c r="C1227" s="59">
        <f t="shared" si="133"/>
        <v>2024</v>
      </c>
      <c r="D1227" s="59">
        <f t="shared" si="134"/>
        <v>12</v>
      </c>
      <c r="E1227" s="59">
        <f t="shared" si="135"/>
        <v>51</v>
      </c>
      <c r="F1227" s="65" t="s">
        <v>54</v>
      </c>
      <c r="G1227" s="65" t="s">
        <v>42</v>
      </c>
      <c r="H1227" s="65" t="s">
        <v>2575</v>
      </c>
      <c r="I1227" s="65" t="s">
        <v>64</v>
      </c>
      <c r="J1227" s="65" t="s">
        <v>139</v>
      </c>
      <c r="K1227" s="65" t="s">
        <v>72</v>
      </c>
      <c r="L1227" s="65" t="s">
        <v>124</v>
      </c>
      <c r="M1227" s="67">
        <v>801</v>
      </c>
      <c r="N1227" s="65" t="s">
        <v>114</v>
      </c>
      <c r="O1227" s="68">
        <v>65.38</v>
      </c>
      <c r="P1227" s="68">
        <v>52369.38</v>
      </c>
      <c r="Q1227" s="68">
        <v>2009.64</v>
      </c>
      <c r="R1227" s="62">
        <f t="shared" si="136"/>
        <v>3.8374332482072546E-2</v>
      </c>
      <c r="S1227" s="67">
        <v>15</v>
      </c>
      <c r="T1227" s="66">
        <v>45662</v>
      </c>
      <c r="U1227" s="66">
        <v>45661</v>
      </c>
      <c r="V1227" s="63">
        <f t="shared" si="137"/>
        <v>-1</v>
      </c>
      <c r="W1227" s="65" t="s">
        <v>115</v>
      </c>
      <c r="X1227" s="64" t="b">
        <f t="shared" si="138"/>
        <v>1</v>
      </c>
      <c r="Y1227" s="67">
        <v>66</v>
      </c>
      <c r="Z1227" s="67">
        <v>413</v>
      </c>
      <c r="AA1227" s="65" t="s">
        <v>84</v>
      </c>
      <c r="AB1227" s="64" t="b">
        <f t="shared" si="139"/>
        <v>1</v>
      </c>
    </row>
    <row r="1228" spans="1:28" ht="15" customHeight="1" x14ac:dyDescent="0.3">
      <c r="A1228" s="57" t="s">
        <v>2576</v>
      </c>
      <c r="B1228" s="82">
        <v>45029</v>
      </c>
      <c r="C1228" s="59">
        <f t="shared" si="133"/>
        <v>2023</v>
      </c>
      <c r="D1228" s="59">
        <f t="shared" si="134"/>
        <v>4</v>
      </c>
      <c r="E1228" s="59">
        <f t="shared" si="135"/>
        <v>15</v>
      </c>
      <c r="F1228" s="57" t="s">
        <v>55</v>
      </c>
      <c r="G1228" s="57" t="s">
        <v>46</v>
      </c>
      <c r="H1228" s="57" t="s">
        <v>2577</v>
      </c>
      <c r="I1228" s="57" t="s">
        <v>67</v>
      </c>
      <c r="J1228" s="57" t="s">
        <v>139</v>
      </c>
      <c r="K1228" s="57" t="s">
        <v>72</v>
      </c>
      <c r="L1228" s="57" t="s">
        <v>135</v>
      </c>
      <c r="M1228" s="60">
        <v>781</v>
      </c>
      <c r="N1228" s="57" t="s">
        <v>120</v>
      </c>
      <c r="O1228" s="61">
        <v>73</v>
      </c>
      <c r="P1228" s="61">
        <v>57013</v>
      </c>
      <c r="Q1228" s="61">
        <v>4006.33</v>
      </c>
      <c r="R1228" s="62">
        <f t="shared" si="136"/>
        <v>7.0270464630873664E-2</v>
      </c>
      <c r="S1228" s="60">
        <v>11</v>
      </c>
      <c r="T1228" s="58">
        <v>45040</v>
      </c>
      <c r="U1228" s="58">
        <v>45042</v>
      </c>
      <c r="V1228" s="63">
        <f t="shared" si="137"/>
        <v>2</v>
      </c>
      <c r="W1228" s="57" t="s">
        <v>125</v>
      </c>
      <c r="X1228" s="64" t="b">
        <f t="shared" si="138"/>
        <v>0</v>
      </c>
      <c r="Y1228" s="60">
        <v>132</v>
      </c>
      <c r="Z1228" s="60">
        <v>452</v>
      </c>
      <c r="AA1228" s="57" t="s">
        <v>81</v>
      </c>
      <c r="AB1228" s="64" t="b">
        <f t="shared" si="139"/>
        <v>1</v>
      </c>
    </row>
    <row r="1229" spans="1:28" ht="15" customHeight="1" x14ac:dyDescent="0.3">
      <c r="A1229" s="65" t="s">
        <v>2578</v>
      </c>
      <c r="B1229" s="81">
        <v>45381</v>
      </c>
      <c r="C1229" s="59">
        <f t="shared" si="133"/>
        <v>2024</v>
      </c>
      <c r="D1229" s="59">
        <f t="shared" si="134"/>
        <v>3</v>
      </c>
      <c r="E1229" s="59">
        <f t="shared" si="135"/>
        <v>13</v>
      </c>
      <c r="F1229" s="65" t="s">
        <v>60</v>
      </c>
      <c r="G1229" s="65" t="s">
        <v>41</v>
      </c>
      <c r="H1229" s="65" t="s">
        <v>2579</v>
      </c>
      <c r="I1229" s="65" t="s">
        <v>69</v>
      </c>
      <c r="J1229" s="65" t="s">
        <v>112</v>
      </c>
      <c r="K1229" s="65" t="s">
        <v>71</v>
      </c>
      <c r="L1229" s="65" t="s">
        <v>124</v>
      </c>
      <c r="M1229" s="67">
        <v>117</v>
      </c>
      <c r="N1229" s="65" t="s">
        <v>120</v>
      </c>
      <c r="O1229" s="68">
        <v>443.15</v>
      </c>
      <c r="P1229" s="68">
        <v>51848.55</v>
      </c>
      <c r="Q1229" s="68">
        <v>1262.07</v>
      </c>
      <c r="R1229" s="62">
        <f t="shared" si="136"/>
        <v>2.4341471458700387E-2</v>
      </c>
      <c r="S1229" s="67">
        <v>8</v>
      </c>
      <c r="T1229" s="66">
        <v>45389</v>
      </c>
      <c r="U1229" s="66">
        <v>45389</v>
      </c>
      <c r="V1229" s="63">
        <f t="shared" si="137"/>
        <v>0</v>
      </c>
      <c r="W1229" s="65" t="s">
        <v>115</v>
      </c>
      <c r="X1229" s="64" t="b">
        <f t="shared" si="138"/>
        <v>1</v>
      </c>
      <c r="Y1229" s="67">
        <v>280</v>
      </c>
      <c r="Z1229" s="67">
        <v>233</v>
      </c>
      <c r="AA1229" s="65" t="s">
        <v>116</v>
      </c>
      <c r="AB1229" s="64" t="b">
        <f t="shared" si="139"/>
        <v>0</v>
      </c>
    </row>
    <row r="1230" spans="1:28" ht="15" customHeight="1" x14ac:dyDescent="0.3">
      <c r="A1230" s="57" t="s">
        <v>2580</v>
      </c>
      <c r="B1230" s="82">
        <v>45097</v>
      </c>
      <c r="C1230" s="59">
        <f t="shared" si="133"/>
        <v>2023</v>
      </c>
      <c r="D1230" s="59">
        <f t="shared" si="134"/>
        <v>6</v>
      </c>
      <c r="E1230" s="59">
        <f t="shared" si="135"/>
        <v>25</v>
      </c>
      <c r="F1230" s="57" t="s">
        <v>54</v>
      </c>
      <c r="G1230" s="57" t="s">
        <v>41</v>
      </c>
      <c r="H1230" s="57" t="s">
        <v>2581</v>
      </c>
      <c r="I1230" s="57" t="s">
        <v>64</v>
      </c>
      <c r="J1230" s="57" t="s">
        <v>123</v>
      </c>
      <c r="K1230" s="57" t="s">
        <v>75</v>
      </c>
      <c r="L1230" s="57" t="s">
        <v>156</v>
      </c>
      <c r="M1230" s="60">
        <v>540</v>
      </c>
      <c r="N1230" s="57" t="s">
        <v>132</v>
      </c>
      <c r="O1230" s="61">
        <v>412.7</v>
      </c>
      <c r="P1230" s="61">
        <v>222858</v>
      </c>
      <c r="Q1230" s="61">
        <v>16238.84</v>
      </c>
      <c r="R1230" s="62">
        <f t="shared" si="136"/>
        <v>7.2866309488553244E-2</v>
      </c>
      <c r="S1230" s="60">
        <v>26</v>
      </c>
      <c r="T1230" s="58">
        <v>45123</v>
      </c>
      <c r="U1230" s="58">
        <v>45128</v>
      </c>
      <c r="V1230" s="63">
        <f t="shared" si="137"/>
        <v>5</v>
      </c>
      <c r="W1230" s="57" t="s">
        <v>128</v>
      </c>
      <c r="X1230" s="64" t="b">
        <f t="shared" si="138"/>
        <v>0</v>
      </c>
      <c r="Y1230" s="60">
        <v>478</v>
      </c>
      <c r="Z1230" s="60">
        <v>197</v>
      </c>
      <c r="AA1230" s="57" t="s">
        <v>84</v>
      </c>
      <c r="AB1230" s="64" t="b">
        <f t="shared" si="139"/>
        <v>1</v>
      </c>
    </row>
    <row r="1231" spans="1:28" ht="15" customHeight="1" x14ac:dyDescent="0.3">
      <c r="A1231" s="65" t="s">
        <v>2582</v>
      </c>
      <c r="B1231" s="81">
        <v>45637</v>
      </c>
      <c r="C1231" s="59">
        <f t="shared" si="133"/>
        <v>2024</v>
      </c>
      <c r="D1231" s="59">
        <f t="shared" si="134"/>
        <v>12</v>
      </c>
      <c r="E1231" s="59">
        <f t="shared" si="135"/>
        <v>50</v>
      </c>
      <c r="F1231" s="65" t="s">
        <v>56</v>
      </c>
      <c r="G1231" s="65" t="s">
        <v>43</v>
      </c>
      <c r="H1231" s="65" t="s">
        <v>2583</v>
      </c>
      <c r="I1231" s="65" t="s">
        <v>67</v>
      </c>
      <c r="J1231" s="65" t="s">
        <v>139</v>
      </c>
      <c r="K1231" s="65" t="s">
        <v>73</v>
      </c>
      <c r="L1231" s="65" t="s">
        <v>146</v>
      </c>
      <c r="M1231" s="67">
        <v>419</v>
      </c>
      <c r="N1231" s="65" t="s">
        <v>120</v>
      </c>
      <c r="O1231" s="68">
        <v>249.35</v>
      </c>
      <c r="P1231" s="68">
        <v>104477.65</v>
      </c>
      <c r="Q1231" s="68">
        <v>3698.48</v>
      </c>
      <c r="R1231" s="62">
        <f t="shared" si="136"/>
        <v>3.539972424724331E-2</v>
      </c>
      <c r="S1231" s="67">
        <v>19</v>
      </c>
      <c r="T1231" s="66">
        <v>45656</v>
      </c>
      <c r="U1231" s="66">
        <v>45657</v>
      </c>
      <c r="V1231" s="63">
        <f t="shared" si="137"/>
        <v>1</v>
      </c>
      <c r="W1231" s="65" t="s">
        <v>128</v>
      </c>
      <c r="X1231" s="64" t="b">
        <f t="shared" si="138"/>
        <v>0</v>
      </c>
      <c r="Y1231" s="67">
        <v>10</v>
      </c>
      <c r="Z1231" s="67">
        <v>258</v>
      </c>
      <c r="AA1231" s="65" t="s">
        <v>82</v>
      </c>
      <c r="AB1231" s="64" t="b">
        <f t="shared" si="139"/>
        <v>1</v>
      </c>
    </row>
    <row r="1232" spans="1:28" ht="15" customHeight="1" x14ac:dyDescent="0.3">
      <c r="A1232" s="57" t="s">
        <v>2584</v>
      </c>
      <c r="B1232" s="82">
        <v>45233</v>
      </c>
      <c r="C1232" s="59">
        <f t="shared" si="133"/>
        <v>2023</v>
      </c>
      <c r="D1232" s="59">
        <f t="shared" si="134"/>
        <v>11</v>
      </c>
      <c r="E1232" s="59">
        <f t="shared" si="135"/>
        <v>44</v>
      </c>
      <c r="F1232" s="57" t="s">
        <v>53</v>
      </c>
      <c r="G1232" s="57" t="s">
        <v>41</v>
      </c>
      <c r="H1232" s="57" t="s">
        <v>2585</v>
      </c>
      <c r="I1232" s="57" t="s">
        <v>67</v>
      </c>
      <c r="J1232" s="57" t="s">
        <v>151</v>
      </c>
      <c r="K1232" s="57" t="s">
        <v>73</v>
      </c>
      <c r="L1232" s="57" t="s">
        <v>124</v>
      </c>
      <c r="M1232" s="60">
        <v>980</v>
      </c>
      <c r="N1232" s="57" t="s">
        <v>132</v>
      </c>
      <c r="O1232" s="61">
        <v>587.47</v>
      </c>
      <c r="P1232" s="61">
        <v>575720.6</v>
      </c>
      <c r="Q1232" s="61">
        <v>31998.02</v>
      </c>
      <c r="R1232" s="62">
        <f t="shared" si="136"/>
        <v>5.5579077767931181E-2</v>
      </c>
      <c r="S1232" s="60">
        <v>13</v>
      </c>
      <c r="T1232" s="58">
        <v>45246</v>
      </c>
      <c r="U1232" s="58">
        <v>45246</v>
      </c>
      <c r="V1232" s="63">
        <f t="shared" si="137"/>
        <v>0</v>
      </c>
      <c r="W1232" s="57" t="s">
        <v>115</v>
      </c>
      <c r="X1232" s="64" t="b">
        <f t="shared" si="138"/>
        <v>1</v>
      </c>
      <c r="Y1232" s="60">
        <v>455</v>
      </c>
      <c r="Z1232" s="60">
        <v>176</v>
      </c>
      <c r="AA1232" s="57" t="s">
        <v>84</v>
      </c>
      <c r="AB1232" s="64" t="b">
        <f t="shared" si="139"/>
        <v>1</v>
      </c>
    </row>
    <row r="1233" spans="1:28" ht="15" customHeight="1" x14ac:dyDescent="0.3">
      <c r="A1233" s="65" t="s">
        <v>2586</v>
      </c>
      <c r="B1233" s="81">
        <v>44956</v>
      </c>
      <c r="C1233" s="59">
        <f t="shared" si="133"/>
        <v>2023</v>
      </c>
      <c r="D1233" s="59">
        <f t="shared" si="134"/>
        <v>1</v>
      </c>
      <c r="E1233" s="59">
        <f t="shared" si="135"/>
        <v>5</v>
      </c>
      <c r="F1233" s="65" t="s">
        <v>55</v>
      </c>
      <c r="G1233" s="65" t="s">
        <v>46</v>
      </c>
      <c r="H1233" s="65" t="s">
        <v>2587</v>
      </c>
      <c r="I1233" s="65" t="s">
        <v>67</v>
      </c>
      <c r="J1233" s="65" t="s">
        <v>139</v>
      </c>
      <c r="K1233" s="65" t="s">
        <v>74</v>
      </c>
      <c r="L1233" s="65" t="s">
        <v>113</v>
      </c>
      <c r="M1233" s="67">
        <v>305</v>
      </c>
      <c r="N1233" s="65" t="s">
        <v>136</v>
      </c>
      <c r="O1233" s="68">
        <v>78.23</v>
      </c>
      <c r="P1233" s="68">
        <v>23860.15</v>
      </c>
      <c r="Q1233" s="68">
        <v>1817.18</v>
      </c>
      <c r="R1233" s="62">
        <f t="shared" si="136"/>
        <v>7.615962179617479E-2</v>
      </c>
      <c r="S1233" s="67">
        <v>12</v>
      </c>
      <c r="T1233" s="66">
        <v>44968</v>
      </c>
      <c r="U1233" s="66">
        <v>44968</v>
      </c>
      <c r="V1233" s="63">
        <f t="shared" si="137"/>
        <v>0</v>
      </c>
      <c r="W1233" s="65" t="s">
        <v>115</v>
      </c>
      <c r="X1233" s="64" t="b">
        <f t="shared" si="138"/>
        <v>1</v>
      </c>
      <c r="Y1233" s="67">
        <v>217</v>
      </c>
      <c r="Z1233" s="67">
        <v>297</v>
      </c>
      <c r="AA1233" s="65" t="s">
        <v>82</v>
      </c>
      <c r="AB1233" s="64" t="b">
        <f t="shared" si="139"/>
        <v>1</v>
      </c>
    </row>
    <row r="1234" spans="1:28" ht="15" customHeight="1" x14ac:dyDescent="0.3">
      <c r="A1234" s="57" t="s">
        <v>2588</v>
      </c>
      <c r="B1234" s="82">
        <v>44974</v>
      </c>
      <c r="C1234" s="59">
        <f t="shared" si="133"/>
        <v>2023</v>
      </c>
      <c r="D1234" s="59">
        <f t="shared" si="134"/>
        <v>2</v>
      </c>
      <c r="E1234" s="59">
        <f t="shared" si="135"/>
        <v>7</v>
      </c>
      <c r="F1234" s="57" t="s">
        <v>60</v>
      </c>
      <c r="G1234" s="57" t="s">
        <v>40</v>
      </c>
      <c r="H1234" s="57" t="s">
        <v>2589</v>
      </c>
      <c r="I1234" s="57" t="s">
        <v>66</v>
      </c>
      <c r="J1234" s="57" t="s">
        <v>123</v>
      </c>
      <c r="K1234" s="57" t="s">
        <v>73</v>
      </c>
      <c r="L1234" s="57" t="s">
        <v>124</v>
      </c>
      <c r="M1234" s="60">
        <v>827</v>
      </c>
      <c r="N1234" s="57" t="s">
        <v>140</v>
      </c>
      <c r="O1234" s="61">
        <v>758.06</v>
      </c>
      <c r="P1234" s="61">
        <v>626915.62</v>
      </c>
      <c r="Q1234" s="61">
        <v>38045.85</v>
      </c>
      <c r="R1234" s="62">
        <f t="shared" si="136"/>
        <v>6.068735374626652E-2</v>
      </c>
      <c r="S1234" s="60">
        <v>5</v>
      </c>
      <c r="T1234" s="58">
        <v>44979</v>
      </c>
      <c r="U1234" s="58">
        <v>44981</v>
      </c>
      <c r="V1234" s="63">
        <f t="shared" si="137"/>
        <v>2</v>
      </c>
      <c r="W1234" s="57" t="s">
        <v>125</v>
      </c>
      <c r="X1234" s="64" t="b">
        <f t="shared" si="138"/>
        <v>0</v>
      </c>
      <c r="Y1234" s="60">
        <v>321</v>
      </c>
      <c r="Z1234" s="60">
        <v>279</v>
      </c>
      <c r="AA1234" s="57" t="s">
        <v>83</v>
      </c>
      <c r="AB1234" s="64" t="b">
        <f t="shared" si="139"/>
        <v>1</v>
      </c>
    </row>
    <row r="1235" spans="1:28" ht="15" customHeight="1" x14ac:dyDescent="0.3">
      <c r="A1235" s="65" t="s">
        <v>2590</v>
      </c>
      <c r="B1235" s="81">
        <v>45259</v>
      </c>
      <c r="C1235" s="59">
        <f t="shared" si="133"/>
        <v>2023</v>
      </c>
      <c r="D1235" s="59">
        <f t="shared" si="134"/>
        <v>11</v>
      </c>
      <c r="E1235" s="59">
        <f t="shared" si="135"/>
        <v>48</v>
      </c>
      <c r="F1235" s="65" t="s">
        <v>54</v>
      </c>
      <c r="G1235" s="65" t="s">
        <v>43</v>
      </c>
      <c r="H1235" s="65" t="s">
        <v>2591</v>
      </c>
      <c r="I1235" s="65" t="s">
        <v>66</v>
      </c>
      <c r="J1235" s="65" t="s">
        <v>143</v>
      </c>
      <c r="K1235" s="65" t="s">
        <v>71</v>
      </c>
      <c r="L1235" s="65" t="s">
        <v>156</v>
      </c>
      <c r="M1235" s="67">
        <v>180</v>
      </c>
      <c r="N1235" s="65" t="s">
        <v>163</v>
      </c>
      <c r="O1235" s="68">
        <v>211.68</v>
      </c>
      <c r="P1235" s="68">
        <v>38102.400000000001</v>
      </c>
      <c r="Q1235" s="68">
        <v>1709.49</v>
      </c>
      <c r="R1235" s="62">
        <f t="shared" si="136"/>
        <v>4.486567775258251E-2</v>
      </c>
      <c r="S1235" s="67">
        <v>6</v>
      </c>
      <c r="T1235" s="66">
        <v>45265</v>
      </c>
      <c r="U1235" s="66">
        <v>45267</v>
      </c>
      <c r="V1235" s="63">
        <f t="shared" si="137"/>
        <v>2</v>
      </c>
      <c r="W1235" s="65" t="s">
        <v>125</v>
      </c>
      <c r="X1235" s="64" t="b">
        <f t="shared" si="138"/>
        <v>0</v>
      </c>
      <c r="Y1235" s="67">
        <v>155</v>
      </c>
      <c r="Z1235" s="67">
        <v>299</v>
      </c>
      <c r="AA1235" s="65" t="s">
        <v>116</v>
      </c>
      <c r="AB1235" s="64" t="b">
        <f t="shared" si="139"/>
        <v>0</v>
      </c>
    </row>
    <row r="1236" spans="1:28" ht="15" customHeight="1" x14ac:dyDescent="0.3">
      <c r="A1236" s="57" t="s">
        <v>2592</v>
      </c>
      <c r="B1236" s="82">
        <v>44984</v>
      </c>
      <c r="C1236" s="59">
        <f t="shared" si="133"/>
        <v>2023</v>
      </c>
      <c r="D1236" s="59">
        <f t="shared" si="134"/>
        <v>2</v>
      </c>
      <c r="E1236" s="59">
        <f t="shared" si="135"/>
        <v>9</v>
      </c>
      <c r="F1236" s="57" t="s">
        <v>55</v>
      </c>
      <c r="G1236" s="57" t="s">
        <v>43</v>
      </c>
      <c r="H1236" s="57" t="s">
        <v>2593</v>
      </c>
      <c r="I1236" s="57" t="s">
        <v>67</v>
      </c>
      <c r="J1236" s="57" t="s">
        <v>131</v>
      </c>
      <c r="K1236" s="57" t="s">
        <v>75</v>
      </c>
      <c r="L1236" s="57" t="s">
        <v>124</v>
      </c>
      <c r="M1236" s="60">
        <v>340</v>
      </c>
      <c r="N1236" s="57" t="s">
        <v>120</v>
      </c>
      <c r="O1236" s="61">
        <v>204.88</v>
      </c>
      <c r="P1236" s="61">
        <v>69659.199999999997</v>
      </c>
      <c r="Q1236" s="61">
        <v>4275.13</v>
      </c>
      <c r="R1236" s="62">
        <f t="shared" si="136"/>
        <v>6.1372080069825669E-2</v>
      </c>
      <c r="S1236" s="60">
        <v>26</v>
      </c>
      <c r="T1236" s="58">
        <v>45010</v>
      </c>
      <c r="U1236" s="58">
        <v>45007</v>
      </c>
      <c r="V1236" s="63">
        <f t="shared" si="137"/>
        <v>-3</v>
      </c>
      <c r="W1236" s="57" t="s">
        <v>115</v>
      </c>
      <c r="X1236" s="64" t="b">
        <f t="shared" si="138"/>
        <v>1</v>
      </c>
      <c r="Y1236" s="60">
        <v>239</v>
      </c>
      <c r="Z1236" s="60">
        <v>128</v>
      </c>
      <c r="AA1236" s="57" t="s">
        <v>81</v>
      </c>
      <c r="AB1236" s="64" t="b">
        <f t="shared" si="139"/>
        <v>1</v>
      </c>
    </row>
    <row r="1237" spans="1:28" ht="15" customHeight="1" x14ac:dyDescent="0.3">
      <c r="A1237" s="65" t="s">
        <v>2594</v>
      </c>
      <c r="B1237" s="81">
        <v>45227</v>
      </c>
      <c r="C1237" s="59">
        <f t="shared" si="133"/>
        <v>2023</v>
      </c>
      <c r="D1237" s="59">
        <f t="shared" si="134"/>
        <v>10</v>
      </c>
      <c r="E1237" s="59">
        <f t="shared" si="135"/>
        <v>43</v>
      </c>
      <c r="F1237" s="65" t="s">
        <v>58</v>
      </c>
      <c r="G1237" s="65" t="s">
        <v>42</v>
      </c>
      <c r="H1237" s="65" t="s">
        <v>2595</v>
      </c>
      <c r="I1237" s="65" t="s">
        <v>68</v>
      </c>
      <c r="J1237" s="65" t="s">
        <v>131</v>
      </c>
      <c r="K1237" s="65" t="s">
        <v>72</v>
      </c>
      <c r="L1237" s="65" t="s">
        <v>113</v>
      </c>
      <c r="M1237" s="67">
        <v>502</v>
      </c>
      <c r="N1237" s="65" t="s">
        <v>120</v>
      </c>
      <c r="O1237" s="68">
        <v>118.98</v>
      </c>
      <c r="P1237" s="68">
        <v>59727.96</v>
      </c>
      <c r="Q1237" s="68">
        <v>2427.27</v>
      </c>
      <c r="R1237" s="62">
        <f t="shared" si="136"/>
        <v>4.0638756120249211E-2</v>
      </c>
      <c r="S1237" s="67">
        <v>22</v>
      </c>
      <c r="T1237" s="66">
        <v>45249</v>
      </c>
      <c r="U1237" s="66">
        <v>45246</v>
      </c>
      <c r="V1237" s="63">
        <f t="shared" si="137"/>
        <v>-3</v>
      </c>
      <c r="W1237" s="65" t="s">
        <v>115</v>
      </c>
      <c r="X1237" s="64" t="b">
        <f t="shared" si="138"/>
        <v>1</v>
      </c>
      <c r="Y1237" s="67">
        <v>59</v>
      </c>
      <c r="Z1237" s="67">
        <v>497</v>
      </c>
      <c r="AA1237" s="65" t="s">
        <v>81</v>
      </c>
      <c r="AB1237" s="64" t="b">
        <f t="shared" si="139"/>
        <v>1</v>
      </c>
    </row>
    <row r="1238" spans="1:28" ht="15" customHeight="1" x14ac:dyDescent="0.3">
      <c r="A1238" s="57" t="s">
        <v>2596</v>
      </c>
      <c r="B1238" s="82">
        <v>45294</v>
      </c>
      <c r="C1238" s="59">
        <f t="shared" si="133"/>
        <v>2024</v>
      </c>
      <c r="D1238" s="59">
        <f t="shared" si="134"/>
        <v>1</v>
      </c>
      <c r="E1238" s="59">
        <f t="shared" si="135"/>
        <v>1</v>
      </c>
      <c r="F1238" s="57" t="s">
        <v>53</v>
      </c>
      <c r="G1238" s="57" t="s">
        <v>42</v>
      </c>
      <c r="H1238" s="57" t="s">
        <v>2597</v>
      </c>
      <c r="I1238" s="57" t="s">
        <v>64</v>
      </c>
      <c r="J1238" s="57" t="s">
        <v>143</v>
      </c>
      <c r="K1238" s="57" t="s">
        <v>72</v>
      </c>
      <c r="L1238" s="57" t="s">
        <v>113</v>
      </c>
      <c r="M1238" s="60">
        <v>204</v>
      </c>
      <c r="N1238" s="57" t="s">
        <v>136</v>
      </c>
      <c r="O1238" s="61">
        <v>74.7</v>
      </c>
      <c r="P1238" s="61">
        <v>15238.8</v>
      </c>
      <c r="Q1238" s="61">
        <v>558.28</v>
      </c>
      <c r="R1238" s="62">
        <f t="shared" si="136"/>
        <v>3.6635430611334223E-2</v>
      </c>
      <c r="S1238" s="60">
        <v>4</v>
      </c>
      <c r="T1238" s="58">
        <v>45298</v>
      </c>
      <c r="U1238" s="58">
        <v>45297</v>
      </c>
      <c r="V1238" s="63">
        <f t="shared" si="137"/>
        <v>-1</v>
      </c>
      <c r="W1238" s="57" t="s">
        <v>115</v>
      </c>
      <c r="X1238" s="64" t="b">
        <f t="shared" si="138"/>
        <v>1</v>
      </c>
      <c r="Y1238" s="60">
        <v>137</v>
      </c>
      <c r="Z1238" s="60">
        <v>370</v>
      </c>
      <c r="AA1238" s="57" t="s">
        <v>82</v>
      </c>
      <c r="AB1238" s="64" t="b">
        <f t="shared" si="139"/>
        <v>1</v>
      </c>
    </row>
    <row r="1239" spans="1:28" ht="15" customHeight="1" x14ac:dyDescent="0.3">
      <c r="A1239" s="65" t="s">
        <v>2598</v>
      </c>
      <c r="B1239" s="81">
        <v>45310</v>
      </c>
      <c r="C1239" s="59">
        <f t="shared" si="133"/>
        <v>2024</v>
      </c>
      <c r="D1239" s="59">
        <f t="shared" si="134"/>
        <v>1</v>
      </c>
      <c r="E1239" s="59">
        <f t="shared" si="135"/>
        <v>3</v>
      </c>
      <c r="F1239" s="65" t="s">
        <v>61</v>
      </c>
      <c r="G1239" s="65" t="s">
        <v>41</v>
      </c>
      <c r="H1239" s="65" t="s">
        <v>2599</v>
      </c>
      <c r="I1239" s="65" t="s">
        <v>69</v>
      </c>
      <c r="J1239" s="65" t="s">
        <v>131</v>
      </c>
      <c r="K1239" s="65" t="s">
        <v>71</v>
      </c>
      <c r="L1239" s="65" t="s">
        <v>156</v>
      </c>
      <c r="M1239" s="67">
        <v>21</v>
      </c>
      <c r="N1239" s="65" t="s">
        <v>120</v>
      </c>
      <c r="O1239" s="68">
        <v>467.93</v>
      </c>
      <c r="P1239" s="68">
        <v>9826.5300000000007</v>
      </c>
      <c r="Q1239" s="68">
        <v>784.17</v>
      </c>
      <c r="R1239" s="62">
        <f t="shared" si="136"/>
        <v>7.9801313383259395E-2</v>
      </c>
      <c r="S1239" s="67">
        <v>19</v>
      </c>
      <c r="T1239" s="66">
        <v>45329</v>
      </c>
      <c r="U1239" s="66">
        <v>45341</v>
      </c>
      <c r="V1239" s="63">
        <f t="shared" si="137"/>
        <v>12</v>
      </c>
      <c r="W1239" s="65" t="s">
        <v>125</v>
      </c>
      <c r="X1239" s="64" t="b">
        <f t="shared" si="138"/>
        <v>0</v>
      </c>
      <c r="Y1239" s="67">
        <v>49</v>
      </c>
      <c r="Z1239" s="67">
        <v>437</v>
      </c>
      <c r="AA1239" s="65" t="s">
        <v>81</v>
      </c>
      <c r="AB1239" s="64" t="b">
        <f t="shared" si="139"/>
        <v>1</v>
      </c>
    </row>
    <row r="1240" spans="1:28" ht="15" customHeight="1" x14ac:dyDescent="0.3">
      <c r="A1240" s="57" t="s">
        <v>2600</v>
      </c>
      <c r="B1240" s="82">
        <v>45368</v>
      </c>
      <c r="C1240" s="59">
        <f t="shared" si="133"/>
        <v>2024</v>
      </c>
      <c r="D1240" s="59">
        <f t="shared" si="134"/>
        <v>3</v>
      </c>
      <c r="E1240" s="59">
        <f t="shared" si="135"/>
        <v>12</v>
      </c>
      <c r="F1240" s="57" t="s">
        <v>59</v>
      </c>
      <c r="G1240" s="57" t="s">
        <v>43</v>
      </c>
      <c r="H1240" s="57" t="s">
        <v>2601</v>
      </c>
      <c r="I1240" s="57" t="s">
        <v>68</v>
      </c>
      <c r="J1240" s="57" t="s">
        <v>139</v>
      </c>
      <c r="K1240" s="57" t="s">
        <v>73</v>
      </c>
      <c r="L1240" s="57" t="s">
        <v>135</v>
      </c>
      <c r="M1240" s="60">
        <v>204</v>
      </c>
      <c r="N1240" s="57" t="s">
        <v>132</v>
      </c>
      <c r="O1240" s="61">
        <v>196.73</v>
      </c>
      <c r="P1240" s="61">
        <v>40132.92</v>
      </c>
      <c r="Q1240" s="61">
        <v>2610.54</v>
      </c>
      <c r="R1240" s="62">
        <f t="shared" si="136"/>
        <v>6.5047347663713478E-2</v>
      </c>
      <c r="S1240" s="60">
        <v>20</v>
      </c>
      <c r="T1240" s="58">
        <v>45388</v>
      </c>
      <c r="U1240" s="58">
        <v>45400</v>
      </c>
      <c r="V1240" s="63">
        <f t="shared" si="137"/>
        <v>12</v>
      </c>
      <c r="W1240" s="57" t="s">
        <v>125</v>
      </c>
      <c r="X1240" s="64" t="b">
        <f t="shared" si="138"/>
        <v>0</v>
      </c>
      <c r="Y1240" s="60">
        <v>166</v>
      </c>
      <c r="Z1240" s="60">
        <v>179</v>
      </c>
      <c r="AA1240" s="57" t="s">
        <v>83</v>
      </c>
      <c r="AB1240" s="64" t="b">
        <f t="shared" si="139"/>
        <v>1</v>
      </c>
    </row>
    <row r="1241" spans="1:28" ht="15" customHeight="1" x14ac:dyDescent="0.3">
      <c r="A1241" s="65" t="s">
        <v>2602</v>
      </c>
      <c r="B1241" s="81">
        <v>45076</v>
      </c>
      <c r="C1241" s="59">
        <f t="shared" si="133"/>
        <v>2023</v>
      </c>
      <c r="D1241" s="59">
        <f t="shared" si="134"/>
        <v>5</v>
      </c>
      <c r="E1241" s="59">
        <f t="shared" si="135"/>
        <v>22</v>
      </c>
      <c r="F1241" s="65" t="s">
        <v>52</v>
      </c>
      <c r="G1241" s="65" t="s">
        <v>45</v>
      </c>
      <c r="H1241" s="65" t="s">
        <v>2603</v>
      </c>
      <c r="I1241" s="65" t="s">
        <v>65</v>
      </c>
      <c r="J1241" s="65" t="s">
        <v>131</v>
      </c>
      <c r="K1241" s="65" t="s">
        <v>72</v>
      </c>
      <c r="L1241" s="65" t="s">
        <v>124</v>
      </c>
      <c r="M1241" s="67">
        <v>499</v>
      </c>
      <c r="N1241" s="65" t="s">
        <v>132</v>
      </c>
      <c r="O1241" s="68">
        <v>230.34</v>
      </c>
      <c r="P1241" s="68">
        <v>114939.66</v>
      </c>
      <c r="Q1241" s="68">
        <v>6745.03</v>
      </c>
      <c r="R1241" s="62">
        <f t="shared" si="136"/>
        <v>5.8683225615944919E-2</v>
      </c>
      <c r="S1241" s="67">
        <v>1</v>
      </c>
      <c r="T1241" s="66">
        <v>45077</v>
      </c>
      <c r="U1241" s="66">
        <v>45076</v>
      </c>
      <c r="V1241" s="63">
        <f t="shared" si="137"/>
        <v>-1</v>
      </c>
      <c r="W1241" s="65" t="s">
        <v>115</v>
      </c>
      <c r="X1241" s="64" t="b">
        <f t="shared" si="138"/>
        <v>1</v>
      </c>
      <c r="Y1241" s="67">
        <v>164</v>
      </c>
      <c r="Z1241" s="67">
        <v>291</v>
      </c>
      <c r="AA1241" s="65" t="s">
        <v>116</v>
      </c>
      <c r="AB1241" s="64" t="b">
        <f t="shared" si="139"/>
        <v>0</v>
      </c>
    </row>
    <row r="1242" spans="1:28" ht="15" customHeight="1" x14ac:dyDescent="0.3">
      <c r="A1242" s="57" t="s">
        <v>2604</v>
      </c>
      <c r="B1242" s="82">
        <v>45177</v>
      </c>
      <c r="C1242" s="59">
        <f t="shared" si="133"/>
        <v>2023</v>
      </c>
      <c r="D1242" s="59">
        <f t="shared" si="134"/>
        <v>9</v>
      </c>
      <c r="E1242" s="59">
        <f t="shared" si="135"/>
        <v>36</v>
      </c>
      <c r="F1242" s="57" t="s">
        <v>58</v>
      </c>
      <c r="G1242" s="57" t="s">
        <v>42</v>
      </c>
      <c r="H1242" s="57" t="s">
        <v>2605</v>
      </c>
      <c r="I1242" s="57" t="s">
        <v>66</v>
      </c>
      <c r="J1242" s="57" t="s">
        <v>123</v>
      </c>
      <c r="K1242" s="57" t="s">
        <v>73</v>
      </c>
      <c r="L1242" s="57" t="s">
        <v>146</v>
      </c>
      <c r="M1242" s="60">
        <v>804</v>
      </c>
      <c r="N1242" s="57" t="s">
        <v>140</v>
      </c>
      <c r="O1242" s="61">
        <v>72.150000000000006</v>
      </c>
      <c r="P1242" s="61">
        <v>58008.6</v>
      </c>
      <c r="Q1242" s="61">
        <v>2396.7600000000002</v>
      </c>
      <c r="R1242" s="62">
        <f t="shared" si="136"/>
        <v>4.1317321914336846E-2</v>
      </c>
      <c r="S1242" s="60">
        <v>20</v>
      </c>
      <c r="T1242" s="58">
        <v>45197</v>
      </c>
      <c r="U1242" s="58">
        <v>45192</v>
      </c>
      <c r="V1242" s="63">
        <f t="shared" si="137"/>
        <v>-5</v>
      </c>
      <c r="W1242" s="57" t="s">
        <v>115</v>
      </c>
      <c r="X1242" s="64" t="b">
        <f t="shared" si="138"/>
        <v>1</v>
      </c>
      <c r="Y1242" s="60">
        <v>318</v>
      </c>
      <c r="Z1242" s="60">
        <v>206</v>
      </c>
      <c r="AA1242" s="57" t="s">
        <v>116</v>
      </c>
      <c r="AB1242" s="64" t="b">
        <f t="shared" si="139"/>
        <v>0</v>
      </c>
    </row>
    <row r="1243" spans="1:28" ht="15" customHeight="1" x14ac:dyDescent="0.3">
      <c r="A1243" s="65" t="s">
        <v>2606</v>
      </c>
      <c r="B1243" s="81">
        <v>45470</v>
      </c>
      <c r="C1243" s="59">
        <f t="shared" si="133"/>
        <v>2024</v>
      </c>
      <c r="D1243" s="59">
        <f t="shared" si="134"/>
        <v>6</v>
      </c>
      <c r="E1243" s="59">
        <f t="shared" si="135"/>
        <v>26</v>
      </c>
      <c r="F1243" s="65" t="s">
        <v>56</v>
      </c>
      <c r="G1243" s="65" t="s">
        <v>46</v>
      </c>
      <c r="H1243" s="65" t="s">
        <v>2607</v>
      </c>
      <c r="I1243" s="65" t="s">
        <v>64</v>
      </c>
      <c r="J1243" s="65" t="s">
        <v>123</v>
      </c>
      <c r="K1243" s="65" t="s">
        <v>71</v>
      </c>
      <c r="L1243" s="65" t="s">
        <v>113</v>
      </c>
      <c r="M1243" s="67">
        <v>890</v>
      </c>
      <c r="N1243" s="65" t="s">
        <v>140</v>
      </c>
      <c r="O1243" s="68">
        <v>85.93</v>
      </c>
      <c r="P1243" s="68">
        <v>76477.7</v>
      </c>
      <c r="Q1243" s="68">
        <v>1755.14</v>
      </c>
      <c r="R1243" s="62">
        <f t="shared" si="136"/>
        <v>2.2949696447461157E-2</v>
      </c>
      <c r="S1243" s="67">
        <v>17</v>
      </c>
      <c r="T1243" s="66">
        <v>45487</v>
      </c>
      <c r="U1243" s="66">
        <v>45486</v>
      </c>
      <c r="V1243" s="63">
        <f t="shared" si="137"/>
        <v>-1</v>
      </c>
      <c r="W1243" s="65" t="s">
        <v>115</v>
      </c>
      <c r="X1243" s="64" t="b">
        <f t="shared" si="138"/>
        <v>1</v>
      </c>
      <c r="Y1243" s="67">
        <v>188</v>
      </c>
      <c r="Z1243" s="67">
        <v>488</v>
      </c>
      <c r="AA1243" s="65" t="s">
        <v>84</v>
      </c>
      <c r="AB1243" s="64" t="b">
        <f t="shared" si="139"/>
        <v>1</v>
      </c>
    </row>
    <row r="1244" spans="1:28" ht="15" customHeight="1" x14ac:dyDescent="0.3">
      <c r="A1244" s="57" t="s">
        <v>2608</v>
      </c>
      <c r="B1244" s="82">
        <v>45348</v>
      </c>
      <c r="C1244" s="59">
        <f t="shared" si="133"/>
        <v>2024</v>
      </c>
      <c r="D1244" s="59">
        <f t="shared" si="134"/>
        <v>2</v>
      </c>
      <c r="E1244" s="59">
        <f t="shared" si="135"/>
        <v>9</v>
      </c>
      <c r="F1244" s="57" t="s">
        <v>52</v>
      </c>
      <c r="G1244" s="57" t="s">
        <v>45</v>
      </c>
      <c r="H1244" s="57" t="s">
        <v>2609</v>
      </c>
      <c r="I1244" s="57" t="s">
        <v>64</v>
      </c>
      <c r="J1244" s="57" t="s">
        <v>139</v>
      </c>
      <c r="K1244" s="57" t="s">
        <v>72</v>
      </c>
      <c r="L1244" s="57" t="s">
        <v>113</v>
      </c>
      <c r="M1244" s="60">
        <v>191</v>
      </c>
      <c r="N1244" s="57" t="s">
        <v>140</v>
      </c>
      <c r="O1244" s="61">
        <v>182.51</v>
      </c>
      <c r="P1244" s="61">
        <v>34859.410000000003</v>
      </c>
      <c r="Q1244" s="61">
        <v>762.15</v>
      </c>
      <c r="R1244" s="62">
        <f t="shared" si="136"/>
        <v>2.1863536990442464E-2</v>
      </c>
      <c r="S1244" s="60">
        <v>12</v>
      </c>
      <c r="T1244" s="58">
        <v>45360</v>
      </c>
      <c r="U1244" s="58">
        <v>45360</v>
      </c>
      <c r="V1244" s="63">
        <f t="shared" si="137"/>
        <v>0</v>
      </c>
      <c r="W1244" s="57" t="s">
        <v>115</v>
      </c>
      <c r="X1244" s="64" t="b">
        <f t="shared" si="138"/>
        <v>1</v>
      </c>
      <c r="Y1244" s="60">
        <v>486</v>
      </c>
      <c r="Z1244" s="60">
        <v>293</v>
      </c>
      <c r="AA1244" s="57" t="s">
        <v>81</v>
      </c>
      <c r="AB1244" s="64" t="b">
        <f t="shared" si="139"/>
        <v>1</v>
      </c>
    </row>
    <row r="1245" spans="1:28" ht="15" customHeight="1" x14ac:dyDescent="0.3">
      <c r="A1245" s="65" t="s">
        <v>2610</v>
      </c>
      <c r="B1245" s="81">
        <v>45506</v>
      </c>
      <c r="C1245" s="59">
        <f t="shared" si="133"/>
        <v>2024</v>
      </c>
      <c r="D1245" s="59">
        <f t="shared" si="134"/>
        <v>8</v>
      </c>
      <c r="E1245" s="59">
        <f t="shared" si="135"/>
        <v>31</v>
      </c>
      <c r="F1245" s="65" t="s">
        <v>61</v>
      </c>
      <c r="G1245" s="65" t="s">
        <v>42</v>
      </c>
      <c r="H1245" s="65" t="s">
        <v>2611</v>
      </c>
      <c r="I1245" s="65" t="s">
        <v>65</v>
      </c>
      <c r="J1245" s="65" t="s">
        <v>143</v>
      </c>
      <c r="K1245" s="65" t="s">
        <v>74</v>
      </c>
      <c r="L1245" s="65" t="s">
        <v>124</v>
      </c>
      <c r="M1245" s="67">
        <v>971</v>
      </c>
      <c r="N1245" s="65" t="s">
        <v>132</v>
      </c>
      <c r="O1245" s="68">
        <v>113.33</v>
      </c>
      <c r="P1245" s="68">
        <v>110043.43</v>
      </c>
      <c r="Q1245" s="68">
        <v>5859.91</v>
      </c>
      <c r="R1245" s="62">
        <f t="shared" si="136"/>
        <v>5.3250884673442113E-2</v>
      </c>
      <c r="S1245" s="67">
        <v>15</v>
      </c>
      <c r="T1245" s="66">
        <v>45521</v>
      </c>
      <c r="U1245" s="66">
        <v>45523</v>
      </c>
      <c r="V1245" s="63">
        <f t="shared" si="137"/>
        <v>2</v>
      </c>
      <c r="W1245" s="65" t="s">
        <v>125</v>
      </c>
      <c r="X1245" s="64" t="b">
        <f t="shared" si="138"/>
        <v>0</v>
      </c>
      <c r="Y1245" s="67">
        <v>468</v>
      </c>
      <c r="Z1245" s="67">
        <v>427</v>
      </c>
      <c r="AA1245" s="65" t="s">
        <v>84</v>
      </c>
      <c r="AB1245" s="64" t="b">
        <f t="shared" si="139"/>
        <v>1</v>
      </c>
    </row>
    <row r="1246" spans="1:28" ht="15" customHeight="1" x14ac:dyDescent="0.3">
      <c r="A1246" s="57" t="s">
        <v>2612</v>
      </c>
      <c r="B1246" s="82">
        <v>45625</v>
      </c>
      <c r="C1246" s="59">
        <f t="shared" si="133"/>
        <v>2024</v>
      </c>
      <c r="D1246" s="59">
        <f t="shared" si="134"/>
        <v>11</v>
      </c>
      <c r="E1246" s="59">
        <f t="shared" si="135"/>
        <v>48</v>
      </c>
      <c r="F1246" s="57" t="s">
        <v>58</v>
      </c>
      <c r="G1246" s="57" t="s">
        <v>44</v>
      </c>
      <c r="H1246" s="57" t="s">
        <v>2613</v>
      </c>
      <c r="I1246" s="57" t="s">
        <v>65</v>
      </c>
      <c r="J1246" s="57" t="s">
        <v>151</v>
      </c>
      <c r="K1246" s="57" t="s">
        <v>75</v>
      </c>
      <c r="L1246" s="57" t="s">
        <v>135</v>
      </c>
      <c r="M1246" s="60">
        <v>826</v>
      </c>
      <c r="N1246" s="57" t="s">
        <v>114</v>
      </c>
      <c r="O1246" s="61">
        <v>93.93</v>
      </c>
      <c r="P1246" s="61">
        <v>77586.179999999993</v>
      </c>
      <c r="Q1246" s="61">
        <v>5099.12</v>
      </c>
      <c r="R1246" s="62">
        <f t="shared" si="136"/>
        <v>6.5722013894742595E-2</v>
      </c>
      <c r="S1246" s="60">
        <v>1</v>
      </c>
      <c r="T1246" s="58">
        <v>45626</v>
      </c>
      <c r="U1246" s="58">
        <v>45638</v>
      </c>
      <c r="V1246" s="63">
        <f t="shared" si="137"/>
        <v>12</v>
      </c>
      <c r="W1246" s="57" t="s">
        <v>128</v>
      </c>
      <c r="X1246" s="64" t="b">
        <f t="shared" si="138"/>
        <v>0</v>
      </c>
      <c r="Y1246" s="60">
        <v>91</v>
      </c>
      <c r="Z1246" s="60">
        <v>337</v>
      </c>
      <c r="AA1246" s="57" t="s">
        <v>116</v>
      </c>
      <c r="AB1246" s="64" t="b">
        <f t="shared" si="139"/>
        <v>0</v>
      </c>
    </row>
    <row r="1247" spans="1:28" ht="15" customHeight="1" x14ac:dyDescent="0.3">
      <c r="A1247" s="65" t="s">
        <v>2614</v>
      </c>
      <c r="B1247" s="81">
        <v>45111</v>
      </c>
      <c r="C1247" s="59">
        <f t="shared" si="133"/>
        <v>2023</v>
      </c>
      <c r="D1247" s="59">
        <f t="shared" si="134"/>
        <v>7</v>
      </c>
      <c r="E1247" s="59">
        <f t="shared" si="135"/>
        <v>27</v>
      </c>
      <c r="F1247" s="65" t="s">
        <v>60</v>
      </c>
      <c r="G1247" s="65" t="s">
        <v>44</v>
      </c>
      <c r="H1247" s="65" t="s">
        <v>2615</v>
      </c>
      <c r="I1247" s="65" t="s">
        <v>64</v>
      </c>
      <c r="J1247" s="65" t="s">
        <v>139</v>
      </c>
      <c r="K1247" s="65" t="s">
        <v>73</v>
      </c>
      <c r="L1247" s="65" t="s">
        <v>124</v>
      </c>
      <c r="M1247" s="67">
        <v>665</v>
      </c>
      <c r="N1247" s="65" t="s">
        <v>114</v>
      </c>
      <c r="O1247" s="68">
        <v>147.03</v>
      </c>
      <c r="P1247" s="68">
        <v>97774.95</v>
      </c>
      <c r="Q1247" s="68">
        <v>5108.03</v>
      </c>
      <c r="R1247" s="62">
        <f t="shared" si="136"/>
        <v>5.224272679249644E-2</v>
      </c>
      <c r="S1247" s="67">
        <v>26</v>
      </c>
      <c r="T1247" s="66">
        <v>45137</v>
      </c>
      <c r="U1247" s="66">
        <v>45142</v>
      </c>
      <c r="V1247" s="63">
        <f t="shared" si="137"/>
        <v>5</v>
      </c>
      <c r="W1247" s="65" t="s">
        <v>125</v>
      </c>
      <c r="X1247" s="64" t="b">
        <f t="shared" si="138"/>
        <v>0</v>
      </c>
      <c r="Y1247" s="67">
        <v>293</v>
      </c>
      <c r="Z1247" s="67">
        <v>470</v>
      </c>
      <c r="AA1247" s="65" t="s">
        <v>83</v>
      </c>
      <c r="AB1247" s="64" t="b">
        <f t="shared" si="139"/>
        <v>1</v>
      </c>
    </row>
    <row r="1248" spans="1:28" ht="15" customHeight="1" x14ac:dyDescent="0.3">
      <c r="A1248" s="57" t="s">
        <v>2616</v>
      </c>
      <c r="B1248" s="82">
        <v>45101</v>
      </c>
      <c r="C1248" s="59">
        <f t="shared" si="133"/>
        <v>2023</v>
      </c>
      <c r="D1248" s="59">
        <f t="shared" si="134"/>
        <v>6</v>
      </c>
      <c r="E1248" s="59">
        <f t="shared" si="135"/>
        <v>25</v>
      </c>
      <c r="F1248" s="57" t="s">
        <v>55</v>
      </c>
      <c r="G1248" s="57" t="s">
        <v>42</v>
      </c>
      <c r="H1248" s="57" t="s">
        <v>2617</v>
      </c>
      <c r="I1248" s="57" t="s">
        <v>65</v>
      </c>
      <c r="J1248" s="57" t="s">
        <v>131</v>
      </c>
      <c r="K1248" s="57" t="s">
        <v>73</v>
      </c>
      <c r="L1248" s="57" t="s">
        <v>156</v>
      </c>
      <c r="M1248" s="60">
        <v>907</v>
      </c>
      <c r="N1248" s="57" t="s">
        <v>140</v>
      </c>
      <c r="O1248" s="61">
        <v>114.05</v>
      </c>
      <c r="P1248" s="61">
        <v>103443.35</v>
      </c>
      <c r="Q1248" s="61">
        <v>7287.28</v>
      </c>
      <c r="R1248" s="62">
        <f t="shared" si="136"/>
        <v>7.0447061120893703E-2</v>
      </c>
      <c r="S1248" s="60">
        <v>14</v>
      </c>
      <c r="T1248" s="58">
        <v>45115</v>
      </c>
      <c r="U1248" s="58">
        <v>45115</v>
      </c>
      <c r="V1248" s="63">
        <f t="shared" si="137"/>
        <v>0</v>
      </c>
      <c r="W1248" s="57" t="s">
        <v>115</v>
      </c>
      <c r="X1248" s="64" t="b">
        <f t="shared" si="138"/>
        <v>1</v>
      </c>
      <c r="Y1248" s="60">
        <v>375</v>
      </c>
      <c r="Z1248" s="60">
        <v>174</v>
      </c>
      <c r="AA1248" s="57" t="s">
        <v>116</v>
      </c>
      <c r="AB1248" s="64" t="b">
        <f t="shared" si="139"/>
        <v>0</v>
      </c>
    </row>
    <row r="1249" spans="1:28" ht="15" customHeight="1" x14ac:dyDescent="0.3">
      <c r="A1249" s="65" t="s">
        <v>2618</v>
      </c>
      <c r="B1249" s="81">
        <v>45106</v>
      </c>
      <c r="C1249" s="59">
        <f t="shared" si="133"/>
        <v>2023</v>
      </c>
      <c r="D1249" s="59">
        <f t="shared" si="134"/>
        <v>6</v>
      </c>
      <c r="E1249" s="59">
        <f t="shared" si="135"/>
        <v>26</v>
      </c>
      <c r="F1249" s="65" t="s">
        <v>53</v>
      </c>
      <c r="G1249" s="65" t="s">
        <v>43</v>
      </c>
      <c r="H1249" s="65" t="s">
        <v>2619</v>
      </c>
      <c r="I1249" s="65" t="s">
        <v>64</v>
      </c>
      <c r="J1249" s="65" t="s">
        <v>139</v>
      </c>
      <c r="K1249" s="65" t="s">
        <v>73</v>
      </c>
      <c r="L1249" s="65" t="s">
        <v>146</v>
      </c>
      <c r="M1249" s="67">
        <v>325</v>
      </c>
      <c r="N1249" s="65" t="s">
        <v>140</v>
      </c>
      <c r="O1249" s="68">
        <v>167</v>
      </c>
      <c r="P1249" s="68">
        <v>54275</v>
      </c>
      <c r="Q1249" s="68">
        <v>1194.3499999999999</v>
      </c>
      <c r="R1249" s="62">
        <f t="shared" si="136"/>
        <v>2.2005527406725008E-2</v>
      </c>
      <c r="S1249" s="67">
        <v>6</v>
      </c>
      <c r="T1249" s="66">
        <v>45112</v>
      </c>
      <c r="U1249" s="66">
        <v>45112</v>
      </c>
      <c r="V1249" s="63">
        <f t="shared" si="137"/>
        <v>0</v>
      </c>
      <c r="W1249" s="65" t="s">
        <v>115</v>
      </c>
      <c r="X1249" s="64" t="b">
        <f t="shared" si="138"/>
        <v>1</v>
      </c>
      <c r="Y1249" s="67">
        <v>288</v>
      </c>
      <c r="Z1249" s="67">
        <v>28</v>
      </c>
      <c r="AA1249" s="65" t="s">
        <v>116</v>
      </c>
      <c r="AB1249" s="64" t="b">
        <f t="shared" si="139"/>
        <v>0</v>
      </c>
    </row>
    <row r="1250" spans="1:28" ht="15" customHeight="1" x14ac:dyDescent="0.3">
      <c r="A1250" s="57" t="s">
        <v>2620</v>
      </c>
      <c r="B1250" s="82">
        <v>45007</v>
      </c>
      <c r="C1250" s="59">
        <f t="shared" si="133"/>
        <v>2023</v>
      </c>
      <c r="D1250" s="59">
        <f t="shared" si="134"/>
        <v>3</v>
      </c>
      <c r="E1250" s="59">
        <f t="shared" si="135"/>
        <v>12</v>
      </c>
      <c r="F1250" s="57" t="s">
        <v>55</v>
      </c>
      <c r="G1250" s="57" t="s">
        <v>40</v>
      </c>
      <c r="H1250" s="57" t="s">
        <v>2621</v>
      </c>
      <c r="I1250" s="57" t="s">
        <v>68</v>
      </c>
      <c r="J1250" s="57" t="s">
        <v>123</v>
      </c>
      <c r="K1250" s="57" t="s">
        <v>73</v>
      </c>
      <c r="L1250" s="57" t="s">
        <v>124</v>
      </c>
      <c r="M1250" s="60">
        <v>703</v>
      </c>
      <c r="N1250" s="57" t="s">
        <v>132</v>
      </c>
      <c r="O1250" s="61">
        <v>1179.73</v>
      </c>
      <c r="P1250" s="61">
        <v>829350.19</v>
      </c>
      <c r="Q1250" s="61">
        <v>34836.959999999999</v>
      </c>
      <c r="R1250" s="62">
        <f t="shared" si="136"/>
        <v>4.2005126929554333E-2</v>
      </c>
      <c r="S1250" s="60">
        <v>5</v>
      </c>
      <c r="T1250" s="58">
        <v>45012</v>
      </c>
      <c r="U1250" s="58">
        <v>45012</v>
      </c>
      <c r="V1250" s="63">
        <f t="shared" si="137"/>
        <v>0</v>
      </c>
      <c r="W1250" s="57" t="s">
        <v>115</v>
      </c>
      <c r="X1250" s="64" t="b">
        <f t="shared" si="138"/>
        <v>1</v>
      </c>
      <c r="Y1250" s="60">
        <v>74</v>
      </c>
      <c r="Z1250" s="60">
        <v>178</v>
      </c>
      <c r="AA1250" s="57" t="s">
        <v>84</v>
      </c>
      <c r="AB1250" s="64" t="b">
        <f t="shared" si="139"/>
        <v>1</v>
      </c>
    </row>
    <row r="1251" spans="1:28" ht="15" customHeight="1" x14ac:dyDescent="0.3">
      <c r="A1251" s="65" t="s">
        <v>2622</v>
      </c>
      <c r="B1251" s="81">
        <v>45551</v>
      </c>
      <c r="C1251" s="59">
        <f t="shared" si="133"/>
        <v>2024</v>
      </c>
      <c r="D1251" s="59">
        <f t="shared" si="134"/>
        <v>9</v>
      </c>
      <c r="E1251" s="59">
        <f t="shared" si="135"/>
        <v>38</v>
      </c>
      <c r="F1251" s="65" t="s">
        <v>57</v>
      </c>
      <c r="G1251" s="65" t="s">
        <v>40</v>
      </c>
      <c r="H1251" s="65" t="s">
        <v>2623</v>
      </c>
      <c r="I1251" s="65" t="s">
        <v>65</v>
      </c>
      <c r="J1251" s="65" t="s">
        <v>139</v>
      </c>
      <c r="K1251" s="65" t="s">
        <v>71</v>
      </c>
      <c r="L1251" s="65" t="s">
        <v>113</v>
      </c>
      <c r="M1251" s="67">
        <v>39</v>
      </c>
      <c r="N1251" s="65" t="s">
        <v>136</v>
      </c>
      <c r="O1251" s="68">
        <v>849.85</v>
      </c>
      <c r="P1251" s="68">
        <v>33144.15</v>
      </c>
      <c r="Q1251" s="68">
        <v>1134.33</v>
      </c>
      <c r="R1251" s="62">
        <f t="shared" si="136"/>
        <v>3.4224139101470388E-2</v>
      </c>
      <c r="S1251" s="67">
        <v>11</v>
      </c>
      <c r="T1251" s="66">
        <v>45562</v>
      </c>
      <c r="U1251" s="66">
        <v>45561</v>
      </c>
      <c r="V1251" s="63">
        <f t="shared" si="137"/>
        <v>-1</v>
      </c>
      <c r="W1251" s="65" t="s">
        <v>115</v>
      </c>
      <c r="X1251" s="64" t="b">
        <f t="shared" si="138"/>
        <v>1</v>
      </c>
      <c r="Y1251" s="67">
        <v>44</v>
      </c>
      <c r="Z1251" s="67">
        <v>40</v>
      </c>
      <c r="AA1251" s="65" t="s">
        <v>116</v>
      </c>
      <c r="AB1251" s="64" t="b">
        <f t="shared" si="139"/>
        <v>0</v>
      </c>
    </row>
    <row r="1252" spans="1:28" ht="15" customHeight="1" x14ac:dyDescent="0.3">
      <c r="A1252" s="57" t="s">
        <v>2624</v>
      </c>
      <c r="B1252" s="82">
        <v>45318</v>
      </c>
      <c r="C1252" s="59">
        <f t="shared" si="133"/>
        <v>2024</v>
      </c>
      <c r="D1252" s="59">
        <f t="shared" si="134"/>
        <v>1</v>
      </c>
      <c r="E1252" s="59">
        <f t="shared" si="135"/>
        <v>4</v>
      </c>
      <c r="F1252" s="57" t="s">
        <v>54</v>
      </c>
      <c r="G1252" s="57" t="s">
        <v>43</v>
      </c>
      <c r="H1252" s="57" t="s">
        <v>2625</v>
      </c>
      <c r="I1252" s="57" t="s">
        <v>68</v>
      </c>
      <c r="J1252" s="57" t="s">
        <v>139</v>
      </c>
      <c r="K1252" s="57" t="s">
        <v>71</v>
      </c>
      <c r="L1252" s="57" t="s">
        <v>113</v>
      </c>
      <c r="M1252" s="60">
        <v>605</v>
      </c>
      <c r="N1252" s="57" t="s">
        <v>120</v>
      </c>
      <c r="O1252" s="61">
        <v>291.31</v>
      </c>
      <c r="P1252" s="61">
        <v>176242.55</v>
      </c>
      <c r="Q1252" s="61">
        <v>8254.56</v>
      </c>
      <c r="R1252" s="62">
        <f t="shared" si="136"/>
        <v>4.6836362728523845E-2</v>
      </c>
      <c r="S1252" s="60">
        <v>4</v>
      </c>
      <c r="T1252" s="58">
        <v>45322</v>
      </c>
      <c r="U1252" s="58">
        <v>45322</v>
      </c>
      <c r="V1252" s="63">
        <f t="shared" si="137"/>
        <v>0</v>
      </c>
      <c r="W1252" s="57" t="s">
        <v>115</v>
      </c>
      <c r="X1252" s="64" t="b">
        <f t="shared" si="138"/>
        <v>1</v>
      </c>
      <c r="Y1252" s="60">
        <v>427</v>
      </c>
      <c r="Z1252" s="60">
        <v>469</v>
      </c>
      <c r="AA1252" s="57" t="s">
        <v>116</v>
      </c>
      <c r="AB1252" s="64" t="b">
        <f t="shared" si="139"/>
        <v>0</v>
      </c>
    </row>
    <row r="1253" spans="1:28" ht="15" customHeight="1" x14ac:dyDescent="0.3">
      <c r="A1253" s="65" t="s">
        <v>2626</v>
      </c>
      <c r="B1253" s="81">
        <v>45561</v>
      </c>
      <c r="C1253" s="59">
        <f t="shared" si="133"/>
        <v>2024</v>
      </c>
      <c r="D1253" s="59">
        <f t="shared" si="134"/>
        <v>9</v>
      </c>
      <c r="E1253" s="59">
        <f t="shared" si="135"/>
        <v>39</v>
      </c>
      <c r="F1253" s="65" t="s">
        <v>56</v>
      </c>
      <c r="G1253" s="65" t="s">
        <v>39</v>
      </c>
      <c r="H1253" s="65" t="s">
        <v>2627</v>
      </c>
      <c r="I1253" s="65" t="s">
        <v>68</v>
      </c>
      <c r="J1253" s="65" t="s">
        <v>151</v>
      </c>
      <c r="K1253" s="65" t="s">
        <v>71</v>
      </c>
      <c r="L1253" s="65" t="s">
        <v>156</v>
      </c>
      <c r="M1253" s="67">
        <v>687</v>
      </c>
      <c r="N1253" s="65" t="s">
        <v>163</v>
      </c>
      <c r="O1253" s="68">
        <v>1862.18</v>
      </c>
      <c r="P1253" s="68">
        <v>1279317.6599999999</v>
      </c>
      <c r="Q1253" s="68">
        <v>31141.9</v>
      </c>
      <c r="R1253" s="62">
        <f t="shared" si="136"/>
        <v>2.4342585875035919E-2</v>
      </c>
      <c r="S1253" s="67">
        <v>13</v>
      </c>
      <c r="T1253" s="66">
        <v>45574</v>
      </c>
      <c r="U1253" s="66">
        <v>45575</v>
      </c>
      <c r="V1253" s="63">
        <f t="shared" si="137"/>
        <v>1</v>
      </c>
      <c r="W1253" s="65" t="s">
        <v>128</v>
      </c>
      <c r="X1253" s="64" t="b">
        <f t="shared" si="138"/>
        <v>0</v>
      </c>
      <c r="Y1253" s="67">
        <v>384</v>
      </c>
      <c r="Z1253" s="67">
        <v>191</v>
      </c>
      <c r="AA1253" s="65" t="s">
        <v>116</v>
      </c>
      <c r="AB1253" s="64" t="b">
        <f t="shared" si="139"/>
        <v>0</v>
      </c>
    </row>
    <row r="1254" spans="1:28" ht="15" customHeight="1" x14ac:dyDescent="0.3">
      <c r="A1254" s="57" t="s">
        <v>2628</v>
      </c>
      <c r="B1254" s="82">
        <v>45626</v>
      </c>
      <c r="C1254" s="59">
        <f t="shared" si="133"/>
        <v>2024</v>
      </c>
      <c r="D1254" s="59">
        <f t="shared" si="134"/>
        <v>11</v>
      </c>
      <c r="E1254" s="59">
        <f t="shared" si="135"/>
        <v>48</v>
      </c>
      <c r="F1254" s="57" t="s">
        <v>57</v>
      </c>
      <c r="G1254" s="57" t="s">
        <v>40</v>
      </c>
      <c r="H1254" s="57" t="s">
        <v>2629</v>
      </c>
      <c r="I1254" s="57" t="s">
        <v>65</v>
      </c>
      <c r="J1254" s="57" t="s">
        <v>123</v>
      </c>
      <c r="K1254" s="57" t="s">
        <v>71</v>
      </c>
      <c r="L1254" s="57" t="s">
        <v>135</v>
      </c>
      <c r="M1254" s="60">
        <v>805</v>
      </c>
      <c r="N1254" s="57" t="s">
        <v>114</v>
      </c>
      <c r="O1254" s="61">
        <v>753.02</v>
      </c>
      <c r="P1254" s="61">
        <v>606181.1</v>
      </c>
      <c r="Q1254" s="61">
        <v>46826.22</v>
      </c>
      <c r="R1254" s="62">
        <f t="shared" si="136"/>
        <v>7.7247904957775823E-2</v>
      </c>
      <c r="S1254" s="60">
        <v>11</v>
      </c>
      <c r="T1254" s="58">
        <v>45637</v>
      </c>
      <c r="U1254" s="58">
        <v>45632</v>
      </c>
      <c r="V1254" s="63">
        <f t="shared" si="137"/>
        <v>-5</v>
      </c>
      <c r="W1254" s="57" t="s">
        <v>115</v>
      </c>
      <c r="X1254" s="64" t="b">
        <f t="shared" si="138"/>
        <v>1</v>
      </c>
      <c r="Y1254" s="60">
        <v>52</v>
      </c>
      <c r="Z1254" s="60">
        <v>343</v>
      </c>
      <c r="AA1254" s="57" t="s">
        <v>82</v>
      </c>
      <c r="AB1254" s="64" t="b">
        <f t="shared" si="139"/>
        <v>1</v>
      </c>
    </row>
    <row r="1255" spans="1:28" ht="15" customHeight="1" x14ac:dyDescent="0.3">
      <c r="A1255" s="65" t="s">
        <v>2630</v>
      </c>
      <c r="B1255" s="81">
        <v>45173</v>
      </c>
      <c r="C1255" s="59">
        <f t="shared" si="133"/>
        <v>2023</v>
      </c>
      <c r="D1255" s="59">
        <f t="shared" si="134"/>
        <v>9</v>
      </c>
      <c r="E1255" s="59">
        <f t="shared" si="135"/>
        <v>36</v>
      </c>
      <c r="F1255" s="65" t="s">
        <v>57</v>
      </c>
      <c r="G1255" s="65" t="s">
        <v>44</v>
      </c>
      <c r="H1255" s="65" t="s">
        <v>2631</v>
      </c>
      <c r="I1255" s="65" t="s">
        <v>64</v>
      </c>
      <c r="J1255" s="65" t="s">
        <v>112</v>
      </c>
      <c r="K1255" s="65" t="s">
        <v>72</v>
      </c>
      <c r="L1255" s="65" t="s">
        <v>124</v>
      </c>
      <c r="M1255" s="67">
        <v>802</v>
      </c>
      <c r="N1255" s="65" t="s">
        <v>114</v>
      </c>
      <c r="O1255" s="68">
        <v>102.08</v>
      </c>
      <c r="P1255" s="68">
        <v>81868.160000000003</v>
      </c>
      <c r="Q1255" s="68">
        <v>2734.01</v>
      </c>
      <c r="R1255" s="62">
        <f t="shared" si="136"/>
        <v>3.3395278457461361E-2</v>
      </c>
      <c r="S1255" s="67">
        <v>3</v>
      </c>
      <c r="T1255" s="66">
        <v>45176</v>
      </c>
      <c r="U1255" s="66">
        <v>45177</v>
      </c>
      <c r="V1255" s="63">
        <f t="shared" si="137"/>
        <v>1</v>
      </c>
      <c r="W1255" s="65" t="s">
        <v>125</v>
      </c>
      <c r="X1255" s="64" t="b">
        <f t="shared" si="138"/>
        <v>0</v>
      </c>
      <c r="Y1255" s="67">
        <v>174</v>
      </c>
      <c r="Z1255" s="67">
        <v>236</v>
      </c>
      <c r="AA1255" s="65" t="s">
        <v>81</v>
      </c>
      <c r="AB1255" s="64" t="b">
        <f t="shared" si="139"/>
        <v>1</v>
      </c>
    </row>
    <row r="1256" spans="1:28" ht="15" customHeight="1" x14ac:dyDescent="0.3">
      <c r="A1256" s="57" t="s">
        <v>2632</v>
      </c>
      <c r="B1256" s="82">
        <v>45436</v>
      </c>
      <c r="C1256" s="59">
        <f t="shared" si="133"/>
        <v>2024</v>
      </c>
      <c r="D1256" s="59">
        <f t="shared" si="134"/>
        <v>5</v>
      </c>
      <c r="E1256" s="59">
        <f t="shared" si="135"/>
        <v>21</v>
      </c>
      <c r="F1256" s="57" t="s">
        <v>56</v>
      </c>
      <c r="G1256" s="57" t="s">
        <v>46</v>
      </c>
      <c r="H1256" s="57" t="s">
        <v>2633</v>
      </c>
      <c r="I1256" s="57" t="s">
        <v>67</v>
      </c>
      <c r="J1256" s="57" t="s">
        <v>112</v>
      </c>
      <c r="K1256" s="57" t="s">
        <v>71</v>
      </c>
      <c r="L1256" s="57" t="s">
        <v>119</v>
      </c>
      <c r="M1256" s="60">
        <v>105</v>
      </c>
      <c r="N1256" s="57" t="s">
        <v>132</v>
      </c>
      <c r="O1256" s="61">
        <v>56.58</v>
      </c>
      <c r="P1256" s="61">
        <v>5940.9</v>
      </c>
      <c r="Q1256" s="61">
        <v>447.58</v>
      </c>
      <c r="R1256" s="62">
        <f t="shared" si="136"/>
        <v>7.5338753387533874E-2</v>
      </c>
      <c r="S1256" s="60">
        <v>1</v>
      </c>
      <c r="T1256" s="58">
        <v>45437</v>
      </c>
      <c r="U1256" s="58">
        <v>45437</v>
      </c>
      <c r="V1256" s="63">
        <f t="shared" si="137"/>
        <v>0</v>
      </c>
      <c r="W1256" s="57" t="s">
        <v>115</v>
      </c>
      <c r="X1256" s="64" t="b">
        <f t="shared" si="138"/>
        <v>1</v>
      </c>
      <c r="Y1256" s="60">
        <v>160</v>
      </c>
      <c r="Z1256" s="60">
        <v>303</v>
      </c>
      <c r="AA1256" s="57" t="s">
        <v>116</v>
      </c>
      <c r="AB1256" s="64" t="b">
        <f t="shared" si="139"/>
        <v>0</v>
      </c>
    </row>
    <row r="1257" spans="1:28" ht="15" customHeight="1" x14ac:dyDescent="0.3">
      <c r="A1257" s="65" t="s">
        <v>2634</v>
      </c>
      <c r="B1257" s="81">
        <v>45524</v>
      </c>
      <c r="C1257" s="59">
        <f t="shared" si="133"/>
        <v>2024</v>
      </c>
      <c r="D1257" s="59">
        <f t="shared" si="134"/>
        <v>8</v>
      </c>
      <c r="E1257" s="59">
        <f t="shared" si="135"/>
        <v>34</v>
      </c>
      <c r="F1257" s="65" t="s">
        <v>54</v>
      </c>
      <c r="G1257" s="65" t="s">
        <v>43</v>
      </c>
      <c r="H1257" s="65" t="s">
        <v>2635</v>
      </c>
      <c r="I1257" s="65" t="s">
        <v>64</v>
      </c>
      <c r="J1257" s="65" t="s">
        <v>123</v>
      </c>
      <c r="K1257" s="65" t="s">
        <v>72</v>
      </c>
      <c r="L1257" s="65" t="s">
        <v>135</v>
      </c>
      <c r="M1257" s="67">
        <v>390</v>
      </c>
      <c r="N1257" s="65" t="s">
        <v>132</v>
      </c>
      <c r="O1257" s="68">
        <v>154.88</v>
      </c>
      <c r="P1257" s="68">
        <v>60403.199999999997</v>
      </c>
      <c r="Q1257" s="68">
        <v>2751.58</v>
      </c>
      <c r="R1257" s="62">
        <f t="shared" si="136"/>
        <v>4.5553546831955921E-2</v>
      </c>
      <c r="S1257" s="67">
        <v>6</v>
      </c>
      <c r="T1257" s="66">
        <v>45530</v>
      </c>
      <c r="U1257" s="66">
        <v>45527</v>
      </c>
      <c r="V1257" s="63">
        <f t="shared" si="137"/>
        <v>-3</v>
      </c>
      <c r="W1257" s="65" t="s">
        <v>115</v>
      </c>
      <c r="X1257" s="64" t="b">
        <f t="shared" si="138"/>
        <v>1</v>
      </c>
      <c r="Y1257" s="67">
        <v>66</v>
      </c>
      <c r="Z1257" s="67">
        <v>460</v>
      </c>
      <c r="AA1257" s="65" t="s">
        <v>116</v>
      </c>
      <c r="AB1257" s="64" t="b">
        <f t="shared" si="139"/>
        <v>0</v>
      </c>
    </row>
    <row r="1258" spans="1:28" ht="15" customHeight="1" x14ac:dyDescent="0.3">
      <c r="A1258" s="57" t="s">
        <v>2636</v>
      </c>
      <c r="B1258" s="82">
        <v>45073</v>
      </c>
      <c r="C1258" s="59">
        <f t="shared" si="133"/>
        <v>2023</v>
      </c>
      <c r="D1258" s="59">
        <f t="shared" si="134"/>
        <v>5</v>
      </c>
      <c r="E1258" s="59">
        <f t="shared" si="135"/>
        <v>21</v>
      </c>
      <c r="F1258" s="57" t="s">
        <v>60</v>
      </c>
      <c r="G1258" s="57" t="s">
        <v>41</v>
      </c>
      <c r="H1258" s="57" t="s">
        <v>2637</v>
      </c>
      <c r="I1258" s="57" t="s">
        <v>69</v>
      </c>
      <c r="J1258" s="57" t="s">
        <v>112</v>
      </c>
      <c r="K1258" s="57" t="s">
        <v>74</v>
      </c>
      <c r="L1258" s="57" t="s">
        <v>113</v>
      </c>
      <c r="M1258" s="60">
        <v>787</v>
      </c>
      <c r="N1258" s="57" t="s">
        <v>163</v>
      </c>
      <c r="O1258" s="61">
        <v>407.55</v>
      </c>
      <c r="P1258" s="61">
        <v>320741.84999999998</v>
      </c>
      <c r="Q1258" s="61">
        <v>25380.77</v>
      </c>
      <c r="R1258" s="62">
        <f t="shared" si="136"/>
        <v>7.9131457276311157E-2</v>
      </c>
      <c r="S1258" s="60">
        <v>18</v>
      </c>
      <c r="T1258" s="58">
        <v>45091</v>
      </c>
      <c r="U1258" s="58">
        <v>45091</v>
      </c>
      <c r="V1258" s="63">
        <f t="shared" si="137"/>
        <v>0</v>
      </c>
      <c r="W1258" s="57" t="s">
        <v>115</v>
      </c>
      <c r="X1258" s="64" t="b">
        <f t="shared" si="138"/>
        <v>1</v>
      </c>
      <c r="Y1258" s="60">
        <v>473</v>
      </c>
      <c r="Z1258" s="60">
        <v>224</v>
      </c>
      <c r="AA1258" s="57" t="s">
        <v>116</v>
      </c>
      <c r="AB1258" s="64" t="b">
        <f t="shared" si="139"/>
        <v>0</v>
      </c>
    </row>
    <row r="1259" spans="1:28" ht="15" customHeight="1" x14ac:dyDescent="0.3">
      <c r="A1259" s="65" t="s">
        <v>2638</v>
      </c>
      <c r="B1259" s="81">
        <v>45164</v>
      </c>
      <c r="C1259" s="59">
        <f t="shared" si="133"/>
        <v>2023</v>
      </c>
      <c r="D1259" s="59">
        <f t="shared" si="134"/>
        <v>8</v>
      </c>
      <c r="E1259" s="59">
        <f t="shared" si="135"/>
        <v>34</v>
      </c>
      <c r="F1259" s="65" t="s">
        <v>54</v>
      </c>
      <c r="G1259" s="65" t="s">
        <v>44</v>
      </c>
      <c r="H1259" s="65" t="s">
        <v>2639</v>
      </c>
      <c r="I1259" s="65" t="s">
        <v>65</v>
      </c>
      <c r="J1259" s="65" t="s">
        <v>131</v>
      </c>
      <c r="K1259" s="65" t="s">
        <v>71</v>
      </c>
      <c r="L1259" s="65" t="s">
        <v>124</v>
      </c>
      <c r="M1259" s="67">
        <v>453</v>
      </c>
      <c r="N1259" s="65" t="s">
        <v>163</v>
      </c>
      <c r="O1259" s="68">
        <v>94.05</v>
      </c>
      <c r="P1259" s="68">
        <v>42604.65</v>
      </c>
      <c r="Q1259" s="68">
        <v>2268.42</v>
      </c>
      <c r="R1259" s="62">
        <f t="shared" si="136"/>
        <v>5.3243483985902944E-2</v>
      </c>
      <c r="S1259" s="67">
        <v>24</v>
      </c>
      <c r="T1259" s="66">
        <v>45188</v>
      </c>
      <c r="U1259" s="66">
        <v>45183</v>
      </c>
      <c r="V1259" s="63">
        <f t="shared" si="137"/>
        <v>-5</v>
      </c>
      <c r="W1259" s="65" t="s">
        <v>128</v>
      </c>
      <c r="X1259" s="64" t="b">
        <f t="shared" si="138"/>
        <v>0</v>
      </c>
      <c r="Y1259" s="67">
        <v>398</v>
      </c>
      <c r="Z1259" s="67">
        <v>113</v>
      </c>
      <c r="AA1259" s="65" t="s">
        <v>116</v>
      </c>
      <c r="AB1259" s="64" t="b">
        <f t="shared" si="139"/>
        <v>0</v>
      </c>
    </row>
    <row r="1260" spans="1:28" ht="15" customHeight="1" x14ac:dyDescent="0.3">
      <c r="A1260" s="57" t="s">
        <v>2640</v>
      </c>
      <c r="B1260" s="82">
        <v>45399</v>
      </c>
      <c r="C1260" s="59">
        <f t="shared" si="133"/>
        <v>2024</v>
      </c>
      <c r="D1260" s="59">
        <f t="shared" si="134"/>
        <v>4</v>
      </c>
      <c r="E1260" s="59">
        <f t="shared" si="135"/>
        <v>16</v>
      </c>
      <c r="F1260" s="57" t="s">
        <v>53</v>
      </c>
      <c r="G1260" s="57" t="s">
        <v>46</v>
      </c>
      <c r="H1260" s="57" t="s">
        <v>2641</v>
      </c>
      <c r="I1260" s="57" t="s">
        <v>66</v>
      </c>
      <c r="J1260" s="57" t="s">
        <v>112</v>
      </c>
      <c r="K1260" s="57" t="s">
        <v>74</v>
      </c>
      <c r="L1260" s="57" t="s">
        <v>113</v>
      </c>
      <c r="M1260" s="60">
        <v>307</v>
      </c>
      <c r="N1260" s="57" t="s">
        <v>140</v>
      </c>
      <c r="O1260" s="61">
        <v>62.3</v>
      </c>
      <c r="P1260" s="61">
        <v>19126.099999999999</v>
      </c>
      <c r="Q1260" s="61">
        <v>1450.71</v>
      </c>
      <c r="R1260" s="62">
        <f t="shared" si="136"/>
        <v>7.5849755046768566E-2</v>
      </c>
      <c r="S1260" s="60">
        <v>10</v>
      </c>
      <c r="T1260" s="58">
        <v>45409</v>
      </c>
      <c r="U1260" s="58">
        <v>45417</v>
      </c>
      <c r="V1260" s="63">
        <f t="shared" si="137"/>
        <v>8</v>
      </c>
      <c r="W1260" s="57" t="s">
        <v>128</v>
      </c>
      <c r="X1260" s="64" t="b">
        <f t="shared" si="138"/>
        <v>0</v>
      </c>
      <c r="Y1260" s="60">
        <v>360</v>
      </c>
      <c r="Z1260" s="60">
        <v>277</v>
      </c>
      <c r="AA1260" s="57" t="s">
        <v>116</v>
      </c>
      <c r="AB1260" s="64" t="b">
        <f t="shared" si="139"/>
        <v>0</v>
      </c>
    </row>
    <row r="1261" spans="1:28" ht="15" customHeight="1" x14ac:dyDescent="0.3">
      <c r="A1261" s="65" t="s">
        <v>2642</v>
      </c>
      <c r="B1261" s="81">
        <v>45580</v>
      </c>
      <c r="C1261" s="59">
        <f t="shared" si="133"/>
        <v>2024</v>
      </c>
      <c r="D1261" s="59">
        <f t="shared" si="134"/>
        <v>10</v>
      </c>
      <c r="E1261" s="59">
        <f t="shared" si="135"/>
        <v>42</v>
      </c>
      <c r="F1261" s="65" t="s">
        <v>55</v>
      </c>
      <c r="G1261" s="65" t="s">
        <v>46</v>
      </c>
      <c r="H1261" s="65" t="s">
        <v>2643</v>
      </c>
      <c r="I1261" s="65" t="s">
        <v>65</v>
      </c>
      <c r="J1261" s="65" t="s">
        <v>131</v>
      </c>
      <c r="K1261" s="65" t="s">
        <v>71</v>
      </c>
      <c r="L1261" s="65" t="s">
        <v>146</v>
      </c>
      <c r="M1261" s="67">
        <v>817</v>
      </c>
      <c r="N1261" s="65" t="s">
        <v>163</v>
      </c>
      <c r="O1261" s="68">
        <v>80.19</v>
      </c>
      <c r="P1261" s="68">
        <v>65515.23</v>
      </c>
      <c r="Q1261" s="68">
        <v>1331.33</v>
      </c>
      <c r="R1261" s="62">
        <f t="shared" si="136"/>
        <v>2.0320923852362265E-2</v>
      </c>
      <c r="S1261" s="67">
        <v>5</v>
      </c>
      <c r="T1261" s="66">
        <v>45585</v>
      </c>
      <c r="U1261" s="66">
        <v>45597</v>
      </c>
      <c r="V1261" s="63">
        <f t="shared" si="137"/>
        <v>12</v>
      </c>
      <c r="W1261" s="65" t="s">
        <v>128</v>
      </c>
      <c r="X1261" s="64" t="b">
        <f t="shared" si="138"/>
        <v>0</v>
      </c>
      <c r="Y1261" s="67">
        <v>269</v>
      </c>
      <c r="Z1261" s="67">
        <v>354</v>
      </c>
      <c r="AA1261" s="65" t="s">
        <v>116</v>
      </c>
      <c r="AB1261" s="64" t="b">
        <f t="shared" si="139"/>
        <v>0</v>
      </c>
    </row>
    <row r="1262" spans="1:28" ht="15" customHeight="1" x14ac:dyDescent="0.3">
      <c r="A1262" s="57" t="s">
        <v>2644</v>
      </c>
      <c r="B1262" s="82">
        <v>45187</v>
      </c>
      <c r="C1262" s="59">
        <f t="shared" si="133"/>
        <v>2023</v>
      </c>
      <c r="D1262" s="59">
        <f t="shared" si="134"/>
        <v>9</v>
      </c>
      <c r="E1262" s="59">
        <f t="shared" si="135"/>
        <v>38</v>
      </c>
      <c r="F1262" s="57" t="s">
        <v>60</v>
      </c>
      <c r="G1262" s="57" t="s">
        <v>43</v>
      </c>
      <c r="H1262" s="57" t="s">
        <v>2645</v>
      </c>
      <c r="I1262" s="57" t="s">
        <v>69</v>
      </c>
      <c r="J1262" s="57" t="s">
        <v>123</v>
      </c>
      <c r="K1262" s="57" t="s">
        <v>74</v>
      </c>
      <c r="L1262" s="57" t="s">
        <v>135</v>
      </c>
      <c r="M1262" s="60">
        <v>746</v>
      </c>
      <c r="N1262" s="57" t="s">
        <v>120</v>
      </c>
      <c r="O1262" s="61">
        <v>162.62</v>
      </c>
      <c r="P1262" s="61">
        <v>121314.52</v>
      </c>
      <c r="Q1262" s="61">
        <v>7872.62</v>
      </c>
      <c r="R1262" s="62">
        <f t="shared" si="136"/>
        <v>6.4894292950258545E-2</v>
      </c>
      <c r="S1262" s="60">
        <v>23</v>
      </c>
      <c r="T1262" s="58">
        <v>45210</v>
      </c>
      <c r="U1262" s="58">
        <v>45218</v>
      </c>
      <c r="V1262" s="63">
        <f t="shared" si="137"/>
        <v>8</v>
      </c>
      <c r="W1262" s="57" t="s">
        <v>128</v>
      </c>
      <c r="X1262" s="64" t="b">
        <f t="shared" si="138"/>
        <v>0</v>
      </c>
      <c r="Y1262" s="60">
        <v>406</v>
      </c>
      <c r="Z1262" s="60">
        <v>16</v>
      </c>
      <c r="AA1262" s="57" t="s">
        <v>82</v>
      </c>
      <c r="AB1262" s="64" t="b">
        <f t="shared" si="139"/>
        <v>1</v>
      </c>
    </row>
    <row r="1263" spans="1:28" ht="15" customHeight="1" x14ac:dyDescent="0.3">
      <c r="A1263" s="65" t="s">
        <v>2646</v>
      </c>
      <c r="B1263" s="81">
        <v>45397</v>
      </c>
      <c r="C1263" s="59">
        <f t="shared" si="133"/>
        <v>2024</v>
      </c>
      <c r="D1263" s="59">
        <f t="shared" si="134"/>
        <v>4</v>
      </c>
      <c r="E1263" s="59">
        <f t="shared" si="135"/>
        <v>16</v>
      </c>
      <c r="F1263" s="65" t="s">
        <v>59</v>
      </c>
      <c r="G1263" s="65" t="s">
        <v>46</v>
      </c>
      <c r="H1263" s="65" t="s">
        <v>2647</v>
      </c>
      <c r="I1263" s="65" t="s">
        <v>68</v>
      </c>
      <c r="J1263" s="65" t="s">
        <v>112</v>
      </c>
      <c r="K1263" s="65" t="s">
        <v>75</v>
      </c>
      <c r="L1263" s="65" t="s">
        <v>119</v>
      </c>
      <c r="M1263" s="67">
        <v>854</v>
      </c>
      <c r="N1263" s="65" t="s">
        <v>120</v>
      </c>
      <c r="O1263" s="68">
        <v>48.26</v>
      </c>
      <c r="P1263" s="68">
        <v>41214.04</v>
      </c>
      <c r="Q1263" s="68">
        <v>3057.38</v>
      </c>
      <c r="R1263" s="62">
        <f t="shared" si="136"/>
        <v>7.4182972598658123E-2</v>
      </c>
      <c r="S1263" s="67">
        <v>10</v>
      </c>
      <c r="T1263" s="66">
        <v>45407</v>
      </c>
      <c r="U1263" s="66">
        <v>45415</v>
      </c>
      <c r="V1263" s="63">
        <f t="shared" si="137"/>
        <v>8</v>
      </c>
      <c r="W1263" s="65" t="s">
        <v>128</v>
      </c>
      <c r="X1263" s="64" t="b">
        <f t="shared" si="138"/>
        <v>0</v>
      </c>
      <c r="Y1263" s="67">
        <v>123</v>
      </c>
      <c r="Z1263" s="67">
        <v>85</v>
      </c>
      <c r="AA1263" s="65" t="s">
        <v>81</v>
      </c>
      <c r="AB1263" s="64" t="b">
        <f t="shared" si="139"/>
        <v>1</v>
      </c>
    </row>
    <row r="1264" spans="1:28" ht="15" customHeight="1" x14ac:dyDescent="0.3">
      <c r="A1264" s="57" t="s">
        <v>2648</v>
      </c>
      <c r="B1264" s="82">
        <v>45188</v>
      </c>
      <c r="C1264" s="59">
        <f t="shared" si="133"/>
        <v>2023</v>
      </c>
      <c r="D1264" s="59">
        <f t="shared" si="134"/>
        <v>9</v>
      </c>
      <c r="E1264" s="59">
        <f t="shared" si="135"/>
        <v>38</v>
      </c>
      <c r="F1264" s="57" t="s">
        <v>55</v>
      </c>
      <c r="G1264" s="57" t="s">
        <v>43</v>
      </c>
      <c r="H1264" s="57" t="s">
        <v>2649</v>
      </c>
      <c r="I1264" s="57" t="s">
        <v>66</v>
      </c>
      <c r="J1264" s="57" t="s">
        <v>112</v>
      </c>
      <c r="K1264" s="57" t="s">
        <v>74</v>
      </c>
      <c r="L1264" s="57" t="s">
        <v>146</v>
      </c>
      <c r="M1264" s="60">
        <v>370</v>
      </c>
      <c r="N1264" s="57" t="s">
        <v>114</v>
      </c>
      <c r="O1264" s="61">
        <v>242.95</v>
      </c>
      <c r="P1264" s="61">
        <v>89891.5</v>
      </c>
      <c r="Q1264" s="61">
        <v>2551.41</v>
      </c>
      <c r="R1264" s="62">
        <f t="shared" si="136"/>
        <v>2.8383217545596633E-2</v>
      </c>
      <c r="S1264" s="60">
        <v>12</v>
      </c>
      <c r="T1264" s="58">
        <v>45200</v>
      </c>
      <c r="U1264" s="58">
        <v>45203</v>
      </c>
      <c r="V1264" s="63">
        <f t="shared" si="137"/>
        <v>3</v>
      </c>
      <c r="W1264" s="57" t="s">
        <v>125</v>
      </c>
      <c r="X1264" s="64" t="b">
        <f t="shared" si="138"/>
        <v>0</v>
      </c>
      <c r="Y1264" s="60">
        <v>181</v>
      </c>
      <c r="Z1264" s="60">
        <v>388</v>
      </c>
      <c r="AA1264" s="57" t="s">
        <v>116</v>
      </c>
      <c r="AB1264" s="64" t="b">
        <f t="shared" si="139"/>
        <v>0</v>
      </c>
    </row>
    <row r="1265" spans="1:28" ht="15" customHeight="1" x14ac:dyDescent="0.3">
      <c r="A1265" s="65" t="s">
        <v>2650</v>
      </c>
      <c r="B1265" s="81">
        <v>45609</v>
      </c>
      <c r="C1265" s="59">
        <f t="shared" si="133"/>
        <v>2024</v>
      </c>
      <c r="D1265" s="59">
        <f t="shared" si="134"/>
        <v>11</v>
      </c>
      <c r="E1265" s="59">
        <f t="shared" si="135"/>
        <v>46</v>
      </c>
      <c r="F1265" s="65" t="s">
        <v>60</v>
      </c>
      <c r="G1265" s="65" t="s">
        <v>40</v>
      </c>
      <c r="H1265" s="65" t="s">
        <v>2651</v>
      </c>
      <c r="I1265" s="65" t="s">
        <v>66</v>
      </c>
      <c r="J1265" s="65" t="s">
        <v>143</v>
      </c>
      <c r="K1265" s="65" t="s">
        <v>72</v>
      </c>
      <c r="L1265" s="65" t="s">
        <v>119</v>
      </c>
      <c r="M1265" s="67">
        <v>383</v>
      </c>
      <c r="N1265" s="65" t="s">
        <v>120</v>
      </c>
      <c r="O1265" s="68">
        <v>686.2</v>
      </c>
      <c r="P1265" s="68">
        <v>262814.59999999998</v>
      </c>
      <c r="Q1265" s="68">
        <v>6772.09</v>
      </c>
      <c r="R1265" s="62">
        <f t="shared" si="136"/>
        <v>2.576755629253474E-2</v>
      </c>
      <c r="S1265" s="67">
        <v>2</v>
      </c>
      <c r="T1265" s="66">
        <v>45611</v>
      </c>
      <c r="U1265" s="66">
        <v>45623</v>
      </c>
      <c r="V1265" s="63">
        <f t="shared" si="137"/>
        <v>12</v>
      </c>
      <c r="W1265" s="65" t="s">
        <v>128</v>
      </c>
      <c r="X1265" s="64" t="b">
        <f t="shared" si="138"/>
        <v>0</v>
      </c>
      <c r="Y1265" s="67">
        <v>375</v>
      </c>
      <c r="Z1265" s="67">
        <v>316</v>
      </c>
      <c r="AA1265" s="65" t="s">
        <v>116</v>
      </c>
      <c r="AB1265" s="64" t="b">
        <f t="shared" si="139"/>
        <v>0</v>
      </c>
    </row>
    <row r="1266" spans="1:28" ht="15" customHeight="1" x14ac:dyDescent="0.3">
      <c r="A1266" s="57" t="s">
        <v>2652</v>
      </c>
      <c r="B1266" s="82">
        <v>44936</v>
      </c>
      <c r="C1266" s="59">
        <f t="shared" si="133"/>
        <v>2023</v>
      </c>
      <c r="D1266" s="59">
        <f t="shared" si="134"/>
        <v>1</v>
      </c>
      <c r="E1266" s="59">
        <f t="shared" si="135"/>
        <v>2</v>
      </c>
      <c r="F1266" s="57" t="s">
        <v>54</v>
      </c>
      <c r="G1266" s="57" t="s">
        <v>42</v>
      </c>
      <c r="H1266" s="57" t="s">
        <v>2653</v>
      </c>
      <c r="I1266" s="57" t="s">
        <v>64</v>
      </c>
      <c r="J1266" s="57" t="s">
        <v>131</v>
      </c>
      <c r="K1266" s="57" t="s">
        <v>73</v>
      </c>
      <c r="L1266" s="57" t="s">
        <v>146</v>
      </c>
      <c r="M1266" s="60">
        <v>563</v>
      </c>
      <c r="N1266" s="57" t="s">
        <v>120</v>
      </c>
      <c r="O1266" s="61">
        <v>62.25</v>
      </c>
      <c r="P1266" s="61">
        <v>35046.75</v>
      </c>
      <c r="Q1266" s="61">
        <v>1593.73</v>
      </c>
      <c r="R1266" s="62">
        <f t="shared" si="136"/>
        <v>4.5474402048692103E-2</v>
      </c>
      <c r="S1266" s="60">
        <v>13</v>
      </c>
      <c r="T1266" s="58">
        <v>44949</v>
      </c>
      <c r="U1266" s="58">
        <v>44949</v>
      </c>
      <c r="V1266" s="63">
        <f t="shared" si="137"/>
        <v>0</v>
      </c>
      <c r="W1266" s="57" t="s">
        <v>115</v>
      </c>
      <c r="X1266" s="64" t="b">
        <f t="shared" si="138"/>
        <v>1</v>
      </c>
      <c r="Y1266" s="60">
        <v>391</v>
      </c>
      <c r="Z1266" s="60">
        <v>344</v>
      </c>
      <c r="AA1266" s="57" t="s">
        <v>116</v>
      </c>
      <c r="AB1266" s="64" t="b">
        <f t="shared" si="139"/>
        <v>0</v>
      </c>
    </row>
    <row r="1267" spans="1:28" ht="15" customHeight="1" x14ac:dyDescent="0.3">
      <c r="A1267" s="65" t="s">
        <v>2654</v>
      </c>
      <c r="B1267" s="81">
        <v>45403</v>
      </c>
      <c r="C1267" s="59">
        <f t="shared" si="133"/>
        <v>2024</v>
      </c>
      <c r="D1267" s="59">
        <f t="shared" si="134"/>
        <v>4</v>
      </c>
      <c r="E1267" s="59">
        <f t="shared" si="135"/>
        <v>17</v>
      </c>
      <c r="F1267" s="65" t="s">
        <v>56</v>
      </c>
      <c r="G1267" s="65" t="s">
        <v>44</v>
      </c>
      <c r="H1267" s="65" t="s">
        <v>2655</v>
      </c>
      <c r="I1267" s="65" t="s">
        <v>67</v>
      </c>
      <c r="J1267" s="65" t="s">
        <v>131</v>
      </c>
      <c r="K1267" s="65" t="s">
        <v>74</v>
      </c>
      <c r="L1267" s="65" t="s">
        <v>135</v>
      </c>
      <c r="M1267" s="67">
        <v>312</v>
      </c>
      <c r="N1267" s="65" t="s">
        <v>120</v>
      </c>
      <c r="O1267" s="68">
        <v>100.02</v>
      </c>
      <c r="P1267" s="68">
        <v>31206.240000000002</v>
      </c>
      <c r="Q1267" s="68">
        <v>2372.3200000000002</v>
      </c>
      <c r="R1267" s="62">
        <f t="shared" si="136"/>
        <v>7.6020693297237985E-2</v>
      </c>
      <c r="S1267" s="67">
        <v>8</v>
      </c>
      <c r="T1267" s="66">
        <v>45411</v>
      </c>
      <c r="U1267" s="66">
        <v>45406</v>
      </c>
      <c r="V1267" s="63">
        <f t="shared" si="137"/>
        <v>-5</v>
      </c>
      <c r="W1267" s="65" t="s">
        <v>115</v>
      </c>
      <c r="X1267" s="64" t="b">
        <f t="shared" si="138"/>
        <v>1</v>
      </c>
      <c r="Y1267" s="67">
        <v>181</v>
      </c>
      <c r="Z1267" s="67">
        <v>389</v>
      </c>
      <c r="AA1267" s="65" t="s">
        <v>116</v>
      </c>
      <c r="AB1267" s="64" t="b">
        <f t="shared" si="139"/>
        <v>0</v>
      </c>
    </row>
    <row r="1268" spans="1:28" ht="15" customHeight="1" x14ac:dyDescent="0.3">
      <c r="A1268" s="57" t="s">
        <v>2656</v>
      </c>
      <c r="B1268" s="82">
        <v>45221</v>
      </c>
      <c r="C1268" s="59">
        <f t="shared" si="133"/>
        <v>2023</v>
      </c>
      <c r="D1268" s="59">
        <f t="shared" si="134"/>
        <v>10</v>
      </c>
      <c r="E1268" s="59">
        <f t="shared" si="135"/>
        <v>43</v>
      </c>
      <c r="F1268" s="57" t="s">
        <v>54</v>
      </c>
      <c r="G1268" s="57" t="s">
        <v>39</v>
      </c>
      <c r="H1268" s="57" t="s">
        <v>2657</v>
      </c>
      <c r="I1268" s="57" t="s">
        <v>64</v>
      </c>
      <c r="J1268" s="57" t="s">
        <v>139</v>
      </c>
      <c r="K1268" s="57" t="s">
        <v>73</v>
      </c>
      <c r="L1268" s="57" t="s">
        <v>113</v>
      </c>
      <c r="M1268" s="60">
        <v>430</v>
      </c>
      <c r="N1268" s="57" t="s">
        <v>140</v>
      </c>
      <c r="O1268" s="61">
        <v>2158.48</v>
      </c>
      <c r="P1268" s="61">
        <v>928146.4</v>
      </c>
      <c r="Q1268" s="61">
        <v>48767.78</v>
      </c>
      <c r="R1268" s="62">
        <f t="shared" si="136"/>
        <v>5.2543197926534002E-2</v>
      </c>
      <c r="S1268" s="60">
        <v>2</v>
      </c>
      <c r="T1268" s="58">
        <v>45223</v>
      </c>
      <c r="U1268" s="58">
        <v>45223</v>
      </c>
      <c r="V1268" s="63">
        <f t="shared" si="137"/>
        <v>0</v>
      </c>
      <c r="W1268" s="57" t="s">
        <v>115</v>
      </c>
      <c r="X1268" s="64" t="b">
        <f t="shared" si="138"/>
        <v>1</v>
      </c>
      <c r="Y1268" s="60">
        <v>35</v>
      </c>
      <c r="Z1268" s="60">
        <v>180</v>
      </c>
      <c r="AA1268" s="57" t="s">
        <v>84</v>
      </c>
      <c r="AB1268" s="64" t="b">
        <f t="shared" si="139"/>
        <v>1</v>
      </c>
    </row>
    <row r="1269" spans="1:28" ht="15" customHeight="1" x14ac:dyDescent="0.3">
      <c r="A1269" s="65" t="s">
        <v>2658</v>
      </c>
      <c r="B1269" s="81">
        <v>45620</v>
      </c>
      <c r="C1269" s="59">
        <f t="shared" si="133"/>
        <v>2024</v>
      </c>
      <c r="D1269" s="59">
        <f t="shared" si="134"/>
        <v>11</v>
      </c>
      <c r="E1269" s="59">
        <f t="shared" si="135"/>
        <v>48</v>
      </c>
      <c r="F1269" s="65" t="s">
        <v>59</v>
      </c>
      <c r="G1269" s="65" t="s">
        <v>42</v>
      </c>
      <c r="H1269" s="65" t="s">
        <v>2659</v>
      </c>
      <c r="I1269" s="65" t="s">
        <v>66</v>
      </c>
      <c r="J1269" s="65" t="s">
        <v>151</v>
      </c>
      <c r="K1269" s="65" t="s">
        <v>75</v>
      </c>
      <c r="L1269" s="65" t="s">
        <v>119</v>
      </c>
      <c r="M1269" s="67">
        <v>255</v>
      </c>
      <c r="N1269" s="65" t="s">
        <v>114</v>
      </c>
      <c r="O1269" s="68">
        <v>108.57</v>
      </c>
      <c r="P1269" s="68">
        <v>27685.35</v>
      </c>
      <c r="Q1269" s="68">
        <v>1429.88</v>
      </c>
      <c r="R1269" s="62">
        <f t="shared" si="136"/>
        <v>5.164753199797005E-2</v>
      </c>
      <c r="S1269" s="67">
        <v>20</v>
      </c>
      <c r="T1269" s="66">
        <v>45640</v>
      </c>
      <c r="U1269" s="66">
        <v>45640</v>
      </c>
      <c r="V1269" s="63">
        <f t="shared" si="137"/>
        <v>0</v>
      </c>
      <c r="W1269" s="65" t="s">
        <v>115</v>
      </c>
      <c r="X1269" s="64" t="b">
        <f t="shared" si="138"/>
        <v>1</v>
      </c>
      <c r="Y1269" s="67">
        <v>211</v>
      </c>
      <c r="Z1269" s="67">
        <v>336</v>
      </c>
      <c r="AA1269" s="65" t="s">
        <v>81</v>
      </c>
      <c r="AB1269" s="64" t="b">
        <f t="shared" si="139"/>
        <v>1</v>
      </c>
    </row>
    <row r="1270" spans="1:28" ht="15" customHeight="1" x14ac:dyDescent="0.3">
      <c r="A1270" s="57" t="s">
        <v>2660</v>
      </c>
      <c r="B1270" s="82">
        <v>45486</v>
      </c>
      <c r="C1270" s="59">
        <f t="shared" si="133"/>
        <v>2024</v>
      </c>
      <c r="D1270" s="59">
        <f t="shared" si="134"/>
        <v>7</v>
      </c>
      <c r="E1270" s="59">
        <f t="shared" si="135"/>
        <v>28</v>
      </c>
      <c r="F1270" s="57" t="s">
        <v>60</v>
      </c>
      <c r="G1270" s="57" t="s">
        <v>44</v>
      </c>
      <c r="H1270" s="57" t="s">
        <v>2661</v>
      </c>
      <c r="I1270" s="57" t="s">
        <v>66</v>
      </c>
      <c r="J1270" s="57" t="s">
        <v>112</v>
      </c>
      <c r="K1270" s="57" t="s">
        <v>75</v>
      </c>
      <c r="L1270" s="57" t="s">
        <v>135</v>
      </c>
      <c r="M1270" s="60">
        <v>729</v>
      </c>
      <c r="N1270" s="57" t="s">
        <v>132</v>
      </c>
      <c r="O1270" s="61">
        <v>117.99</v>
      </c>
      <c r="P1270" s="61">
        <v>86014.71</v>
      </c>
      <c r="Q1270" s="61">
        <v>2448.63</v>
      </c>
      <c r="R1270" s="62">
        <f t="shared" si="136"/>
        <v>2.8467572581480537E-2</v>
      </c>
      <c r="S1270" s="60">
        <v>1</v>
      </c>
      <c r="T1270" s="58">
        <v>45487</v>
      </c>
      <c r="U1270" s="58">
        <v>45487</v>
      </c>
      <c r="V1270" s="63">
        <f t="shared" si="137"/>
        <v>0</v>
      </c>
      <c r="W1270" s="57" t="s">
        <v>115</v>
      </c>
      <c r="X1270" s="64" t="b">
        <f t="shared" si="138"/>
        <v>1</v>
      </c>
      <c r="Y1270" s="60">
        <v>383</v>
      </c>
      <c r="Z1270" s="60">
        <v>350</v>
      </c>
      <c r="AA1270" s="57" t="s">
        <v>116</v>
      </c>
      <c r="AB1270" s="64" t="b">
        <f t="shared" si="139"/>
        <v>0</v>
      </c>
    </row>
    <row r="1271" spans="1:28" ht="15" customHeight="1" x14ac:dyDescent="0.3">
      <c r="A1271" s="65" t="s">
        <v>2662</v>
      </c>
      <c r="B1271" s="81">
        <v>45088</v>
      </c>
      <c r="C1271" s="59">
        <f t="shared" si="133"/>
        <v>2023</v>
      </c>
      <c r="D1271" s="59">
        <f t="shared" si="134"/>
        <v>6</v>
      </c>
      <c r="E1271" s="59">
        <f t="shared" si="135"/>
        <v>24</v>
      </c>
      <c r="F1271" s="65" t="s">
        <v>53</v>
      </c>
      <c r="G1271" s="65" t="s">
        <v>43</v>
      </c>
      <c r="H1271" s="65" t="s">
        <v>2663</v>
      </c>
      <c r="I1271" s="65" t="s">
        <v>67</v>
      </c>
      <c r="J1271" s="65" t="s">
        <v>143</v>
      </c>
      <c r="K1271" s="65" t="s">
        <v>72</v>
      </c>
      <c r="L1271" s="65" t="s">
        <v>119</v>
      </c>
      <c r="M1271" s="67">
        <v>246</v>
      </c>
      <c r="N1271" s="65" t="s">
        <v>114</v>
      </c>
      <c r="O1271" s="68">
        <v>244.93</v>
      </c>
      <c r="P1271" s="68">
        <v>60252.78</v>
      </c>
      <c r="Q1271" s="68">
        <v>1207.9100000000001</v>
      </c>
      <c r="R1271" s="62">
        <f t="shared" si="136"/>
        <v>2.0047373747734132E-2</v>
      </c>
      <c r="S1271" s="67">
        <v>5</v>
      </c>
      <c r="T1271" s="66">
        <v>45093</v>
      </c>
      <c r="U1271" s="66">
        <v>45093</v>
      </c>
      <c r="V1271" s="63">
        <f t="shared" si="137"/>
        <v>0</v>
      </c>
      <c r="W1271" s="65" t="s">
        <v>115</v>
      </c>
      <c r="X1271" s="64" t="b">
        <f t="shared" si="138"/>
        <v>1</v>
      </c>
      <c r="Y1271" s="67">
        <v>435</v>
      </c>
      <c r="Z1271" s="67">
        <v>144</v>
      </c>
      <c r="AA1271" s="65" t="s">
        <v>84</v>
      </c>
      <c r="AB1271" s="64" t="b">
        <f t="shared" si="139"/>
        <v>1</v>
      </c>
    </row>
    <row r="1272" spans="1:28" ht="15" customHeight="1" x14ac:dyDescent="0.3">
      <c r="A1272" s="57" t="s">
        <v>2664</v>
      </c>
      <c r="B1272" s="82">
        <v>45002</v>
      </c>
      <c r="C1272" s="59">
        <f t="shared" si="133"/>
        <v>2023</v>
      </c>
      <c r="D1272" s="59">
        <f t="shared" si="134"/>
        <v>3</v>
      </c>
      <c r="E1272" s="59">
        <f t="shared" si="135"/>
        <v>11</v>
      </c>
      <c r="F1272" s="57" t="s">
        <v>54</v>
      </c>
      <c r="G1272" s="57" t="s">
        <v>44</v>
      </c>
      <c r="H1272" s="57" t="s">
        <v>2665</v>
      </c>
      <c r="I1272" s="57" t="s">
        <v>65</v>
      </c>
      <c r="J1272" s="57" t="s">
        <v>151</v>
      </c>
      <c r="K1272" s="57" t="s">
        <v>72</v>
      </c>
      <c r="L1272" s="57" t="s">
        <v>135</v>
      </c>
      <c r="M1272" s="60">
        <v>543</v>
      </c>
      <c r="N1272" s="57" t="s">
        <v>114</v>
      </c>
      <c r="O1272" s="61">
        <v>135.58000000000001</v>
      </c>
      <c r="P1272" s="61">
        <v>73619.94</v>
      </c>
      <c r="Q1272" s="61">
        <v>5050.95</v>
      </c>
      <c r="R1272" s="62">
        <f t="shared" si="136"/>
        <v>6.860845037363518E-2</v>
      </c>
      <c r="S1272" s="60">
        <v>9</v>
      </c>
      <c r="T1272" s="58">
        <v>45011</v>
      </c>
      <c r="U1272" s="58">
        <v>45019</v>
      </c>
      <c r="V1272" s="63">
        <f t="shared" si="137"/>
        <v>8</v>
      </c>
      <c r="W1272" s="57" t="s">
        <v>125</v>
      </c>
      <c r="X1272" s="64" t="b">
        <f t="shared" si="138"/>
        <v>0</v>
      </c>
      <c r="Y1272" s="60">
        <v>133</v>
      </c>
      <c r="Z1272" s="60">
        <v>314</v>
      </c>
      <c r="AA1272" s="57" t="s">
        <v>116</v>
      </c>
      <c r="AB1272" s="64" t="b">
        <f t="shared" si="139"/>
        <v>0</v>
      </c>
    </row>
    <row r="1273" spans="1:28" ht="15" customHeight="1" x14ac:dyDescent="0.3">
      <c r="A1273" s="65" t="s">
        <v>2666</v>
      </c>
      <c r="B1273" s="81">
        <v>45379</v>
      </c>
      <c r="C1273" s="59">
        <f t="shared" si="133"/>
        <v>2024</v>
      </c>
      <c r="D1273" s="59">
        <f t="shared" si="134"/>
        <v>3</v>
      </c>
      <c r="E1273" s="59">
        <f t="shared" si="135"/>
        <v>13</v>
      </c>
      <c r="F1273" s="65" t="s">
        <v>60</v>
      </c>
      <c r="G1273" s="65" t="s">
        <v>40</v>
      </c>
      <c r="H1273" s="65" t="s">
        <v>2667</v>
      </c>
      <c r="I1273" s="65" t="s">
        <v>67</v>
      </c>
      <c r="J1273" s="65" t="s">
        <v>143</v>
      </c>
      <c r="K1273" s="65" t="s">
        <v>74</v>
      </c>
      <c r="L1273" s="65" t="s">
        <v>146</v>
      </c>
      <c r="M1273" s="67">
        <v>194</v>
      </c>
      <c r="N1273" s="65" t="s">
        <v>114</v>
      </c>
      <c r="O1273" s="68">
        <v>993.36</v>
      </c>
      <c r="P1273" s="68">
        <v>192711.84</v>
      </c>
      <c r="Q1273" s="68">
        <v>4866.84</v>
      </c>
      <c r="R1273" s="62">
        <f t="shared" si="136"/>
        <v>2.5254493963629842E-2</v>
      </c>
      <c r="S1273" s="67">
        <v>17</v>
      </c>
      <c r="T1273" s="66">
        <v>45396</v>
      </c>
      <c r="U1273" s="66">
        <v>45396</v>
      </c>
      <c r="V1273" s="63">
        <f t="shared" si="137"/>
        <v>0</v>
      </c>
      <c r="W1273" s="65" t="s">
        <v>115</v>
      </c>
      <c r="X1273" s="64" t="b">
        <f t="shared" si="138"/>
        <v>1</v>
      </c>
      <c r="Y1273" s="67">
        <v>352</v>
      </c>
      <c r="Z1273" s="67">
        <v>224</v>
      </c>
      <c r="AA1273" s="65" t="s">
        <v>83</v>
      </c>
      <c r="AB1273" s="64" t="b">
        <f t="shared" si="139"/>
        <v>1</v>
      </c>
    </row>
    <row r="1274" spans="1:28" ht="15" customHeight="1" x14ac:dyDescent="0.3">
      <c r="A1274" s="57" t="s">
        <v>2668</v>
      </c>
      <c r="B1274" s="82">
        <v>45280</v>
      </c>
      <c r="C1274" s="59">
        <f t="shared" si="133"/>
        <v>2023</v>
      </c>
      <c r="D1274" s="59">
        <f t="shared" si="134"/>
        <v>12</v>
      </c>
      <c r="E1274" s="59">
        <f t="shared" si="135"/>
        <v>51</v>
      </c>
      <c r="F1274" s="57" t="s">
        <v>55</v>
      </c>
      <c r="G1274" s="57" t="s">
        <v>43</v>
      </c>
      <c r="H1274" s="57" t="s">
        <v>2669</v>
      </c>
      <c r="I1274" s="57" t="s">
        <v>68</v>
      </c>
      <c r="J1274" s="57" t="s">
        <v>151</v>
      </c>
      <c r="K1274" s="57" t="s">
        <v>71</v>
      </c>
      <c r="L1274" s="57" t="s">
        <v>135</v>
      </c>
      <c r="M1274" s="60">
        <v>477</v>
      </c>
      <c r="N1274" s="57" t="s">
        <v>163</v>
      </c>
      <c r="O1274" s="61">
        <v>249.23</v>
      </c>
      <c r="P1274" s="61">
        <v>118882.71</v>
      </c>
      <c r="Q1274" s="61">
        <v>6898.88</v>
      </c>
      <c r="R1274" s="62">
        <f t="shared" si="136"/>
        <v>5.8030978600672876E-2</v>
      </c>
      <c r="S1274" s="60">
        <v>9</v>
      </c>
      <c r="T1274" s="58">
        <v>45289</v>
      </c>
      <c r="U1274" s="58">
        <v>45301</v>
      </c>
      <c r="V1274" s="63">
        <f t="shared" si="137"/>
        <v>12</v>
      </c>
      <c r="W1274" s="57" t="s">
        <v>128</v>
      </c>
      <c r="X1274" s="64" t="b">
        <f t="shared" si="138"/>
        <v>0</v>
      </c>
      <c r="Y1274" s="60">
        <v>411</v>
      </c>
      <c r="Z1274" s="60">
        <v>422</v>
      </c>
      <c r="AA1274" s="57" t="s">
        <v>81</v>
      </c>
      <c r="AB1274" s="64" t="b">
        <f t="shared" si="139"/>
        <v>1</v>
      </c>
    </row>
    <row r="1275" spans="1:28" ht="15" customHeight="1" x14ac:dyDescent="0.3">
      <c r="A1275" s="65" t="s">
        <v>2670</v>
      </c>
      <c r="B1275" s="81">
        <v>45528</v>
      </c>
      <c r="C1275" s="59">
        <f t="shared" si="133"/>
        <v>2024</v>
      </c>
      <c r="D1275" s="59">
        <f t="shared" si="134"/>
        <v>8</v>
      </c>
      <c r="E1275" s="59">
        <f t="shared" si="135"/>
        <v>34</v>
      </c>
      <c r="F1275" s="65" t="s">
        <v>59</v>
      </c>
      <c r="G1275" s="65" t="s">
        <v>42</v>
      </c>
      <c r="H1275" s="65" t="s">
        <v>2671</v>
      </c>
      <c r="I1275" s="65" t="s">
        <v>64</v>
      </c>
      <c r="J1275" s="65" t="s">
        <v>112</v>
      </c>
      <c r="K1275" s="65" t="s">
        <v>75</v>
      </c>
      <c r="L1275" s="65" t="s">
        <v>146</v>
      </c>
      <c r="M1275" s="67">
        <v>763</v>
      </c>
      <c r="N1275" s="65" t="s">
        <v>132</v>
      </c>
      <c r="O1275" s="68">
        <v>96.24</v>
      </c>
      <c r="P1275" s="68">
        <v>73431.12</v>
      </c>
      <c r="Q1275" s="68">
        <v>5498.3</v>
      </c>
      <c r="R1275" s="62">
        <f t="shared" si="136"/>
        <v>7.4876973141632608E-2</v>
      </c>
      <c r="S1275" s="67">
        <v>11</v>
      </c>
      <c r="T1275" s="66">
        <v>45539</v>
      </c>
      <c r="U1275" s="66">
        <v>45547</v>
      </c>
      <c r="V1275" s="63">
        <f t="shared" si="137"/>
        <v>8</v>
      </c>
      <c r="W1275" s="65" t="s">
        <v>128</v>
      </c>
      <c r="X1275" s="64" t="b">
        <f t="shared" si="138"/>
        <v>0</v>
      </c>
      <c r="Y1275" s="67">
        <v>177</v>
      </c>
      <c r="Z1275" s="67">
        <v>53</v>
      </c>
      <c r="AA1275" s="65" t="s">
        <v>116</v>
      </c>
      <c r="AB1275" s="64" t="b">
        <f t="shared" si="139"/>
        <v>0</v>
      </c>
    </row>
    <row r="1276" spans="1:28" ht="15" customHeight="1" x14ac:dyDescent="0.3">
      <c r="A1276" s="57" t="s">
        <v>2672</v>
      </c>
      <c r="B1276" s="82">
        <v>45233</v>
      </c>
      <c r="C1276" s="59">
        <f t="shared" si="133"/>
        <v>2023</v>
      </c>
      <c r="D1276" s="59">
        <f t="shared" si="134"/>
        <v>11</v>
      </c>
      <c r="E1276" s="59">
        <f t="shared" si="135"/>
        <v>44</v>
      </c>
      <c r="F1276" s="57" t="s">
        <v>53</v>
      </c>
      <c r="G1276" s="57" t="s">
        <v>41</v>
      </c>
      <c r="H1276" s="57" t="s">
        <v>2673</v>
      </c>
      <c r="I1276" s="57" t="s">
        <v>65</v>
      </c>
      <c r="J1276" s="57" t="s">
        <v>143</v>
      </c>
      <c r="K1276" s="57" t="s">
        <v>73</v>
      </c>
      <c r="L1276" s="57" t="s">
        <v>113</v>
      </c>
      <c r="M1276" s="60">
        <v>372</v>
      </c>
      <c r="N1276" s="57" t="s">
        <v>163</v>
      </c>
      <c r="O1276" s="61">
        <v>456.44</v>
      </c>
      <c r="P1276" s="61">
        <v>169795.68</v>
      </c>
      <c r="Q1276" s="61">
        <v>5521.61</v>
      </c>
      <c r="R1276" s="62">
        <f t="shared" si="136"/>
        <v>3.2519143007643067E-2</v>
      </c>
      <c r="S1276" s="60">
        <v>15</v>
      </c>
      <c r="T1276" s="58">
        <v>45248</v>
      </c>
      <c r="U1276" s="58">
        <v>45249</v>
      </c>
      <c r="V1276" s="63">
        <f t="shared" si="137"/>
        <v>1</v>
      </c>
      <c r="W1276" s="57" t="s">
        <v>128</v>
      </c>
      <c r="X1276" s="64" t="b">
        <f t="shared" si="138"/>
        <v>0</v>
      </c>
      <c r="Y1276" s="60">
        <v>165</v>
      </c>
      <c r="Z1276" s="60">
        <v>381</v>
      </c>
      <c r="AA1276" s="57" t="s">
        <v>83</v>
      </c>
      <c r="AB1276" s="64" t="b">
        <f t="shared" si="139"/>
        <v>1</v>
      </c>
    </row>
    <row r="1277" spans="1:28" ht="15" customHeight="1" x14ac:dyDescent="0.3">
      <c r="A1277" s="65" t="s">
        <v>2674</v>
      </c>
      <c r="B1277" s="81">
        <v>45581</v>
      </c>
      <c r="C1277" s="59">
        <f t="shared" si="133"/>
        <v>2024</v>
      </c>
      <c r="D1277" s="59">
        <f t="shared" si="134"/>
        <v>10</v>
      </c>
      <c r="E1277" s="59">
        <f t="shared" si="135"/>
        <v>42</v>
      </c>
      <c r="F1277" s="65" t="s">
        <v>60</v>
      </c>
      <c r="G1277" s="65" t="s">
        <v>41</v>
      </c>
      <c r="H1277" s="65" t="s">
        <v>2675</v>
      </c>
      <c r="I1277" s="65" t="s">
        <v>64</v>
      </c>
      <c r="J1277" s="65" t="s">
        <v>131</v>
      </c>
      <c r="K1277" s="65" t="s">
        <v>71</v>
      </c>
      <c r="L1277" s="65" t="s">
        <v>146</v>
      </c>
      <c r="M1277" s="67">
        <v>292</v>
      </c>
      <c r="N1277" s="65" t="s">
        <v>140</v>
      </c>
      <c r="O1277" s="68">
        <v>365.6</v>
      </c>
      <c r="P1277" s="68">
        <v>106755.2</v>
      </c>
      <c r="Q1277" s="68">
        <v>6396.38</v>
      </c>
      <c r="R1277" s="62">
        <f t="shared" si="136"/>
        <v>5.9916331944486076E-2</v>
      </c>
      <c r="S1277" s="67">
        <v>24</v>
      </c>
      <c r="T1277" s="66">
        <v>45605</v>
      </c>
      <c r="U1277" s="66">
        <v>45608</v>
      </c>
      <c r="V1277" s="63">
        <f t="shared" si="137"/>
        <v>3</v>
      </c>
      <c r="W1277" s="65" t="s">
        <v>125</v>
      </c>
      <c r="X1277" s="64" t="b">
        <f t="shared" si="138"/>
        <v>0</v>
      </c>
      <c r="Y1277" s="67">
        <v>413</v>
      </c>
      <c r="Z1277" s="67">
        <v>431</v>
      </c>
      <c r="AA1277" s="65" t="s">
        <v>116</v>
      </c>
      <c r="AB1277" s="64" t="b">
        <f t="shared" si="139"/>
        <v>0</v>
      </c>
    </row>
    <row r="1278" spans="1:28" ht="15" customHeight="1" x14ac:dyDescent="0.3">
      <c r="A1278" s="57" t="s">
        <v>2676</v>
      </c>
      <c r="B1278" s="82">
        <v>45361</v>
      </c>
      <c r="C1278" s="59">
        <f t="shared" si="133"/>
        <v>2024</v>
      </c>
      <c r="D1278" s="59">
        <f t="shared" si="134"/>
        <v>3</v>
      </c>
      <c r="E1278" s="59">
        <f t="shared" si="135"/>
        <v>11</v>
      </c>
      <c r="F1278" s="57" t="s">
        <v>58</v>
      </c>
      <c r="G1278" s="57" t="s">
        <v>45</v>
      </c>
      <c r="H1278" s="57" t="s">
        <v>2677</v>
      </c>
      <c r="I1278" s="57" t="s">
        <v>67</v>
      </c>
      <c r="J1278" s="57" t="s">
        <v>139</v>
      </c>
      <c r="K1278" s="57" t="s">
        <v>75</v>
      </c>
      <c r="L1278" s="57" t="s">
        <v>156</v>
      </c>
      <c r="M1278" s="60">
        <v>562</v>
      </c>
      <c r="N1278" s="57" t="s">
        <v>140</v>
      </c>
      <c r="O1278" s="61">
        <v>212.89</v>
      </c>
      <c r="P1278" s="61">
        <v>119644.18</v>
      </c>
      <c r="Q1278" s="61">
        <v>2957.83</v>
      </c>
      <c r="R1278" s="62">
        <f t="shared" si="136"/>
        <v>2.4721887851126566E-2</v>
      </c>
      <c r="S1278" s="60">
        <v>6</v>
      </c>
      <c r="T1278" s="58">
        <v>45367</v>
      </c>
      <c r="U1278" s="58">
        <v>45372</v>
      </c>
      <c r="V1278" s="63">
        <f t="shared" si="137"/>
        <v>5</v>
      </c>
      <c r="W1278" s="57" t="s">
        <v>128</v>
      </c>
      <c r="X1278" s="64" t="b">
        <f t="shared" si="138"/>
        <v>0</v>
      </c>
      <c r="Y1278" s="60">
        <v>493</v>
      </c>
      <c r="Z1278" s="60">
        <v>420</v>
      </c>
      <c r="AA1278" s="57" t="s">
        <v>84</v>
      </c>
      <c r="AB1278" s="64" t="b">
        <f t="shared" si="139"/>
        <v>1</v>
      </c>
    </row>
    <row r="1279" spans="1:28" ht="15" customHeight="1" x14ac:dyDescent="0.3">
      <c r="A1279" s="65" t="s">
        <v>2678</v>
      </c>
      <c r="B1279" s="81">
        <v>45633</v>
      </c>
      <c r="C1279" s="59">
        <f t="shared" si="133"/>
        <v>2024</v>
      </c>
      <c r="D1279" s="59">
        <f t="shared" si="134"/>
        <v>12</v>
      </c>
      <c r="E1279" s="59">
        <f t="shared" si="135"/>
        <v>49</v>
      </c>
      <c r="F1279" s="65" t="s">
        <v>54</v>
      </c>
      <c r="G1279" s="65" t="s">
        <v>45</v>
      </c>
      <c r="H1279" s="65" t="s">
        <v>2679</v>
      </c>
      <c r="I1279" s="65" t="s">
        <v>65</v>
      </c>
      <c r="J1279" s="65" t="s">
        <v>143</v>
      </c>
      <c r="K1279" s="65" t="s">
        <v>74</v>
      </c>
      <c r="L1279" s="65" t="s">
        <v>113</v>
      </c>
      <c r="M1279" s="67">
        <v>345</v>
      </c>
      <c r="N1279" s="65" t="s">
        <v>136</v>
      </c>
      <c r="O1279" s="68">
        <v>282.56</v>
      </c>
      <c r="P1279" s="68">
        <v>97483.199999999997</v>
      </c>
      <c r="Q1279" s="68">
        <v>5481.02</v>
      </c>
      <c r="R1279" s="62">
        <f t="shared" si="136"/>
        <v>5.6225277791455357E-2</v>
      </c>
      <c r="S1279" s="67">
        <v>23</v>
      </c>
      <c r="T1279" s="66">
        <v>45656</v>
      </c>
      <c r="U1279" s="66">
        <v>45656</v>
      </c>
      <c r="V1279" s="63">
        <f t="shared" si="137"/>
        <v>0</v>
      </c>
      <c r="W1279" s="65" t="s">
        <v>115</v>
      </c>
      <c r="X1279" s="64" t="b">
        <f t="shared" si="138"/>
        <v>1</v>
      </c>
      <c r="Y1279" s="67">
        <v>490</v>
      </c>
      <c r="Z1279" s="67">
        <v>303</v>
      </c>
      <c r="AA1279" s="65" t="s">
        <v>83</v>
      </c>
      <c r="AB1279" s="64" t="b">
        <f t="shared" si="139"/>
        <v>1</v>
      </c>
    </row>
    <row r="1280" spans="1:28" ht="15" customHeight="1" x14ac:dyDescent="0.3">
      <c r="A1280" s="57" t="s">
        <v>2680</v>
      </c>
      <c r="B1280" s="82">
        <v>45183</v>
      </c>
      <c r="C1280" s="59">
        <f t="shared" si="133"/>
        <v>2023</v>
      </c>
      <c r="D1280" s="59">
        <f t="shared" si="134"/>
        <v>9</v>
      </c>
      <c r="E1280" s="59">
        <f t="shared" si="135"/>
        <v>37</v>
      </c>
      <c r="F1280" s="57" t="s">
        <v>59</v>
      </c>
      <c r="G1280" s="57" t="s">
        <v>44</v>
      </c>
      <c r="H1280" s="57" t="s">
        <v>2681</v>
      </c>
      <c r="I1280" s="57" t="s">
        <v>67</v>
      </c>
      <c r="J1280" s="57" t="s">
        <v>123</v>
      </c>
      <c r="K1280" s="57" t="s">
        <v>75</v>
      </c>
      <c r="L1280" s="57" t="s">
        <v>124</v>
      </c>
      <c r="M1280" s="60">
        <v>171</v>
      </c>
      <c r="N1280" s="57" t="s">
        <v>136</v>
      </c>
      <c r="O1280" s="61">
        <v>138.66999999999999</v>
      </c>
      <c r="P1280" s="61">
        <v>23712.57</v>
      </c>
      <c r="Q1280" s="61">
        <v>707.49</v>
      </c>
      <c r="R1280" s="62">
        <f t="shared" si="136"/>
        <v>2.983607428465156E-2</v>
      </c>
      <c r="S1280" s="60">
        <v>3</v>
      </c>
      <c r="T1280" s="58">
        <v>45186</v>
      </c>
      <c r="U1280" s="58">
        <v>45189</v>
      </c>
      <c r="V1280" s="63">
        <f t="shared" si="137"/>
        <v>3</v>
      </c>
      <c r="W1280" s="57" t="s">
        <v>125</v>
      </c>
      <c r="X1280" s="64" t="b">
        <f t="shared" si="138"/>
        <v>0</v>
      </c>
      <c r="Y1280" s="60">
        <v>336</v>
      </c>
      <c r="Z1280" s="60">
        <v>67</v>
      </c>
      <c r="AA1280" s="57" t="s">
        <v>116</v>
      </c>
      <c r="AB1280" s="64" t="b">
        <f t="shared" si="139"/>
        <v>0</v>
      </c>
    </row>
    <row r="1281" spans="1:28" ht="15" customHeight="1" x14ac:dyDescent="0.3">
      <c r="A1281" s="65" t="s">
        <v>2682</v>
      </c>
      <c r="B1281" s="81">
        <v>45394</v>
      </c>
      <c r="C1281" s="59">
        <f t="shared" si="133"/>
        <v>2024</v>
      </c>
      <c r="D1281" s="59">
        <f t="shared" si="134"/>
        <v>4</v>
      </c>
      <c r="E1281" s="59">
        <f t="shared" si="135"/>
        <v>15</v>
      </c>
      <c r="F1281" s="65" t="s">
        <v>53</v>
      </c>
      <c r="G1281" s="65" t="s">
        <v>41</v>
      </c>
      <c r="H1281" s="65" t="s">
        <v>2683</v>
      </c>
      <c r="I1281" s="65" t="s">
        <v>68</v>
      </c>
      <c r="J1281" s="65" t="s">
        <v>112</v>
      </c>
      <c r="K1281" s="65" t="s">
        <v>72</v>
      </c>
      <c r="L1281" s="65" t="s">
        <v>124</v>
      </c>
      <c r="M1281" s="67">
        <v>169</v>
      </c>
      <c r="N1281" s="65" t="s">
        <v>140</v>
      </c>
      <c r="O1281" s="68">
        <v>682.96</v>
      </c>
      <c r="P1281" s="68">
        <v>115420.24</v>
      </c>
      <c r="Q1281" s="68">
        <v>7405.04</v>
      </c>
      <c r="R1281" s="62">
        <f t="shared" si="136"/>
        <v>6.4157205010143797E-2</v>
      </c>
      <c r="S1281" s="67">
        <v>17</v>
      </c>
      <c r="T1281" s="66">
        <v>45411</v>
      </c>
      <c r="U1281" s="66">
        <v>45411</v>
      </c>
      <c r="V1281" s="63">
        <f t="shared" si="137"/>
        <v>0</v>
      </c>
      <c r="W1281" s="65" t="s">
        <v>115</v>
      </c>
      <c r="X1281" s="64" t="b">
        <f t="shared" si="138"/>
        <v>1</v>
      </c>
      <c r="Y1281" s="67">
        <v>328</v>
      </c>
      <c r="Z1281" s="67">
        <v>106</v>
      </c>
      <c r="AA1281" s="65" t="s">
        <v>84</v>
      </c>
      <c r="AB1281" s="64" t="b">
        <f t="shared" si="139"/>
        <v>1</v>
      </c>
    </row>
    <row r="1282" spans="1:28" ht="15" customHeight="1" x14ac:dyDescent="0.3">
      <c r="A1282" s="57" t="s">
        <v>2684</v>
      </c>
      <c r="B1282" s="82">
        <v>45236</v>
      </c>
      <c r="C1282" s="59">
        <f t="shared" ref="C1282:C1345" si="140">YEAR(B1282)</f>
        <v>2023</v>
      </c>
      <c r="D1282" s="59">
        <f t="shared" ref="D1282:D1345" si="141">MONTH(B1282)</f>
        <v>11</v>
      </c>
      <c r="E1282" s="59">
        <f t="shared" ref="E1282:E1345" si="142">WEEKNUM(B1282,1)</f>
        <v>45</v>
      </c>
      <c r="F1282" s="57" t="s">
        <v>53</v>
      </c>
      <c r="G1282" s="57" t="s">
        <v>43</v>
      </c>
      <c r="H1282" s="57" t="s">
        <v>2685</v>
      </c>
      <c r="I1282" s="57" t="s">
        <v>69</v>
      </c>
      <c r="J1282" s="57" t="s">
        <v>112</v>
      </c>
      <c r="K1282" s="57" t="s">
        <v>73</v>
      </c>
      <c r="L1282" s="57" t="s">
        <v>135</v>
      </c>
      <c r="M1282" s="60">
        <v>483</v>
      </c>
      <c r="N1282" s="57" t="s">
        <v>140</v>
      </c>
      <c r="O1282" s="61">
        <v>298.66000000000003</v>
      </c>
      <c r="P1282" s="61">
        <v>144252.78</v>
      </c>
      <c r="Q1282" s="61">
        <v>5492.26</v>
      </c>
      <c r="R1282" s="62">
        <f t="shared" ref="R1282:R1345" si="143">Q1282/P1282</f>
        <v>3.807385895786549E-2</v>
      </c>
      <c r="S1282" s="60">
        <v>5</v>
      </c>
      <c r="T1282" s="58">
        <v>45241</v>
      </c>
      <c r="U1282" s="58">
        <v>45246</v>
      </c>
      <c r="V1282" s="63">
        <f t="shared" ref="V1282:V1345" si="144">U1282-T1282</f>
        <v>5</v>
      </c>
      <c r="W1282" s="57" t="s">
        <v>128</v>
      </c>
      <c r="X1282" s="64" t="b">
        <f t="shared" ref="X1282:X1345" si="145">IF(W1282="Entregado", TRUE(), FALSE())</f>
        <v>0</v>
      </c>
      <c r="Y1282" s="60">
        <v>475</v>
      </c>
      <c r="Z1282" s="60">
        <v>333</v>
      </c>
      <c r="AA1282" s="57" t="s">
        <v>116</v>
      </c>
      <c r="AB1282" s="64" t="b">
        <f t="shared" ref="AB1282:AB1345" si="146">IF(AA1282="Ninguna",FALSE(),TRUE())</f>
        <v>0</v>
      </c>
    </row>
    <row r="1283" spans="1:28" ht="15" customHeight="1" x14ac:dyDescent="0.3">
      <c r="A1283" s="65" t="s">
        <v>2686</v>
      </c>
      <c r="B1283" s="81">
        <v>45130</v>
      </c>
      <c r="C1283" s="59">
        <f t="shared" si="140"/>
        <v>2023</v>
      </c>
      <c r="D1283" s="59">
        <f t="shared" si="141"/>
        <v>7</v>
      </c>
      <c r="E1283" s="59">
        <f t="shared" si="142"/>
        <v>30</v>
      </c>
      <c r="F1283" s="65" t="s">
        <v>57</v>
      </c>
      <c r="G1283" s="65" t="s">
        <v>46</v>
      </c>
      <c r="H1283" s="65" t="s">
        <v>2687</v>
      </c>
      <c r="I1283" s="65" t="s">
        <v>66</v>
      </c>
      <c r="J1283" s="65" t="s">
        <v>123</v>
      </c>
      <c r="K1283" s="65" t="s">
        <v>73</v>
      </c>
      <c r="L1283" s="65" t="s">
        <v>135</v>
      </c>
      <c r="M1283" s="67">
        <v>610</v>
      </c>
      <c r="N1283" s="65" t="s">
        <v>163</v>
      </c>
      <c r="O1283" s="68">
        <v>49.85</v>
      </c>
      <c r="P1283" s="68">
        <v>30408.5</v>
      </c>
      <c r="Q1283" s="68">
        <v>1453.63</v>
      </c>
      <c r="R1283" s="62">
        <f t="shared" si="143"/>
        <v>4.7803410230692081E-2</v>
      </c>
      <c r="S1283" s="67">
        <v>28</v>
      </c>
      <c r="T1283" s="66">
        <v>45158</v>
      </c>
      <c r="U1283" s="66">
        <v>45155</v>
      </c>
      <c r="V1283" s="63">
        <f t="shared" si="144"/>
        <v>-3</v>
      </c>
      <c r="W1283" s="65" t="s">
        <v>115</v>
      </c>
      <c r="X1283" s="64" t="b">
        <f t="shared" si="145"/>
        <v>1</v>
      </c>
      <c r="Y1283" s="67">
        <v>437</v>
      </c>
      <c r="Z1283" s="67">
        <v>76</v>
      </c>
      <c r="AA1283" s="65" t="s">
        <v>83</v>
      </c>
      <c r="AB1283" s="64" t="b">
        <f t="shared" si="146"/>
        <v>1</v>
      </c>
    </row>
    <row r="1284" spans="1:28" ht="15" customHeight="1" x14ac:dyDescent="0.3">
      <c r="A1284" s="57" t="s">
        <v>2688</v>
      </c>
      <c r="B1284" s="82">
        <v>45320</v>
      </c>
      <c r="C1284" s="59">
        <f t="shared" si="140"/>
        <v>2024</v>
      </c>
      <c r="D1284" s="59">
        <f t="shared" si="141"/>
        <v>1</v>
      </c>
      <c r="E1284" s="59">
        <f t="shared" si="142"/>
        <v>5</v>
      </c>
      <c r="F1284" s="57" t="s">
        <v>52</v>
      </c>
      <c r="G1284" s="57" t="s">
        <v>43</v>
      </c>
      <c r="H1284" s="57" t="s">
        <v>2689</v>
      </c>
      <c r="I1284" s="57" t="s">
        <v>65</v>
      </c>
      <c r="J1284" s="57" t="s">
        <v>151</v>
      </c>
      <c r="K1284" s="57" t="s">
        <v>72</v>
      </c>
      <c r="L1284" s="57" t="s">
        <v>156</v>
      </c>
      <c r="M1284" s="60">
        <v>331</v>
      </c>
      <c r="N1284" s="57" t="s">
        <v>140</v>
      </c>
      <c r="O1284" s="61">
        <v>250.68</v>
      </c>
      <c r="P1284" s="61">
        <v>82975.08</v>
      </c>
      <c r="Q1284" s="61">
        <v>4643.7700000000004</v>
      </c>
      <c r="R1284" s="62">
        <f t="shared" si="143"/>
        <v>5.5965839382137388E-2</v>
      </c>
      <c r="S1284" s="60">
        <v>12</v>
      </c>
      <c r="T1284" s="58">
        <v>45332</v>
      </c>
      <c r="U1284" s="58">
        <v>45331</v>
      </c>
      <c r="V1284" s="63">
        <f t="shared" si="144"/>
        <v>-1</v>
      </c>
      <c r="W1284" s="57" t="s">
        <v>115</v>
      </c>
      <c r="X1284" s="64" t="b">
        <f t="shared" si="145"/>
        <v>1</v>
      </c>
      <c r="Y1284" s="60">
        <v>326</v>
      </c>
      <c r="Z1284" s="60">
        <v>26</v>
      </c>
      <c r="AA1284" s="57" t="s">
        <v>116</v>
      </c>
      <c r="AB1284" s="64" t="b">
        <f t="shared" si="146"/>
        <v>0</v>
      </c>
    </row>
    <row r="1285" spans="1:28" ht="15" customHeight="1" x14ac:dyDescent="0.3">
      <c r="A1285" s="65" t="s">
        <v>2690</v>
      </c>
      <c r="B1285" s="81">
        <v>45421</v>
      </c>
      <c r="C1285" s="59">
        <f t="shared" si="140"/>
        <v>2024</v>
      </c>
      <c r="D1285" s="59">
        <f t="shared" si="141"/>
        <v>5</v>
      </c>
      <c r="E1285" s="59">
        <f t="shared" si="142"/>
        <v>19</v>
      </c>
      <c r="F1285" s="65" t="s">
        <v>59</v>
      </c>
      <c r="G1285" s="65" t="s">
        <v>46</v>
      </c>
      <c r="H1285" s="65" t="s">
        <v>2691</v>
      </c>
      <c r="I1285" s="65" t="s">
        <v>66</v>
      </c>
      <c r="J1285" s="65" t="s">
        <v>139</v>
      </c>
      <c r="K1285" s="65" t="s">
        <v>71</v>
      </c>
      <c r="L1285" s="65" t="s">
        <v>135</v>
      </c>
      <c r="M1285" s="67">
        <v>21</v>
      </c>
      <c r="N1285" s="65" t="s">
        <v>132</v>
      </c>
      <c r="O1285" s="68">
        <v>74.37</v>
      </c>
      <c r="P1285" s="68">
        <v>3302.8089</v>
      </c>
      <c r="Q1285" s="68">
        <v>142.36009999999999</v>
      </c>
      <c r="R1285" s="62">
        <f t="shared" si="143"/>
        <v>4.3102735977246516E-2</v>
      </c>
      <c r="S1285" s="67">
        <v>18</v>
      </c>
      <c r="T1285" s="66">
        <v>45439</v>
      </c>
      <c r="U1285" s="66">
        <v>45447</v>
      </c>
      <c r="V1285" s="63">
        <f t="shared" si="144"/>
        <v>8</v>
      </c>
      <c r="W1285" s="65" t="s">
        <v>128</v>
      </c>
      <c r="X1285" s="64" t="b">
        <f t="shared" si="145"/>
        <v>0</v>
      </c>
      <c r="Y1285" s="67">
        <v>45</v>
      </c>
      <c r="Z1285" s="67">
        <v>343</v>
      </c>
      <c r="AA1285" s="65" t="s">
        <v>83</v>
      </c>
      <c r="AB1285" s="64" t="b">
        <f t="shared" si="146"/>
        <v>1</v>
      </c>
    </row>
    <row r="1286" spans="1:28" ht="15" customHeight="1" x14ac:dyDescent="0.3">
      <c r="A1286" s="57" t="s">
        <v>2692</v>
      </c>
      <c r="B1286" s="82">
        <v>45036</v>
      </c>
      <c r="C1286" s="59">
        <f t="shared" si="140"/>
        <v>2023</v>
      </c>
      <c r="D1286" s="59">
        <f t="shared" si="141"/>
        <v>4</v>
      </c>
      <c r="E1286" s="59">
        <f t="shared" si="142"/>
        <v>16</v>
      </c>
      <c r="F1286" s="57" t="s">
        <v>53</v>
      </c>
      <c r="G1286" s="57" t="s">
        <v>42</v>
      </c>
      <c r="H1286" s="57" t="s">
        <v>2693</v>
      </c>
      <c r="I1286" s="57" t="s">
        <v>69</v>
      </c>
      <c r="J1286" s="57" t="s">
        <v>151</v>
      </c>
      <c r="K1286" s="57" t="s">
        <v>72</v>
      </c>
      <c r="L1286" s="57" t="s">
        <v>113</v>
      </c>
      <c r="M1286" s="60">
        <v>433</v>
      </c>
      <c r="N1286" s="57" t="s">
        <v>163</v>
      </c>
      <c r="O1286" s="61">
        <v>118.72</v>
      </c>
      <c r="P1286" s="61">
        <v>51405.760000000002</v>
      </c>
      <c r="Q1286" s="61">
        <v>3315.58</v>
      </c>
      <c r="R1286" s="62">
        <f t="shared" si="143"/>
        <v>6.449821965476242E-2</v>
      </c>
      <c r="S1286" s="60">
        <v>14</v>
      </c>
      <c r="T1286" s="58">
        <v>45050</v>
      </c>
      <c r="U1286" s="58">
        <v>45045</v>
      </c>
      <c r="V1286" s="63">
        <f t="shared" si="144"/>
        <v>-5</v>
      </c>
      <c r="W1286" s="57" t="s">
        <v>115</v>
      </c>
      <c r="X1286" s="64" t="b">
        <f t="shared" si="145"/>
        <v>1</v>
      </c>
      <c r="Y1286" s="60">
        <v>155</v>
      </c>
      <c r="Z1286" s="60">
        <v>154</v>
      </c>
      <c r="AA1286" s="57" t="s">
        <v>83</v>
      </c>
      <c r="AB1286" s="64" t="b">
        <f t="shared" si="146"/>
        <v>1</v>
      </c>
    </row>
    <row r="1287" spans="1:28" ht="15" customHeight="1" x14ac:dyDescent="0.3">
      <c r="A1287" s="65" t="s">
        <v>2694</v>
      </c>
      <c r="B1287" s="81">
        <v>45169</v>
      </c>
      <c r="C1287" s="59">
        <f t="shared" si="140"/>
        <v>2023</v>
      </c>
      <c r="D1287" s="59">
        <f t="shared" si="141"/>
        <v>8</v>
      </c>
      <c r="E1287" s="59">
        <f t="shared" si="142"/>
        <v>35</v>
      </c>
      <c r="F1287" s="65" t="s">
        <v>60</v>
      </c>
      <c r="G1287" s="65" t="s">
        <v>39</v>
      </c>
      <c r="H1287" s="65" t="s">
        <v>2695</v>
      </c>
      <c r="I1287" s="65" t="s">
        <v>65</v>
      </c>
      <c r="J1287" s="65" t="s">
        <v>123</v>
      </c>
      <c r="K1287" s="65" t="s">
        <v>73</v>
      </c>
      <c r="L1287" s="65" t="s">
        <v>113</v>
      </c>
      <c r="M1287" s="67">
        <v>82</v>
      </c>
      <c r="N1287" s="65" t="s">
        <v>140</v>
      </c>
      <c r="O1287" s="68">
        <v>2232.7199999999998</v>
      </c>
      <c r="P1287" s="68">
        <v>183083.04</v>
      </c>
      <c r="Q1287" s="68">
        <v>6986.16</v>
      </c>
      <c r="R1287" s="62">
        <f t="shared" si="143"/>
        <v>3.8158422538756183E-2</v>
      </c>
      <c r="S1287" s="67">
        <v>21</v>
      </c>
      <c r="T1287" s="66">
        <v>45190</v>
      </c>
      <c r="U1287" s="66">
        <v>45190</v>
      </c>
      <c r="V1287" s="63">
        <f t="shared" si="144"/>
        <v>0</v>
      </c>
      <c r="W1287" s="65" t="s">
        <v>115</v>
      </c>
      <c r="X1287" s="64" t="b">
        <f t="shared" si="145"/>
        <v>1</v>
      </c>
      <c r="Y1287" s="67">
        <v>400</v>
      </c>
      <c r="Z1287" s="67">
        <v>71</v>
      </c>
      <c r="AA1287" s="65" t="s">
        <v>81</v>
      </c>
      <c r="AB1287" s="64" t="b">
        <f t="shared" si="146"/>
        <v>1</v>
      </c>
    </row>
    <row r="1288" spans="1:28" ht="15" customHeight="1" x14ac:dyDescent="0.3">
      <c r="A1288" s="57" t="s">
        <v>2696</v>
      </c>
      <c r="B1288" s="82">
        <v>45317</v>
      </c>
      <c r="C1288" s="59">
        <f t="shared" si="140"/>
        <v>2024</v>
      </c>
      <c r="D1288" s="59">
        <f t="shared" si="141"/>
        <v>1</v>
      </c>
      <c r="E1288" s="59">
        <f t="shared" si="142"/>
        <v>4</v>
      </c>
      <c r="F1288" s="57" t="s">
        <v>57</v>
      </c>
      <c r="G1288" s="57" t="s">
        <v>46</v>
      </c>
      <c r="H1288" s="57" t="s">
        <v>2697</v>
      </c>
      <c r="I1288" s="57" t="s">
        <v>66</v>
      </c>
      <c r="J1288" s="57" t="s">
        <v>123</v>
      </c>
      <c r="K1288" s="57" t="s">
        <v>74</v>
      </c>
      <c r="L1288" s="57" t="s">
        <v>146</v>
      </c>
      <c r="M1288" s="60">
        <v>597</v>
      </c>
      <c r="N1288" s="57" t="s">
        <v>163</v>
      </c>
      <c r="O1288" s="61">
        <v>74.959999999999994</v>
      </c>
      <c r="P1288" s="61">
        <v>44751.12</v>
      </c>
      <c r="Q1288" s="61">
        <v>2673.54</v>
      </c>
      <c r="R1288" s="62">
        <f t="shared" si="143"/>
        <v>5.9742415385357947E-2</v>
      </c>
      <c r="S1288" s="60">
        <v>24</v>
      </c>
      <c r="T1288" s="58">
        <v>45341</v>
      </c>
      <c r="U1288" s="58">
        <v>45341</v>
      </c>
      <c r="V1288" s="63">
        <f t="shared" si="144"/>
        <v>0</v>
      </c>
      <c r="W1288" s="57" t="s">
        <v>115</v>
      </c>
      <c r="X1288" s="64" t="b">
        <f t="shared" si="145"/>
        <v>1</v>
      </c>
      <c r="Y1288" s="60">
        <v>487</v>
      </c>
      <c r="Z1288" s="60">
        <v>446</v>
      </c>
      <c r="AA1288" s="57" t="s">
        <v>83</v>
      </c>
      <c r="AB1288" s="64" t="b">
        <f t="shared" si="146"/>
        <v>1</v>
      </c>
    </row>
    <row r="1289" spans="1:28" ht="15" customHeight="1" x14ac:dyDescent="0.3">
      <c r="A1289" s="65" t="s">
        <v>2698</v>
      </c>
      <c r="B1289" s="81">
        <v>45512</v>
      </c>
      <c r="C1289" s="59">
        <f t="shared" si="140"/>
        <v>2024</v>
      </c>
      <c r="D1289" s="59">
        <f t="shared" si="141"/>
        <v>8</v>
      </c>
      <c r="E1289" s="59">
        <f t="shared" si="142"/>
        <v>32</v>
      </c>
      <c r="F1289" s="65" t="s">
        <v>52</v>
      </c>
      <c r="G1289" s="65" t="s">
        <v>41</v>
      </c>
      <c r="H1289" s="65" t="s">
        <v>2699</v>
      </c>
      <c r="I1289" s="65" t="s">
        <v>66</v>
      </c>
      <c r="J1289" s="65" t="s">
        <v>139</v>
      </c>
      <c r="K1289" s="65" t="s">
        <v>71</v>
      </c>
      <c r="L1289" s="65" t="s">
        <v>119</v>
      </c>
      <c r="M1289" s="67">
        <v>867</v>
      </c>
      <c r="N1289" s="65" t="s">
        <v>163</v>
      </c>
      <c r="O1289" s="68">
        <v>447.45</v>
      </c>
      <c r="P1289" s="68">
        <v>387939.15</v>
      </c>
      <c r="Q1289" s="68">
        <v>11443.03</v>
      </c>
      <c r="R1289" s="62">
        <f t="shared" si="143"/>
        <v>2.949697136780343E-2</v>
      </c>
      <c r="S1289" s="67">
        <v>11</v>
      </c>
      <c r="T1289" s="66">
        <v>45523</v>
      </c>
      <c r="U1289" s="66">
        <v>45518</v>
      </c>
      <c r="V1289" s="63">
        <f t="shared" si="144"/>
        <v>-5</v>
      </c>
      <c r="W1289" s="65" t="s">
        <v>115</v>
      </c>
      <c r="X1289" s="64" t="b">
        <f t="shared" si="145"/>
        <v>1</v>
      </c>
      <c r="Y1289" s="67">
        <v>431</v>
      </c>
      <c r="Z1289" s="67">
        <v>179</v>
      </c>
      <c r="AA1289" s="65" t="s">
        <v>116</v>
      </c>
      <c r="AB1289" s="64" t="b">
        <f t="shared" si="146"/>
        <v>0</v>
      </c>
    </row>
    <row r="1290" spans="1:28" ht="15" customHeight="1" x14ac:dyDescent="0.3">
      <c r="A1290" s="57" t="s">
        <v>2700</v>
      </c>
      <c r="B1290" s="82">
        <v>45294</v>
      </c>
      <c r="C1290" s="59">
        <f t="shared" si="140"/>
        <v>2024</v>
      </c>
      <c r="D1290" s="59">
        <f t="shared" si="141"/>
        <v>1</v>
      </c>
      <c r="E1290" s="59">
        <f t="shared" si="142"/>
        <v>1</v>
      </c>
      <c r="F1290" s="57" t="s">
        <v>55</v>
      </c>
      <c r="G1290" s="57" t="s">
        <v>43</v>
      </c>
      <c r="H1290" s="57" t="s">
        <v>2701</v>
      </c>
      <c r="I1290" s="57" t="s">
        <v>65</v>
      </c>
      <c r="J1290" s="57" t="s">
        <v>123</v>
      </c>
      <c r="K1290" s="57" t="s">
        <v>75</v>
      </c>
      <c r="L1290" s="57" t="s">
        <v>135</v>
      </c>
      <c r="M1290" s="60">
        <v>210</v>
      </c>
      <c r="N1290" s="57" t="s">
        <v>120</v>
      </c>
      <c r="O1290" s="61">
        <v>267.77</v>
      </c>
      <c r="P1290" s="61">
        <v>56231.7</v>
      </c>
      <c r="Q1290" s="61">
        <v>3446.28</v>
      </c>
      <c r="R1290" s="62">
        <f t="shared" si="143"/>
        <v>6.1287138749139727E-2</v>
      </c>
      <c r="S1290" s="60">
        <v>9</v>
      </c>
      <c r="T1290" s="58">
        <v>45303</v>
      </c>
      <c r="U1290" s="58">
        <v>45311</v>
      </c>
      <c r="V1290" s="63">
        <f t="shared" si="144"/>
        <v>8</v>
      </c>
      <c r="W1290" s="57" t="s">
        <v>128</v>
      </c>
      <c r="X1290" s="64" t="b">
        <f t="shared" si="145"/>
        <v>0</v>
      </c>
      <c r="Y1290" s="60">
        <v>427</v>
      </c>
      <c r="Z1290" s="60">
        <v>46</v>
      </c>
      <c r="AA1290" s="57" t="s">
        <v>116</v>
      </c>
      <c r="AB1290" s="64" t="b">
        <f t="shared" si="146"/>
        <v>0</v>
      </c>
    </row>
    <row r="1291" spans="1:28" ht="15" customHeight="1" x14ac:dyDescent="0.3">
      <c r="A1291" s="65" t="s">
        <v>2702</v>
      </c>
      <c r="B1291" s="81">
        <v>45515</v>
      </c>
      <c r="C1291" s="59">
        <f t="shared" si="140"/>
        <v>2024</v>
      </c>
      <c r="D1291" s="59">
        <f t="shared" si="141"/>
        <v>8</v>
      </c>
      <c r="E1291" s="59">
        <f t="shared" si="142"/>
        <v>33</v>
      </c>
      <c r="F1291" s="65" t="s">
        <v>60</v>
      </c>
      <c r="G1291" s="65" t="s">
        <v>42</v>
      </c>
      <c r="H1291" s="65" t="s">
        <v>2703</v>
      </c>
      <c r="I1291" s="65" t="s">
        <v>66</v>
      </c>
      <c r="J1291" s="65" t="s">
        <v>123</v>
      </c>
      <c r="K1291" s="65" t="s">
        <v>74</v>
      </c>
      <c r="L1291" s="65" t="s">
        <v>156</v>
      </c>
      <c r="M1291" s="67">
        <v>531</v>
      </c>
      <c r="N1291" s="65" t="s">
        <v>136</v>
      </c>
      <c r="O1291" s="68">
        <v>62.85</v>
      </c>
      <c r="P1291" s="68">
        <v>33373.35</v>
      </c>
      <c r="Q1291" s="68">
        <v>924.15</v>
      </c>
      <c r="R1291" s="62">
        <f t="shared" si="143"/>
        <v>2.7691256646396004E-2</v>
      </c>
      <c r="S1291" s="67">
        <v>2</v>
      </c>
      <c r="T1291" s="66">
        <v>45517</v>
      </c>
      <c r="U1291" s="66">
        <v>45516</v>
      </c>
      <c r="V1291" s="63">
        <f t="shared" si="144"/>
        <v>-1</v>
      </c>
      <c r="W1291" s="65" t="s">
        <v>115</v>
      </c>
      <c r="X1291" s="64" t="b">
        <f t="shared" si="145"/>
        <v>1</v>
      </c>
      <c r="Y1291" s="67">
        <v>235</v>
      </c>
      <c r="Z1291" s="67">
        <v>241</v>
      </c>
      <c r="AA1291" s="65" t="s">
        <v>81</v>
      </c>
      <c r="AB1291" s="64" t="b">
        <f t="shared" si="146"/>
        <v>1</v>
      </c>
    </row>
    <row r="1292" spans="1:28" ht="15" customHeight="1" x14ac:dyDescent="0.3">
      <c r="A1292" s="57" t="s">
        <v>2704</v>
      </c>
      <c r="B1292" s="82">
        <v>45229</v>
      </c>
      <c r="C1292" s="59">
        <f t="shared" si="140"/>
        <v>2023</v>
      </c>
      <c r="D1292" s="59">
        <f t="shared" si="141"/>
        <v>10</v>
      </c>
      <c r="E1292" s="59">
        <f t="shared" si="142"/>
        <v>44</v>
      </c>
      <c r="F1292" s="57" t="s">
        <v>54</v>
      </c>
      <c r="G1292" s="57" t="s">
        <v>41</v>
      </c>
      <c r="H1292" s="57" t="s">
        <v>547</v>
      </c>
      <c r="I1292" s="57" t="s">
        <v>66</v>
      </c>
      <c r="J1292" s="57" t="s">
        <v>143</v>
      </c>
      <c r="K1292" s="57" t="s">
        <v>71</v>
      </c>
      <c r="L1292" s="57" t="s">
        <v>124</v>
      </c>
      <c r="M1292" s="60">
        <v>873</v>
      </c>
      <c r="N1292" s="57" t="s">
        <v>163</v>
      </c>
      <c r="O1292" s="61">
        <v>662.28</v>
      </c>
      <c r="P1292" s="61">
        <v>578170.43999999994</v>
      </c>
      <c r="Q1292" s="61">
        <v>26319.119999999999</v>
      </c>
      <c r="R1292" s="62">
        <f t="shared" si="143"/>
        <v>4.5521386392566178E-2</v>
      </c>
      <c r="S1292" s="60">
        <v>12</v>
      </c>
      <c r="T1292" s="58">
        <v>45241</v>
      </c>
      <c r="U1292" s="58">
        <v>45241</v>
      </c>
      <c r="V1292" s="63">
        <f t="shared" si="144"/>
        <v>0</v>
      </c>
      <c r="W1292" s="57" t="s">
        <v>115</v>
      </c>
      <c r="X1292" s="64" t="b">
        <f t="shared" si="145"/>
        <v>1</v>
      </c>
      <c r="Y1292" s="60">
        <v>315</v>
      </c>
      <c r="Z1292" s="60">
        <v>358</v>
      </c>
      <c r="AA1292" s="57" t="s">
        <v>81</v>
      </c>
      <c r="AB1292" s="64" t="b">
        <f t="shared" si="146"/>
        <v>1</v>
      </c>
    </row>
    <row r="1293" spans="1:28" ht="15" customHeight="1" x14ac:dyDescent="0.3">
      <c r="A1293" s="65" t="s">
        <v>2705</v>
      </c>
      <c r="B1293" s="81">
        <v>45643</v>
      </c>
      <c r="C1293" s="59">
        <f t="shared" si="140"/>
        <v>2024</v>
      </c>
      <c r="D1293" s="59">
        <f t="shared" si="141"/>
        <v>12</v>
      </c>
      <c r="E1293" s="59">
        <f t="shared" si="142"/>
        <v>51</v>
      </c>
      <c r="F1293" s="65" t="s">
        <v>52</v>
      </c>
      <c r="G1293" s="65" t="s">
        <v>42</v>
      </c>
      <c r="H1293" s="65" t="s">
        <v>2706</v>
      </c>
      <c r="I1293" s="65" t="s">
        <v>65</v>
      </c>
      <c r="J1293" s="65" t="s">
        <v>139</v>
      </c>
      <c r="K1293" s="65" t="s">
        <v>73</v>
      </c>
      <c r="L1293" s="65" t="s">
        <v>113</v>
      </c>
      <c r="M1293" s="67">
        <v>514</v>
      </c>
      <c r="N1293" s="65" t="s">
        <v>114</v>
      </c>
      <c r="O1293" s="68">
        <v>114.25</v>
      </c>
      <c r="P1293" s="68">
        <v>58724.5</v>
      </c>
      <c r="Q1293" s="68">
        <v>2045.51</v>
      </c>
      <c r="R1293" s="62">
        <f t="shared" si="143"/>
        <v>3.4832310194211957E-2</v>
      </c>
      <c r="S1293" s="67">
        <v>3</v>
      </c>
      <c r="T1293" s="66">
        <v>45646</v>
      </c>
      <c r="U1293" s="66">
        <v>45645</v>
      </c>
      <c r="V1293" s="63">
        <f t="shared" si="144"/>
        <v>-1</v>
      </c>
      <c r="W1293" s="65" t="s">
        <v>115</v>
      </c>
      <c r="X1293" s="64" t="b">
        <f t="shared" si="145"/>
        <v>1</v>
      </c>
      <c r="Y1293" s="67">
        <v>59</v>
      </c>
      <c r="Z1293" s="67">
        <v>276</v>
      </c>
      <c r="AA1293" s="65" t="s">
        <v>81</v>
      </c>
      <c r="AB1293" s="64" t="b">
        <f t="shared" si="146"/>
        <v>1</v>
      </c>
    </row>
    <row r="1294" spans="1:28" ht="15" customHeight="1" x14ac:dyDescent="0.3">
      <c r="A1294" s="57" t="s">
        <v>2707</v>
      </c>
      <c r="B1294" s="82">
        <v>45229</v>
      </c>
      <c r="C1294" s="59">
        <f t="shared" si="140"/>
        <v>2023</v>
      </c>
      <c r="D1294" s="59">
        <f t="shared" si="141"/>
        <v>10</v>
      </c>
      <c r="E1294" s="59">
        <f t="shared" si="142"/>
        <v>44</v>
      </c>
      <c r="F1294" s="57" t="s">
        <v>59</v>
      </c>
      <c r="G1294" s="57" t="s">
        <v>39</v>
      </c>
      <c r="H1294" s="57" t="s">
        <v>2708</v>
      </c>
      <c r="I1294" s="57" t="s">
        <v>66</v>
      </c>
      <c r="J1294" s="57" t="s">
        <v>112</v>
      </c>
      <c r="K1294" s="57" t="s">
        <v>73</v>
      </c>
      <c r="L1294" s="57" t="s">
        <v>113</v>
      </c>
      <c r="M1294" s="60">
        <v>747</v>
      </c>
      <c r="N1294" s="57" t="s">
        <v>163</v>
      </c>
      <c r="O1294" s="61">
        <v>1509.4</v>
      </c>
      <c r="P1294" s="61">
        <v>1127521.8</v>
      </c>
      <c r="Q1294" s="61">
        <v>73179</v>
      </c>
      <c r="R1294" s="62">
        <f t="shared" si="143"/>
        <v>6.4902514523444241E-2</v>
      </c>
      <c r="S1294" s="60">
        <v>3</v>
      </c>
      <c r="T1294" s="58">
        <v>45232</v>
      </c>
      <c r="U1294" s="58">
        <v>45237</v>
      </c>
      <c r="V1294" s="63">
        <f t="shared" si="144"/>
        <v>5</v>
      </c>
      <c r="W1294" s="57" t="s">
        <v>128</v>
      </c>
      <c r="X1294" s="64" t="b">
        <f t="shared" si="145"/>
        <v>0</v>
      </c>
      <c r="Y1294" s="60">
        <v>4</v>
      </c>
      <c r="Z1294" s="60">
        <v>370</v>
      </c>
      <c r="AA1294" s="57" t="s">
        <v>116</v>
      </c>
      <c r="AB1294" s="64" t="b">
        <f t="shared" si="146"/>
        <v>0</v>
      </c>
    </row>
    <row r="1295" spans="1:28" ht="15" customHeight="1" x14ac:dyDescent="0.3">
      <c r="A1295" s="65" t="s">
        <v>2709</v>
      </c>
      <c r="B1295" s="81">
        <v>44949</v>
      </c>
      <c r="C1295" s="59">
        <f t="shared" si="140"/>
        <v>2023</v>
      </c>
      <c r="D1295" s="59">
        <f t="shared" si="141"/>
        <v>1</v>
      </c>
      <c r="E1295" s="59">
        <f t="shared" si="142"/>
        <v>4</v>
      </c>
      <c r="F1295" s="65" t="s">
        <v>54</v>
      </c>
      <c r="G1295" s="65" t="s">
        <v>40</v>
      </c>
      <c r="H1295" s="65" t="s">
        <v>2710</v>
      </c>
      <c r="I1295" s="65" t="s">
        <v>66</v>
      </c>
      <c r="J1295" s="65" t="s">
        <v>151</v>
      </c>
      <c r="K1295" s="65" t="s">
        <v>74</v>
      </c>
      <c r="L1295" s="65" t="s">
        <v>113</v>
      </c>
      <c r="M1295" s="67">
        <v>697</v>
      </c>
      <c r="N1295" s="65" t="s">
        <v>114</v>
      </c>
      <c r="O1295" s="68">
        <v>963.61</v>
      </c>
      <c r="P1295" s="68">
        <v>671636.17</v>
      </c>
      <c r="Q1295" s="68">
        <v>23992.25</v>
      </c>
      <c r="R1295" s="62">
        <f t="shared" si="143"/>
        <v>3.5722093406613281E-2</v>
      </c>
      <c r="S1295" s="67">
        <v>1</v>
      </c>
      <c r="T1295" s="66">
        <v>44950</v>
      </c>
      <c r="U1295" s="66">
        <v>44949</v>
      </c>
      <c r="V1295" s="63">
        <f t="shared" si="144"/>
        <v>-1</v>
      </c>
      <c r="W1295" s="65" t="s">
        <v>115</v>
      </c>
      <c r="X1295" s="64" t="b">
        <f t="shared" si="145"/>
        <v>1</v>
      </c>
      <c r="Y1295" s="67">
        <v>452</v>
      </c>
      <c r="Z1295" s="67">
        <v>312</v>
      </c>
      <c r="AA1295" s="65" t="s">
        <v>116</v>
      </c>
      <c r="AB1295" s="64" t="b">
        <f t="shared" si="146"/>
        <v>0</v>
      </c>
    </row>
    <row r="1296" spans="1:28" ht="15" customHeight="1" x14ac:dyDescent="0.3">
      <c r="A1296" s="57" t="s">
        <v>2711</v>
      </c>
      <c r="B1296" s="82">
        <v>45601</v>
      </c>
      <c r="C1296" s="59">
        <f t="shared" si="140"/>
        <v>2024</v>
      </c>
      <c r="D1296" s="59">
        <f t="shared" si="141"/>
        <v>11</v>
      </c>
      <c r="E1296" s="59">
        <f t="shared" si="142"/>
        <v>45</v>
      </c>
      <c r="F1296" s="57" t="s">
        <v>61</v>
      </c>
      <c r="G1296" s="57" t="s">
        <v>43</v>
      </c>
      <c r="H1296" s="57" t="s">
        <v>2712</v>
      </c>
      <c r="I1296" s="57" t="s">
        <v>64</v>
      </c>
      <c r="J1296" s="57" t="s">
        <v>112</v>
      </c>
      <c r="K1296" s="57" t="s">
        <v>71</v>
      </c>
      <c r="L1296" s="57" t="s">
        <v>119</v>
      </c>
      <c r="M1296" s="60">
        <v>797</v>
      </c>
      <c r="N1296" s="57" t="s">
        <v>120</v>
      </c>
      <c r="O1296" s="61">
        <v>208.82</v>
      </c>
      <c r="P1296" s="61">
        <v>166429.54</v>
      </c>
      <c r="Q1296" s="61">
        <v>12133.22</v>
      </c>
      <c r="R1296" s="62">
        <f t="shared" si="143"/>
        <v>7.2903043534218739E-2</v>
      </c>
      <c r="S1296" s="60">
        <v>8</v>
      </c>
      <c r="T1296" s="58">
        <v>45609</v>
      </c>
      <c r="U1296" s="58">
        <v>45614</v>
      </c>
      <c r="V1296" s="63">
        <f t="shared" si="144"/>
        <v>5</v>
      </c>
      <c r="W1296" s="57" t="s">
        <v>125</v>
      </c>
      <c r="X1296" s="64" t="b">
        <f t="shared" si="145"/>
        <v>0</v>
      </c>
      <c r="Y1296" s="60">
        <v>461</v>
      </c>
      <c r="Z1296" s="60">
        <v>104</v>
      </c>
      <c r="AA1296" s="57" t="s">
        <v>84</v>
      </c>
      <c r="AB1296" s="64" t="b">
        <f t="shared" si="146"/>
        <v>1</v>
      </c>
    </row>
    <row r="1297" spans="1:28" ht="15" customHeight="1" x14ac:dyDescent="0.3">
      <c r="A1297" s="65" t="s">
        <v>2713</v>
      </c>
      <c r="B1297" s="81">
        <v>45332</v>
      </c>
      <c r="C1297" s="59">
        <f t="shared" si="140"/>
        <v>2024</v>
      </c>
      <c r="D1297" s="59">
        <f t="shared" si="141"/>
        <v>2</v>
      </c>
      <c r="E1297" s="59">
        <f t="shared" si="142"/>
        <v>6</v>
      </c>
      <c r="F1297" s="65" t="s">
        <v>61</v>
      </c>
      <c r="G1297" s="65" t="s">
        <v>44</v>
      </c>
      <c r="H1297" s="65" t="s">
        <v>2714</v>
      </c>
      <c r="I1297" s="65" t="s">
        <v>68</v>
      </c>
      <c r="J1297" s="65" t="s">
        <v>112</v>
      </c>
      <c r="K1297" s="65" t="s">
        <v>75</v>
      </c>
      <c r="L1297" s="65" t="s">
        <v>119</v>
      </c>
      <c r="M1297" s="67">
        <v>48</v>
      </c>
      <c r="N1297" s="65" t="s">
        <v>140</v>
      </c>
      <c r="O1297" s="68">
        <v>126.03</v>
      </c>
      <c r="P1297" s="68">
        <v>6049.44</v>
      </c>
      <c r="Q1297" s="68">
        <v>444.69</v>
      </c>
      <c r="R1297" s="62">
        <f t="shared" si="143"/>
        <v>7.3509283503927644E-2</v>
      </c>
      <c r="S1297" s="67">
        <v>22</v>
      </c>
      <c r="T1297" s="66">
        <v>45354</v>
      </c>
      <c r="U1297" s="66">
        <v>45353</v>
      </c>
      <c r="V1297" s="63">
        <f t="shared" si="144"/>
        <v>-1</v>
      </c>
      <c r="W1297" s="65" t="s">
        <v>115</v>
      </c>
      <c r="X1297" s="64" t="b">
        <f t="shared" si="145"/>
        <v>1</v>
      </c>
      <c r="Y1297" s="67">
        <v>453</v>
      </c>
      <c r="Z1297" s="67">
        <v>458</v>
      </c>
      <c r="AA1297" s="65" t="s">
        <v>84</v>
      </c>
      <c r="AB1297" s="64" t="b">
        <f t="shared" si="146"/>
        <v>1</v>
      </c>
    </row>
    <row r="1298" spans="1:28" ht="15" customHeight="1" x14ac:dyDescent="0.3">
      <c r="A1298" s="57" t="s">
        <v>2715</v>
      </c>
      <c r="B1298" s="82">
        <v>45208</v>
      </c>
      <c r="C1298" s="59">
        <f t="shared" si="140"/>
        <v>2023</v>
      </c>
      <c r="D1298" s="59">
        <f t="shared" si="141"/>
        <v>10</v>
      </c>
      <c r="E1298" s="59">
        <f t="shared" si="142"/>
        <v>41</v>
      </c>
      <c r="F1298" s="57" t="s">
        <v>59</v>
      </c>
      <c r="G1298" s="57" t="s">
        <v>43</v>
      </c>
      <c r="H1298" s="57" t="s">
        <v>2716</v>
      </c>
      <c r="I1298" s="57" t="s">
        <v>64</v>
      </c>
      <c r="J1298" s="57" t="s">
        <v>143</v>
      </c>
      <c r="K1298" s="57" t="s">
        <v>75</v>
      </c>
      <c r="L1298" s="57" t="s">
        <v>135</v>
      </c>
      <c r="M1298" s="60">
        <v>69</v>
      </c>
      <c r="N1298" s="57" t="s">
        <v>163</v>
      </c>
      <c r="O1298" s="61">
        <v>189.66</v>
      </c>
      <c r="P1298" s="61">
        <v>13086.54</v>
      </c>
      <c r="Q1298" s="61">
        <v>415.98</v>
      </c>
      <c r="R1298" s="62">
        <f t="shared" si="143"/>
        <v>3.1786858864145909E-2</v>
      </c>
      <c r="S1298" s="60">
        <v>28</v>
      </c>
      <c r="T1298" s="58">
        <v>45236</v>
      </c>
      <c r="U1298" s="58">
        <v>45236</v>
      </c>
      <c r="V1298" s="63">
        <f t="shared" si="144"/>
        <v>0</v>
      </c>
      <c r="W1298" s="57" t="s">
        <v>115</v>
      </c>
      <c r="X1298" s="64" t="b">
        <f t="shared" si="145"/>
        <v>1</v>
      </c>
      <c r="Y1298" s="60">
        <v>390</v>
      </c>
      <c r="Z1298" s="60">
        <v>94</v>
      </c>
      <c r="AA1298" s="57" t="s">
        <v>116</v>
      </c>
      <c r="AB1298" s="64" t="b">
        <f t="shared" si="146"/>
        <v>0</v>
      </c>
    </row>
    <row r="1299" spans="1:28" ht="15" customHeight="1" x14ac:dyDescent="0.3">
      <c r="A1299" s="65" t="s">
        <v>2717</v>
      </c>
      <c r="B1299" s="81">
        <v>44935</v>
      </c>
      <c r="C1299" s="59">
        <f t="shared" si="140"/>
        <v>2023</v>
      </c>
      <c r="D1299" s="59">
        <f t="shared" si="141"/>
        <v>1</v>
      </c>
      <c r="E1299" s="59">
        <f t="shared" si="142"/>
        <v>2</v>
      </c>
      <c r="F1299" s="65" t="s">
        <v>55</v>
      </c>
      <c r="G1299" s="65" t="s">
        <v>45</v>
      </c>
      <c r="H1299" s="65" t="s">
        <v>2718</v>
      </c>
      <c r="I1299" s="65" t="s">
        <v>69</v>
      </c>
      <c r="J1299" s="65" t="s">
        <v>151</v>
      </c>
      <c r="K1299" s="65" t="s">
        <v>72</v>
      </c>
      <c r="L1299" s="65" t="s">
        <v>124</v>
      </c>
      <c r="M1299" s="67">
        <v>587</v>
      </c>
      <c r="N1299" s="65" t="s">
        <v>120</v>
      </c>
      <c r="O1299" s="68">
        <v>261.94</v>
      </c>
      <c r="P1299" s="68">
        <v>153758.78</v>
      </c>
      <c r="Q1299" s="68">
        <v>8738.23</v>
      </c>
      <c r="R1299" s="62">
        <f t="shared" si="143"/>
        <v>5.6830770899717074E-2</v>
      </c>
      <c r="S1299" s="67">
        <v>29</v>
      </c>
      <c r="T1299" s="66">
        <v>44964</v>
      </c>
      <c r="U1299" s="66">
        <v>44964</v>
      </c>
      <c r="V1299" s="63">
        <f t="shared" si="144"/>
        <v>0</v>
      </c>
      <c r="W1299" s="65" t="s">
        <v>115</v>
      </c>
      <c r="X1299" s="64" t="b">
        <f t="shared" si="145"/>
        <v>1</v>
      </c>
      <c r="Y1299" s="67">
        <v>180</v>
      </c>
      <c r="Z1299" s="67">
        <v>218</v>
      </c>
      <c r="AA1299" s="65" t="s">
        <v>83</v>
      </c>
      <c r="AB1299" s="64" t="b">
        <f t="shared" si="146"/>
        <v>1</v>
      </c>
    </row>
    <row r="1300" spans="1:28" ht="15" customHeight="1" x14ac:dyDescent="0.3">
      <c r="A1300" s="57" t="s">
        <v>2719</v>
      </c>
      <c r="B1300" s="82">
        <v>45506</v>
      </c>
      <c r="C1300" s="59">
        <f t="shared" si="140"/>
        <v>2024</v>
      </c>
      <c r="D1300" s="59">
        <f t="shared" si="141"/>
        <v>8</v>
      </c>
      <c r="E1300" s="59">
        <f t="shared" si="142"/>
        <v>31</v>
      </c>
      <c r="F1300" s="57" t="s">
        <v>52</v>
      </c>
      <c r="G1300" s="57" t="s">
        <v>39</v>
      </c>
      <c r="H1300" s="57" t="s">
        <v>2720</v>
      </c>
      <c r="I1300" s="57" t="s">
        <v>64</v>
      </c>
      <c r="J1300" s="57" t="s">
        <v>112</v>
      </c>
      <c r="K1300" s="57" t="s">
        <v>74</v>
      </c>
      <c r="L1300" s="57" t="s">
        <v>156</v>
      </c>
      <c r="M1300" s="60">
        <v>330</v>
      </c>
      <c r="N1300" s="57" t="s">
        <v>132</v>
      </c>
      <c r="O1300" s="61">
        <v>2173.41</v>
      </c>
      <c r="P1300" s="61">
        <v>717225.3</v>
      </c>
      <c r="Q1300" s="61">
        <v>18119.3</v>
      </c>
      <c r="R1300" s="62">
        <f t="shared" si="143"/>
        <v>2.5263051930822851E-2</v>
      </c>
      <c r="S1300" s="60">
        <v>8</v>
      </c>
      <c r="T1300" s="58">
        <v>45514</v>
      </c>
      <c r="U1300" s="58">
        <v>45514</v>
      </c>
      <c r="V1300" s="63">
        <f t="shared" si="144"/>
        <v>0</v>
      </c>
      <c r="W1300" s="57" t="s">
        <v>115</v>
      </c>
      <c r="X1300" s="64" t="b">
        <f t="shared" si="145"/>
        <v>1</v>
      </c>
      <c r="Y1300" s="60">
        <v>144</v>
      </c>
      <c r="Z1300" s="60">
        <v>169</v>
      </c>
      <c r="AA1300" s="57" t="s">
        <v>116</v>
      </c>
      <c r="AB1300" s="64" t="b">
        <f t="shared" si="146"/>
        <v>0</v>
      </c>
    </row>
    <row r="1301" spans="1:28" ht="15" customHeight="1" x14ac:dyDescent="0.3">
      <c r="A1301" s="65" t="s">
        <v>2721</v>
      </c>
      <c r="B1301" s="81">
        <v>45629</v>
      </c>
      <c r="C1301" s="59">
        <f t="shared" si="140"/>
        <v>2024</v>
      </c>
      <c r="D1301" s="59">
        <f t="shared" si="141"/>
        <v>12</v>
      </c>
      <c r="E1301" s="59">
        <f t="shared" si="142"/>
        <v>49</v>
      </c>
      <c r="F1301" s="65" t="s">
        <v>57</v>
      </c>
      <c r="G1301" s="65" t="s">
        <v>43</v>
      </c>
      <c r="H1301" s="65" t="s">
        <v>2722</v>
      </c>
      <c r="I1301" s="65" t="s">
        <v>64</v>
      </c>
      <c r="J1301" s="65" t="s">
        <v>139</v>
      </c>
      <c r="K1301" s="65" t="s">
        <v>71</v>
      </c>
      <c r="L1301" s="65" t="s">
        <v>119</v>
      </c>
      <c r="M1301" s="67">
        <v>444</v>
      </c>
      <c r="N1301" s="65" t="s">
        <v>120</v>
      </c>
      <c r="O1301" s="68">
        <v>290.52</v>
      </c>
      <c r="P1301" s="68">
        <v>128990.88</v>
      </c>
      <c r="Q1301" s="68">
        <v>5610.1</v>
      </c>
      <c r="R1301" s="62">
        <f t="shared" si="143"/>
        <v>4.3492222085778472E-2</v>
      </c>
      <c r="S1301" s="67">
        <v>11</v>
      </c>
      <c r="T1301" s="66">
        <v>45640</v>
      </c>
      <c r="U1301" s="66">
        <v>45635</v>
      </c>
      <c r="V1301" s="63">
        <f t="shared" si="144"/>
        <v>-5</v>
      </c>
      <c r="W1301" s="65" t="s">
        <v>115</v>
      </c>
      <c r="X1301" s="64" t="b">
        <f t="shared" si="145"/>
        <v>1</v>
      </c>
      <c r="Y1301" s="67">
        <v>314</v>
      </c>
      <c r="Z1301" s="67">
        <v>365</v>
      </c>
      <c r="AA1301" s="65" t="s">
        <v>116</v>
      </c>
      <c r="AB1301" s="64" t="b">
        <f t="shared" si="146"/>
        <v>0</v>
      </c>
    </row>
    <row r="1302" spans="1:28" ht="15" customHeight="1" x14ac:dyDescent="0.3">
      <c r="A1302" s="57" t="s">
        <v>2723</v>
      </c>
      <c r="B1302" s="82">
        <v>44977</v>
      </c>
      <c r="C1302" s="59">
        <f t="shared" si="140"/>
        <v>2023</v>
      </c>
      <c r="D1302" s="59">
        <f t="shared" si="141"/>
        <v>2</v>
      </c>
      <c r="E1302" s="59">
        <f t="shared" si="142"/>
        <v>8</v>
      </c>
      <c r="F1302" s="57" t="s">
        <v>58</v>
      </c>
      <c r="G1302" s="57" t="s">
        <v>45</v>
      </c>
      <c r="H1302" s="57" t="s">
        <v>2724</v>
      </c>
      <c r="I1302" s="57" t="s">
        <v>69</v>
      </c>
      <c r="J1302" s="57" t="s">
        <v>151</v>
      </c>
      <c r="K1302" s="57" t="s">
        <v>74</v>
      </c>
      <c r="L1302" s="57" t="s">
        <v>146</v>
      </c>
      <c r="M1302" s="60">
        <v>645</v>
      </c>
      <c r="N1302" s="57" t="s">
        <v>136</v>
      </c>
      <c r="O1302" s="61">
        <v>167.97</v>
      </c>
      <c r="P1302" s="61">
        <v>108340.65</v>
      </c>
      <c r="Q1302" s="61">
        <v>6803.72</v>
      </c>
      <c r="R1302" s="62">
        <f t="shared" si="143"/>
        <v>6.2799327860779866E-2</v>
      </c>
      <c r="S1302" s="60">
        <v>9</v>
      </c>
      <c r="T1302" s="58">
        <v>44986</v>
      </c>
      <c r="U1302" s="58">
        <v>44986</v>
      </c>
      <c r="V1302" s="63">
        <f t="shared" si="144"/>
        <v>0</v>
      </c>
      <c r="W1302" s="57" t="s">
        <v>115</v>
      </c>
      <c r="X1302" s="64" t="b">
        <f t="shared" si="145"/>
        <v>1</v>
      </c>
      <c r="Y1302" s="60">
        <v>264</v>
      </c>
      <c r="Z1302" s="60">
        <v>431</v>
      </c>
      <c r="AA1302" s="57" t="s">
        <v>116</v>
      </c>
      <c r="AB1302" s="64" t="b">
        <f t="shared" si="146"/>
        <v>0</v>
      </c>
    </row>
    <row r="1303" spans="1:28" ht="15" customHeight="1" x14ac:dyDescent="0.3">
      <c r="A1303" s="65" t="s">
        <v>2725</v>
      </c>
      <c r="B1303" s="81">
        <v>45547</v>
      </c>
      <c r="C1303" s="59">
        <f t="shared" si="140"/>
        <v>2024</v>
      </c>
      <c r="D1303" s="59">
        <f t="shared" si="141"/>
        <v>9</v>
      </c>
      <c r="E1303" s="59">
        <f t="shared" si="142"/>
        <v>37</v>
      </c>
      <c r="F1303" s="65" t="s">
        <v>53</v>
      </c>
      <c r="G1303" s="65" t="s">
        <v>44</v>
      </c>
      <c r="H1303" s="65" t="s">
        <v>2726</v>
      </c>
      <c r="I1303" s="65" t="s">
        <v>66</v>
      </c>
      <c r="J1303" s="65" t="s">
        <v>131</v>
      </c>
      <c r="K1303" s="65" t="s">
        <v>75</v>
      </c>
      <c r="L1303" s="65" t="s">
        <v>119</v>
      </c>
      <c r="M1303" s="67">
        <v>685</v>
      </c>
      <c r="N1303" s="65" t="s">
        <v>136</v>
      </c>
      <c r="O1303" s="68">
        <v>167.98</v>
      </c>
      <c r="P1303" s="68">
        <v>115066.3</v>
      </c>
      <c r="Q1303" s="68">
        <v>6853.97</v>
      </c>
      <c r="R1303" s="62">
        <f t="shared" si="143"/>
        <v>5.9565398383366809E-2</v>
      </c>
      <c r="S1303" s="67">
        <v>5</v>
      </c>
      <c r="T1303" s="66">
        <v>45552</v>
      </c>
      <c r="U1303" s="66">
        <v>45557</v>
      </c>
      <c r="V1303" s="63">
        <f t="shared" si="144"/>
        <v>5</v>
      </c>
      <c r="W1303" s="65" t="s">
        <v>128</v>
      </c>
      <c r="X1303" s="64" t="b">
        <f t="shared" si="145"/>
        <v>0</v>
      </c>
      <c r="Y1303" s="67">
        <v>222</v>
      </c>
      <c r="Z1303" s="67">
        <v>282</v>
      </c>
      <c r="AA1303" s="65" t="s">
        <v>84</v>
      </c>
      <c r="AB1303" s="64" t="b">
        <f t="shared" si="146"/>
        <v>1</v>
      </c>
    </row>
    <row r="1304" spans="1:28" ht="15" customHeight="1" x14ac:dyDescent="0.3">
      <c r="A1304" s="57" t="s">
        <v>2727</v>
      </c>
      <c r="B1304" s="82">
        <v>45435</v>
      </c>
      <c r="C1304" s="59">
        <f t="shared" si="140"/>
        <v>2024</v>
      </c>
      <c r="D1304" s="59">
        <f t="shared" si="141"/>
        <v>5</v>
      </c>
      <c r="E1304" s="59">
        <f t="shared" si="142"/>
        <v>21</v>
      </c>
      <c r="F1304" s="57" t="s">
        <v>58</v>
      </c>
      <c r="G1304" s="57" t="s">
        <v>46</v>
      </c>
      <c r="H1304" s="57" t="s">
        <v>2728</v>
      </c>
      <c r="I1304" s="57" t="s">
        <v>66</v>
      </c>
      <c r="J1304" s="57" t="s">
        <v>143</v>
      </c>
      <c r="K1304" s="57" t="s">
        <v>71</v>
      </c>
      <c r="L1304" s="57" t="s">
        <v>113</v>
      </c>
      <c r="M1304" s="60">
        <v>417</v>
      </c>
      <c r="N1304" s="57" t="s">
        <v>140</v>
      </c>
      <c r="O1304" s="61">
        <v>77.400000000000006</v>
      </c>
      <c r="P1304" s="61">
        <v>32275.8</v>
      </c>
      <c r="Q1304" s="61">
        <v>1855.28</v>
      </c>
      <c r="R1304" s="62">
        <f t="shared" si="143"/>
        <v>5.748207635442034E-2</v>
      </c>
      <c r="S1304" s="60">
        <v>14</v>
      </c>
      <c r="T1304" s="58">
        <v>45449</v>
      </c>
      <c r="U1304" s="58">
        <v>45449</v>
      </c>
      <c r="V1304" s="63">
        <f t="shared" si="144"/>
        <v>0</v>
      </c>
      <c r="W1304" s="57" t="s">
        <v>115</v>
      </c>
      <c r="X1304" s="64" t="b">
        <f t="shared" si="145"/>
        <v>1</v>
      </c>
      <c r="Y1304" s="60">
        <v>405</v>
      </c>
      <c r="Z1304" s="60">
        <v>127</v>
      </c>
      <c r="AA1304" s="57" t="s">
        <v>116</v>
      </c>
      <c r="AB1304" s="64" t="b">
        <f t="shared" si="146"/>
        <v>0</v>
      </c>
    </row>
    <row r="1305" spans="1:28" ht="15" customHeight="1" x14ac:dyDescent="0.3">
      <c r="A1305" s="65" t="s">
        <v>2729</v>
      </c>
      <c r="B1305" s="81">
        <v>45220</v>
      </c>
      <c r="C1305" s="59">
        <f t="shared" si="140"/>
        <v>2023</v>
      </c>
      <c r="D1305" s="59">
        <f t="shared" si="141"/>
        <v>10</v>
      </c>
      <c r="E1305" s="59">
        <f t="shared" si="142"/>
        <v>42</v>
      </c>
      <c r="F1305" s="65" t="s">
        <v>61</v>
      </c>
      <c r="G1305" s="65" t="s">
        <v>42</v>
      </c>
      <c r="H1305" s="65" t="s">
        <v>2730</v>
      </c>
      <c r="I1305" s="65" t="s">
        <v>64</v>
      </c>
      <c r="J1305" s="65" t="s">
        <v>112</v>
      </c>
      <c r="K1305" s="65" t="s">
        <v>73</v>
      </c>
      <c r="L1305" s="65" t="s">
        <v>156</v>
      </c>
      <c r="M1305" s="67">
        <v>932</v>
      </c>
      <c r="N1305" s="65" t="s">
        <v>114</v>
      </c>
      <c r="O1305" s="68">
        <v>72.180000000000007</v>
      </c>
      <c r="P1305" s="68">
        <v>67271.759999999995</v>
      </c>
      <c r="Q1305" s="68">
        <v>2485.86</v>
      </c>
      <c r="R1305" s="62">
        <f t="shared" si="143"/>
        <v>3.6952504290061687E-2</v>
      </c>
      <c r="S1305" s="67">
        <v>28</v>
      </c>
      <c r="T1305" s="66">
        <v>45248</v>
      </c>
      <c r="U1305" s="66">
        <v>45248</v>
      </c>
      <c r="V1305" s="63">
        <f t="shared" si="144"/>
        <v>0</v>
      </c>
      <c r="W1305" s="65" t="s">
        <v>115</v>
      </c>
      <c r="X1305" s="64" t="b">
        <f t="shared" si="145"/>
        <v>1</v>
      </c>
      <c r="Y1305" s="67">
        <v>300</v>
      </c>
      <c r="Z1305" s="67">
        <v>199</v>
      </c>
      <c r="AA1305" s="65" t="s">
        <v>116</v>
      </c>
      <c r="AB1305" s="64" t="b">
        <f t="shared" si="146"/>
        <v>0</v>
      </c>
    </row>
    <row r="1306" spans="1:28" ht="15" customHeight="1" x14ac:dyDescent="0.3">
      <c r="A1306" s="57" t="s">
        <v>2731</v>
      </c>
      <c r="B1306" s="82">
        <v>45162</v>
      </c>
      <c r="C1306" s="59">
        <f t="shared" si="140"/>
        <v>2023</v>
      </c>
      <c r="D1306" s="59">
        <f t="shared" si="141"/>
        <v>8</v>
      </c>
      <c r="E1306" s="59">
        <f t="shared" si="142"/>
        <v>34</v>
      </c>
      <c r="F1306" s="57" t="s">
        <v>61</v>
      </c>
      <c r="G1306" s="57" t="s">
        <v>44</v>
      </c>
      <c r="H1306" s="57" t="s">
        <v>2732</v>
      </c>
      <c r="I1306" s="57" t="s">
        <v>69</v>
      </c>
      <c r="J1306" s="57" t="s">
        <v>123</v>
      </c>
      <c r="K1306" s="57" t="s">
        <v>73</v>
      </c>
      <c r="L1306" s="57" t="s">
        <v>135</v>
      </c>
      <c r="M1306" s="60">
        <v>395</v>
      </c>
      <c r="N1306" s="57" t="s">
        <v>140</v>
      </c>
      <c r="O1306" s="61">
        <v>90.46</v>
      </c>
      <c r="P1306" s="61">
        <v>35731.699999999997</v>
      </c>
      <c r="Q1306" s="61">
        <v>1525.08</v>
      </c>
      <c r="R1306" s="62">
        <f t="shared" si="143"/>
        <v>4.2681428535446118E-2</v>
      </c>
      <c r="S1306" s="60">
        <v>3</v>
      </c>
      <c r="T1306" s="58">
        <v>45165</v>
      </c>
      <c r="U1306" s="58">
        <v>45165</v>
      </c>
      <c r="V1306" s="63">
        <f t="shared" si="144"/>
        <v>0</v>
      </c>
      <c r="W1306" s="57" t="s">
        <v>115</v>
      </c>
      <c r="X1306" s="64" t="b">
        <f t="shared" si="145"/>
        <v>1</v>
      </c>
      <c r="Y1306" s="60">
        <v>456</v>
      </c>
      <c r="Z1306" s="60">
        <v>416</v>
      </c>
      <c r="AA1306" s="57" t="s">
        <v>83</v>
      </c>
      <c r="AB1306" s="64" t="b">
        <f t="shared" si="146"/>
        <v>1</v>
      </c>
    </row>
    <row r="1307" spans="1:28" ht="15" customHeight="1" x14ac:dyDescent="0.3">
      <c r="A1307" s="65" t="s">
        <v>2733</v>
      </c>
      <c r="B1307" s="81">
        <v>45548</v>
      </c>
      <c r="C1307" s="59">
        <f t="shared" si="140"/>
        <v>2024</v>
      </c>
      <c r="D1307" s="59">
        <f t="shared" si="141"/>
        <v>9</v>
      </c>
      <c r="E1307" s="59">
        <f t="shared" si="142"/>
        <v>37</v>
      </c>
      <c r="F1307" s="65" t="s">
        <v>55</v>
      </c>
      <c r="G1307" s="65" t="s">
        <v>41</v>
      </c>
      <c r="H1307" s="65" t="s">
        <v>2734</v>
      </c>
      <c r="I1307" s="65" t="s">
        <v>66</v>
      </c>
      <c r="J1307" s="65" t="s">
        <v>151</v>
      </c>
      <c r="K1307" s="65" t="s">
        <v>71</v>
      </c>
      <c r="L1307" s="65" t="s">
        <v>119</v>
      </c>
      <c r="M1307" s="67">
        <v>680</v>
      </c>
      <c r="N1307" s="65" t="s">
        <v>114</v>
      </c>
      <c r="O1307" s="68">
        <v>457.2</v>
      </c>
      <c r="P1307" s="68">
        <v>310896</v>
      </c>
      <c r="Q1307" s="68">
        <v>8138.25</v>
      </c>
      <c r="R1307" s="62">
        <f t="shared" si="143"/>
        <v>2.6176760074108383E-2</v>
      </c>
      <c r="S1307" s="67">
        <v>21</v>
      </c>
      <c r="T1307" s="66">
        <v>45569</v>
      </c>
      <c r="U1307" s="66">
        <v>45574</v>
      </c>
      <c r="V1307" s="63">
        <f t="shared" si="144"/>
        <v>5</v>
      </c>
      <c r="W1307" s="65" t="s">
        <v>125</v>
      </c>
      <c r="X1307" s="64" t="b">
        <f t="shared" si="145"/>
        <v>0</v>
      </c>
      <c r="Y1307" s="67">
        <v>442</v>
      </c>
      <c r="Z1307" s="67">
        <v>331</v>
      </c>
      <c r="AA1307" s="65" t="s">
        <v>82</v>
      </c>
      <c r="AB1307" s="64" t="b">
        <f t="shared" si="146"/>
        <v>1</v>
      </c>
    </row>
    <row r="1308" spans="1:28" ht="15" customHeight="1" x14ac:dyDescent="0.3">
      <c r="A1308" s="57" t="s">
        <v>2735</v>
      </c>
      <c r="B1308" s="82">
        <v>45287</v>
      </c>
      <c r="C1308" s="59">
        <f t="shared" si="140"/>
        <v>2023</v>
      </c>
      <c r="D1308" s="59">
        <f t="shared" si="141"/>
        <v>12</v>
      </c>
      <c r="E1308" s="59">
        <f t="shared" si="142"/>
        <v>52</v>
      </c>
      <c r="F1308" s="57" t="s">
        <v>58</v>
      </c>
      <c r="G1308" s="57" t="s">
        <v>39</v>
      </c>
      <c r="H1308" s="57" t="s">
        <v>2736</v>
      </c>
      <c r="I1308" s="57" t="s">
        <v>67</v>
      </c>
      <c r="J1308" s="57" t="s">
        <v>131</v>
      </c>
      <c r="K1308" s="57" t="s">
        <v>74</v>
      </c>
      <c r="L1308" s="57" t="s">
        <v>113</v>
      </c>
      <c r="M1308" s="60">
        <v>578</v>
      </c>
      <c r="N1308" s="57" t="s">
        <v>114</v>
      </c>
      <c r="O1308" s="61">
        <v>2144.65</v>
      </c>
      <c r="P1308" s="61">
        <v>1239607.7</v>
      </c>
      <c r="Q1308" s="61">
        <v>78270.53</v>
      </c>
      <c r="R1308" s="62">
        <f t="shared" si="143"/>
        <v>6.3141371258019774E-2</v>
      </c>
      <c r="S1308" s="60">
        <v>5</v>
      </c>
      <c r="T1308" s="58">
        <v>45292</v>
      </c>
      <c r="U1308" s="58">
        <v>45292</v>
      </c>
      <c r="V1308" s="63">
        <f t="shared" si="144"/>
        <v>0</v>
      </c>
      <c r="W1308" s="57" t="s">
        <v>115</v>
      </c>
      <c r="X1308" s="64" t="b">
        <f t="shared" si="145"/>
        <v>1</v>
      </c>
      <c r="Y1308" s="60">
        <v>335</v>
      </c>
      <c r="Z1308" s="60">
        <v>34</v>
      </c>
      <c r="AA1308" s="57" t="s">
        <v>82</v>
      </c>
      <c r="AB1308" s="64" t="b">
        <f t="shared" si="146"/>
        <v>1</v>
      </c>
    </row>
    <row r="1309" spans="1:28" ht="15" customHeight="1" x14ac:dyDescent="0.3">
      <c r="A1309" s="65" t="s">
        <v>2737</v>
      </c>
      <c r="B1309" s="81">
        <v>45151</v>
      </c>
      <c r="C1309" s="59">
        <f t="shared" si="140"/>
        <v>2023</v>
      </c>
      <c r="D1309" s="59">
        <f t="shared" si="141"/>
        <v>8</v>
      </c>
      <c r="E1309" s="59">
        <f t="shared" si="142"/>
        <v>33</v>
      </c>
      <c r="F1309" s="65" t="s">
        <v>58</v>
      </c>
      <c r="G1309" s="65" t="s">
        <v>46</v>
      </c>
      <c r="H1309" s="65" t="s">
        <v>2738</v>
      </c>
      <c r="I1309" s="65" t="s">
        <v>65</v>
      </c>
      <c r="J1309" s="65" t="s">
        <v>123</v>
      </c>
      <c r="K1309" s="65" t="s">
        <v>74</v>
      </c>
      <c r="L1309" s="65" t="s">
        <v>146</v>
      </c>
      <c r="M1309" s="67">
        <v>87</v>
      </c>
      <c r="N1309" s="65" t="s">
        <v>114</v>
      </c>
      <c r="O1309" s="68">
        <v>72.39</v>
      </c>
      <c r="P1309" s="68">
        <v>6297.93</v>
      </c>
      <c r="Q1309" s="68">
        <v>316.37</v>
      </c>
      <c r="R1309" s="62">
        <f t="shared" si="143"/>
        <v>5.023396576335399E-2</v>
      </c>
      <c r="S1309" s="67">
        <v>5</v>
      </c>
      <c r="T1309" s="66">
        <v>45156</v>
      </c>
      <c r="U1309" s="66">
        <v>45157</v>
      </c>
      <c r="V1309" s="63">
        <f t="shared" si="144"/>
        <v>1</v>
      </c>
      <c r="W1309" s="65" t="s">
        <v>125</v>
      </c>
      <c r="X1309" s="64" t="b">
        <f t="shared" si="145"/>
        <v>0</v>
      </c>
      <c r="Y1309" s="67">
        <v>483</v>
      </c>
      <c r="Z1309" s="67">
        <v>353</v>
      </c>
      <c r="AA1309" s="65" t="s">
        <v>116</v>
      </c>
      <c r="AB1309" s="64" t="b">
        <f t="shared" si="146"/>
        <v>0</v>
      </c>
    </row>
    <row r="1310" spans="1:28" ht="15" customHeight="1" x14ac:dyDescent="0.3">
      <c r="A1310" s="57" t="s">
        <v>2739</v>
      </c>
      <c r="B1310" s="82">
        <v>45578</v>
      </c>
      <c r="C1310" s="59">
        <f t="shared" si="140"/>
        <v>2024</v>
      </c>
      <c r="D1310" s="59">
        <f t="shared" si="141"/>
        <v>10</v>
      </c>
      <c r="E1310" s="59">
        <f t="shared" si="142"/>
        <v>42</v>
      </c>
      <c r="F1310" s="57" t="s">
        <v>57</v>
      </c>
      <c r="G1310" s="57" t="s">
        <v>41</v>
      </c>
      <c r="H1310" s="57" t="s">
        <v>2740</v>
      </c>
      <c r="I1310" s="57" t="s">
        <v>65</v>
      </c>
      <c r="J1310" s="57" t="s">
        <v>131</v>
      </c>
      <c r="K1310" s="57" t="s">
        <v>73</v>
      </c>
      <c r="L1310" s="57" t="s">
        <v>146</v>
      </c>
      <c r="M1310" s="60">
        <v>203</v>
      </c>
      <c r="N1310" s="57" t="s">
        <v>114</v>
      </c>
      <c r="O1310" s="61">
        <v>638.41999999999996</v>
      </c>
      <c r="P1310" s="61">
        <v>129599.26</v>
      </c>
      <c r="Q1310" s="61">
        <v>8103.32</v>
      </c>
      <c r="R1310" s="62">
        <f t="shared" si="143"/>
        <v>6.2525974299544609E-2</v>
      </c>
      <c r="S1310" s="60">
        <v>19</v>
      </c>
      <c r="T1310" s="58">
        <v>45597</v>
      </c>
      <c r="U1310" s="58">
        <v>45598</v>
      </c>
      <c r="V1310" s="63">
        <f t="shared" si="144"/>
        <v>1</v>
      </c>
      <c r="W1310" s="57" t="s">
        <v>125</v>
      </c>
      <c r="X1310" s="64" t="b">
        <f t="shared" si="145"/>
        <v>0</v>
      </c>
      <c r="Y1310" s="60">
        <v>481</v>
      </c>
      <c r="Z1310" s="60">
        <v>143</v>
      </c>
      <c r="AA1310" s="57" t="s">
        <v>116</v>
      </c>
      <c r="AB1310" s="64" t="b">
        <f t="shared" si="146"/>
        <v>0</v>
      </c>
    </row>
    <row r="1311" spans="1:28" ht="15" customHeight="1" x14ac:dyDescent="0.3">
      <c r="A1311" s="65" t="s">
        <v>2741</v>
      </c>
      <c r="B1311" s="81">
        <v>45121</v>
      </c>
      <c r="C1311" s="59">
        <f t="shared" si="140"/>
        <v>2023</v>
      </c>
      <c r="D1311" s="59">
        <f t="shared" si="141"/>
        <v>7</v>
      </c>
      <c r="E1311" s="59">
        <f t="shared" si="142"/>
        <v>28</v>
      </c>
      <c r="F1311" s="65" t="s">
        <v>55</v>
      </c>
      <c r="G1311" s="65" t="s">
        <v>41</v>
      </c>
      <c r="H1311" s="65" t="s">
        <v>2742</v>
      </c>
      <c r="I1311" s="65" t="s">
        <v>68</v>
      </c>
      <c r="J1311" s="65" t="s">
        <v>112</v>
      </c>
      <c r="K1311" s="65" t="s">
        <v>73</v>
      </c>
      <c r="L1311" s="65" t="s">
        <v>135</v>
      </c>
      <c r="M1311" s="67">
        <v>294</v>
      </c>
      <c r="N1311" s="65" t="s">
        <v>136</v>
      </c>
      <c r="O1311" s="68">
        <v>452.86</v>
      </c>
      <c r="P1311" s="68">
        <v>133140.84</v>
      </c>
      <c r="Q1311" s="68">
        <v>4651.49</v>
      </c>
      <c r="R1311" s="62">
        <f t="shared" si="143"/>
        <v>3.4936612988171023E-2</v>
      </c>
      <c r="S1311" s="67">
        <v>27</v>
      </c>
      <c r="T1311" s="66">
        <v>45148</v>
      </c>
      <c r="U1311" s="66">
        <v>45145</v>
      </c>
      <c r="V1311" s="63">
        <f t="shared" si="144"/>
        <v>-3</v>
      </c>
      <c r="W1311" s="65" t="s">
        <v>115</v>
      </c>
      <c r="X1311" s="64" t="b">
        <f t="shared" si="145"/>
        <v>1</v>
      </c>
      <c r="Y1311" s="67">
        <v>236</v>
      </c>
      <c r="Z1311" s="67">
        <v>291</v>
      </c>
      <c r="AA1311" s="65" t="s">
        <v>116</v>
      </c>
      <c r="AB1311" s="64" t="b">
        <f t="shared" si="146"/>
        <v>0</v>
      </c>
    </row>
    <row r="1312" spans="1:28" ht="15" customHeight="1" x14ac:dyDescent="0.3">
      <c r="A1312" s="57" t="s">
        <v>2743</v>
      </c>
      <c r="B1312" s="82">
        <v>45562</v>
      </c>
      <c r="C1312" s="59">
        <f t="shared" si="140"/>
        <v>2024</v>
      </c>
      <c r="D1312" s="59">
        <f t="shared" si="141"/>
        <v>9</v>
      </c>
      <c r="E1312" s="59">
        <f t="shared" si="142"/>
        <v>39</v>
      </c>
      <c r="F1312" s="57" t="s">
        <v>55</v>
      </c>
      <c r="G1312" s="57" t="s">
        <v>39</v>
      </c>
      <c r="H1312" s="57" t="s">
        <v>2744</v>
      </c>
      <c r="I1312" s="57" t="s">
        <v>65</v>
      </c>
      <c r="J1312" s="57" t="s">
        <v>123</v>
      </c>
      <c r="K1312" s="57" t="s">
        <v>75</v>
      </c>
      <c r="L1312" s="57" t="s">
        <v>135</v>
      </c>
      <c r="M1312" s="60">
        <v>536</v>
      </c>
      <c r="N1312" s="57" t="s">
        <v>136</v>
      </c>
      <c r="O1312" s="61">
        <v>1913.27</v>
      </c>
      <c r="P1312" s="61">
        <v>1025512.72</v>
      </c>
      <c r="Q1312" s="61">
        <v>40473.19</v>
      </c>
      <c r="R1312" s="62">
        <f t="shared" si="143"/>
        <v>3.9466297404872758E-2</v>
      </c>
      <c r="S1312" s="60">
        <v>14</v>
      </c>
      <c r="T1312" s="58">
        <v>45576</v>
      </c>
      <c r="U1312" s="58">
        <v>45575</v>
      </c>
      <c r="V1312" s="63">
        <f t="shared" si="144"/>
        <v>-1</v>
      </c>
      <c r="W1312" s="57" t="s">
        <v>115</v>
      </c>
      <c r="X1312" s="64" t="b">
        <f t="shared" si="145"/>
        <v>1</v>
      </c>
      <c r="Y1312" s="60">
        <v>12</v>
      </c>
      <c r="Z1312" s="60">
        <v>65</v>
      </c>
      <c r="AA1312" s="57" t="s">
        <v>116</v>
      </c>
      <c r="AB1312" s="64" t="b">
        <f t="shared" si="146"/>
        <v>0</v>
      </c>
    </row>
    <row r="1313" spans="1:28" ht="15" customHeight="1" x14ac:dyDescent="0.3">
      <c r="A1313" s="65" t="s">
        <v>2745</v>
      </c>
      <c r="B1313" s="81">
        <v>45183</v>
      </c>
      <c r="C1313" s="59">
        <f t="shared" si="140"/>
        <v>2023</v>
      </c>
      <c r="D1313" s="59">
        <f t="shared" si="141"/>
        <v>9</v>
      </c>
      <c r="E1313" s="59">
        <f t="shared" si="142"/>
        <v>37</v>
      </c>
      <c r="F1313" s="65" t="s">
        <v>59</v>
      </c>
      <c r="G1313" s="65" t="s">
        <v>46</v>
      </c>
      <c r="H1313" s="65" t="s">
        <v>2746</v>
      </c>
      <c r="I1313" s="65" t="s">
        <v>64</v>
      </c>
      <c r="J1313" s="65" t="s">
        <v>112</v>
      </c>
      <c r="K1313" s="65" t="s">
        <v>71</v>
      </c>
      <c r="L1313" s="65" t="s">
        <v>119</v>
      </c>
      <c r="M1313" s="67">
        <v>533</v>
      </c>
      <c r="N1313" s="65" t="s">
        <v>163</v>
      </c>
      <c r="O1313" s="68">
        <v>43.35</v>
      </c>
      <c r="P1313" s="68">
        <v>23105.55</v>
      </c>
      <c r="Q1313" s="68">
        <v>925.44</v>
      </c>
      <c r="R1313" s="62">
        <f t="shared" si="143"/>
        <v>4.0052714607529363E-2</v>
      </c>
      <c r="S1313" s="67">
        <v>26</v>
      </c>
      <c r="T1313" s="66">
        <v>45209</v>
      </c>
      <c r="U1313" s="66">
        <v>45204</v>
      </c>
      <c r="V1313" s="63">
        <f t="shared" si="144"/>
        <v>-5</v>
      </c>
      <c r="W1313" s="65" t="s">
        <v>115</v>
      </c>
      <c r="X1313" s="64" t="b">
        <f t="shared" si="145"/>
        <v>1</v>
      </c>
      <c r="Y1313" s="67">
        <v>338</v>
      </c>
      <c r="Z1313" s="67">
        <v>459</v>
      </c>
      <c r="AA1313" s="65" t="s">
        <v>116</v>
      </c>
      <c r="AB1313" s="64" t="b">
        <f t="shared" si="146"/>
        <v>0</v>
      </c>
    </row>
    <row r="1314" spans="1:28" ht="15" customHeight="1" x14ac:dyDescent="0.3">
      <c r="A1314" s="57" t="s">
        <v>2747</v>
      </c>
      <c r="B1314" s="82">
        <v>45621</v>
      </c>
      <c r="C1314" s="59">
        <f t="shared" si="140"/>
        <v>2024</v>
      </c>
      <c r="D1314" s="59">
        <f t="shared" si="141"/>
        <v>11</v>
      </c>
      <c r="E1314" s="59">
        <f t="shared" si="142"/>
        <v>48</v>
      </c>
      <c r="F1314" s="57" t="s">
        <v>54</v>
      </c>
      <c r="G1314" s="57" t="s">
        <v>40</v>
      </c>
      <c r="H1314" s="57" t="s">
        <v>2748</v>
      </c>
      <c r="I1314" s="57" t="s">
        <v>65</v>
      </c>
      <c r="J1314" s="57" t="s">
        <v>123</v>
      </c>
      <c r="K1314" s="57" t="s">
        <v>74</v>
      </c>
      <c r="L1314" s="57" t="s">
        <v>135</v>
      </c>
      <c r="M1314" s="60">
        <v>622</v>
      </c>
      <c r="N1314" s="57" t="s">
        <v>136</v>
      </c>
      <c r="O1314" s="61">
        <v>800.21</v>
      </c>
      <c r="P1314" s="61">
        <v>497730.62</v>
      </c>
      <c r="Q1314" s="61">
        <v>10723.38</v>
      </c>
      <c r="R1314" s="62">
        <f t="shared" si="143"/>
        <v>2.1544545521430848E-2</v>
      </c>
      <c r="S1314" s="60">
        <v>4</v>
      </c>
      <c r="T1314" s="58">
        <v>45625</v>
      </c>
      <c r="U1314" s="58">
        <v>45627</v>
      </c>
      <c r="V1314" s="63">
        <f t="shared" si="144"/>
        <v>2</v>
      </c>
      <c r="W1314" s="57" t="s">
        <v>125</v>
      </c>
      <c r="X1314" s="64" t="b">
        <f t="shared" si="145"/>
        <v>0</v>
      </c>
      <c r="Y1314" s="60">
        <v>267</v>
      </c>
      <c r="Z1314" s="60">
        <v>218</v>
      </c>
      <c r="AA1314" s="57" t="s">
        <v>84</v>
      </c>
      <c r="AB1314" s="64" t="b">
        <f t="shared" si="146"/>
        <v>1</v>
      </c>
    </row>
    <row r="1315" spans="1:28" ht="15" customHeight="1" x14ac:dyDescent="0.3">
      <c r="A1315" s="65" t="s">
        <v>2749</v>
      </c>
      <c r="B1315" s="81">
        <v>45602</v>
      </c>
      <c r="C1315" s="59">
        <f t="shared" si="140"/>
        <v>2024</v>
      </c>
      <c r="D1315" s="59">
        <f t="shared" si="141"/>
        <v>11</v>
      </c>
      <c r="E1315" s="59">
        <f t="shared" si="142"/>
        <v>45</v>
      </c>
      <c r="F1315" s="65" t="s">
        <v>55</v>
      </c>
      <c r="G1315" s="65" t="s">
        <v>41</v>
      </c>
      <c r="H1315" s="65" t="s">
        <v>2750</v>
      </c>
      <c r="I1315" s="65" t="s">
        <v>65</v>
      </c>
      <c r="J1315" s="65" t="s">
        <v>151</v>
      </c>
      <c r="K1315" s="65" t="s">
        <v>75</v>
      </c>
      <c r="L1315" s="65" t="s">
        <v>124</v>
      </c>
      <c r="M1315" s="67">
        <v>165</v>
      </c>
      <c r="N1315" s="65" t="s">
        <v>140</v>
      </c>
      <c r="O1315" s="68">
        <v>600.70000000000005</v>
      </c>
      <c r="P1315" s="68">
        <v>99115.5</v>
      </c>
      <c r="Q1315" s="68">
        <v>4010.5</v>
      </c>
      <c r="R1315" s="62">
        <f t="shared" si="143"/>
        <v>4.0462894300084248E-2</v>
      </c>
      <c r="S1315" s="67">
        <v>25</v>
      </c>
      <c r="T1315" s="66">
        <v>45627</v>
      </c>
      <c r="U1315" s="66">
        <v>45630</v>
      </c>
      <c r="V1315" s="63">
        <f t="shared" si="144"/>
        <v>3</v>
      </c>
      <c r="W1315" s="65" t="s">
        <v>128</v>
      </c>
      <c r="X1315" s="64" t="b">
        <f t="shared" si="145"/>
        <v>0</v>
      </c>
      <c r="Y1315" s="67">
        <v>419</v>
      </c>
      <c r="Z1315" s="67">
        <v>55</v>
      </c>
      <c r="AA1315" s="65" t="s">
        <v>116</v>
      </c>
      <c r="AB1315" s="64" t="b">
        <f t="shared" si="146"/>
        <v>0</v>
      </c>
    </row>
    <row r="1316" spans="1:28" ht="15" customHeight="1" x14ac:dyDescent="0.3">
      <c r="A1316" s="57" t="s">
        <v>2751</v>
      </c>
      <c r="B1316" s="82">
        <v>45624</v>
      </c>
      <c r="C1316" s="59">
        <f t="shared" si="140"/>
        <v>2024</v>
      </c>
      <c r="D1316" s="59">
        <f t="shared" si="141"/>
        <v>11</v>
      </c>
      <c r="E1316" s="59">
        <f t="shared" si="142"/>
        <v>48</v>
      </c>
      <c r="F1316" s="57" t="s">
        <v>55</v>
      </c>
      <c r="G1316" s="57" t="s">
        <v>41</v>
      </c>
      <c r="H1316" s="57" t="s">
        <v>2752</v>
      </c>
      <c r="I1316" s="57" t="s">
        <v>67</v>
      </c>
      <c r="J1316" s="57" t="s">
        <v>139</v>
      </c>
      <c r="K1316" s="57" t="s">
        <v>74</v>
      </c>
      <c r="L1316" s="57" t="s">
        <v>124</v>
      </c>
      <c r="M1316" s="60">
        <v>349</v>
      </c>
      <c r="N1316" s="57" t="s">
        <v>136</v>
      </c>
      <c r="O1316" s="61">
        <v>408.44</v>
      </c>
      <c r="P1316" s="61">
        <v>142545.56</v>
      </c>
      <c r="Q1316" s="61">
        <v>9721.36</v>
      </c>
      <c r="R1316" s="62">
        <f t="shared" si="143"/>
        <v>6.8198265873731886E-2</v>
      </c>
      <c r="S1316" s="60">
        <v>13</v>
      </c>
      <c r="T1316" s="58">
        <v>45637</v>
      </c>
      <c r="U1316" s="58">
        <v>45637</v>
      </c>
      <c r="V1316" s="63">
        <f t="shared" si="144"/>
        <v>0</v>
      </c>
      <c r="W1316" s="57" t="s">
        <v>115</v>
      </c>
      <c r="X1316" s="64" t="b">
        <f t="shared" si="145"/>
        <v>1</v>
      </c>
      <c r="Y1316" s="60">
        <v>265</v>
      </c>
      <c r="Z1316" s="60">
        <v>144</v>
      </c>
      <c r="AA1316" s="57" t="s">
        <v>83</v>
      </c>
      <c r="AB1316" s="64" t="b">
        <f t="shared" si="146"/>
        <v>1</v>
      </c>
    </row>
    <row r="1317" spans="1:28" ht="15" customHeight="1" x14ac:dyDescent="0.3">
      <c r="A1317" s="65" t="s">
        <v>2753</v>
      </c>
      <c r="B1317" s="81">
        <v>45067</v>
      </c>
      <c r="C1317" s="59">
        <f t="shared" si="140"/>
        <v>2023</v>
      </c>
      <c r="D1317" s="59">
        <f t="shared" si="141"/>
        <v>5</v>
      </c>
      <c r="E1317" s="59">
        <f t="shared" si="142"/>
        <v>21</v>
      </c>
      <c r="F1317" s="65" t="s">
        <v>60</v>
      </c>
      <c r="G1317" s="65" t="s">
        <v>46</v>
      </c>
      <c r="H1317" s="65" t="s">
        <v>2754</v>
      </c>
      <c r="I1317" s="65" t="s">
        <v>66</v>
      </c>
      <c r="J1317" s="65" t="s">
        <v>139</v>
      </c>
      <c r="K1317" s="65" t="s">
        <v>73</v>
      </c>
      <c r="L1317" s="65" t="s">
        <v>113</v>
      </c>
      <c r="M1317" s="67">
        <v>134</v>
      </c>
      <c r="N1317" s="65" t="s">
        <v>140</v>
      </c>
      <c r="O1317" s="68">
        <v>81.5</v>
      </c>
      <c r="P1317" s="68">
        <v>10921</v>
      </c>
      <c r="Q1317" s="68">
        <v>806.38</v>
      </c>
      <c r="R1317" s="62">
        <f t="shared" si="143"/>
        <v>7.3837560662942947E-2</v>
      </c>
      <c r="S1317" s="67">
        <v>10</v>
      </c>
      <c r="T1317" s="66">
        <v>45077</v>
      </c>
      <c r="U1317" s="66">
        <v>45077</v>
      </c>
      <c r="V1317" s="63">
        <f t="shared" si="144"/>
        <v>0</v>
      </c>
      <c r="W1317" s="65" t="s">
        <v>128</v>
      </c>
      <c r="X1317" s="64" t="b">
        <f t="shared" si="145"/>
        <v>0</v>
      </c>
      <c r="Y1317" s="67">
        <v>15</v>
      </c>
      <c r="Z1317" s="67">
        <v>403</v>
      </c>
      <c r="AA1317" s="65" t="s">
        <v>116</v>
      </c>
      <c r="AB1317" s="64" t="b">
        <f t="shared" si="146"/>
        <v>0</v>
      </c>
    </row>
    <row r="1318" spans="1:28" ht="15" customHeight="1" x14ac:dyDescent="0.3">
      <c r="A1318" s="57" t="s">
        <v>2755</v>
      </c>
      <c r="B1318" s="82">
        <v>45570</v>
      </c>
      <c r="C1318" s="59">
        <f t="shared" si="140"/>
        <v>2024</v>
      </c>
      <c r="D1318" s="59">
        <f t="shared" si="141"/>
        <v>10</v>
      </c>
      <c r="E1318" s="59">
        <f t="shared" si="142"/>
        <v>40</v>
      </c>
      <c r="F1318" s="57" t="s">
        <v>52</v>
      </c>
      <c r="G1318" s="57" t="s">
        <v>43</v>
      </c>
      <c r="H1318" s="57" t="s">
        <v>2756</v>
      </c>
      <c r="I1318" s="57" t="s">
        <v>67</v>
      </c>
      <c r="J1318" s="57" t="s">
        <v>131</v>
      </c>
      <c r="K1318" s="57" t="s">
        <v>71</v>
      </c>
      <c r="L1318" s="57" t="s">
        <v>113</v>
      </c>
      <c r="M1318" s="60">
        <v>880</v>
      </c>
      <c r="N1318" s="57" t="s">
        <v>132</v>
      </c>
      <c r="O1318" s="61">
        <v>177.61</v>
      </c>
      <c r="P1318" s="61">
        <v>156296.79999999999</v>
      </c>
      <c r="Q1318" s="61">
        <v>7985.69</v>
      </c>
      <c r="R1318" s="62">
        <f t="shared" si="143"/>
        <v>5.109311259091677E-2</v>
      </c>
      <c r="S1318" s="60">
        <v>25</v>
      </c>
      <c r="T1318" s="58">
        <v>45595</v>
      </c>
      <c r="U1318" s="58">
        <v>45598</v>
      </c>
      <c r="V1318" s="63">
        <f t="shared" si="144"/>
        <v>3</v>
      </c>
      <c r="W1318" s="57" t="s">
        <v>125</v>
      </c>
      <c r="X1318" s="64" t="b">
        <f t="shared" si="145"/>
        <v>0</v>
      </c>
      <c r="Y1318" s="60">
        <v>91</v>
      </c>
      <c r="Z1318" s="60">
        <v>212</v>
      </c>
      <c r="AA1318" s="57" t="s">
        <v>83</v>
      </c>
      <c r="AB1318" s="64" t="b">
        <f t="shared" si="146"/>
        <v>1</v>
      </c>
    </row>
    <row r="1319" spans="1:28" ht="15" customHeight="1" x14ac:dyDescent="0.3">
      <c r="A1319" s="65" t="s">
        <v>2757</v>
      </c>
      <c r="B1319" s="81">
        <v>45026</v>
      </c>
      <c r="C1319" s="59">
        <f t="shared" si="140"/>
        <v>2023</v>
      </c>
      <c r="D1319" s="59">
        <f t="shared" si="141"/>
        <v>4</v>
      </c>
      <c r="E1319" s="59">
        <f t="shared" si="142"/>
        <v>15</v>
      </c>
      <c r="F1319" s="65" t="s">
        <v>52</v>
      </c>
      <c r="G1319" s="65" t="s">
        <v>41</v>
      </c>
      <c r="H1319" s="65" t="s">
        <v>2758</v>
      </c>
      <c r="I1319" s="65" t="s">
        <v>64</v>
      </c>
      <c r="J1319" s="65" t="s">
        <v>143</v>
      </c>
      <c r="K1319" s="65" t="s">
        <v>72</v>
      </c>
      <c r="L1319" s="65" t="s">
        <v>113</v>
      </c>
      <c r="M1319" s="67">
        <v>289</v>
      </c>
      <c r="N1319" s="65" t="s">
        <v>136</v>
      </c>
      <c r="O1319" s="68">
        <v>610.91</v>
      </c>
      <c r="P1319" s="68">
        <v>176552.99</v>
      </c>
      <c r="Q1319" s="68">
        <v>8356.27</v>
      </c>
      <c r="R1319" s="62">
        <f t="shared" si="143"/>
        <v>4.7330096193782957E-2</v>
      </c>
      <c r="S1319" s="67">
        <v>18</v>
      </c>
      <c r="T1319" s="66">
        <v>45044</v>
      </c>
      <c r="U1319" s="66">
        <v>45044</v>
      </c>
      <c r="V1319" s="63">
        <f t="shared" si="144"/>
        <v>0</v>
      </c>
      <c r="W1319" s="65" t="s">
        <v>115</v>
      </c>
      <c r="X1319" s="64" t="b">
        <f t="shared" si="145"/>
        <v>1</v>
      </c>
      <c r="Y1319" s="67">
        <v>247</v>
      </c>
      <c r="Z1319" s="67">
        <v>93</v>
      </c>
      <c r="AA1319" s="65" t="s">
        <v>84</v>
      </c>
      <c r="AB1319" s="64" t="b">
        <f t="shared" si="146"/>
        <v>1</v>
      </c>
    </row>
    <row r="1320" spans="1:28" ht="15" customHeight="1" x14ac:dyDescent="0.3">
      <c r="A1320" s="57" t="s">
        <v>2759</v>
      </c>
      <c r="B1320" s="82">
        <v>45569</v>
      </c>
      <c r="C1320" s="59">
        <f t="shared" si="140"/>
        <v>2024</v>
      </c>
      <c r="D1320" s="59">
        <f t="shared" si="141"/>
        <v>10</v>
      </c>
      <c r="E1320" s="59">
        <f t="shared" si="142"/>
        <v>40</v>
      </c>
      <c r="F1320" s="57" t="s">
        <v>56</v>
      </c>
      <c r="G1320" s="57" t="s">
        <v>42</v>
      </c>
      <c r="H1320" s="57" t="s">
        <v>2760</v>
      </c>
      <c r="I1320" s="57" t="s">
        <v>65</v>
      </c>
      <c r="J1320" s="57" t="s">
        <v>123</v>
      </c>
      <c r="K1320" s="57" t="s">
        <v>71</v>
      </c>
      <c r="L1320" s="57" t="s">
        <v>124</v>
      </c>
      <c r="M1320" s="60">
        <v>926</v>
      </c>
      <c r="N1320" s="57" t="s">
        <v>140</v>
      </c>
      <c r="O1320" s="61">
        <v>81.93</v>
      </c>
      <c r="P1320" s="61">
        <v>75867.179999999993</v>
      </c>
      <c r="Q1320" s="61">
        <v>1657.66</v>
      </c>
      <c r="R1320" s="62">
        <f t="shared" si="143"/>
        <v>2.1849500666823261E-2</v>
      </c>
      <c r="S1320" s="60">
        <v>8</v>
      </c>
      <c r="T1320" s="58">
        <v>45577</v>
      </c>
      <c r="U1320" s="58">
        <v>45589</v>
      </c>
      <c r="V1320" s="63">
        <f t="shared" si="144"/>
        <v>12</v>
      </c>
      <c r="W1320" s="57" t="s">
        <v>125</v>
      </c>
      <c r="X1320" s="64" t="b">
        <f t="shared" si="145"/>
        <v>0</v>
      </c>
      <c r="Y1320" s="60">
        <v>18</v>
      </c>
      <c r="Z1320" s="60">
        <v>105</v>
      </c>
      <c r="AA1320" s="57" t="s">
        <v>84</v>
      </c>
      <c r="AB1320" s="64" t="b">
        <f t="shared" si="146"/>
        <v>1</v>
      </c>
    </row>
    <row r="1321" spans="1:28" ht="15" customHeight="1" x14ac:dyDescent="0.3">
      <c r="A1321" s="65" t="s">
        <v>2761</v>
      </c>
      <c r="B1321" s="81">
        <v>45588</v>
      </c>
      <c r="C1321" s="59">
        <f t="shared" si="140"/>
        <v>2024</v>
      </c>
      <c r="D1321" s="59">
        <f t="shared" si="141"/>
        <v>10</v>
      </c>
      <c r="E1321" s="59">
        <f t="shared" si="142"/>
        <v>43</v>
      </c>
      <c r="F1321" s="65" t="s">
        <v>58</v>
      </c>
      <c r="G1321" s="65" t="s">
        <v>46</v>
      </c>
      <c r="H1321" s="65" t="s">
        <v>2762</v>
      </c>
      <c r="I1321" s="65" t="s">
        <v>66</v>
      </c>
      <c r="J1321" s="65" t="s">
        <v>112</v>
      </c>
      <c r="K1321" s="65" t="s">
        <v>72</v>
      </c>
      <c r="L1321" s="65" t="s">
        <v>119</v>
      </c>
      <c r="M1321" s="67">
        <v>915</v>
      </c>
      <c r="N1321" s="65" t="s">
        <v>114</v>
      </c>
      <c r="O1321" s="68">
        <v>70.61</v>
      </c>
      <c r="P1321" s="68">
        <v>64608.15</v>
      </c>
      <c r="Q1321" s="68">
        <v>4700.3900000000003</v>
      </c>
      <c r="R1321" s="62">
        <f t="shared" si="143"/>
        <v>7.275227660906558E-2</v>
      </c>
      <c r="S1321" s="67">
        <v>8</v>
      </c>
      <c r="T1321" s="66">
        <v>45596</v>
      </c>
      <c r="U1321" s="66">
        <v>45608</v>
      </c>
      <c r="V1321" s="63">
        <f t="shared" si="144"/>
        <v>12</v>
      </c>
      <c r="W1321" s="65" t="s">
        <v>128</v>
      </c>
      <c r="X1321" s="64" t="b">
        <f t="shared" si="145"/>
        <v>0</v>
      </c>
      <c r="Y1321" s="67">
        <v>359</v>
      </c>
      <c r="Z1321" s="67">
        <v>83</v>
      </c>
      <c r="AA1321" s="65" t="s">
        <v>81</v>
      </c>
      <c r="AB1321" s="64" t="b">
        <f t="shared" si="146"/>
        <v>1</v>
      </c>
    </row>
    <row r="1322" spans="1:28" ht="15" customHeight="1" x14ac:dyDescent="0.3">
      <c r="A1322" s="57" t="s">
        <v>2763</v>
      </c>
      <c r="B1322" s="82">
        <v>44967</v>
      </c>
      <c r="C1322" s="59">
        <f t="shared" si="140"/>
        <v>2023</v>
      </c>
      <c r="D1322" s="59">
        <f t="shared" si="141"/>
        <v>2</v>
      </c>
      <c r="E1322" s="59">
        <f t="shared" si="142"/>
        <v>6</v>
      </c>
      <c r="F1322" s="57" t="s">
        <v>53</v>
      </c>
      <c r="G1322" s="57" t="s">
        <v>41</v>
      </c>
      <c r="H1322" s="57" t="s">
        <v>2764</v>
      </c>
      <c r="I1322" s="57" t="s">
        <v>68</v>
      </c>
      <c r="J1322" s="57" t="s">
        <v>143</v>
      </c>
      <c r="K1322" s="57" t="s">
        <v>75</v>
      </c>
      <c r="L1322" s="57" t="s">
        <v>119</v>
      </c>
      <c r="M1322" s="60">
        <v>631</v>
      </c>
      <c r="N1322" s="57" t="s">
        <v>120</v>
      </c>
      <c r="O1322" s="61">
        <v>392.98</v>
      </c>
      <c r="P1322" s="61">
        <v>247970.38</v>
      </c>
      <c r="Q1322" s="61">
        <v>5152.9799999999996</v>
      </c>
      <c r="R1322" s="62">
        <f t="shared" si="143"/>
        <v>2.0780627105543813E-2</v>
      </c>
      <c r="S1322" s="60">
        <v>7</v>
      </c>
      <c r="T1322" s="58">
        <v>44974</v>
      </c>
      <c r="U1322" s="58">
        <v>44986</v>
      </c>
      <c r="V1322" s="63">
        <f t="shared" si="144"/>
        <v>12</v>
      </c>
      <c r="W1322" s="57" t="s">
        <v>128</v>
      </c>
      <c r="X1322" s="64" t="b">
        <f t="shared" si="145"/>
        <v>0</v>
      </c>
      <c r="Y1322" s="60">
        <v>389</v>
      </c>
      <c r="Z1322" s="60">
        <v>135</v>
      </c>
      <c r="AA1322" s="57" t="s">
        <v>83</v>
      </c>
      <c r="AB1322" s="64" t="b">
        <f t="shared" si="146"/>
        <v>1</v>
      </c>
    </row>
    <row r="1323" spans="1:28" ht="15" customHeight="1" x14ac:dyDescent="0.3">
      <c r="A1323" s="65" t="s">
        <v>2765</v>
      </c>
      <c r="B1323" s="81">
        <v>45243</v>
      </c>
      <c r="C1323" s="59">
        <f t="shared" si="140"/>
        <v>2023</v>
      </c>
      <c r="D1323" s="59">
        <f t="shared" si="141"/>
        <v>11</v>
      </c>
      <c r="E1323" s="59">
        <f t="shared" si="142"/>
        <v>46</v>
      </c>
      <c r="F1323" s="65" t="s">
        <v>58</v>
      </c>
      <c r="G1323" s="65" t="s">
        <v>39</v>
      </c>
      <c r="H1323" s="65" t="s">
        <v>2766</v>
      </c>
      <c r="I1323" s="65" t="s">
        <v>68</v>
      </c>
      <c r="J1323" s="65" t="s">
        <v>151</v>
      </c>
      <c r="K1323" s="65" t="s">
        <v>72</v>
      </c>
      <c r="L1323" s="65" t="s">
        <v>135</v>
      </c>
      <c r="M1323" s="67">
        <v>855</v>
      </c>
      <c r="N1323" s="65" t="s">
        <v>114</v>
      </c>
      <c r="O1323" s="68">
        <v>1070.3</v>
      </c>
      <c r="P1323" s="68">
        <v>915106.5</v>
      </c>
      <c r="Q1323" s="68">
        <v>70174.95</v>
      </c>
      <c r="R1323" s="62">
        <f t="shared" si="143"/>
        <v>7.6685008794058387E-2</v>
      </c>
      <c r="S1323" s="67">
        <v>8</v>
      </c>
      <c r="T1323" s="66">
        <v>45251</v>
      </c>
      <c r="U1323" s="66">
        <v>45254</v>
      </c>
      <c r="V1323" s="63">
        <f t="shared" si="144"/>
        <v>3</v>
      </c>
      <c r="W1323" s="65" t="s">
        <v>128</v>
      </c>
      <c r="X1323" s="64" t="b">
        <f t="shared" si="145"/>
        <v>0</v>
      </c>
      <c r="Y1323" s="67">
        <v>387</v>
      </c>
      <c r="Z1323" s="67">
        <v>145</v>
      </c>
      <c r="AA1323" s="65" t="s">
        <v>84</v>
      </c>
      <c r="AB1323" s="64" t="b">
        <f t="shared" si="146"/>
        <v>1</v>
      </c>
    </row>
    <row r="1324" spans="1:28" ht="15" customHeight="1" x14ac:dyDescent="0.3">
      <c r="A1324" s="57" t="s">
        <v>2767</v>
      </c>
      <c r="B1324" s="82">
        <v>45378</v>
      </c>
      <c r="C1324" s="59">
        <f t="shared" si="140"/>
        <v>2024</v>
      </c>
      <c r="D1324" s="59">
        <f t="shared" si="141"/>
        <v>3</v>
      </c>
      <c r="E1324" s="59">
        <f t="shared" si="142"/>
        <v>13</v>
      </c>
      <c r="F1324" s="57" t="s">
        <v>59</v>
      </c>
      <c r="G1324" s="57" t="s">
        <v>44</v>
      </c>
      <c r="H1324" s="57" t="s">
        <v>2768</v>
      </c>
      <c r="I1324" s="57" t="s">
        <v>65</v>
      </c>
      <c r="J1324" s="57" t="s">
        <v>151</v>
      </c>
      <c r="K1324" s="57" t="s">
        <v>72</v>
      </c>
      <c r="L1324" s="57" t="s">
        <v>119</v>
      </c>
      <c r="M1324" s="60">
        <v>878</v>
      </c>
      <c r="N1324" s="57" t="s">
        <v>163</v>
      </c>
      <c r="O1324" s="61">
        <v>171.32</v>
      </c>
      <c r="P1324" s="61">
        <v>150418.96</v>
      </c>
      <c r="Q1324" s="61">
        <v>7423.62</v>
      </c>
      <c r="R1324" s="62">
        <f t="shared" si="143"/>
        <v>4.9352953909533745E-2</v>
      </c>
      <c r="S1324" s="60">
        <v>14</v>
      </c>
      <c r="T1324" s="58">
        <v>45392</v>
      </c>
      <c r="U1324" s="58">
        <v>45392</v>
      </c>
      <c r="V1324" s="63">
        <f t="shared" si="144"/>
        <v>0</v>
      </c>
      <c r="W1324" s="57" t="s">
        <v>115</v>
      </c>
      <c r="X1324" s="64" t="b">
        <f t="shared" si="145"/>
        <v>1</v>
      </c>
      <c r="Y1324" s="60">
        <v>413</v>
      </c>
      <c r="Z1324" s="60">
        <v>248</v>
      </c>
      <c r="AA1324" s="57" t="s">
        <v>83</v>
      </c>
      <c r="AB1324" s="64" t="b">
        <f t="shared" si="146"/>
        <v>1</v>
      </c>
    </row>
    <row r="1325" spans="1:28" ht="15" customHeight="1" x14ac:dyDescent="0.3">
      <c r="A1325" s="65" t="s">
        <v>2769</v>
      </c>
      <c r="B1325" s="81">
        <v>44961</v>
      </c>
      <c r="C1325" s="59">
        <f t="shared" si="140"/>
        <v>2023</v>
      </c>
      <c r="D1325" s="59">
        <f t="shared" si="141"/>
        <v>2</v>
      </c>
      <c r="E1325" s="59">
        <f t="shared" si="142"/>
        <v>5</v>
      </c>
      <c r="F1325" s="65" t="s">
        <v>59</v>
      </c>
      <c r="G1325" s="65" t="s">
        <v>42</v>
      </c>
      <c r="H1325" s="65" t="s">
        <v>2770</v>
      </c>
      <c r="I1325" s="65" t="s">
        <v>65</v>
      </c>
      <c r="J1325" s="65" t="s">
        <v>151</v>
      </c>
      <c r="K1325" s="65" t="s">
        <v>75</v>
      </c>
      <c r="L1325" s="65" t="s">
        <v>113</v>
      </c>
      <c r="M1325" s="67">
        <v>667</v>
      </c>
      <c r="N1325" s="65" t="s">
        <v>140</v>
      </c>
      <c r="O1325" s="68">
        <v>73.260000000000005</v>
      </c>
      <c r="P1325" s="68">
        <v>48864.42</v>
      </c>
      <c r="Q1325" s="68">
        <v>1979.79</v>
      </c>
      <c r="R1325" s="62">
        <f t="shared" si="143"/>
        <v>4.0515982794843364E-2</v>
      </c>
      <c r="S1325" s="67">
        <v>19</v>
      </c>
      <c r="T1325" s="66">
        <v>44980</v>
      </c>
      <c r="U1325" s="66">
        <v>44982</v>
      </c>
      <c r="V1325" s="63">
        <f t="shared" si="144"/>
        <v>2</v>
      </c>
      <c r="W1325" s="65" t="s">
        <v>125</v>
      </c>
      <c r="X1325" s="64" t="b">
        <f t="shared" si="145"/>
        <v>0</v>
      </c>
      <c r="Y1325" s="67">
        <v>102</v>
      </c>
      <c r="Z1325" s="67">
        <v>17</v>
      </c>
      <c r="AA1325" s="65" t="s">
        <v>84</v>
      </c>
      <c r="AB1325" s="64" t="b">
        <f t="shared" si="146"/>
        <v>1</v>
      </c>
    </row>
    <row r="1326" spans="1:28" ht="15" customHeight="1" x14ac:dyDescent="0.3">
      <c r="A1326" s="57" t="s">
        <v>2771</v>
      </c>
      <c r="B1326" s="82">
        <v>45520</v>
      </c>
      <c r="C1326" s="59">
        <f t="shared" si="140"/>
        <v>2024</v>
      </c>
      <c r="D1326" s="59">
        <f t="shared" si="141"/>
        <v>8</v>
      </c>
      <c r="E1326" s="59">
        <f t="shared" si="142"/>
        <v>33</v>
      </c>
      <c r="F1326" s="57" t="s">
        <v>59</v>
      </c>
      <c r="G1326" s="57" t="s">
        <v>45</v>
      </c>
      <c r="H1326" s="57" t="s">
        <v>2772</v>
      </c>
      <c r="I1326" s="57" t="s">
        <v>68</v>
      </c>
      <c r="J1326" s="57" t="s">
        <v>139</v>
      </c>
      <c r="K1326" s="57" t="s">
        <v>71</v>
      </c>
      <c r="L1326" s="57" t="s">
        <v>156</v>
      </c>
      <c r="M1326" s="60">
        <v>737</v>
      </c>
      <c r="N1326" s="57" t="s">
        <v>114</v>
      </c>
      <c r="O1326" s="61">
        <v>271.14999999999998</v>
      </c>
      <c r="P1326" s="61">
        <v>199837.55</v>
      </c>
      <c r="Q1326" s="61">
        <v>15078.36</v>
      </c>
      <c r="R1326" s="62">
        <f t="shared" si="143"/>
        <v>7.5453086769728714E-2</v>
      </c>
      <c r="S1326" s="60">
        <v>29</v>
      </c>
      <c r="T1326" s="58">
        <v>45549</v>
      </c>
      <c r="U1326" s="58">
        <v>45552</v>
      </c>
      <c r="V1326" s="63">
        <f t="shared" si="144"/>
        <v>3</v>
      </c>
      <c r="W1326" s="57" t="s">
        <v>128</v>
      </c>
      <c r="X1326" s="64" t="b">
        <f t="shared" si="145"/>
        <v>0</v>
      </c>
      <c r="Y1326" s="60">
        <v>94</v>
      </c>
      <c r="Z1326" s="60">
        <v>401</v>
      </c>
      <c r="AA1326" s="57" t="s">
        <v>81</v>
      </c>
      <c r="AB1326" s="64" t="b">
        <f t="shared" si="146"/>
        <v>1</v>
      </c>
    </row>
    <row r="1327" spans="1:28" ht="15" customHeight="1" x14ac:dyDescent="0.3">
      <c r="A1327" s="65" t="s">
        <v>2773</v>
      </c>
      <c r="B1327" s="81">
        <v>45300</v>
      </c>
      <c r="C1327" s="59">
        <f t="shared" si="140"/>
        <v>2024</v>
      </c>
      <c r="D1327" s="59">
        <f t="shared" si="141"/>
        <v>1</v>
      </c>
      <c r="E1327" s="59">
        <f t="shared" si="142"/>
        <v>2</v>
      </c>
      <c r="F1327" s="65" t="s">
        <v>54</v>
      </c>
      <c r="G1327" s="65" t="s">
        <v>45</v>
      </c>
      <c r="H1327" s="65" t="s">
        <v>1293</v>
      </c>
      <c r="I1327" s="65" t="s">
        <v>68</v>
      </c>
      <c r="J1327" s="65" t="s">
        <v>112</v>
      </c>
      <c r="K1327" s="65" t="s">
        <v>75</v>
      </c>
      <c r="L1327" s="65" t="s">
        <v>113</v>
      </c>
      <c r="M1327" s="67">
        <v>919</v>
      </c>
      <c r="N1327" s="65" t="s">
        <v>136</v>
      </c>
      <c r="O1327" s="68">
        <v>299.89999999999998</v>
      </c>
      <c r="P1327" s="68">
        <v>275608.09999999998</v>
      </c>
      <c r="Q1327" s="68">
        <v>5915.5</v>
      </c>
      <c r="R1327" s="62">
        <f t="shared" si="143"/>
        <v>2.1463447554698142E-2</v>
      </c>
      <c r="S1327" s="67">
        <v>6</v>
      </c>
      <c r="T1327" s="66">
        <v>45306</v>
      </c>
      <c r="U1327" s="66">
        <v>45306</v>
      </c>
      <c r="V1327" s="63">
        <f t="shared" si="144"/>
        <v>0</v>
      </c>
      <c r="W1327" s="65" t="s">
        <v>128</v>
      </c>
      <c r="X1327" s="64" t="b">
        <f t="shared" si="145"/>
        <v>0</v>
      </c>
      <c r="Y1327" s="67">
        <v>429</v>
      </c>
      <c r="Z1327" s="67">
        <v>124</v>
      </c>
      <c r="AA1327" s="65" t="s">
        <v>84</v>
      </c>
      <c r="AB1327" s="64" t="b">
        <f t="shared" si="146"/>
        <v>1</v>
      </c>
    </row>
    <row r="1328" spans="1:28" ht="15" customHeight="1" x14ac:dyDescent="0.3">
      <c r="A1328" s="57" t="s">
        <v>2774</v>
      </c>
      <c r="B1328" s="82">
        <v>45061</v>
      </c>
      <c r="C1328" s="59">
        <f t="shared" si="140"/>
        <v>2023</v>
      </c>
      <c r="D1328" s="59">
        <f t="shared" si="141"/>
        <v>5</v>
      </c>
      <c r="E1328" s="59">
        <f t="shared" si="142"/>
        <v>20</v>
      </c>
      <c r="F1328" s="57" t="s">
        <v>53</v>
      </c>
      <c r="G1328" s="57" t="s">
        <v>44</v>
      </c>
      <c r="H1328" s="57" t="s">
        <v>2775</v>
      </c>
      <c r="I1328" s="57" t="s">
        <v>64</v>
      </c>
      <c r="J1328" s="57" t="s">
        <v>151</v>
      </c>
      <c r="K1328" s="57" t="s">
        <v>73</v>
      </c>
      <c r="L1328" s="57" t="s">
        <v>124</v>
      </c>
      <c r="M1328" s="60">
        <v>683</v>
      </c>
      <c r="N1328" s="57" t="s">
        <v>136</v>
      </c>
      <c r="O1328" s="61">
        <v>104.3</v>
      </c>
      <c r="P1328" s="61">
        <v>71236.899999999994</v>
      </c>
      <c r="Q1328" s="61">
        <v>3909.87</v>
      </c>
      <c r="R1328" s="62">
        <f t="shared" si="143"/>
        <v>5.4885459642404433E-2</v>
      </c>
      <c r="S1328" s="60">
        <v>1</v>
      </c>
      <c r="T1328" s="58">
        <v>45062</v>
      </c>
      <c r="U1328" s="58">
        <v>45062</v>
      </c>
      <c r="V1328" s="63">
        <f t="shared" si="144"/>
        <v>0</v>
      </c>
      <c r="W1328" s="57" t="s">
        <v>115</v>
      </c>
      <c r="X1328" s="64" t="b">
        <f t="shared" si="145"/>
        <v>1</v>
      </c>
      <c r="Y1328" s="60">
        <v>282</v>
      </c>
      <c r="Z1328" s="60">
        <v>1</v>
      </c>
      <c r="AA1328" s="57" t="s">
        <v>81</v>
      </c>
      <c r="AB1328" s="64" t="b">
        <f t="shared" si="146"/>
        <v>1</v>
      </c>
    </row>
    <row r="1329" spans="1:28" ht="15" customHeight="1" x14ac:dyDescent="0.3">
      <c r="A1329" s="65" t="s">
        <v>2776</v>
      </c>
      <c r="B1329" s="81">
        <v>45019</v>
      </c>
      <c r="C1329" s="59">
        <f t="shared" si="140"/>
        <v>2023</v>
      </c>
      <c r="D1329" s="59">
        <f t="shared" si="141"/>
        <v>4</v>
      </c>
      <c r="E1329" s="59">
        <f t="shared" si="142"/>
        <v>14</v>
      </c>
      <c r="F1329" s="65" t="s">
        <v>52</v>
      </c>
      <c r="G1329" s="65" t="s">
        <v>45</v>
      </c>
      <c r="H1329" s="65" t="s">
        <v>2777</v>
      </c>
      <c r="I1329" s="65" t="s">
        <v>65</v>
      </c>
      <c r="J1329" s="65" t="s">
        <v>151</v>
      </c>
      <c r="K1329" s="65" t="s">
        <v>73</v>
      </c>
      <c r="L1329" s="65" t="s">
        <v>156</v>
      </c>
      <c r="M1329" s="67">
        <v>137</v>
      </c>
      <c r="N1329" s="65" t="s">
        <v>132</v>
      </c>
      <c r="O1329" s="68">
        <v>182.43</v>
      </c>
      <c r="P1329" s="68">
        <v>24992.91</v>
      </c>
      <c r="Q1329" s="68">
        <v>1323.02</v>
      </c>
      <c r="R1329" s="62">
        <f t="shared" si="143"/>
        <v>5.2935812596452352E-2</v>
      </c>
      <c r="S1329" s="67">
        <v>23</v>
      </c>
      <c r="T1329" s="66">
        <v>45042</v>
      </c>
      <c r="U1329" s="66">
        <v>45044</v>
      </c>
      <c r="V1329" s="63">
        <f t="shared" si="144"/>
        <v>2</v>
      </c>
      <c r="W1329" s="65" t="s">
        <v>125</v>
      </c>
      <c r="X1329" s="64" t="b">
        <f t="shared" si="145"/>
        <v>0</v>
      </c>
      <c r="Y1329" s="67">
        <v>428</v>
      </c>
      <c r="Z1329" s="67">
        <v>331</v>
      </c>
      <c r="AA1329" s="65" t="s">
        <v>83</v>
      </c>
      <c r="AB1329" s="64" t="b">
        <f t="shared" si="146"/>
        <v>1</v>
      </c>
    </row>
    <row r="1330" spans="1:28" ht="15" customHeight="1" x14ac:dyDescent="0.3">
      <c r="A1330" s="57" t="s">
        <v>2778</v>
      </c>
      <c r="B1330" s="82">
        <v>45229</v>
      </c>
      <c r="C1330" s="59">
        <f t="shared" si="140"/>
        <v>2023</v>
      </c>
      <c r="D1330" s="59">
        <f t="shared" si="141"/>
        <v>10</v>
      </c>
      <c r="E1330" s="59">
        <f t="shared" si="142"/>
        <v>44</v>
      </c>
      <c r="F1330" s="57" t="s">
        <v>57</v>
      </c>
      <c r="G1330" s="57" t="s">
        <v>44</v>
      </c>
      <c r="H1330" s="57" t="s">
        <v>2779</v>
      </c>
      <c r="I1330" s="57" t="s">
        <v>68</v>
      </c>
      <c r="J1330" s="57" t="s">
        <v>131</v>
      </c>
      <c r="K1330" s="57" t="s">
        <v>72</v>
      </c>
      <c r="L1330" s="57" t="s">
        <v>135</v>
      </c>
      <c r="M1330" s="60">
        <v>323</v>
      </c>
      <c r="N1330" s="57" t="s">
        <v>120</v>
      </c>
      <c r="O1330" s="61">
        <v>147.63</v>
      </c>
      <c r="P1330" s="61">
        <v>47684.49</v>
      </c>
      <c r="Q1330" s="61">
        <v>1581.18</v>
      </c>
      <c r="R1330" s="62">
        <f t="shared" si="143"/>
        <v>3.3159209629797869E-2</v>
      </c>
      <c r="S1330" s="60">
        <v>15</v>
      </c>
      <c r="T1330" s="58">
        <v>45244</v>
      </c>
      <c r="U1330" s="58">
        <v>45256</v>
      </c>
      <c r="V1330" s="63">
        <f t="shared" si="144"/>
        <v>12</v>
      </c>
      <c r="W1330" s="57" t="s">
        <v>128</v>
      </c>
      <c r="X1330" s="64" t="b">
        <f t="shared" si="145"/>
        <v>0</v>
      </c>
      <c r="Y1330" s="60">
        <v>212</v>
      </c>
      <c r="Z1330" s="60">
        <v>479</v>
      </c>
      <c r="AA1330" s="57" t="s">
        <v>83</v>
      </c>
      <c r="AB1330" s="64" t="b">
        <f t="shared" si="146"/>
        <v>1</v>
      </c>
    </row>
    <row r="1331" spans="1:28" ht="15" customHeight="1" x14ac:dyDescent="0.3">
      <c r="A1331" s="65" t="s">
        <v>2780</v>
      </c>
      <c r="B1331" s="81">
        <v>45261</v>
      </c>
      <c r="C1331" s="59">
        <f t="shared" si="140"/>
        <v>2023</v>
      </c>
      <c r="D1331" s="59">
        <f t="shared" si="141"/>
        <v>12</v>
      </c>
      <c r="E1331" s="59">
        <f t="shared" si="142"/>
        <v>48</v>
      </c>
      <c r="F1331" s="65" t="s">
        <v>52</v>
      </c>
      <c r="G1331" s="65" t="s">
        <v>41</v>
      </c>
      <c r="H1331" s="65" t="s">
        <v>2781</v>
      </c>
      <c r="I1331" s="65" t="s">
        <v>69</v>
      </c>
      <c r="J1331" s="65" t="s">
        <v>123</v>
      </c>
      <c r="K1331" s="65" t="s">
        <v>75</v>
      </c>
      <c r="L1331" s="65" t="s">
        <v>146</v>
      </c>
      <c r="M1331" s="67">
        <v>341</v>
      </c>
      <c r="N1331" s="65" t="s">
        <v>140</v>
      </c>
      <c r="O1331" s="68">
        <v>736.18</v>
      </c>
      <c r="P1331" s="68">
        <v>251037.38</v>
      </c>
      <c r="Q1331" s="68">
        <v>11480.75</v>
      </c>
      <c r="R1331" s="62">
        <f t="shared" si="143"/>
        <v>4.5733229051386687E-2</v>
      </c>
      <c r="S1331" s="67">
        <v>1</v>
      </c>
      <c r="T1331" s="66">
        <v>45262</v>
      </c>
      <c r="U1331" s="66">
        <v>45267</v>
      </c>
      <c r="V1331" s="63">
        <f t="shared" si="144"/>
        <v>5</v>
      </c>
      <c r="W1331" s="65" t="s">
        <v>125</v>
      </c>
      <c r="X1331" s="64" t="b">
        <f t="shared" si="145"/>
        <v>0</v>
      </c>
      <c r="Y1331" s="67">
        <v>36</v>
      </c>
      <c r="Z1331" s="67">
        <v>489</v>
      </c>
      <c r="AA1331" s="65" t="s">
        <v>116</v>
      </c>
      <c r="AB1331" s="64" t="b">
        <f t="shared" si="146"/>
        <v>0</v>
      </c>
    </row>
    <row r="1332" spans="1:28" ht="15" customHeight="1" x14ac:dyDescent="0.3">
      <c r="A1332" s="57" t="s">
        <v>2782</v>
      </c>
      <c r="B1332" s="82">
        <v>45352</v>
      </c>
      <c r="C1332" s="59">
        <f t="shared" si="140"/>
        <v>2024</v>
      </c>
      <c r="D1332" s="59">
        <f t="shared" si="141"/>
        <v>3</v>
      </c>
      <c r="E1332" s="59">
        <f t="shared" si="142"/>
        <v>9</v>
      </c>
      <c r="F1332" s="57" t="s">
        <v>54</v>
      </c>
      <c r="G1332" s="57" t="s">
        <v>42</v>
      </c>
      <c r="H1332" s="57" t="s">
        <v>2783</v>
      </c>
      <c r="I1332" s="57" t="s">
        <v>68</v>
      </c>
      <c r="J1332" s="57" t="s">
        <v>123</v>
      </c>
      <c r="K1332" s="57" t="s">
        <v>75</v>
      </c>
      <c r="L1332" s="57" t="s">
        <v>119</v>
      </c>
      <c r="M1332" s="60">
        <v>159</v>
      </c>
      <c r="N1332" s="57" t="s">
        <v>114</v>
      </c>
      <c r="O1332" s="61">
        <v>114.61</v>
      </c>
      <c r="P1332" s="61">
        <v>18222.990000000002</v>
      </c>
      <c r="Q1332" s="61">
        <v>1077.6300000000001</v>
      </c>
      <c r="R1332" s="62">
        <f t="shared" si="143"/>
        <v>5.9135740073390813E-2</v>
      </c>
      <c r="S1332" s="60">
        <v>25</v>
      </c>
      <c r="T1332" s="58">
        <v>45377</v>
      </c>
      <c r="U1332" s="58">
        <v>45377</v>
      </c>
      <c r="V1332" s="63">
        <f t="shared" si="144"/>
        <v>0</v>
      </c>
      <c r="W1332" s="57" t="s">
        <v>115</v>
      </c>
      <c r="X1332" s="64" t="b">
        <f t="shared" si="145"/>
        <v>1</v>
      </c>
      <c r="Y1332" s="60">
        <v>392</v>
      </c>
      <c r="Z1332" s="60">
        <v>199</v>
      </c>
      <c r="AA1332" s="57" t="s">
        <v>82</v>
      </c>
      <c r="AB1332" s="64" t="b">
        <f t="shared" si="146"/>
        <v>1</v>
      </c>
    </row>
    <row r="1333" spans="1:28" ht="15" customHeight="1" x14ac:dyDescent="0.3">
      <c r="A1333" s="65" t="s">
        <v>2784</v>
      </c>
      <c r="B1333" s="81">
        <v>45106</v>
      </c>
      <c r="C1333" s="59">
        <f t="shared" si="140"/>
        <v>2023</v>
      </c>
      <c r="D1333" s="59">
        <f t="shared" si="141"/>
        <v>6</v>
      </c>
      <c r="E1333" s="59">
        <f t="shared" si="142"/>
        <v>26</v>
      </c>
      <c r="F1333" s="65" t="s">
        <v>59</v>
      </c>
      <c r="G1333" s="65" t="s">
        <v>42</v>
      </c>
      <c r="H1333" s="65" t="s">
        <v>2785</v>
      </c>
      <c r="I1333" s="65" t="s">
        <v>66</v>
      </c>
      <c r="J1333" s="65" t="s">
        <v>123</v>
      </c>
      <c r="K1333" s="65" t="s">
        <v>75</v>
      </c>
      <c r="L1333" s="65" t="s">
        <v>119</v>
      </c>
      <c r="M1333" s="67">
        <v>463</v>
      </c>
      <c r="N1333" s="65" t="s">
        <v>120</v>
      </c>
      <c r="O1333" s="68">
        <v>88.18</v>
      </c>
      <c r="P1333" s="68">
        <v>40827.339999999997</v>
      </c>
      <c r="Q1333" s="68">
        <v>2597.7600000000002</v>
      </c>
      <c r="R1333" s="62">
        <f t="shared" si="143"/>
        <v>6.3627951269908847E-2</v>
      </c>
      <c r="S1333" s="67">
        <v>17</v>
      </c>
      <c r="T1333" s="66">
        <v>45123</v>
      </c>
      <c r="U1333" s="66">
        <v>45135</v>
      </c>
      <c r="V1333" s="63">
        <f t="shared" si="144"/>
        <v>12</v>
      </c>
      <c r="W1333" s="65" t="s">
        <v>125</v>
      </c>
      <c r="X1333" s="64" t="b">
        <f t="shared" si="145"/>
        <v>0</v>
      </c>
      <c r="Y1333" s="67">
        <v>60</v>
      </c>
      <c r="Z1333" s="67">
        <v>434</v>
      </c>
      <c r="AA1333" s="65" t="s">
        <v>82</v>
      </c>
      <c r="AB1333" s="64" t="b">
        <f t="shared" si="146"/>
        <v>1</v>
      </c>
    </row>
    <row r="1334" spans="1:28" ht="15" customHeight="1" x14ac:dyDescent="0.3">
      <c r="A1334" s="57" t="s">
        <v>2786</v>
      </c>
      <c r="B1334" s="82">
        <v>45132</v>
      </c>
      <c r="C1334" s="59">
        <f t="shared" si="140"/>
        <v>2023</v>
      </c>
      <c r="D1334" s="59">
        <f t="shared" si="141"/>
        <v>7</v>
      </c>
      <c r="E1334" s="59">
        <f t="shared" si="142"/>
        <v>30</v>
      </c>
      <c r="F1334" s="57" t="s">
        <v>54</v>
      </c>
      <c r="G1334" s="57" t="s">
        <v>43</v>
      </c>
      <c r="H1334" s="57" t="s">
        <v>2787</v>
      </c>
      <c r="I1334" s="57" t="s">
        <v>66</v>
      </c>
      <c r="J1334" s="57" t="s">
        <v>143</v>
      </c>
      <c r="K1334" s="57" t="s">
        <v>71</v>
      </c>
      <c r="L1334" s="57" t="s">
        <v>124</v>
      </c>
      <c r="M1334" s="60">
        <v>45</v>
      </c>
      <c r="N1334" s="57" t="s">
        <v>132</v>
      </c>
      <c r="O1334" s="61">
        <v>267.22000000000003</v>
      </c>
      <c r="P1334" s="61">
        <v>12024.9</v>
      </c>
      <c r="Q1334" s="61">
        <v>241.02</v>
      </c>
      <c r="R1334" s="62">
        <f t="shared" si="143"/>
        <v>2.0043409924406858E-2</v>
      </c>
      <c r="S1334" s="60">
        <v>1</v>
      </c>
      <c r="T1334" s="58">
        <v>45133</v>
      </c>
      <c r="U1334" s="58">
        <v>45134</v>
      </c>
      <c r="V1334" s="63">
        <f t="shared" si="144"/>
        <v>1</v>
      </c>
      <c r="W1334" s="57" t="s">
        <v>125</v>
      </c>
      <c r="X1334" s="64" t="b">
        <f t="shared" si="145"/>
        <v>0</v>
      </c>
      <c r="Y1334" s="60">
        <v>290</v>
      </c>
      <c r="Z1334" s="60">
        <v>137</v>
      </c>
      <c r="AA1334" s="57" t="s">
        <v>116</v>
      </c>
      <c r="AB1334" s="64" t="b">
        <f t="shared" si="146"/>
        <v>0</v>
      </c>
    </row>
    <row r="1335" spans="1:28" ht="15" customHeight="1" x14ac:dyDescent="0.3">
      <c r="A1335" s="65" t="s">
        <v>2788</v>
      </c>
      <c r="B1335" s="81">
        <v>45062</v>
      </c>
      <c r="C1335" s="59">
        <f t="shared" si="140"/>
        <v>2023</v>
      </c>
      <c r="D1335" s="59">
        <f t="shared" si="141"/>
        <v>5</v>
      </c>
      <c r="E1335" s="59">
        <f t="shared" si="142"/>
        <v>20</v>
      </c>
      <c r="F1335" s="65" t="s">
        <v>52</v>
      </c>
      <c r="G1335" s="65" t="s">
        <v>44</v>
      </c>
      <c r="H1335" s="65" t="s">
        <v>2789</v>
      </c>
      <c r="I1335" s="65" t="s">
        <v>69</v>
      </c>
      <c r="J1335" s="65" t="s">
        <v>131</v>
      </c>
      <c r="K1335" s="65" t="s">
        <v>74</v>
      </c>
      <c r="L1335" s="65" t="s">
        <v>113</v>
      </c>
      <c r="M1335" s="67">
        <v>694</v>
      </c>
      <c r="N1335" s="65" t="s">
        <v>163</v>
      </c>
      <c r="O1335" s="68">
        <v>97.03</v>
      </c>
      <c r="P1335" s="68">
        <v>67338.820000000007</v>
      </c>
      <c r="Q1335" s="68">
        <v>5131.97</v>
      </c>
      <c r="R1335" s="62">
        <f t="shared" si="143"/>
        <v>7.6211166159430771E-2</v>
      </c>
      <c r="S1335" s="67">
        <v>15</v>
      </c>
      <c r="T1335" s="66">
        <v>45077</v>
      </c>
      <c r="U1335" s="66">
        <v>45076</v>
      </c>
      <c r="V1335" s="63">
        <f t="shared" si="144"/>
        <v>-1</v>
      </c>
      <c r="W1335" s="65" t="s">
        <v>115</v>
      </c>
      <c r="X1335" s="64" t="b">
        <f t="shared" si="145"/>
        <v>1</v>
      </c>
      <c r="Y1335" s="67">
        <v>361</v>
      </c>
      <c r="Z1335" s="67">
        <v>202</v>
      </c>
      <c r="AA1335" s="65" t="s">
        <v>116</v>
      </c>
      <c r="AB1335" s="64" t="b">
        <f t="shared" si="146"/>
        <v>0</v>
      </c>
    </row>
    <row r="1336" spans="1:28" ht="15" customHeight="1" x14ac:dyDescent="0.3">
      <c r="A1336" s="57" t="s">
        <v>2790</v>
      </c>
      <c r="B1336" s="82">
        <v>45479</v>
      </c>
      <c r="C1336" s="59">
        <f t="shared" si="140"/>
        <v>2024</v>
      </c>
      <c r="D1336" s="59">
        <f t="shared" si="141"/>
        <v>7</v>
      </c>
      <c r="E1336" s="59">
        <f t="shared" si="142"/>
        <v>27</v>
      </c>
      <c r="F1336" s="57" t="s">
        <v>57</v>
      </c>
      <c r="G1336" s="57" t="s">
        <v>42</v>
      </c>
      <c r="H1336" s="57" t="s">
        <v>2791</v>
      </c>
      <c r="I1336" s="57" t="s">
        <v>64</v>
      </c>
      <c r="J1336" s="57" t="s">
        <v>139</v>
      </c>
      <c r="K1336" s="57" t="s">
        <v>74</v>
      </c>
      <c r="L1336" s="57" t="s">
        <v>113</v>
      </c>
      <c r="M1336" s="60">
        <v>429</v>
      </c>
      <c r="N1336" s="57" t="s">
        <v>120</v>
      </c>
      <c r="O1336" s="61">
        <v>118.56</v>
      </c>
      <c r="P1336" s="61">
        <v>50862.239999999998</v>
      </c>
      <c r="Q1336" s="61">
        <v>1519.33</v>
      </c>
      <c r="R1336" s="62">
        <f t="shared" si="143"/>
        <v>2.9871472432201177E-2</v>
      </c>
      <c r="S1336" s="60">
        <v>23</v>
      </c>
      <c r="T1336" s="58">
        <v>45502</v>
      </c>
      <c r="U1336" s="58">
        <v>45503</v>
      </c>
      <c r="V1336" s="63">
        <f t="shared" si="144"/>
        <v>1</v>
      </c>
      <c r="W1336" s="57" t="s">
        <v>128</v>
      </c>
      <c r="X1336" s="64" t="b">
        <f t="shared" si="145"/>
        <v>0</v>
      </c>
      <c r="Y1336" s="60">
        <v>302</v>
      </c>
      <c r="Z1336" s="60">
        <v>397</v>
      </c>
      <c r="AA1336" s="57" t="s">
        <v>83</v>
      </c>
      <c r="AB1336" s="64" t="b">
        <f t="shared" si="146"/>
        <v>1</v>
      </c>
    </row>
    <row r="1337" spans="1:28" ht="15" customHeight="1" x14ac:dyDescent="0.3">
      <c r="A1337" s="65" t="s">
        <v>2792</v>
      </c>
      <c r="B1337" s="81">
        <v>45301</v>
      </c>
      <c r="C1337" s="59">
        <f t="shared" si="140"/>
        <v>2024</v>
      </c>
      <c r="D1337" s="59">
        <f t="shared" si="141"/>
        <v>1</v>
      </c>
      <c r="E1337" s="59">
        <f t="shared" si="142"/>
        <v>2</v>
      </c>
      <c r="F1337" s="65" t="s">
        <v>56</v>
      </c>
      <c r="G1337" s="65" t="s">
        <v>43</v>
      </c>
      <c r="H1337" s="65" t="s">
        <v>2793</v>
      </c>
      <c r="I1337" s="65" t="s">
        <v>65</v>
      </c>
      <c r="J1337" s="65" t="s">
        <v>143</v>
      </c>
      <c r="K1337" s="65" t="s">
        <v>74</v>
      </c>
      <c r="L1337" s="65" t="s">
        <v>156</v>
      </c>
      <c r="M1337" s="67">
        <v>31</v>
      </c>
      <c r="N1337" s="65" t="s">
        <v>132</v>
      </c>
      <c r="O1337" s="68">
        <v>294.3</v>
      </c>
      <c r="P1337" s="68">
        <v>9123.2999999999993</v>
      </c>
      <c r="Q1337" s="68">
        <v>310.33</v>
      </c>
      <c r="R1337" s="62">
        <f t="shared" si="143"/>
        <v>3.4015104183793145E-2</v>
      </c>
      <c r="S1337" s="67">
        <v>2</v>
      </c>
      <c r="T1337" s="66">
        <v>45303</v>
      </c>
      <c r="U1337" s="66">
        <v>45315</v>
      </c>
      <c r="V1337" s="63">
        <f t="shared" si="144"/>
        <v>12</v>
      </c>
      <c r="W1337" s="65" t="s">
        <v>125</v>
      </c>
      <c r="X1337" s="64" t="b">
        <f t="shared" si="145"/>
        <v>0</v>
      </c>
      <c r="Y1337" s="67">
        <v>243</v>
      </c>
      <c r="Z1337" s="67">
        <v>281</v>
      </c>
      <c r="AA1337" s="65" t="s">
        <v>116</v>
      </c>
      <c r="AB1337" s="64" t="b">
        <f t="shared" si="146"/>
        <v>0</v>
      </c>
    </row>
    <row r="1338" spans="1:28" ht="15" customHeight="1" x14ac:dyDescent="0.3">
      <c r="A1338" s="57" t="s">
        <v>2794</v>
      </c>
      <c r="B1338" s="82">
        <v>45470</v>
      </c>
      <c r="C1338" s="59">
        <f t="shared" si="140"/>
        <v>2024</v>
      </c>
      <c r="D1338" s="59">
        <f t="shared" si="141"/>
        <v>6</v>
      </c>
      <c r="E1338" s="59">
        <f t="shared" si="142"/>
        <v>26</v>
      </c>
      <c r="F1338" s="57" t="s">
        <v>53</v>
      </c>
      <c r="G1338" s="57" t="s">
        <v>46</v>
      </c>
      <c r="H1338" s="57" t="s">
        <v>2795</v>
      </c>
      <c r="I1338" s="57" t="s">
        <v>65</v>
      </c>
      <c r="J1338" s="57" t="s">
        <v>131</v>
      </c>
      <c r="K1338" s="57" t="s">
        <v>71</v>
      </c>
      <c r="L1338" s="57" t="s">
        <v>119</v>
      </c>
      <c r="M1338" s="60">
        <v>215</v>
      </c>
      <c r="N1338" s="57" t="s">
        <v>140</v>
      </c>
      <c r="O1338" s="61">
        <v>49.86</v>
      </c>
      <c r="P1338" s="61">
        <v>10719.9</v>
      </c>
      <c r="Q1338" s="61">
        <v>383.86</v>
      </c>
      <c r="R1338" s="62">
        <f t="shared" si="143"/>
        <v>3.5808169852330714E-2</v>
      </c>
      <c r="S1338" s="60">
        <v>14</v>
      </c>
      <c r="T1338" s="58">
        <v>45484</v>
      </c>
      <c r="U1338" s="58">
        <v>45486</v>
      </c>
      <c r="V1338" s="63">
        <f t="shared" si="144"/>
        <v>2</v>
      </c>
      <c r="W1338" s="57" t="s">
        <v>125</v>
      </c>
      <c r="X1338" s="64" t="b">
        <f t="shared" si="145"/>
        <v>0</v>
      </c>
      <c r="Y1338" s="60">
        <v>404</v>
      </c>
      <c r="Z1338" s="60">
        <v>302</v>
      </c>
      <c r="AA1338" s="57" t="s">
        <v>116</v>
      </c>
      <c r="AB1338" s="64" t="b">
        <f t="shared" si="146"/>
        <v>0</v>
      </c>
    </row>
    <row r="1339" spans="1:28" ht="15" customHeight="1" x14ac:dyDescent="0.3">
      <c r="A1339" s="65" t="s">
        <v>2796</v>
      </c>
      <c r="B1339" s="81">
        <v>45440</v>
      </c>
      <c r="C1339" s="59">
        <f t="shared" si="140"/>
        <v>2024</v>
      </c>
      <c r="D1339" s="59">
        <f t="shared" si="141"/>
        <v>5</v>
      </c>
      <c r="E1339" s="59">
        <f t="shared" si="142"/>
        <v>22</v>
      </c>
      <c r="F1339" s="65" t="s">
        <v>54</v>
      </c>
      <c r="G1339" s="65" t="s">
        <v>43</v>
      </c>
      <c r="H1339" s="65" t="s">
        <v>2797</v>
      </c>
      <c r="I1339" s="65" t="s">
        <v>68</v>
      </c>
      <c r="J1339" s="65" t="s">
        <v>151</v>
      </c>
      <c r="K1339" s="65" t="s">
        <v>75</v>
      </c>
      <c r="L1339" s="65" t="s">
        <v>124</v>
      </c>
      <c r="M1339" s="67">
        <v>648</v>
      </c>
      <c r="N1339" s="65" t="s">
        <v>163</v>
      </c>
      <c r="O1339" s="68">
        <v>187.91</v>
      </c>
      <c r="P1339" s="68">
        <v>121765.68</v>
      </c>
      <c r="Q1339" s="68">
        <v>2711.63</v>
      </c>
      <c r="R1339" s="62">
        <f t="shared" si="143"/>
        <v>2.2269246966797215E-2</v>
      </c>
      <c r="S1339" s="67">
        <v>21</v>
      </c>
      <c r="T1339" s="66">
        <v>45461</v>
      </c>
      <c r="U1339" s="66">
        <v>45466</v>
      </c>
      <c r="V1339" s="63">
        <f t="shared" si="144"/>
        <v>5</v>
      </c>
      <c r="W1339" s="65" t="s">
        <v>125</v>
      </c>
      <c r="X1339" s="64" t="b">
        <f t="shared" si="145"/>
        <v>0</v>
      </c>
      <c r="Y1339" s="67">
        <v>400</v>
      </c>
      <c r="Z1339" s="67">
        <v>29</v>
      </c>
      <c r="AA1339" s="65" t="s">
        <v>82</v>
      </c>
      <c r="AB1339" s="64" t="b">
        <f t="shared" si="146"/>
        <v>1</v>
      </c>
    </row>
    <row r="1340" spans="1:28" ht="15" customHeight="1" x14ac:dyDescent="0.3">
      <c r="A1340" s="57" t="s">
        <v>2798</v>
      </c>
      <c r="B1340" s="82">
        <v>45206</v>
      </c>
      <c r="C1340" s="59">
        <f t="shared" si="140"/>
        <v>2023</v>
      </c>
      <c r="D1340" s="59">
        <f t="shared" si="141"/>
        <v>10</v>
      </c>
      <c r="E1340" s="59">
        <f t="shared" si="142"/>
        <v>40</v>
      </c>
      <c r="F1340" s="57" t="s">
        <v>52</v>
      </c>
      <c r="G1340" s="57" t="s">
        <v>39</v>
      </c>
      <c r="H1340" s="57" t="s">
        <v>2799</v>
      </c>
      <c r="I1340" s="57" t="s">
        <v>66</v>
      </c>
      <c r="J1340" s="57" t="s">
        <v>112</v>
      </c>
      <c r="K1340" s="57" t="s">
        <v>74</v>
      </c>
      <c r="L1340" s="57" t="s">
        <v>135</v>
      </c>
      <c r="M1340" s="60">
        <v>857</v>
      </c>
      <c r="N1340" s="57" t="s">
        <v>136</v>
      </c>
      <c r="O1340" s="61">
        <v>1170.19</v>
      </c>
      <c r="P1340" s="61">
        <v>1002852.83</v>
      </c>
      <c r="Q1340" s="61">
        <v>27461.25</v>
      </c>
      <c r="R1340" s="62">
        <f t="shared" si="143"/>
        <v>2.7383130583577255E-2</v>
      </c>
      <c r="S1340" s="60">
        <v>8</v>
      </c>
      <c r="T1340" s="58">
        <v>45214</v>
      </c>
      <c r="U1340" s="58">
        <v>45214</v>
      </c>
      <c r="V1340" s="63">
        <f t="shared" si="144"/>
        <v>0</v>
      </c>
      <c r="W1340" s="57" t="s">
        <v>115</v>
      </c>
      <c r="X1340" s="64" t="b">
        <f t="shared" si="145"/>
        <v>1</v>
      </c>
      <c r="Y1340" s="60">
        <v>310</v>
      </c>
      <c r="Z1340" s="60">
        <v>55</v>
      </c>
      <c r="AA1340" s="57" t="s">
        <v>116</v>
      </c>
      <c r="AB1340" s="64" t="b">
        <f t="shared" si="146"/>
        <v>0</v>
      </c>
    </row>
    <row r="1341" spans="1:28" ht="15" customHeight="1" x14ac:dyDescent="0.3">
      <c r="A1341" s="65" t="s">
        <v>2800</v>
      </c>
      <c r="B1341" s="81">
        <v>45095</v>
      </c>
      <c r="C1341" s="59">
        <f t="shared" si="140"/>
        <v>2023</v>
      </c>
      <c r="D1341" s="59">
        <f t="shared" si="141"/>
        <v>6</v>
      </c>
      <c r="E1341" s="59">
        <f t="shared" si="142"/>
        <v>25</v>
      </c>
      <c r="F1341" s="65" t="s">
        <v>53</v>
      </c>
      <c r="G1341" s="65" t="s">
        <v>40</v>
      </c>
      <c r="H1341" s="65" t="s">
        <v>2801</v>
      </c>
      <c r="I1341" s="65" t="s">
        <v>64</v>
      </c>
      <c r="J1341" s="65" t="s">
        <v>143</v>
      </c>
      <c r="K1341" s="65" t="s">
        <v>75</v>
      </c>
      <c r="L1341" s="65" t="s">
        <v>113</v>
      </c>
      <c r="M1341" s="67">
        <v>966</v>
      </c>
      <c r="N1341" s="65" t="s">
        <v>132</v>
      </c>
      <c r="O1341" s="68">
        <v>733.9</v>
      </c>
      <c r="P1341" s="68">
        <v>708947.4</v>
      </c>
      <c r="Q1341" s="68">
        <v>56135.16</v>
      </c>
      <c r="R1341" s="62">
        <f t="shared" si="143"/>
        <v>7.9180994245835454E-2</v>
      </c>
      <c r="S1341" s="67">
        <v>8</v>
      </c>
      <c r="T1341" s="66">
        <v>45103</v>
      </c>
      <c r="U1341" s="66">
        <v>45108</v>
      </c>
      <c r="V1341" s="63">
        <f t="shared" si="144"/>
        <v>5</v>
      </c>
      <c r="W1341" s="65" t="s">
        <v>125</v>
      </c>
      <c r="X1341" s="64" t="b">
        <f t="shared" si="145"/>
        <v>0</v>
      </c>
      <c r="Y1341" s="67">
        <v>343</v>
      </c>
      <c r="Z1341" s="67">
        <v>118</v>
      </c>
      <c r="AA1341" s="65" t="s">
        <v>116</v>
      </c>
      <c r="AB1341" s="64" t="b">
        <f t="shared" si="146"/>
        <v>0</v>
      </c>
    </row>
    <row r="1342" spans="1:28" ht="15" customHeight="1" x14ac:dyDescent="0.3">
      <c r="A1342" s="57" t="s">
        <v>2802</v>
      </c>
      <c r="B1342" s="82">
        <v>45190</v>
      </c>
      <c r="C1342" s="59">
        <f t="shared" si="140"/>
        <v>2023</v>
      </c>
      <c r="D1342" s="59">
        <f t="shared" si="141"/>
        <v>9</v>
      </c>
      <c r="E1342" s="59">
        <f t="shared" si="142"/>
        <v>38</v>
      </c>
      <c r="F1342" s="57" t="s">
        <v>52</v>
      </c>
      <c r="G1342" s="57" t="s">
        <v>41</v>
      </c>
      <c r="H1342" s="57" t="s">
        <v>2803</v>
      </c>
      <c r="I1342" s="57" t="s">
        <v>64</v>
      </c>
      <c r="J1342" s="57" t="s">
        <v>143</v>
      </c>
      <c r="K1342" s="57" t="s">
        <v>72</v>
      </c>
      <c r="L1342" s="57" t="s">
        <v>119</v>
      </c>
      <c r="M1342" s="60">
        <v>365</v>
      </c>
      <c r="N1342" s="57" t="s">
        <v>136</v>
      </c>
      <c r="O1342" s="61">
        <v>676.38</v>
      </c>
      <c r="P1342" s="61">
        <v>246878.7</v>
      </c>
      <c r="Q1342" s="61">
        <v>9606.7900000000009</v>
      </c>
      <c r="R1342" s="62">
        <f t="shared" si="143"/>
        <v>3.8912996544456853E-2</v>
      </c>
      <c r="S1342" s="60">
        <v>19</v>
      </c>
      <c r="T1342" s="58">
        <v>45209</v>
      </c>
      <c r="U1342" s="58">
        <v>45212</v>
      </c>
      <c r="V1342" s="63">
        <f t="shared" si="144"/>
        <v>3</v>
      </c>
      <c r="W1342" s="57" t="s">
        <v>125</v>
      </c>
      <c r="X1342" s="64" t="b">
        <f t="shared" si="145"/>
        <v>0</v>
      </c>
      <c r="Y1342" s="60">
        <v>350</v>
      </c>
      <c r="Z1342" s="60">
        <v>425</v>
      </c>
      <c r="AA1342" s="57" t="s">
        <v>81</v>
      </c>
      <c r="AB1342" s="64" t="b">
        <f t="shared" si="146"/>
        <v>1</v>
      </c>
    </row>
    <row r="1343" spans="1:28" ht="15" customHeight="1" x14ac:dyDescent="0.3">
      <c r="A1343" s="65" t="s">
        <v>2804</v>
      </c>
      <c r="B1343" s="81">
        <v>45420</v>
      </c>
      <c r="C1343" s="59">
        <f t="shared" si="140"/>
        <v>2024</v>
      </c>
      <c r="D1343" s="59">
        <f t="shared" si="141"/>
        <v>5</v>
      </c>
      <c r="E1343" s="59">
        <f t="shared" si="142"/>
        <v>19</v>
      </c>
      <c r="F1343" s="65" t="s">
        <v>52</v>
      </c>
      <c r="G1343" s="65" t="s">
        <v>46</v>
      </c>
      <c r="H1343" s="65" t="s">
        <v>2805</v>
      </c>
      <c r="I1343" s="65" t="s">
        <v>64</v>
      </c>
      <c r="J1343" s="65" t="s">
        <v>151</v>
      </c>
      <c r="K1343" s="65" t="s">
        <v>74</v>
      </c>
      <c r="L1343" s="65" t="s">
        <v>146</v>
      </c>
      <c r="M1343" s="67">
        <v>449</v>
      </c>
      <c r="N1343" s="65" t="s">
        <v>163</v>
      </c>
      <c r="O1343" s="68">
        <v>60.16</v>
      </c>
      <c r="P1343" s="68">
        <v>27011.84</v>
      </c>
      <c r="Q1343" s="68">
        <v>727.11</v>
      </c>
      <c r="R1343" s="62">
        <f t="shared" si="143"/>
        <v>2.6918195872624746E-2</v>
      </c>
      <c r="S1343" s="67">
        <v>7</v>
      </c>
      <c r="T1343" s="66">
        <v>45427</v>
      </c>
      <c r="U1343" s="66">
        <v>45427</v>
      </c>
      <c r="V1343" s="63">
        <f t="shared" si="144"/>
        <v>0</v>
      </c>
      <c r="W1343" s="65" t="s">
        <v>115</v>
      </c>
      <c r="X1343" s="64" t="b">
        <f t="shared" si="145"/>
        <v>1</v>
      </c>
      <c r="Y1343" s="67">
        <v>5</v>
      </c>
      <c r="Z1343" s="67">
        <v>131</v>
      </c>
      <c r="AA1343" s="65" t="s">
        <v>116</v>
      </c>
      <c r="AB1343" s="64" t="b">
        <f t="shared" si="146"/>
        <v>0</v>
      </c>
    </row>
    <row r="1344" spans="1:28" ht="15" customHeight="1" x14ac:dyDescent="0.3">
      <c r="A1344" s="57" t="s">
        <v>2806</v>
      </c>
      <c r="B1344" s="82">
        <v>45229</v>
      </c>
      <c r="C1344" s="59">
        <f t="shared" si="140"/>
        <v>2023</v>
      </c>
      <c r="D1344" s="59">
        <f t="shared" si="141"/>
        <v>10</v>
      </c>
      <c r="E1344" s="59">
        <f t="shared" si="142"/>
        <v>44</v>
      </c>
      <c r="F1344" s="57" t="s">
        <v>57</v>
      </c>
      <c r="G1344" s="57" t="s">
        <v>40</v>
      </c>
      <c r="H1344" s="57" t="s">
        <v>2807</v>
      </c>
      <c r="I1344" s="57" t="s">
        <v>68</v>
      </c>
      <c r="J1344" s="57" t="s">
        <v>151</v>
      </c>
      <c r="K1344" s="57" t="s">
        <v>72</v>
      </c>
      <c r="L1344" s="57" t="s">
        <v>124</v>
      </c>
      <c r="M1344" s="60">
        <v>738</v>
      </c>
      <c r="N1344" s="57" t="s">
        <v>132</v>
      </c>
      <c r="O1344" s="61">
        <v>616.57000000000005</v>
      </c>
      <c r="P1344" s="61">
        <v>455028.66</v>
      </c>
      <c r="Q1344" s="61">
        <v>12021.62</v>
      </c>
      <c r="R1344" s="62">
        <f t="shared" si="143"/>
        <v>2.6419478720307425E-2</v>
      </c>
      <c r="S1344" s="60">
        <v>19</v>
      </c>
      <c r="T1344" s="58">
        <v>45248</v>
      </c>
      <c r="U1344" s="58">
        <v>45260</v>
      </c>
      <c r="V1344" s="63">
        <f t="shared" si="144"/>
        <v>12</v>
      </c>
      <c r="W1344" s="57" t="s">
        <v>125</v>
      </c>
      <c r="X1344" s="64" t="b">
        <f t="shared" si="145"/>
        <v>0</v>
      </c>
      <c r="Y1344" s="60">
        <v>376</v>
      </c>
      <c r="Z1344" s="60">
        <v>230</v>
      </c>
      <c r="AA1344" s="57" t="s">
        <v>116</v>
      </c>
      <c r="AB1344" s="64" t="b">
        <f t="shared" si="146"/>
        <v>0</v>
      </c>
    </row>
    <row r="1345" spans="1:28" ht="15" customHeight="1" x14ac:dyDescent="0.3">
      <c r="A1345" s="65" t="s">
        <v>2808</v>
      </c>
      <c r="B1345" s="81">
        <v>45273</v>
      </c>
      <c r="C1345" s="59">
        <f t="shared" si="140"/>
        <v>2023</v>
      </c>
      <c r="D1345" s="59">
        <f t="shared" si="141"/>
        <v>12</v>
      </c>
      <c r="E1345" s="59">
        <f t="shared" si="142"/>
        <v>50</v>
      </c>
      <c r="F1345" s="65" t="s">
        <v>56</v>
      </c>
      <c r="G1345" s="65" t="s">
        <v>40</v>
      </c>
      <c r="H1345" s="65" t="s">
        <v>2809</v>
      </c>
      <c r="I1345" s="65" t="s">
        <v>65</v>
      </c>
      <c r="J1345" s="65" t="s">
        <v>112</v>
      </c>
      <c r="K1345" s="65" t="s">
        <v>71</v>
      </c>
      <c r="L1345" s="65" t="s">
        <v>156</v>
      </c>
      <c r="M1345" s="67">
        <v>105</v>
      </c>
      <c r="N1345" s="65" t="s">
        <v>132</v>
      </c>
      <c r="O1345" s="68">
        <v>779.02</v>
      </c>
      <c r="P1345" s="68">
        <v>81797.100000000006</v>
      </c>
      <c r="Q1345" s="68">
        <v>5166.93</v>
      </c>
      <c r="R1345" s="62">
        <f t="shared" si="143"/>
        <v>6.3167642862644272E-2</v>
      </c>
      <c r="S1345" s="67">
        <v>6</v>
      </c>
      <c r="T1345" s="66">
        <v>45279</v>
      </c>
      <c r="U1345" s="66">
        <v>45282</v>
      </c>
      <c r="V1345" s="63">
        <f t="shared" si="144"/>
        <v>3</v>
      </c>
      <c r="W1345" s="65" t="s">
        <v>128</v>
      </c>
      <c r="X1345" s="64" t="b">
        <f t="shared" si="145"/>
        <v>0</v>
      </c>
      <c r="Y1345" s="67">
        <v>418</v>
      </c>
      <c r="Z1345" s="67">
        <v>394</v>
      </c>
      <c r="AA1345" s="65" t="s">
        <v>83</v>
      </c>
      <c r="AB1345" s="64" t="b">
        <f t="shared" si="146"/>
        <v>1</v>
      </c>
    </row>
    <row r="1346" spans="1:28" ht="15" customHeight="1" x14ac:dyDescent="0.3">
      <c r="A1346" s="57" t="s">
        <v>2810</v>
      </c>
      <c r="B1346" s="82">
        <v>45044</v>
      </c>
      <c r="C1346" s="59">
        <f t="shared" ref="C1346:C1409" si="147">YEAR(B1346)</f>
        <v>2023</v>
      </c>
      <c r="D1346" s="59">
        <f t="shared" ref="D1346:D1409" si="148">MONTH(B1346)</f>
        <v>4</v>
      </c>
      <c r="E1346" s="59">
        <f t="shared" ref="E1346:E1409" si="149">WEEKNUM(B1346,1)</f>
        <v>17</v>
      </c>
      <c r="F1346" s="57" t="s">
        <v>53</v>
      </c>
      <c r="G1346" s="57" t="s">
        <v>46</v>
      </c>
      <c r="H1346" s="57" t="s">
        <v>2811</v>
      </c>
      <c r="I1346" s="57" t="s">
        <v>64</v>
      </c>
      <c r="J1346" s="57" t="s">
        <v>123</v>
      </c>
      <c r="K1346" s="57" t="s">
        <v>73</v>
      </c>
      <c r="L1346" s="57" t="s">
        <v>113</v>
      </c>
      <c r="M1346" s="60">
        <v>938</v>
      </c>
      <c r="N1346" s="57" t="s">
        <v>163</v>
      </c>
      <c r="O1346" s="61">
        <v>89.11</v>
      </c>
      <c r="P1346" s="61">
        <v>83585.179999999993</v>
      </c>
      <c r="Q1346" s="61">
        <v>5957.46</v>
      </c>
      <c r="R1346" s="62">
        <f t="shared" ref="R1346:R1409" si="150">Q1346/P1346</f>
        <v>7.1274118210907733E-2</v>
      </c>
      <c r="S1346" s="60">
        <v>6</v>
      </c>
      <c r="T1346" s="58">
        <v>45050</v>
      </c>
      <c r="U1346" s="58">
        <v>45050</v>
      </c>
      <c r="V1346" s="63">
        <f t="shared" ref="V1346:V1409" si="151">U1346-T1346</f>
        <v>0</v>
      </c>
      <c r="W1346" s="57" t="s">
        <v>115</v>
      </c>
      <c r="X1346" s="64" t="b">
        <f t="shared" ref="X1346:X1409" si="152">IF(W1346="Entregado", TRUE(), FALSE())</f>
        <v>1</v>
      </c>
      <c r="Y1346" s="60">
        <v>305</v>
      </c>
      <c r="Z1346" s="60">
        <v>151</v>
      </c>
      <c r="AA1346" s="57" t="s">
        <v>82</v>
      </c>
      <c r="AB1346" s="64" t="b">
        <f t="shared" ref="AB1346:AB1409" si="153">IF(AA1346="Ninguna",FALSE(),TRUE())</f>
        <v>1</v>
      </c>
    </row>
    <row r="1347" spans="1:28" ht="15" customHeight="1" x14ac:dyDescent="0.3">
      <c r="A1347" s="65" t="s">
        <v>2812</v>
      </c>
      <c r="B1347" s="81">
        <v>45406</v>
      </c>
      <c r="C1347" s="59">
        <f t="shared" si="147"/>
        <v>2024</v>
      </c>
      <c r="D1347" s="59">
        <f t="shared" si="148"/>
        <v>4</v>
      </c>
      <c r="E1347" s="59">
        <f t="shared" si="149"/>
        <v>17</v>
      </c>
      <c r="F1347" s="65" t="s">
        <v>59</v>
      </c>
      <c r="G1347" s="65" t="s">
        <v>39</v>
      </c>
      <c r="H1347" s="65" t="s">
        <v>2813</v>
      </c>
      <c r="I1347" s="65" t="s">
        <v>68</v>
      </c>
      <c r="J1347" s="65" t="s">
        <v>143</v>
      </c>
      <c r="K1347" s="65" t="s">
        <v>71</v>
      </c>
      <c r="L1347" s="65" t="s">
        <v>113</v>
      </c>
      <c r="M1347" s="67">
        <v>950</v>
      </c>
      <c r="N1347" s="65" t="s">
        <v>140</v>
      </c>
      <c r="O1347" s="68">
        <v>1805.62</v>
      </c>
      <c r="P1347" s="68">
        <v>1639255.3774000001</v>
      </c>
      <c r="Q1347" s="68">
        <v>60752.4</v>
      </c>
      <c r="R1347" s="62">
        <f t="shared" si="150"/>
        <v>3.7060973438048761E-2</v>
      </c>
      <c r="S1347" s="67">
        <v>3</v>
      </c>
      <c r="T1347" s="66">
        <v>45409</v>
      </c>
      <c r="U1347" s="66">
        <v>45411</v>
      </c>
      <c r="V1347" s="63">
        <f t="shared" si="151"/>
        <v>2</v>
      </c>
      <c r="W1347" s="65" t="s">
        <v>125</v>
      </c>
      <c r="X1347" s="64" t="b">
        <f t="shared" si="152"/>
        <v>0</v>
      </c>
      <c r="Y1347" s="67">
        <v>164</v>
      </c>
      <c r="Z1347" s="67">
        <v>469</v>
      </c>
      <c r="AA1347" s="65" t="s">
        <v>84</v>
      </c>
      <c r="AB1347" s="64" t="b">
        <f t="shared" si="153"/>
        <v>1</v>
      </c>
    </row>
    <row r="1348" spans="1:28" ht="15" customHeight="1" x14ac:dyDescent="0.3">
      <c r="A1348" s="57" t="s">
        <v>2814</v>
      </c>
      <c r="B1348" s="82">
        <v>45004</v>
      </c>
      <c r="C1348" s="59">
        <f t="shared" si="147"/>
        <v>2023</v>
      </c>
      <c r="D1348" s="59">
        <f t="shared" si="148"/>
        <v>3</v>
      </c>
      <c r="E1348" s="59">
        <f t="shared" si="149"/>
        <v>12</v>
      </c>
      <c r="F1348" s="57" t="s">
        <v>53</v>
      </c>
      <c r="G1348" s="57" t="s">
        <v>43</v>
      </c>
      <c r="H1348" s="57" t="s">
        <v>2815</v>
      </c>
      <c r="I1348" s="57" t="s">
        <v>68</v>
      </c>
      <c r="J1348" s="57" t="s">
        <v>131</v>
      </c>
      <c r="K1348" s="57" t="s">
        <v>71</v>
      </c>
      <c r="L1348" s="57" t="s">
        <v>135</v>
      </c>
      <c r="M1348" s="60">
        <v>173</v>
      </c>
      <c r="N1348" s="57" t="s">
        <v>132</v>
      </c>
      <c r="O1348" s="61">
        <v>206.59</v>
      </c>
      <c r="P1348" s="61">
        <v>35740.07</v>
      </c>
      <c r="Q1348" s="61">
        <v>759.64</v>
      </c>
      <c r="R1348" s="62">
        <f t="shared" si="150"/>
        <v>2.1254575046999069E-2</v>
      </c>
      <c r="S1348" s="60">
        <v>7</v>
      </c>
      <c r="T1348" s="58">
        <v>45011</v>
      </c>
      <c r="U1348" s="58">
        <v>45019</v>
      </c>
      <c r="V1348" s="63">
        <f t="shared" si="151"/>
        <v>8</v>
      </c>
      <c r="W1348" s="57" t="s">
        <v>128</v>
      </c>
      <c r="X1348" s="64" t="b">
        <f t="shared" si="152"/>
        <v>0</v>
      </c>
      <c r="Y1348" s="60">
        <v>12</v>
      </c>
      <c r="Z1348" s="60">
        <v>450</v>
      </c>
      <c r="AA1348" s="57" t="s">
        <v>84</v>
      </c>
      <c r="AB1348" s="64" t="b">
        <f t="shared" si="153"/>
        <v>1</v>
      </c>
    </row>
    <row r="1349" spans="1:28" ht="15" customHeight="1" x14ac:dyDescent="0.3">
      <c r="A1349" s="65" t="s">
        <v>2816</v>
      </c>
      <c r="B1349" s="81">
        <v>45071</v>
      </c>
      <c r="C1349" s="59">
        <f t="shared" si="147"/>
        <v>2023</v>
      </c>
      <c r="D1349" s="59">
        <f t="shared" si="148"/>
        <v>5</v>
      </c>
      <c r="E1349" s="59">
        <f t="shared" si="149"/>
        <v>21</v>
      </c>
      <c r="F1349" s="65" t="s">
        <v>55</v>
      </c>
      <c r="G1349" s="65" t="s">
        <v>41</v>
      </c>
      <c r="H1349" s="65" t="s">
        <v>2817</v>
      </c>
      <c r="I1349" s="65" t="s">
        <v>69</v>
      </c>
      <c r="J1349" s="65" t="s">
        <v>139</v>
      </c>
      <c r="K1349" s="65" t="s">
        <v>71</v>
      </c>
      <c r="L1349" s="65" t="s">
        <v>113</v>
      </c>
      <c r="M1349" s="67">
        <v>157</v>
      </c>
      <c r="N1349" s="65" t="s">
        <v>163</v>
      </c>
      <c r="O1349" s="68">
        <v>416.62</v>
      </c>
      <c r="P1349" s="68">
        <v>65409.34</v>
      </c>
      <c r="Q1349" s="68">
        <v>2183.7199999999998</v>
      </c>
      <c r="R1349" s="62">
        <f t="shared" si="150"/>
        <v>3.3385446176341177E-2</v>
      </c>
      <c r="S1349" s="67">
        <v>19</v>
      </c>
      <c r="T1349" s="66">
        <v>45090</v>
      </c>
      <c r="U1349" s="66">
        <v>45090</v>
      </c>
      <c r="V1349" s="63">
        <f t="shared" si="151"/>
        <v>0</v>
      </c>
      <c r="W1349" s="65" t="s">
        <v>115</v>
      </c>
      <c r="X1349" s="64" t="b">
        <f t="shared" si="152"/>
        <v>1</v>
      </c>
      <c r="Y1349" s="67">
        <v>24</v>
      </c>
      <c r="Z1349" s="67">
        <v>420</v>
      </c>
      <c r="AA1349" s="65" t="s">
        <v>83</v>
      </c>
      <c r="AB1349" s="64" t="b">
        <f t="shared" si="153"/>
        <v>1</v>
      </c>
    </row>
    <row r="1350" spans="1:28" ht="15" customHeight="1" x14ac:dyDescent="0.3">
      <c r="A1350" s="57" t="s">
        <v>2818</v>
      </c>
      <c r="B1350" s="82">
        <v>45158</v>
      </c>
      <c r="C1350" s="59">
        <f t="shared" si="147"/>
        <v>2023</v>
      </c>
      <c r="D1350" s="59">
        <f t="shared" si="148"/>
        <v>8</v>
      </c>
      <c r="E1350" s="59">
        <f t="shared" si="149"/>
        <v>34</v>
      </c>
      <c r="F1350" s="57" t="s">
        <v>59</v>
      </c>
      <c r="G1350" s="57" t="s">
        <v>43</v>
      </c>
      <c r="H1350" s="57" t="s">
        <v>2819</v>
      </c>
      <c r="I1350" s="57" t="s">
        <v>67</v>
      </c>
      <c r="J1350" s="57" t="s">
        <v>151</v>
      </c>
      <c r="K1350" s="57" t="s">
        <v>74</v>
      </c>
      <c r="L1350" s="57" t="s">
        <v>124</v>
      </c>
      <c r="M1350" s="60">
        <v>539</v>
      </c>
      <c r="N1350" s="57" t="s">
        <v>120</v>
      </c>
      <c r="O1350" s="61">
        <v>297.79000000000002</v>
      </c>
      <c r="P1350" s="61">
        <v>160508.81</v>
      </c>
      <c r="Q1350" s="61">
        <v>3754.45</v>
      </c>
      <c r="R1350" s="62">
        <f t="shared" si="150"/>
        <v>2.3390927887385123E-2</v>
      </c>
      <c r="S1350" s="60">
        <v>8</v>
      </c>
      <c r="T1350" s="58">
        <v>45166</v>
      </c>
      <c r="U1350" s="58">
        <v>45163</v>
      </c>
      <c r="V1350" s="63">
        <f t="shared" si="151"/>
        <v>-3</v>
      </c>
      <c r="W1350" s="57" t="s">
        <v>115</v>
      </c>
      <c r="X1350" s="64" t="b">
        <f t="shared" si="152"/>
        <v>1</v>
      </c>
      <c r="Y1350" s="60">
        <v>223</v>
      </c>
      <c r="Z1350" s="60">
        <v>385</v>
      </c>
      <c r="AA1350" s="57" t="s">
        <v>116</v>
      </c>
      <c r="AB1350" s="64" t="b">
        <f t="shared" si="153"/>
        <v>0</v>
      </c>
    </row>
    <row r="1351" spans="1:28" ht="15" customHeight="1" x14ac:dyDescent="0.3">
      <c r="A1351" s="65" t="s">
        <v>2820</v>
      </c>
      <c r="B1351" s="81">
        <v>45619</v>
      </c>
      <c r="C1351" s="59">
        <f t="shared" si="147"/>
        <v>2024</v>
      </c>
      <c r="D1351" s="59">
        <f t="shared" si="148"/>
        <v>11</v>
      </c>
      <c r="E1351" s="59">
        <f t="shared" si="149"/>
        <v>47</v>
      </c>
      <c r="F1351" s="65" t="s">
        <v>53</v>
      </c>
      <c r="G1351" s="65" t="s">
        <v>42</v>
      </c>
      <c r="H1351" s="65" t="s">
        <v>2821</v>
      </c>
      <c r="I1351" s="65" t="s">
        <v>64</v>
      </c>
      <c r="J1351" s="65" t="s">
        <v>151</v>
      </c>
      <c r="K1351" s="65" t="s">
        <v>72</v>
      </c>
      <c r="L1351" s="65" t="s">
        <v>119</v>
      </c>
      <c r="M1351" s="67">
        <v>303</v>
      </c>
      <c r="N1351" s="65" t="s">
        <v>136</v>
      </c>
      <c r="O1351" s="68">
        <v>108.53</v>
      </c>
      <c r="P1351" s="68">
        <v>32884.589999999997</v>
      </c>
      <c r="Q1351" s="68">
        <v>861.7</v>
      </c>
      <c r="R1351" s="62">
        <f t="shared" si="150"/>
        <v>2.6203762917524596E-2</v>
      </c>
      <c r="S1351" s="67">
        <v>10</v>
      </c>
      <c r="T1351" s="66">
        <v>45629</v>
      </c>
      <c r="U1351" s="66">
        <v>45634</v>
      </c>
      <c r="V1351" s="63">
        <f t="shared" si="151"/>
        <v>5</v>
      </c>
      <c r="W1351" s="65" t="s">
        <v>125</v>
      </c>
      <c r="X1351" s="64" t="b">
        <f t="shared" si="152"/>
        <v>0</v>
      </c>
      <c r="Y1351" s="67">
        <v>122</v>
      </c>
      <c r="Z1351" s="67">
        <v>395</v>
      </c>
      <c r="AA1351" s="65" t="s">
        <v>116</v>
      </c>
      <c r="AB1351" s="64" t="b">
        <f t="shared" si="153"/>
        <v>0</v>
      </c>
    </row>
    <row r="1352" spans="1:28" ht="15" customHeight="1" x14ac:dyDescent="0.3">
      <c r="A1352" s="57" t="s">
        <v>2822</v>
      </c>
      <c r="B1352" s="82">
        <v>45617</v>
      </c>
      <c r="C1352" s="59">
        <f t="shared" si="147"/>
        <v>2024</v>
      </c>
      <c r="D1352" s="59">
        <f t="shared" si="148"/>
        <v>11</v>
      </c>
      <c r="E1352" s="59">
        <f t="shared" si="149"/>
        <v>47</v>
      </c>
      <c r="F1352" s="57" t="s">
        <v>60</v>
      </c>
      <c r="G1352" s="57" t="s">
        <v>43</v>
      </c>
      <c r="H1352" s="57" t="s">
        <v>2823</v>
      </c>
      <c r="I1352" s="57" t="s">
        <v>67</v>
      </c>
      <c r="J1352" s="57" t="s">
        <v>139</v>
      </c>
      <c r="K1352" s="57" t="s">
        <v>74</v>
      </c>
      <c r="L1352" s="57" t="s">
        <v>119</v>
      </c>
      <c r="M1352" s="60">
        <v>204</v>
      </c>
      <c r="N1352" s="57" t="s">
        <v>132</v>
      </c>
      <c r="O1352" s="61">
        <v>185.04</v>
      </c>
      <c r="P1352" s="61">
        <v>37748.160000000003</v>
      </c>
      <c r="Q1352" s="61">
        <v>1732.28</v>
      </c>
      <c r="R1352" s="62">
        <f t="shared" si="150"/>
        <v>4.5890448700016101E-2</v>
      </c>
      <c r="S1352" s="60">
        <v>20</v>
      </c>
      <c r="T1352" s="58">
        <v>45637</v>
      </c>
      <c r="U1352" s="58">
        <v>45645</v>
      </c>
      <c r="V1352" s="63">
        <f t="shared" si="151"/>
        <v>8</v>
      </c>
      <c r="W1352" s="57" t="s">
        <v>125</v>
      </c>
      <c r="X1352" s="64" t="b">
        <f t="shared" si="152"/>
        <v>0</v>
      </c>
      <c r="Y1352" s="60">
        <v>128</v>
      </c>
      <c r="Z1352" s="60">
        <v>20</v>
      </c>
      <c r="AA1352" s="57" t="s">
        <v>81</v>
      </c>
      <c r="AB1352" s="64" t="b">
        <f t="shared" si="153"/>
        <v>1</v>
      </c>
    </row>
    <row r="1353" spans="1:28" ht="15" customHeight="1" x14ac:dyDescent="0.3">
      <c r="A1353" s="65" t="s">
        <v>2824</v>
      </c>
      <c r="B1353" s="81">
        <v>45333</v>
      </c>
      <c r="C1353" s="59">
        <f t="shared" si="147"/>
        <v>2024</v>
      </c>
      <c r="D1353" s="59">
        <f t="shared" si="148"/>
        <v>2</v>
      </c>
      <c r="E1353" s="59">
        <f t="shared" si="149"/>
        <v>7</v>
      </c>
      <c r="F1353" s="65" t="s">
        <v>60</v>
      </c>
      <c r="G1353" s="65" t="s">
        <v>45</v>
      </c>
      <c r="H1353" s="65" t="s">
        <v>2825</v>
      </c>
      <c r="I1353" s="65" t="s">
        <v>65</v>
      </c>
      <c r="J1353" s="65" t="s">
        <v>131</v>
      </c>
      <c r="K1353" s="65" t="s">
        <v>73</v>
      </c>
      <c r="L1353" s="65" t="s">
        <v>119</v>
      </c>
      <c r="M1353" s="67">
        <v>672</v>
      </c>
      <c r="N1353" s="65" t="s">
        <v>120</v>
      </c>
      <c r="O1353" s="68">
        <v>151.21</v>
      </c>
      <c r="P1353" s="68">
        <v>101613.12</v>
      </c>
      <c r="Q1353" s="68">
        <v>3434.03</v>
      </c>
      <c r="R1353" s="62">
        <f t="shared" si="150"/>
        <v>3.3795143776709155E-2</v>
      </c>
      <c r="S1353" s="67">
        <v>15</v>
      </c>
      <c r="T1353" s="66">
        <v>45348</v>
      </c>
      <c r="U1353" s="66">
        <v>45351</v>
      </c>
      <c r="V1353" s="63">
        <f t="shared" si="151"/>
        <v>3</v>
      </c>
      <c r="W1353" s="65" t="s">
        <v>128</v>
      </c>
      <c r="X1353" s="64" t="b">
        <f t="shared" si="152"/>
        <v>0</v>
      </c>
      <c r="Y1353" s="67">
        <v>304</v>
      </c>
      <c r="Z1353" s="67">
        <v>452</v>
      </c>
      <c r="AA1353" s="65" t="s">
        <v>116</v>
      </c>
      <c r="AB1353" s="64" t="b">
        <f t="shared" si="153"/>
        <v>0</v>
      </c>
    </row>
    <row r="1354" spans="1:28" ht="15" customHeight="1" x14ac:dyDescent="0.3">
      <c r="A1354" s="57" t="s">
        <v>2826</v>
      </c>
      <c r="B1354" s="82">
        <v>45497</v>
      </c>
      <c r="C1354" s="59">
        <f t="shared" si="147"/>
        <v>2024</v>
      </c>
      <c r="D1354" s="59">
        <f t="shared" si="148"/>
        <v>7</v>
      </c>
      <c r="E1354" s="59">
        <f t="shared" si="149"/>
        <v>30</v>
      </c>
      <c r="F1354" s="57" t="s">
        <v>52</v>
      </c>
      <c r="G1354" s="57" t="s">
        <v>46</v>
      </c>
      <c r="H1354" s="57" t="s">
        <v>2827</v>
      </c>
      <c r="I1354" s="57" t="s">
        <v>68</v>
      </c>
      <c r="J1354" s="57" t="s">
        <v>151</v>
      </c>
      <c r="K1354" s="57" t="s">
        <v>71</v>
      </c>
      <c r="L1354" s="57" t="s">
        <v>146</v>
      </c>
      <c r="M1354" s="60">
        <v>489</v>
      </c>
      <c r="N1354" s="57" t="s">
        <v>132</v>
      </c>
      <c r="O1354" s="61">
        <v>44.72</v>
      </c>
      <c r="P1354" s="61">
        <v>21868.080000000002</v>
      </c>
      <c r="Q1354" s="61">
        <v>1114.33</v>
      </c>
      <c r="R1354" s="62">
        <f t="shared" si="150"/>
        <v>5.0956919857618951E-2</v>
      </c>
      <c r="S1354" s="60">
        <v>15</v>
      </c>
      <c r="T1354" s="58">
        <v>45512</v>
      </c>
      <c r="U1354" s="58">
        <v>45512</v>
      </c>
      <c r="V1354" s="63">
        <f t="shared" si="151"/>
        <v>0</v>
      </c>
      <c r="W1354" s="57" t="s">
        <v>115</v>
      </c>
      <c r="X1354" s="64" t="b">
        <f t="shared" si="152"/>
        <v>1</v>
      </c>
      <c r="Y1354" s="60">
        <v>121</v>
      </c>
      <c r="Z1354" s="60">
        <v>454</v>
      </c>
      <c r="AA1354" s="57" t="s">
        <v>116</v>
      </c>
      <c r="AB1354" s="64" t="b">
        <f t="shared" si="153"/>
        <v>0</v>
      </c>
    </row>
    <row r="1355" spans="1:28" ht="15" customHeight="1" x14ac:dyDescent="0.3">
      <c r="A1355" s="65" t="s">
        <v>2828</v>
      </c>
      <c r="B1355" s="81">
        <v>45301</v>
      </c>
      <c r="C1355" s="59">
        <f t="shared" si="147"/>
        <v>2024</v>
      </c>
      <c r="D1355" s="59">
        <f t="shared" si="148"/>
        <v>1</v>
      </c>
      <c r="E1355" s="59">
        <f t="shared" si="149"/>
        <v>2</v>
      </c>
      <c r="F1355" s="65" t="s">
        <v>59</v>
      </c>
      <c r="G1355" s="65" t="s">
        <v>41</v>
      </c>
      <c r="H1355" s="65" t="s">
        <v>2829</v>
      </c>
      <c r="I1355" s="65" t="s">
        <v>64</v>
      </c>
      <c r="J1355" s="65" t="s">
        <v>139</v>
      </c>
      <c r="K1355" s="65" t="s">
        <v>75</v>
      </c>
      <c r="L1355" s="65" t="s">
        <v>146</v>
      </c>
      <c r="M1355" s="67">
        <v>886</v>
      </c>
      <c r="N1355" s="65" t="s">
        <v>140</v>
      </c>
      <c r="O1355" s="68">
        <v>398.15</v>
      </c>
      <c r="P1355" s="68">
        <v>352760.9</v>
      </c>
      <c r="Q1355" s="68">
        <v>12420.58</v>
      </c>
      <c r="R1355" s="62">
        <f t="shared" si="150"/>
        <v>3.5209627824398904E-2</v>
      </c>
      <c r="S1355" s="67">
        <v>29</v>
      </c>
      <c r="T1355" s="66">
        <v>45330</v>
      </c>
      <c r="U1355" s="66">
        <v>45330</v>
      </c>
      <c r="V1355" s="63">
        <f t="shared" si="151"/>
        <v>0</v>
      </c>
      <c r="W1355" s="65" t="s">
        <v>115</v>
      </c>
      <c r="X1355" s="64" t="b">
        <f t="shared" si="152"/>
        <v>1</v>
      </c>
      <c r="Y1355" s="67">
        <v>34</v>
      </c>
      <c r="Z1355" s="67">
        <v>447</v>
      </c>
      <c r="AA1355" s="65" t="s">
        <v>81</v>
      </c>
      <c r="AB1355" s="64" t="b">
        <f t="shared" si="153"/>
        <v>1</v>
      </c>
    </row>
    <row r="1356" spans="1:28" ht="15" customHeight="1" x14ac:dyDescent="0.3">
      <c r="A1356" s="57" t="s">
        <v>2830</v>
      </c>
      <c r="B1356" s="82">
        <v>45019</v>
      </c>
      <c r="C1356" s="59">
        <f t="shared" si="147"/>
        <v>2023</v>
      </c>
      <c r="D1356" s="59">
        <f t="shared" si="148"/>
        <v>4</v>
      </c>
      <c r="E1356" s="59">
        <f t="shared" si="149"/>
        <v>14</v>
      </c>
      <c r="F1356" s="57" t="s">
        <v>53</v>
      </c>
      <c r="G1356" s="57" t="s">
        <v>43</v>
      </c>
      <c r="H1356" s="57" t="s">
        <v>2831</v>
      </c>
      <c r="I1356" s="57" t="s">
        <v>66</v>
      </c>
      <c r="J1356" s="57" t="s">
        <v>151</v>
      </c>
      <c r="K1356" s="57" t="s">
        <v>73</v>
      </c>
      <c r="L1356" s="57" t="s">
        <v>113</v>
      </c>
      <c r="M1356" s="60">
        <v>132</v>
      </c>
      <c r="N1356" s="57" t="s">
        <v>163</v>
      </c>
      <c r="O1356" s="61">
        <v>232.92</v>
      </c>
      <c r="P1356" s="61">
        <v>30745.439999999999</v>
      </c>
      <c r="Q1356" s="61">
        <v>2349.94</v>
      </c>
      <c r="R1356" s="62">
        <f t="shared" si="150"/>
        <v>7.643214733632045E-2</v>
      </c>
      <c r="S1356" s="60">
        <v>1</v>
      </c>
      <c r="T1356" s="58">
        <v>45020</v>
      </c>
      <c r="U1356" s="58">
        <v>45020</v>
      </c>
      <c r="V1356" s="63">
        <f t="shared" si="151"/>
        <v>0</v>
      </c>
      <c r="W1356" s="57" t="s">
        <v>115</v>
      </c>
      <c r="X1356" s="64" t="b">
        <f t="shared" si="152"/>
        <v>1</v>
      </c>
      <c r="Y1356" s="60">
        <v>82</v>
      </c>
      <c r="Z1356" s="60">
        <v>67</v>
      </c>
      <c r="AA1356" s="57" t="s">
        <v>83</v>
      </c>
      <c r="AB1356" s="64" t="b">
        <f t="shared" si="153"/>
        <v>1</v>
      </c>
    </row>
    <row r="1357" spans="1:28" ht="15" customHeight="1" x14ac:dyDescent="0.3">
      <c r="A1357" s="65" t="s">
        <v>2832</v>
      </c>
      <c r="B1357" s="81">
        <v>45331</v>
      </c>
      <c r="C1357" s="59">
        <f t="shared" si="147"/>
        <v>2024</v>
      </c>
      <c r="D1357" s="59">
        <f t="shared" si="148"/>
        <v>2</v>
      </c>
      <c r="E1357" s="59">
        <f t="shared" si="149"/>
        <v>6</v>
      </c>
      <c r="F1357" s="65" t="s">
        <v>52</v>
      </c>
      <c r="G1357" s="65" t="s">
        <v>41</v>
      </c>
      <c r="H1357" s="65" t="s">
        <v>2833</v>
      </c>
      <c r="I1357" s="65" t="s">
        <v>65</v>
      </c>
      <c r="J1357" s="65" t="s">
        <v>123</v>
      </c>
      <c r="K1357" s="65" t="s">
        <v>72</v>
      </c>
      <c r="L1357" s="65" t="s">
        <v>146</v>
      </c>
      <c r="M1357" s="67">
        <v>409</v>
      </c>
      <c r="N1357" s="65" t="s">
        <v>132</v>
      </c>
      <c r="O1357" s="68">
        <v>721.51</v>
      </c>
      <c r="P1357" s="68">
        <v>295097.59000000003</v>
      </c>
      <c r="Q1357" s="68">
        <v>21942.46</v>
      </c>
      <c r="R1357" s="62">
        <f t="shared" si="150"/>
        <v>7.4356622160147073E-2</v>
      </c>
      <c r="S1357" s="67">
        <v>20</v>
      </c>
      <c r="T1357" s="66">
        <v>45351</v>
      </c>
      <c r="U1357" s="66">
        <v>45346</v>
      </c>
      <c r="V1357" s="63">
        <f t="shared" si="151"/>
        <v>-5</v>
      </c>
      <c r="W1357" s="65" t="s">
        <v>115</v>
      </c>
      <c r="X1357" s="64" t="b">
        <f t="shared" si="152"/>
        <v>1</v>
      </c>
      <c r="Y1357" s="67">
        <v>308</v>
      </c>
      <c r="Z1357" s="67">
        <v>125</v>
      </c>
      <c r="AA1357" s="65" t="s">
        <v>116</v>
      </c>
      <c r="AB1357" s="64" t="b">
        <f t="shared" si="153"/>
        <v>0</v>
      </c>
    </row>
    <row r="1358" spans="1:28" ht="15" customHeight="1" x14ac:dyDescent="0.3">
      <c r="A1358" s="57" t="s">
        <v>2834</v>
      </c>
      <c r="B1358" s="82">
        <v>44941</v>
      </c>
      <c r="C1358" s="59">
        <f t="shared" si="147"/>
        <v>2023</v>
      </c>
      <c r="D1358" s="59">
        <f t="shared" si="148"/>
        <v>1</v>
      </c>
      <c r="E1358" s="59">
        <f t="shared" si="149"/>
        <v>3</v>
      </c>
      <c r="F1358" s="57" t="s">
        <v>58</v>
      </c>
      <c r="G1358" s="57" t="s">
        <v>41</v>
      </c>
      <c r="H1358" s="57" t="s">
        <v>2835</v>
      </c>
      <c r="I1358" s="57" t="s">
        <v>69</v>
      </c>
      <c r="J1358" s="57" t="s">
        <v>123</v>
      </c>
      <c r="K1358" s="57" t="s">
        <v>73</v>
      </c>
      <c r="L1358" s="57" t="s">
        <v>146</v>
      </c>
      <c r="M1358" s="60">
        <v>708</v>
      </c>
      <c r="N1358" s="57" t="s">
        <v>163</v>
      </c>
      <c r="O1358" s="61">
        <v>548.70000000000005</v>
      </c>
      <c r="P1358" s="61">
        <v>388479.6</v>
      </c>
      <c r="Q1358" s="61">
        <v>20981.15</v>
      </c>
      <c r="R1358" s="62">
        <f t="shared" si="150"/>
        <v>5.4008370066278906E-2</v>
      </c>
      <c r="S1358" s="60">
        <v>7</v>
      </c>
      <c r="T1358" s="58">
        <v>44948</v>
      </c>
      <c r="U1358" s="58">
        <v>44956</v>
      </c>
      <c r="V1358" s="63">
        <f t="shared" si="151"/>
        <v>8</v>
      </c>
      <c r="W1358" s="57" t="s">
        <v>128</v>
      </c>
      <c r="X1358" s="64" t="b">
        <f t="shared" si="152"/>
        <v>0</v>
      </c>
      <c r="Y1358" s="60">
        <v>435</v>
      </c>
      <c r="Z1358" s="60">
        <v>42</v>
      </c>
      <c r="AA1358" s="57" t="s">
        <v>116</v>
      </c>
      <c r="AB1358" s="64" t="b">
        <f t="shared" si="153"/>
        <v>0</v>
      </c>
    </row>
    <row r="1359" spans="1:28" ht="15" customHeight="1" x14ac:dyDescent="0.3">
      <c r="A1359" s="65" t="s">
        <v>2836</v>
      </c>
      <c r="B1359" s="81">
        <v>45197</v>
      </c>
      <c r="C1359" s="59">
        <f t="shared" si="147"/>
        <v>2023</v>
      </c>
      <c r="D1359" s="59">
        <f t="shared" si="148"/>
        <v>9</v>
      </c>
      <c r="E1359" s="59">
        <f t="shared" si="149"/>
        <v>39</v>
      </c>
      <c r="F1359" s="65" t="s">
        <v>52</v>
      </c>
      <c r="G1359" s="65" t="s">
        <v>42</v>
      </c>
      <c r="H1359" s="65" t="s">
        <v>2837</v>
      </c>
      <c r="I1359" s="65" t="s">
        <v>69</v>
      </c>
      <c r="J1359" s="65" t="s">
        <v>151</v>
      </c>
      <c r="K1359" s="65" t="s">
        <v>74</v>
      </c>
      <c r="L1359" s="65" t="s">
        <v>135</v>
      </c>
      <c r="M1359" s="67">
        <v>974</v>
      </c>
      <c r="N1359" s="65" t="s">
        <v>114</v>
      </c>
      <c r="O1359" s="68">
        <v>109.95</v>
      </c>
      <c r="P1359" s="68">
        <v>107091.3</v>
      </c>
      <c r="Q1359" s="68">
        <v>4419.17</v>
      </c>
      <c r="R1359" s="62">
        <f t="shared" si="150"/>
        <v>4.1265443598126082E-2</v>
      </c>
      <c r="S1359" s="67">
        <v>27</v>
      </c>
      <c r="T1359" s="66">
        <v>45224</v>
      </c>
      <c r="U1359" s="66">
        <v>45225</v>
      </c>
      <c r="V1359" s="63">
        <f t="shared" si="151"/>
        <v>1</v>
      </c>
      <c r="W1359" s="65" t="s">
        <v>125</v>
      </c>
      <c r="X1359" s="64" t="b">
        <f t="shared" si="152"/>
        <v>0</v>
      </c>
      <c r="Y1359" s="67">
        <v>181</v>
      </c>
      <c r="Z1359" s="67">
        <v>181</v>
      </c>
      <c r="AA1359" s="65" t="s">
        <v>116</v>
      </c>
      <c r="AB1359" s="64" t="b">
        <f t="shared" si="153"/>
        <v>0</v>
      </c>
    </row>
    <row r="1360" spans="1:28" ht="15" customHeight="1" x14ac:dyDescent="0.3">
      <c r="A1360" s="57" t="s">
        <v>2838</v>
      </c>
      <c r="B1360" s="82">
        <v>45476</v>
      </c>
      <c r="C1360" s="59">
        <f t="shared" si="147"/>
        <v>2024</v>
      </c>
      <c r="D1360" s="59">
        <f t="shared" si="148"/>
        <v>7</v>
      </c>
      <c r="E1360" s="59">
        <f t="shared" si="149"/>
        <v>27</v>
      </c>
      <c r="F1360" s="57" t="s">
        <v>54</v>
      </c>
      <c r="G1360" s="57" t="s">
        <v>42</v>
      </c>
      <c r="H1360" s="57" t="s">
        <v>2839</v>
      </c>
      <c r="I1360" s="57" t="s">
        <v>67</v>
      </c>
      <c r="J1360" s="57" t="s">
        <v>151</v>
      </c>
      <c r="K1360" s="57" t="s">
        <v>75</v>
      </c>
      <c r="L1360" s="57" t="s">
        <v>146</v>
      </c>
      <c r="M1360" s="60">
        <v>461</v>
      </c>
      <c r="N1360" s="57" t="s">
        <v>132</v>
      </c>
      <c r="O1360" s="61">
        <v>84.54</v>
      </c>
      <c r="P1360" s="61">
        <v>38972.94</v>
      </c>
      <c r="Q1360" s="61">
        <v>1670.72</v>
      </c>
      <c r="R1360" s="62">
        <f t="shared" si="150"/>
        <v>4.2868718654533115E-2</v>
      </c>
      <c r="S1360" s="60">
        <v>4</v>
      </c>
      <c r="T1360" s="58">
        <v>45480</v>
      </c>
      <c r="U1360" s="58">
        <v>45480</v>
      </c>
      <c r="V1360" s="63">
        <f t="shared" si="151"/>
        <v>0</v>
      </c>
      <c r="W1360" s="57" t="s">
        <v>115</v>
      </c>
      <c r="X1360" s="64" t="b">
        <f t="shared" si="152"/>
        <v>1</v>
      </c>
      <c r="Y1360" s="60">
        <v>75</v>
      </c>
      <c r="Z1360" s="60">
        <v>488</v>
      </c>
      <c r="AA1360" s="57" t="s">
        <v>83</v>
      </c>
      <c r="AB1360" s="64" t="b">
        <f t="shared" si="153"/>
        <v>1</v>
      </c>
    </row>
    <row r="1361" spans="1:28" ht="15" customHeight="1" x14ac:dyDescent="0.3">
      <c r="A1361" s="65" t="s">
        <v>2840</v>
      </c>
      <c r="B1361" s="81">
        <v>45053</v>
      </c>
      <c r="C1361" s="59">
        <f t="shared" si="147"/>
        <v>2023</v>
      </c>
      <c r="D1361" s="59">
        <f t="shared" si="148"/>
        <v>5</v>
      </c>
      <c r="E1361" s="59">
        <f t="shared" si="149"/>
        <v>19</v>
      </c>
      <c r="F1361" s="65" t="s">
        <v>60</v>
      </c>
      <c r="G1361" s="65" t="s">
        <v>46</v>
      </c>
      <c r="H1361" s="65" t="s">
        <v>2841</v>
      </c>
      <c r="I1361" s="65" t="s">
        <v>68</v>
      </c>
      <c r="J1361" s="65" t="s">
        <v>123</v>
      </c>
      <c r="K1361" s="65" t="s">
        <v>74</v>
      </c>
      <c r="L1361" s="65" t="s">
        <v>156</v>
      </c>
      <c r="M1361" s="67">
        <v>670</v>
      </c>
      <c r="N1361" s="65" t="s">
        <v>140</v>
      </c>
      <c r="O1361" s="68">
        <v>76.010000000000005</v>
      </c>
      <c r="P1361" s="68">
        <v>50926.7</v>
      </c>
      <c r="Q1361" s="68">
        <v>2276.9899999999998</v>
      </c>
      <c r="R1361" s="62">
        <f t="shared" si="150"/>
        <v>4.4711124027278421E-2</v>
      </c>
      <c r="S1361" s="67">
        <v>29</v>
      </c>
      <c r="T1361" s="66">
        <v>45082</v>
      </c>
      <c r="U1361" s="66">
        <v>45079</v>
      </c>
      <c r="V1361" s="63">
        <f t="shared" si="151"/>
        <v>-3</v>
      </c>
      <c r="W1361" s="65" t="s">
        <v>115</v>
      </c>
      <c r="X1361" s="64" t="b">
        <f t="shared" si="152"/>
        <v>1</v>
      </c>
      <c r="Y1361" s="67">
        <v>103</v>
      </c>
      <c r="Z1361" s="67">
        <v>99</v>
      </c>
      <c r="AA1361" s="65" t="s">
        <v>81</v>
      </c>
      <c r="AB1361" s="64" t="b">
        <f t="shared" si="153"/>
        <v>1</v>
      </c>
    </row>
    <row r="1362" spans="1:28" ht="15" customHeight="1" x14ac:dyDescent="0.3">
      <c r="A1362" s="57" t="s">
        <v>2842</v>
      </c>
      <c r="B1362" s="82">
        <v>45392</v>
      </c>
      <c r="C1362" s="59">
        <f t="shared" si="147"/>
        <v>2024</v>
      </c>
      <c r="D1362" s="59">
        <f t="shared" si="148"/>
        <v>4</v>
      </c>
      <c r="E1362" s="59">
        <f t="shared" si="149"/>
        <v>15</v>
      </c>
      <c r="F1362" s="57" t="s">
        <v>58</v>
      </c>
      <c r="G1362" s="57" t="s">
        <v>39</v>
      </c>
      <c r="H1362" s="57" t="s">
        <v>2843</v>
      </c>
      <c r="I1362" s="57" t="s">
        <v>67</v>
      </c>
      <c r="J1362" s="57" t="s">
        <v>151</v>
      </c>
      <c r="K1362" s="57" t="s">
        <v>71</v>
      </c>
      <c r="L1362" s="57" t="s">
        <v>156</v>
      </c>
      <c r="M1362" s="60">
        <v>113</v>
      </c>
      <c r="N1362" s="57" t="s">
        <v>140</v>
      </c>
      <c r="O1362" s="61">
        <v>1928.25</v>
      </c>
      <c r="P1362" s="61">
        <v>217892.25</v>
      </c>
      <c r="Q1362" s="61">
        <v>13869.88</v>
      </c>
      <c r="R1362" s="62">
        <f t="shared" si="150"/>
        <v>6.3654765141945152E-2</v>
      </c>
      <c r="S1362" s="60">
        <v>6</v>
      </c>
      <c r="T1362" s="58">
        <v>45398</v>
      </c>
      <c r="U1362" s="58">
        <v>45400</v>
      </c>
      <c r="V1362" s="63">
        <f t="shared" si="151"/>
        <v>2</v>
      </c>
      <c r="W1362" s="57" t="s">
        <v>125</v>
      </c>
      <c r="X1362" s="64" t="b">
        <f t="shared" si="152"/>
        <v>0</v>
      </c>
      <c r="Y1362" s="60">
        <v>231</v>
      </c>
      <c r="Z1362" s="60">
        <v>378</v>
      </c>
      <c r="AA1362" s="57" t="s">
        <v>116</v>
      </c>
      <c r="AB1362" s="64" t="b">
        <f t="shared" si="153"/>
        <v>0</v>
      </c>
    </row>
    <row r="1363" spans="1:28" ht="15" customHeight="1" x14ac:dyDescent="0.3">
      <c r="A1363" s="65" t="s">
        <v>2844</v>
      </c>
      <c r="B1363" s="81">
        <v>45304</v>
      </c>
      <c r="C1363" s="59">
        <f t="shared" si="147"/>
        <v>2024</v>
      </c>
      <c r="D1363" s="59">
        <f t="shared" si="148"/>
        <v>1</v>
      </c>
      <c r="E1363" s="59">
        <f t="shared" si="149"/>
        <v>2</v>
      </c>
      <c r="F1363" s="65" t="s">
        <v>61</v>
      </c>
      <c r="G1363" s="65" t="s">
        <v>45</v>
      </c>
      <c r="H1363" s="65" t="s">
        <v>2845</v>
      </c>
      <c r="I1363" s="65" t="s">
        <v>66</v>
      </c>
      <c r="J1363" s="65" t="s">
        <v>131</v>
      </c>
      <c r="K1363" s="65" t="s">
        <v>71</v>
      </c>
      <c r="L1363" s="65" t="s">
        <v>156</v>
      </c>
      <c r="M1363" s="67">
        <v>764</v>
      </c>
      <c r="N1363" s="65" t="s">
        <v>120</v>
      </c>
      <c r="O1363" s="68">
        <v>167.83</v>
      </c>
      <c r="P1363" s="68">
        <v>128222.12</v>
      </c>
      <c r="Q1363" s="68">
        <v>6039.05</v>
      </c>
      <c r="R1363" s="62">
        <f t="shared" si="150"/>
        <v>4.7098347773379512E-2</v>
      </c>
      <c r="S1363" s="67">
        <v>25</v>
      </c>
      <c r="T1363" s="66">
        <v>45329</v>
      </c>
      <c r="U1363" s="66">
        <v>45337</v>
      </c>
      <c r="V1363" s="63">
        <f t="shared" si="151"/>
        <v>8</v>
      </c>
      <c r="W1363" s="65" t="s">
        <v>128</v>
      </c>
      <c r="X1363" s="64" t="b">
        <f t="shared" si="152"/>
        <v>0</v>
      </c>
      <c r="Y1363" s="67">
        <v>302</v>
      </c>
      <c r="Z1363" s="67">
        <v>445</v>
      </c>
      <c r="AA1363" s="65" t="s">
        <v>81</v>
      </c>
      <c r="AB1363" s="64" t="b">
        <f t="shared" si="153"/>
        <v>1</v>
      </c>
    </row>
    <row r="1364" spans="1:28" ht="15" customHeight="1" x14ac:dyDescent="0.3">
      <c r="A1364" s="57" t="s">
        <v>2846</v>
      </c>
      <c r="B1364" s="82">
        <v>45615</v>
      </c>
      <c r="C1364" s="59">
        <f t="shared" si="147"/>
        <v>2024</v>
      </c>
      <c r="D1364" s="59">
        <f t="shared" si="148"/>
        <v>11</v>
      </c>
      <c r="E1364" s="59">
        <f t="shared" si="149"/>
        <v>47</v>
      </c>
      <c r="F1364" s="57" t="s">
        <v>54</v>
      </c>
      <c r="G1364" s="57" t="s">
        <v>40</v>
      </c>
      <c r="H1364" s="57" t="s">
        <v>2847</v>
      </c>
      <c r="I1364" s="57" t="s">
        <v>66</v>
      </c>
      <c r="J1364" s="57" t="s">
        <v>131</v>
      </c>
      <c r="K1364" s="57" t="s">
        <v>73</v>
      </c>
      <c r="L1364" s="57" t="s">
        <v>113</v>
      </c>
      <c r="M1364" s="60">
        <v>471</v>
      </c>
      <c r="N1364" s="57" t="s">
        <v>140</v>
      </c>
      <c r="O1364" s="61">
        <v>791.18</v>
      </c>
      <c r="P1364" s="61">
        <v>372645.78</v>
      </c>
      <c r="Q1364" s="61">
        <v>26608.32</v>
      </c>
      <c r="R1364" s="62">
        <f t="shared" si="150"/>
        <v>7.1403787264141289E-2</v>
      </c>
      <c r="S1364" s="60">
        <v>1</v>
      </c>
      <c r="T1364" s="58">
        <v>45616</v>
      </c>
      <c r="U1364" s="58">
        <v>45616</v>
      </c>
      <c r="V1364" s="63">
        <f t="shared" si="151"/>
        <v>0</v>
      </c>
      <c r="W1364" s="57" t="s">
        <v>115</v>
      </c>
      <c r="X1364" s="64" t="b">
        <f t="shared" si="152"/>
        <v>1</v>
      </c>
      <c r="Y1364" s="60">
        <v>42</v>
      </c>
      <c r="Z1364" s="60">
        <v>469</v>
      </c>
      <c r="AA1364" s="57" t="s">
        <v>116</v>
      </c>
      <c r="AB1364" s="64" t="b">
        <f t="shared" si="153"/>
        <v>0</v>
      </c>
    </row>
    <row r="1365" spans="1:28" ht="15" customHeight="1" x14ac:dyDescent="0.3">
      <c r="A1365" s="65" t="s">
        <v>2848</v>
      </c>
      <c r="B1365" s="81">
        <v>45615</v>
      </c>
      <c r="C1365" s="59">
        <f t="shared" si="147"/>
        <v>2024</v>
      </c>
      <c r="D1365" s="59">
        <f t="shared" si="148"/>
        <v>11</v>
      </c>
      <c r="E1365" s="59">
        <f t="shared" si="149"/>
        <v>47</v>
      </c>
      <c r="F1365" s="65" t="s">
        <v>59</v>
      </c>
      <c r="G1365" s="65" t="s">
        <v>41</v>
      </c>
      <c r="H1365" s="65" t="s">
        <v>2849</v>
      </c>
      <c r="I1365" s="65" t="s">
        <v>69</v>
      </c>
      <c r="J1365" s="65" t="s">
        <v>112</v>
      </c>
      <c r="K1365" s="65" t="s">
        <v>71</v>
      </c>
      <c r="L1365" s="65" t="s">
        <v>119</v>
      </c>
      <c r="M1365" s="67">
        <v>752</v>
      </c>
      <c r="N1365" s="65" t="s">
        <v>163</v>
      </c>
      <c r="O1365" s="68">
        <v>604.91999999999996</v>
      </c>
      <c r="P1365" s="68">
        <v>454899.84</v>
      </c>
      <c r="Q1365" s="68">
        <v>34866.11</v>
      </c>
      <c r="R1365" s="62">
        <f t="shared" si="150"/>
        <v>7.6645685344712361E-2</v>
      </c>
      <c r="S1365" s="67">
        <v>29</v>
      </c>
      <c r="T1365" s="66">
        <v>45644</v>
      </c>
      <c r="U1365" s="66">
        <v>45646</v>
      </c>
      <c r="V1365" s="63">
        <f t="shared" si="151"/>
        <v>2</v>
      </c>
      <c r="W1365" s="65" t="s">
        <v>128</v>
      </c>
      <c r="X1365" s="64" t="b">
        <f t="shared" si="152"/>
        <v>0</v>
      </c>
      <c r="Y1365" s="67">
        <v>403</v>
      </c>
      <c r="Z1365" s="67">
        <v>348</v>
      </c>
      <c r="AA1365" s="65" t="s">
        <v>116</v>
      </c>
      <c r="AB1365" s="64" t="b">
        <f t="shared" si="153"/>
        <v>0</v>
      </c>
    </row>
    <row r="1366" spans="1:28" ht="15" customHeight="1" x14ac:dyDescent="0.3">
      <c r="A1366" s="57" t="s">
        <v>2850</v>
      </c>
      <c r="B1366" s="82">
        <v>45195</v>
      </c>
      <c r="C1366" s="59">
        <f t="shared" si="147"/>
        <v>2023</v>
      </c>
      <c r="D1366" s="59">
        <f t="shared" si="148"/>
        <v>9</v>
      </c>
      <c r="E1366" s="59">
        <f t="shared" si="149"/>
        <v>39</v>
      </c>
      <c r="F1366" s="57" t="s">
        <v>52</v>
      </c>
      <c r="G1366" s="57" t="s">
        <v>39</v>
      </c>
      <c r="H1366" s="57" t="s">
        <v>2851</v>
      </c>
      <c r="I1366" s="57" t="s">
        <v>64</v>
      </c>
      <c r="J1366" s="57" t="s">
        <v>131</v>
      </c>
      <c r="K1366" s="57" t="s">
        <v>71</v>
      </c>
      <c r="L1366" s="57" t="s">
        <v>135</v>
      </c>
      <c r="M1366" s="60">
        <v>727</v>
      </c>
      <c r="N1366" s="57" t="s">
        <v>114</v>
      </c>
      <c r="O1366" s="61">
        <v>1134.8399999999999</v>
      </c>
      <c r="P1366" s="61">
        <v>825028.68</v>
      </c>
      <c r="Q1366" s="61">
        <v>33130.49</v>
      </c>
      <c r="R1366" s="62">
        <f t="shared" si="150"/>
        <v>4.0156773701491198E-2</v>
      </c>
      <c r="S1366" s="60">
        <v>5</v>
      </c>
      <c r="T1366" s="58">
        <v>45200</v>
      </c>
      <c r="U1366" s="58">
        <v>45201</v>
      </c>
      <c r="V1366" s="63">
        <f t="shared" si="151"/>
        <v>1</v>
      </c>
      <c r="W1366" s="57" t="s">
        <v>128</v>
      </c>
      <c r="X1366" s="64" t="b">
        <f t="shared" si="152"/>
        <v>0</v>
      </c>
      <c r="Y1366" s="60">
        <v>416</v>
      </c>
      <c r="Z1366" s="60">
        <v>456</v>
      </c>
      <c r="AA1366" s="57" t="s">
        <v>116</v>
      </c>
      <c r="AB1366" s="64" t="b">
        <f t="shared" si="153"/>
        <v>0</v>
      </c>
    </row>
    <row r="1367" spans="1:28" ht="15" customHeight="1" x14ac:dyDescent="0.3">
      <c r="A1367" s="65" t="s">
        <v>2852</v>
      </c>
      <c r="B1367" s="81">
        <v>45525</v>
      </c>
      <c r="C1367" s="59">
        <f t="shared" si="147"/>
        <v>2024</v>
      </c>
      <c r="D1367" s="59">
        <f t="shared" si="148"/>
        <v>8</v>
      </c>
      <c r="E1367" s="59">
        <f t="shared" si="149"/>
        <v>34</v>
      </c>
      <c r="F1367" s="65" t="s">
        <v>60</v>
      </c>
      <c r="G1367" s="65" t="s">
        <v>40</v>
      </c>
      <c r="H1367" s="65" t="s">
        <v>2853</v>
      </c>
      <c r="I1367" s="65" t="s">
        <v>69</v>
      </c>
      <c r="J1367" s="65" t="s">
        <v>143</v>
      </c>
      <c r="K1367" s="65" t="s">
        <v>72</v>
      </c>
      <c r="L1367" s="65" t="s">
        <v>113</v>
      </c>
      <c r="M1367" s="67">
        <v>719</v>
      </c>
      <c r="N1367" s="65" t="s">
        <v>140</v>
      </c>
      <c r="O1367" s="68">
        <v>791.39</v>
      </c>
      <c r="P1367" s="68">
        <v>569009.41</v>
      </c>
      <c r="Q1367" s="68">
        <v>30522.61</v>
      </c>
      <c r="R1367" s="62">
        <f t="shared" si="150"/>
        <v>5.3641661216112399E-2</v>
      </c>
      <c r="S1367" s="67">
        <v>27</v>
      </c>
      <c r="T1367" s="66">
        <v>45552</v>
      </c>
      <c r="U1367" s="66">
        <v>45552</v>
      </c>
      <c r="V1367" s="63">
        <f t="shared" si="151"/>
        <v>0</v>
      </c>
      <c r="W1367" s="65" t="s">
        <v>115</v>
      </c>
      <c r="X1367" s="64" t="b">
        <f t="shared" si="152"/>
        <v>1</v>
      </c>
      <c r="Y1367" s="67">
        <v>92</v>
      </c>
      <c r="Z1367" s="67">
        <v>473</v>
      </c>
      <c r="AA1367" s="65" t="s">
        <v>116</v>
      </c>
      <c r="AB1367" s="64" t="b">
        <f t="shared" si="153"/>
        <v>0</v>
      </c>
    </row>
    <row r="1368" spans="1:28" ht="15" customHeight="1" x14ac:dyDescent="0.3">
      <c r="A1368" s="57" t="s">
        <v>2854</v>
      </c>
      <c r="B1368" s="82">
        <v>45317</v>
      </c>
      <c r="C1368" s="59">
        <f t="shared" si="147"/>
        <v>2024</v>
      </c>
      <c r="D1368" s="59">
        <f t="shared" si="148"/>
        <v>1</v>
      </c>
      <c r="E1368" s="59">
        <f t="shared" si="149"/>
        <v>4</v>
      </c>
      <c r="F1368" s="57" t="s">
        <v>56</v>
      </c>
      <c r="G1368" s="57" t="s">
        <v>40</v>
      </c>
      <c r="H1368" s="57" t="s">
        <v>2855</v>
      </c>
      <c r="I1368" s="57" t="s">
        <v>69</v>
      </c>
      <c r="J1368" s="57" t="s">
        <v>143</v>
      </c>
      <c r="K1368" s="57" t="s">
        <v>72</v>
      </c>
      <c r="L1368" s="57" t="s">
        <v>119</v>
      </c>
      <c r="M1368" s="60">
        <v>405</v>
      </c>
      <c r="N1368" s="57" t="s">
        <v>132</v>
      </c>
      <c r="O1368" s="61">
        <v>902.27</v>
      </c>
      <c r="P1368" s="61">
        <v>365419.35</v>
      </c>
      <c r="Q1368" s="61">
        <v>9392.52</v>
      </c>
      <c r="R1368" s="62">
        <f t="shared" si="150"/>
        <v>2.570340076408105E-2</v>
      </c>
      <c r="S1368" s="60">
        <v>23</v>
      </c>
      <c r="T1368" s="58">
        <v>45340</v>
      </c>
      <c r="U1368" s="58">
        <v>45345</v>
      </c>
      <c r="V1368" s="63">
        <f t="shared" si="151"/>
        <v>5</v>
      </c>
      <c r="W1368" s="57" t="s">
        <v>128</v>
      </c>
      <c r="X1368" s="64" t="b">
        <f t="shared" si="152"/>
        <v>0</v>
      </c>
      <c r="Y1368" s="60">
        <v>143</v>
      </c>
      <c r="Z1368" s="60">
        <v>395</v>
      </c>
      <c r="AA1368" s="57" t="s">
        <v>116</v>
      </c>
      <c r="AB1368" s="64" t="b">
        <f t="shared" si="153"/>
        <v>0</v>
      </c>
    </row>
    <row r="1369" spans="1:28" ht="15" customHeight="1" x14ac:dyDescent="0.3">
      <c r="A1369" s="65" t="s">
        <v>2856</v>
      </c>
      <c r="B1369" s="81">
        <v>45580</v>
      </c>
      <c r="C1369" s="59">
        <f t="shared" si="147"/>
        <v>2024</v>
      </c>
      <c r="D1369" s="59">
        <f t="shared" si="148"/>
        <v>10</v>
      </c>
      <c r="E1369" s="59">
        <f t="shared" si="149"/>
        <v>42</v>
      </c>
      <c r="F1369" s="65" t="s">
        <v>60</v>
      </c>
      <c r="G1369" s="65" t="s">
        <v>45</v>
      </c>
      <c r="H1369" s="65" t="s">
        <v>2857</v>
      </c>
      <c r="I1369" s="65" t="s">
        <v>66</v>
      </c>
      <c r="J1369" s="65" t="s">
        <v>143</v>
      </c>
      <c r="K1369" s="65" t="s">
        <v>74</v>
      </c>
      <c r="L1369" s="65" t="s">
        <v>135</v>
      </c>
      <c r="M1369" s="67">
        <v>921</v>
      </c>
      <c r="N1369" s="65" t="s">
        <v>140</v>
      </c>
      <c r="O1369" s="68">
        <v>299.39999999999998</v>
      </c>
      <c r="P1369" s="68">
        <v>275747.40000000002</v>
      </c>
      <c r="Q1369" s="68">
        <v>8831.68</v>
      </c>
      <c r="R1369" s="62">
        <f t="shared" si="150"/>
        <v>3.2028153302624068E-2</v>
      </c>
      <c r="S1369" s="67">
        <v>1</v>
      </c>
      <c r="T1369" s="66">
        <v>45581</v>
      </c>
      <c r="U1369" s="66">
        <v>45586</v>
      </c>
      <c r="V1369" s="63">
        <f t="shared" si="151"/>
        <v>5</v>
      </c>
      <c r="W1369" s="65" t="s">
        <v>128</v>
      </c>
      <c r="X1369" s="64" t="b">
        <f t="shared" si="152"/>
        <v>0</v>
      </c>
      <c r="Y1369" s="67">
        <v>253</v>
      </c>
      <c r="Z1369" s="67">
        <v>239</v>
      </c>
      <c r="AA1369" s="65" t="s">
        <v>116</v>
      </c>
      <c r="AB1369" s="64" t="b">
        <f t="shared" si="153"/>
        <v>0</v>
      </c>
    </row>
    <row r="1370" spans="1:28" ht="15" customHeight="1" x14ac:dyDescent="0.3">
      <c r="A1370" s="57" t="s">
        <v>2858</v>
      </c>
      <c r="B1370" s="82">
        <v>45307</v>
      </c>
      <c r="C1370" s="59">
        <f t="shared" si="147"/>
        <v>2024</v>
      </c>
      <c r="D1370" s="59">
        <f t="shared" si="148"/>
        <v>1</v>
      </c>
      <c r="E1370" s="59">
        <f t="shared" si="149"/>
        <v>3</v>
      </c>
      <c r="F1370" s="57" t="s">
        <v>57</v>
      </c>
      <c r="G1370" s="57" t="s">
        <v>46</v>
      </c>
      <c r="H1370" s="57" t="s">
        <v>2859</v>
      </c>
      <c r="I1370" s="57" t="s">
        <v>67</v>
      </c>
      <c r="J1370" s="57" t="s">
        <v>151</v>
      </c>
      <c r="K1370" s="57" t="s">
        <v>74</v>
      </c>
      <c r="L1370" s="57" t="s">
        <v>135</v>
      </c>
      <c r="M1370" s="60">
        <v>346</v>
      </c>
      <c r="N1370" s="57" t="s">
        <v>114</v>
      </c>
      <c r="O1370" s="61">
        <v>64.78</v>
      </c>
      <c r="P1370" s="61">
        <v>22413.88</v>
      </c>
      <c r="Q1370" s="61">
        <v>1004.32</v>
      </c>
      <c r="R1370" s="62">
        <f t="shared" si="150"/>
        <v>4.4807949359950174E-2</v>
      </c>
      <c r="S1370" s="60">
        <v>4</v>
      </c>
      <c r="T1370" s="58">
        <v>45311</v>
      </c>
      <c r="U1370" s="58">
        <v>45323</v>
      </c>
      <c r="V1370" s="63">
        <f t="shared" si="151"/>
        <v>12</v>
      </c>
      <c r="W1370" s="57" t="s">
        <v>125</v>
      </c>
      <c r="X1370" s="64" t="b">
        <f t="shared" si="152"/>
        <v>0</v>
      </c>
      <c r="Y1370" s="60">
        <v>77</v>
      </c>
      <c r="Z1370" s="60">
        <v>384</v>
      </c>
      <c r="AA1370" s="57" t="s">
        <v>82</v>
      </c>
      <c r="AB1370" s="64" t="b">
        <f t="shared" si="153"/>
        <v>1</v>
      </c>
    </row>
    <row r="1371" spans="1:28" ht="15" customHeight="1" x14ac:dyDescent="0.3">
      <c r="A1371" s="65" t="s">
        <v>2860</v>
      </c>
      <c r="B1371" s="81">
        <v>45037</v>
      </c>
      <c r="C1371" s="59">
        <f t="shared" si="147"/>
        <v>2023</v>
      </c>
      <c r="D1371" s="59">
        <f t="shared" si="148"/>
        <v>4</v>
      </c>
      <c r="E1371" s="59">
        <f t="shared" si="149"/>
        <v>16</v>
      </c>
      <c r="F1371" s="65" t="s">
        <v>60</v>
      </c>
      <c r="G1371" s="65" t="s">
        <v>40</v>
      </c>
      <c r="H1371" s="65" t="s">
        <v>2861</v>
      </c>
      <c r="I1371" s="65" t="s">
        <v>66</v>
      </c>
      <c r="J1371" s="65" t="s">
        <v>151</v>
      </c>
      <c r="K1371" s="65" t="s">
        <v>72</v>
      </c>
      <c r="L1371" s="65" t="s">
        <v>135</v>
      </c>
      <c r="M1371" s="67">
        <v>608</v>
      </c>
      <c r="N1371" s="65" t="s">
        <v>163</v>
      </c>
      <c r="O1371" s="68">
        <v>1082.28</v>
      </c>
      <c r="P1371" s="68">
        <v>658026.23999999999</v>
      </c>
      <c r="Q1371" s="68">
        <v>21301.73</v>
      </c>
      <c r="R1371" s="62">
        <f t="shared" si="150"/>
        <v>3.2372158897493203E-2</v>
      </c>
      <c r="S1371" s="67">
        <v>22</v>
      </c>
      <c r="T1371" s="66">
        <v>45059</v>
      </c>
      <c r="U1371" s="66">
        <v>45061</v>
      </c>
      <c r="V1371" s="63">
        <f t="shared" si="151"/>
        <v>2</v>
      </c>
      <c r="W1371" s="65" t="s">
        <v>128</v>
      </c>
      <c r="X1371" s="64" t="b">
        <f t="shared" si="152"/>
        <v>0</v>
      </c>
      <c r="Y1371" s="67">
        <v>262</v>
      </c>
      <c r="Z1371" s="67">
        <v>199</v>
      </c>
      <c r="AA1371" s="65" t="s">
        <v>81</v>
      </c>
      <c r="AB1371" s="64" t="b">
        <f t="shared" si="153"/>
        <v>1</v>
      </c>
    </row>
    <row r="1372" spans="1:28" ht="15" customHeight="1" x14ac:dyDescent="0.3">
      <c r="A1372" s="57" t="s">
        <v>2862</v>
      </c>
      <c r="B1372" s="82">
        <v>45618</v>
      </c>
      <c r="C1372" s="59">
        <f t="shared" si="147"/>
        <v>2024</v>
      </c>
      <c r="D1372" s="59">
        <f t="shared" si="148"/>
        <v>11</v>
      </c>
      <c r="E1372" s="59">
        <f t="shared" si="149"/>
        <v>47</v>
      </c>
      <c r="F1372" s="57" t="s">
        <v>56</v>
      </c>
      <c r="G1372" s="57" t="s">
        <v>45</v>
      </c>
      <c r="H1372" s="57" t="s">
        <v>2863</v>
      </c>
      <c r="I1372" s="57" t="s">
        <v>68</v>
      </c>
      <c r="J1372" s="57" t="s">
        <v>139</v>
      </c>
      <c r="K1372" s="57" t="s">
        <v>73</v>
      </c>
      <c r="L1372" s="57" t="s">
        <v>156</v>
      </c>
      <c r="M1372" s="60">
        <v>151</v>
      </c>
      <c r="N1372" s="57" t="s">
        <v>132</v>
      </c>
      <c r="O1372" s="61">
        <v>209.13</v>
      </c>
      <c r="P1372" s="61">
        <v>31578.63</v>
      </c>
      <c r="Q1372" s="61">
        <v>2292.41</v>
      </c>
      <c r="R1372" s="62">
        <f t="shared" si="150"/>
        <v>7.2593712900147975E-2</v>
      </c>
      <c r="S1372" s="60">
        <v>2</v>
      </c>
      <c r="T1372" s="58">
        <v>45620</v>
      </c>
      <c r="U1372" s="58">
        <v>45623</v>
      </c>
      <c r="V1372" s="63">
        <f t="shared" si="151"/>
        <v>3</v>
      </c>
      <c r="W1372" s="57" t="s">
        <v>125</v>
      </c>
      <c r="X1372" s="64" t="b">
        <f t="shared" si="152"/>
        <v>0</v>
      </c>
      <c r="Y1372" s="60">
        <v>69</v>
      </c>
      <c r="Z1372" s="60">
        <v>416</v>
      </c>
      <c r="AA1372" s="57" t="s">
        <v>83</v>
      </c>
      <c r="AB1372" s="64" t="b">
        <f t="shared" si="153"/>
        <v>1</v>
      </c>
    </row>
    <row r="1373" spans="1:28" ht="15" customHeight="1" x14ac:dyDescent="0.3">
      <c r="A1373" s="65" t="s">
        <v>2864</v>
      </c>
      <c r="B1373" s="81">
        <v>45166</v>
      </c>
      <c r="C1373" s="59">
        <f t="shared" si="147"/>
        <v>2023</v>
      </c>
      <c r="D1373" s="59">
        <f t="shared" si="148"/>
        <v>8</v>
      </c>
      <c r="E1373" s="59">
        <f t="shared" si="149"/>
        <v>35</v>
      </c>
      <c r="F1373" s="65" t="s">
        <v>56</v>
      </c>
      <c r="G1373" s="65" t="s">
        <v>40</v>
      </c>
      <c r="H1373" s="65" t="s">
        <v>2865</v>
      </c>
      <c r="I1373" s="65" t="s">
        <v>66</v>
      </c>
      <c r="J1373" s="65" t="s">
        <v>143</v>
      </c>
      <c r="K1373" s="65" t="s">
        <v>72</v>
      </c>
      <c r="L1373" s="65" t="s">
        <v>156</v>
      </c>
      <c r="M1373" s="67">
        <v>326</v>
      </c>
      <c r="N1373" s="65" t="s">
        <v>120</v>
      </c>
      <c r="O1373" s="68">
        <v>1069.69</v>
      </c>
      <c r="P1373" s="68">
        <v>348718.94</v>
      </c>
      <c r="Q1373" s="68">
        <v>10286.219999999999</v>
      </c>
      <c r="R1373" s="62">
        <f t="shared" si="150"/>
        <v>2.9497164679383344E-2</v>
      </c>
      <c r="S1373" s="67">
        <v>10</v>
      </c>
      <c r="T1373" s="66">
        <v>45176</v>
      </c>
      <c r="U1373" s="66">
        <v>45176</v>
      </c>
      <c r="V1373" s="63">
        <f t="shared" si="151"/>
        <v>0</v>
      </c>
      <c r="W1373" s="65" t="s">
        <v>115</v>
      </c>
      <c r="X1373" s="64" t="b">
        <f t="shared" si="152"/>
        <v>1</v>
      </c>
      <c r="Y1373" s="67">
        <v>148</v>
      </c>
      <c r="Z1373" s="67">
        <v>447</v>
      </c>
      <c r="AA1373" s="65" t="s">
        <v>83</v>
      </c>
      <c r="AB1373" s="64" t="b">
        <f t="shared" si="153"/>
        <v>1</v>
      </c>
    </row>
    <row r="1374" spans="1:28" ht="15" customHeight="1" x14ac:dyDescent="0.3">
      <c r="A1374" s="57" t="s">
        <v>2866</v>
      </c>
      <c r="B1374" s="82">
        <v>45409</v>
      </c>
      <c r="C1374" s="59">
        <f t="shared" si="147"/>
        <v>2024</v>
      </c>
      <c r="D1374" s="59">
        <f t="shared" si="148"/>
        <v>4</v>
      </c>
      <c r="E1374" s="59">
        <f t="shared" si="149"/>
        <v>17</v>
      </c>
      <c r="F1374" s="57" t="s">
        <v>52</v>
      </c>
      <c r="G1374" s="57" t="s">
        <v>41</v>
      </c>
      <c r="H1374" s="57" t="s">
        <v>2867</v>
      </c>
      <c r="I1374" s="57" t="s">
        <v>66</v>
      </c>
      <c r="J1374" s="57" t="s">
        <v>143</v>
      </c>
      <c r="K1374" s="57" t="s">
        <v>74</v>
      </c>
      <c r="L1374" s="57" t="s">
        <v>156</v>
      </c>
      <c r="M1374" s="60">
        <v>720</v>
      </c>
      <c r="N1374" s="57" t="s">
        <v>120</v>
      </c>
      <c r="O1374" s="61">
        <v>588.16999999999996</v>
      </c>
      <c r="P1374" s="61">
        <v>423482.4</v>
      </c>
      <c r="Q1374" s="61">
        <v>20047.509999999998</v>
      </c>
      <c r="R1374" s="62">
        <f t="shared" si="150"/>
        <v>4.7339653312628807E-2</v>
      </c>
      <c r="S1374" s="60">
        <v>5</v>
      </c>
      <c r="T1374" s="58">
        <v>45414</v>
      </c>
      <c r="U1374" s="58">
        <v>45419</v>
      </c>
      <c r="V1374" s="63">
        <f t="shared" si="151"/>
        <v>5</v>
      </c>
      <c r="W1374" s="57" t="s">
        <v>128</v>
      </c>
      <c r="X1374" s="64" t="b">
        <f t="shared" si="152"/>
        <v>0</v>
      </c>
      <c r="Y1374" s="60">
        <v>291</v>
      </c>
      <c r="Z1374" s="60">
        <v>115</v>
      </c>
      <c r="AA1374" s="57" t="s">
        <v>116</v>
      </c>
      <c r="AB1374" s="64" t="b">
        <f t="shared" si="153"/>
        <v>0</v>
      </c>
    </row>
    <row r="1375" spans="1:28" ht="15" customHeight="1" x14ac:dyDescent="0.3">
      <c r="A1375" s="65" t="s">
        <v>2868</v>
      </c>
      <c r="B1375" s="81">
        <v>44952</v>
      </c>
      <c r="C1375" s="59">
        <f t="shared" si="147"/>
        <v>2023</v>
      </c>
      <c r="D1375" s="59">
        <f t="shared" si="148"/>
        <v>1</v>
      </c>
      <c r="E1375" s="59">
        <f t="shared" si="149"/>
        <v>4</v>
      </c>
      <c r="F1375" s="65" t="s">
        <v>59</v>
      </c>
      <c r="G1375" s="65" t="s">
        <v>41</v>
      </c>
      <c r="H1375" s="65" t="s">
        <v>2869</v>
      </c>
      <c r="I1375" s="65" t="s">
        <v>69</v>
      </c>
      <c r="J1375" s="65" t="s">
        <v>131</v>
      </c>
      <c r="K1375" s="65" t="s">
        <v>75</v>
      </c>
      <c r="L1375" s="65" t="s">
        <v>135</v>
      </c>
      <c r="M1375" s="67">
        <v>567</v>
      </c>
      <c r="N1375" s="65" t="s">
        <v>120</v>
      </c>
      <c r="O1375" s="68">
        <v>704.64</v>
      </c>
      <c r="P1375" s="68">
        <v>399530.88</v>
      </c>
      <c r="Q1375" s="68">
        <v>22510.35</v>
      </c>
      <c r="R1375" s="62">
        <f t="shared" si="150"/>
        <v>5.6341952842293437E-2</v>
      </c>
      <c r="S1375" s="67">
        <v>27</v>
      </c>
      <c r="T1375" s="66">
        <v>44979</v>
      </c>
      <c r="U1375" s="66">
        <v>44979</v>
      </c>
      <c r="V1375" s="63">
        <f t="shared" si="151"/>
        <v>0</v>
      </c>
      <c r="W1375" s="65" t="s">
        <v>115</v>
      </c>
      <c r="X1375" s="64" t="b">
        <f t="shared" si="152"/>
        <v>1</v>
      </c>
      <c r="Y1375" s="67">
        <v>213</v>
      </c>
      <c r="Z1375" s="67">
        <v>114</v>
      </c>
      <c r="AA1375" s="65" t="s">
        <v>116</v>
      </c>
      <c r="AB1375" s="64" t="b">
        <f t="shared" si="153"/>
        <v>0</v>
      </c>
    </row>
    <row r="1376" spans="1:28" ht="15" customHeight="1" x14ac:dyDescent="0.3">
      <c r="A1376" s="57" t="s">
        <v>2870</v>
      </c>
      <c r="B1376" s="82">
        <v>45561</v>
      </c>
      <c r="C1376" s="59">
        <f t="shared" si="147"/>
        <v>2024</v>
      </c>
      <c r="D1376" s="59">
        <f t="shared" si="148"/>
        <v>9</v>
      </c>
      <c r="E1376" s="59">
        <f t="shared" si="149"/>
        <v>39</v>
      </c>
      <c r="F1376" s="57" t="s">
        <v>56</v>
      </c>
      <c r="G1376" s="57" t="s">
        <v>44</v>
      </c>
      <c r="H1376" s="57" t="s">
        <v>2871</v>
      </c>
      <c r="I1376" s="57" t="s">
        <v>64</v>
      </c>
      <c r="J1376" s="57" t="s">
        <v>123</v>
      </c>
      <c r="K1376" s="57" t="s">
        <v>71</v>
      </c>
      <c r="L1376" s="57" t="s">
        <v>124</v>
      </c>
      <c r="M1376" s="60">
        <v>809</v>
      </c>
      <c r="N1376" s="57" t="s">
        <v>132</v>
      </c>
      <c r="O1376" s="61">
        <v>123.45</v>
      </c>
      <c r="P1376" s="61">
        <v>99871.05</v>
      </c>
      <c r="Q1376" s="61">
        <v>6143.25</v>
      </c>
      <c r="R1376" s="62">
        <f t="shared" si="150"/>
        <v>6.1511819491233945E-2</v>
      </c>
      <c r="S1376" s="60">
        <v>10</v>
      </c>
      <c r="T1376" s="58">
        <v>45571</v>
      </c>
      <c r="U1376" s="58">
        <v>45568</v>
      </c>
      <c r="V1376" s="63">
        <f t="shared" si="151"/>
        <v>-3</v>
      </c>
      <c r="W1376" s="57" t="s">
        <v>115</v>
      </c>
      <c r="X1376" s="64" t="b">
        <f t="shared" si="152"/>
        <v>1</v>
      </c>
      <c r="Y1376" s="60">
        <v>359</v>
      </c>
      <c r="Z1376" s="60">
        <v>451</v>
      </c>
      <c r="AA1376" s="57" t="s">
        <v>116</v>
      </c>
      <c r="AB1376" s="64" t="b">
        <f t="shared" si="153"/>
        <v>0</v>
      </c>
    </row>
    <row r="1377" spans="1:28" ht="15" customHeight="1" x14ac:dyDescent="0.3">
      <c r="A1377" s="65" t="s">
        <v>2872</v>
      </c>
      <c r="B1377" s="81">
        <v>45501</v>
      </c>
      <c r="C1377" s="59">
        <f t="shared" si="147"/>
        <v>2024</v>
      </c>
      <c r="D1377" s="59">
        <f t="shared" si="148"/>
        <v>7</v>
      </c>
      <c r="E1377" s="59">
        <f t="shared" si="149"/>
        <v>31</v>
      </c>
      <c r="F1377" s="65" t="s">
        <v>60</v>
      </c>
      <c r="G1377" s="65" t="s">
        <v>39</v>
      </c>
      <c r="H1377" s="65" t="s">
        <v>2873</v>
      </c>
      <c r="I1377" s="65" t="s">
        <v>69</v>
      </c>
      <c r="J1377" s="65" t="s">
        <v>123</v>
      </c>
      <c r="K1377" s="65" t="s">
        <v>75</v>
      </c>
      <c r="L1377" s="65" t="s">
        <v>135</v>
      </c>
      <c r="M1377" s="67">
        <v>536</v>
      </c>
      <c r="N1377" s="65" t="s">
        <v>120</v>
      </c>
      <c r="O1377" s="68">
        <v>1775.17</v>
      </c>
      <c r="P1377" s="68">
        <v>951491.12</v>
      </c>
      <c r="Q1377" s="68">
        <v>40899.050000000003</v>
      </c>
      <c r="R1377" s="62">
        <f t="shared" si="150"/>
        <v>4.2984163635704772E-2</v>
      </c>
      <c r="S1377" s="67">
        <v>1</v>
      </c>
      <c r="T1377" s="66">
        <v>45502</v>
      </c>
      <c r="U1377" s="66">
        <v>45502</v>
      </c>
      <c r="V1377" s="63">
        <f t="shared" si="151"/>
        <v>0</v>
      </c>
      <c r="W1377" s="65" t="s">
        <v>115</v>
      </c>
      <c r="X1377" s="64" t="b">
        <f t="shared" si="152"/>
        <v>1</v>
      </c>
      <c r="Y1377" s="67">
        <v>309</v>
      </c>
      <c r="Z1377" s="67">
        <v>141</v>
      </c>
      <c r="AA1377" s="65" t="s">
        <v>83</v>
      </c>
      <c r="AB1377" s="64" t="b">
        <f t="shared" si="153"/>
        <v>1</v>
      </c>
    </row>
    <row r="1378" spans="1:28" ht="15" customHeight="1" x14ac:dyDescent="0.3">
      <c r="A1378" s="57" t="s">
        <v>2874</v>
      </c>
      <c r="B1378" s="82">
        <v>45262</v>
      </c>
      <c r="C1378" s="59">
        <f t="shared" si="147"/>
        <v>2023</v>
      </c>
      <c r="D1378" s="59">
        <f t="shared" si="148"/>
        <v>12</v>
      </c>
      <c r="E1378" s="59">
        <f t="shared" si="149"/>
        <v>48</v>
      </c>
      <c r="F1378" s="57" t="s">
        <v>59</v>
      </c>
      <c r="G1378" s="57" t="s">
        <v>43</v>
      </c>
      <c r="H1378" s="57" t="s">
        <v>2875</v>
      </c>
      <c r="I1378" s="57" t="s">
        <v>65</v>
      </c>
      <c r="J1378" s="57" t="s">
        <v>112</v>
      </c>
      <c r="K1378" s="57" t="s">
        <v>75</v>
      </c>
      <c r="L1378" s="57" t="s">
        <v>156</v>
      </c>
      <c r="M1378" s="60">
        <v>565</v>
      </c>
      <c r="N1378" s="57" t="s">
        <v>140</v>
      </c>
      <c r="O1378" s="61">
        <v>240.8</v>
      </c>
      <c r="P1378" s="61">
        <v>136052</v>
      </c>
      <c r="Q1378" s="61">
        <v>9815.6</v>
      </c>
      <c r="R1378" s="62">
        <f t="shared" si="150"/>
        <v>7.2145944197806719E-2</v>
      </c>
      <c r="S1378" s="60">
        <v>22</v>
      </c>
      <c r="T1378" s="58">
        <v>45284</v>
      </c>
      <c r="U1378" s="58">
        <v>45283</v>
      </c>
      <c r="V1378" s="63">
        <f t="shared" si="151"/>
        <v>-1</v>
      </c>
      <c r="W1378" s="57" t="s">
        <v>115</v>
      </c>
      <c r="X1378" s="64" t="b">
        <f t="shared" si="152"/>
        <v>1</v>
      </c>
      <c r="Y1378" s="60">
        <v>146</v>
      </c>
      <c r="Z1378" s="60">
        <v>118</v>
      </c>
      <c r="AA1378" s="57" t="s">
        <v>82</v>
      </c>
      <c r="AB1378" s="64" t="b">
        <f t="shared" si="153"/>
        <v>1</v>
      </c>
    </row>
    <row r="1379" spans="1:28" ht="15" customHeight="1" x14ac:dyDescent="0.3">
      <c r="A1379" s="65" t="s">
        <v>2876</v>
      </c>
      <c r="B1379" s="81">
        <v>45551</v>
      </c>
      <c r="C1379" s="59">
        <f t="shared" si="147"/>
        <v>2024</v>
      </c>
      <c r="D1379" s="59">
        <f t="shared" si="148"/>
        <v>9</v>
      </c>
      <c r="E1379" s="59">
        <f t="shared" si="149"/>
        <v>38</v>
      </c>
      <c r="F1379" s="65" t="s">
        <v>53</v>
      </c>
      <c r="G1379" s="65" t="s">
        <v>45</v>
      </c>
      <c r="H1379" s="65" t="s">
        <v>2877</v>
      </c>
      <c r="I1379" s="65" t="s">
        <v>66</v>
      </c>
      <c r="J1379" s="65" t="s">
        <v>139</v>
      </c>
      <c r="K1379" s="65" t="s">
        <v>71</v>
      </c>
      <c r="L1379" s="65" t="s">
        <v>135</v>
      </c>
      <c r="M1379" s="67">
        <v>410</v>
      </c>
      <c r="N1379" s="65" t="s">
        <v>132</v>
      </c>
      <c r="O1379" s="68">
        <v>206.78</v>
      </c>
      <c r="P1379" s="68">
        <v>84779.8</v>
      </c>
      <c r="Q1379" s="68">
        <v>4586.5200000000004</v>
      </c>
      <c r="R1379" s="62">
        <f t="shared" si="150"/>
        <v>5.4099207594261844E-2</v>
      </c>
      <c r="S1379" s="67">
        <v>6</v>
      </c>
      <c r="T1379" s="66">
        <v>45557</v>
      </c>
      <c r="U1379" s="66">
        <v>45558</v>
      </c>
      <c r="V1379" s="63">
        <f t="shared" si="151"/>
        <v>1</v>
      </c>
      <c r="W1379" s="65" t="s">
        <v>125</v>
      </c>
      <c r="X1379" s="64" t="b">
        <f t="shared" si="152"/>
        <v>0</v>
      </c>
      <c r="Y1379" s="67">
        <v>24</v>
      </c>
      <c r="Z1379" s="67">
        <v>92</v>
      </c>
      <c r="AA1379" s="65" t="s">
        <v>83</v>
      </c>
      <c r="AB1379" s="64" t="b">
        <f t="shared" si="153"/>
        <v>1</v>
      </c>
    </row>
    <row r="1380" spans="1:28" ht="15" customHeight="1" x14ac:dyDescent="0.3">
      <c r="A1380" s="57" t="s">
        <v>2878</v>
      </c>
      <c r="B1380" s="82">
        <v>45153</v>
      </c>
      <c r="C1380" s="59">
        <f t="shared" si="147"/>
        <v>2023</v>
      </c>
      <c r="D1380" s="59">
        <f t="shared" si="148"/>
        <v>8</v>
      </c>
      <c r="E1380" s="59">
        <f t="shared" si="149"/>
        <v>33</v>
      </c>
      <c r="F1380" s="57" t="s">
        <v>60</v>
      </c>
      <c r="G1380" s="57" t="s">
        <v>42</v>
      </c>
      <c r="H1380" s="57" t="s">
        <v>2879</v>
      </c>
      <c r="I1380" s="57" t="s">
        <v>66</v>
      </c>
      <c r="J1380" s="57" t="s">
        <v>123</v>
      </c>
      <c r="K1380" s="57" t="s">
        <v>72</v>
      </c>
      <c r="L1380" s="57" t="s">
        <v>156</v>
      </c>
      <c r="M1380" s="60">
        <v>690</v>
      </c>
      <c r="N1380" s="57" t="s">
        <v>132</v>
      </c>
      <c r="O1380" s="61">
        <v>65.239999999999995</v>
      </c>
      <c r="P1380" s="61">
        <v>45015.6</v>
      </c>
      <c r="Q1380" s="61">
        <v>2087.39</v>
      </c>
      <c r="R1380" s="62">
        <f t="shared" si="150"/>
        <v>4.6370369383058316E-2</v>
      </c>
      <c r="S1380" s="60">
        <v>13</v>
      </c>
      <c r="T1380" s="58">
        <v>45166</v>
      </c>
      <c r="U1380" s="58">
        <v>45171</v>
      </c>
      <c r="V1380" s="63">
        <f t="shared" si="151"/>
        <v>5</v>
      </c>
      <c r="W1380" s="57" t="s">
        <v>125</v>
      </c>
      <c r="X1380" s="64" t="b">
        <f t="shared" si="152"/>
        <v>0</v>
      </c>
      <c r="Y1380" s="60">
        <v>322</v>
      </c>
      <c r="Z1380" s="60">
        <v>397</v>
      </c>
      <c r="AA1380" s="57" t="s">
        <v>82</v>
      </c>
      <c r="AB1380" s="64" t="b">
        <f t="shared" si="153"/>
        <v>1</v>
      </c>
    </row>
    <row r="1381" spans="1:28" ht="15" customHeight="1" x14ac:dyDescent="0.3">
      <c r="A1381" s="65" t="s">
        <v>2880</v>
      </c>
      <c r="B1381" s="81">
        <v>45590</v>
      </c>
      <c r="C1381" s="59">
        <f t="shared" si="147"/>
        <v>2024</v>
      </c>
      <c r="D1381" s="59">
        <f t="shared" si="148"/>
        <v>10</v>
      </c>
      <c r="E1381" s="59">
        <f t="shared" si="149"/>
        <v>43</v>
      </c>
      <c r="F1381" s="65" t="s">
        <v>55</v>
      </c>
      <c r="G1381" s="65" t="s">
        <v>45</v>
      </c>
      <c r="H1381" s="65" t="s">
        <v>2881</v>
      </c>
      <c r="I1381" s="65" t="s">
        <v>65</v>
      </c>
      <c r="J1381" s="65" t="s">
        <v>112</v>
      </c>
      <c r="K1381" s="65" t="s">
        <v>73</v>
      </c>
      <c r="L1381" s="65" t="s">
        <v>156</v>
      </c>
      <c r="M1381" s="67">
        <v>319</v>
      </c>
      <c r="N1381" s="65" t="s">
        <v>132</v>
      </c>
      <c r="O1381" s="68">
        <v>154.97</v>
      </c>
      <c r="P1381" s="68">
        <v>49435.43</v>
      </c>
      <c r="Q1381" s="68">
        <v>1188.1500000000001</v>
      </c>
      <c r="R1381" s="62">
        <f t="shared" si="150"/>
        <v>2.4034381818869587E-2</v>
      </c>
      <c r="S1381" s="67">
        <v>15</v>
      </c>
      <c r="T1381" s="66">
        <v>45605</v>
      </c>
      <c r="U1381" s="66">
        <v>45605</v>
      </c>
      <c r="V1381" s="63">
        <f t="shared" si="151"/>
        <v>0</v>
      </c>
      <c r="W1381" s="65" t="s">
        <v>115</v>
      </c>
      <c r="X1381" s="64" t="b">
        <f t="shared" si="152"/>
        <v>1</v>
      </c>
      <c r="Y1381" s="67">
        <v>483</v>
      </c>
      <c r="Z1381" s="67">
        <v>8</v>
      </c>
      <c r="AA1381" s="65" t="s">
        <v>116</v>
      </c>
      <c r="AB1381" s="64" t="b">
        <f t="shared" si="153"/>
        <v>0</v>
      </c>
    </row>
    <row r="1382" spans="1:28" ht="15" customHeight="1" x14ac:dyDescent="0.3">
      <c r="A1382" s="57" t="s">
        <v>2882</v>
      </c>
      <c r="B1382" s="82">
        <v>44991</v>
      </c>
      <c r="C1382" s="59">
        <f t="shared" si="147"/>
        <v>2023</v>
      </c>
      <c r="D1382" s="59">
        <f t="shared" si="148"/>
        <v>3</v>
      </c>
      <c r="E1382" s="59">
        <f t="shared" si="149"/>
        <v>10</v>
      </c>
      <c r="F1382" s="57" t="s">
        <v>52</v>
      </c>
      <c r="G1382" s="57" t="s">
        <v>43</v>
      </c>
      <c r="H1382" s="57" t="s">
        <v>2883</v>
      </c>
      <c r="I1382" s="57" t="s">
        <v>66</v>
      </c>
      <c r="J1382" s="57" t="s">
        <v>131</v>
      </c>
      <c r="K1382" s="57" t="s">
        <v>75</v>
      </c>
      <c r="L1382" s="57" t="s">
        <v>156</v>
      </c>
      <c r="M1382" s="60">
        <v>504</v>
      </c>
      <c r="N1382" s="57" t="s">
        <v>136</v>
      </c>
      <c r="O1382" s="61">
        <v>142.66999999999999</v>
      </c>
      <c r="P1382" s="61">
        <v>71905.679999999993</v>
      </c>
      <c r="Q1382" s="61">
        <v>3442.94</v>
      </c>
      <c r="R1382" s="62">
        <f t="shared" si="150"/>
        <v>4.78813356608268E-2</v>
      </c>
      <c r="S1382" s="60">
        <v>4</v>
      </c>
      <c r="T1382" s="58">
        <v>44995</v>
      </c>
      <c r="U1382" s="58">
        <v>44997</v>
      </c>
      <c r="V1382" s="63">
        <f t="shared" si="151"/>
        <v>2</v>
      </c>
      <c r="W1382" s="57" t="s">
        <v>125</v>
      </c>
      <c r="X1382" s="64" t="b">
        <f t="shared" si="152"/>
        <v>0</v>
      </c>
      <c r="Y1382" s="60">
        <v>108</v>
      </c>
      <c r="Z1382" s="60">
        <v>72</v>
      </c>
      <c r="AA1382" s="57" t="s">
        <v>116</v>
      </c>
      <c r="AB1382" s="64" t="b">
        <f t="shared" si="153"/>
        <v>0</v>
      </c>
    </row>
    <row r="1383" spans="1:28" ht="15" customHeight="1" x14ac:dyDescent="0.3">
      <c r="A1383" s="65" t="s">
        <v>2884</v>
      </c>
      <c r="B1383" s="81">
        <v>45577</v>
      </c>
      <c r="C1383" s="59">
        <f t="shared" si="147"/>
        <v>2024</v>
      </c>
      <c r="D1383" s="59">
        <f t="shared" si="148"/>
        <v>10</v>
      </c>
      <c r="E1383" s="59">
        <f t="shared" si="149"/>
        <v>41</v>
      </c>
      <c r="F1383" s="65" t="s">
        <v>54</v>
      </c>
      <c r="G1383" s="65" t="s">
        <v>39</v>
      </c>
      <c r="H1383" s="65" t="s">
        <v>2885</v>
      </c>
      <c r="I1383" s="65" t="s">
        <v>66</v>
      </c>
      <c r="J1383" s="65" t="s">
        <v>139</v>
      </c>
      <c r="K1383" s="65" t="s">
        <v>73</v>
      </c>
      <c r="L1383" s="65" t="s">
        <v>124</v>
      </c>
      <c r="M1383" s="67">
        <v>565</v>
      </c>
      <c r="N1383" s="65" t="s">
        <v>163</v>
      </c>
      <c r="O1383" s="68">
        <v>2098.2399999999998</v>
      </c>
      <c r="P1383" s="68">
        <v>1185505.6000000001</v>
      </c>
      <c r="Q1383" s="68">
        <v>82089.33</v>
      </c>
      <c r="R1383" s="62">
        <f t="shared" si="150"/>
        <v>6.9244152030998415E-2</v>
      </c>
      <c r="S1383" s="67">
        <v>13</v>
      </c>
      <c r="T1383" s="66">
        <v>45590</v>
      </c>
      <c r="U1383" s="66">
        <v>45585</v>
      </c>
      <c r="V1383" s="63">
        <f t="shared" si="151"/>
        <v>-5</v>
      </c>
      <c r="W1383" s="65" t="s">
        <v>115</v>
      </c>
      <c r="X1383" s="64" t="b">
        <f t="shared" si="152"/>
        <v>1</v>
      </c>
      <c r="Y1383" s="67">
        <v>180</v>
      </c>
      <c r="Z1383" s="67">
        <v>25</v>
      </c>
      <c r="AA1383" s="65" t="s">
        <v>116</v>
      </c>
      <c r="AB1383" s="64" t="b">
        <f t="shared" si="153"/>
        <v>0</v>
      </c>
    </row>
    <row r="1384" spans="1:28" ht="15" customHeight="1" x14ac:dyDescent="0.3">
      <c r="A1384" s="57" t="s">
        <v>2886</v>
      </c>
      <c r="B1384" s="82">
        <v>45402</v>
      </c>
      <c r="C1384" s="59">
        <f t="shared" si="147"/>
        <v>2024</v>
      </c>
      <c r="D1384" s="59">
        <f t="shared" si="148"/>
        <v>4</v>
      </c>
      <c r="E1384" s="59">
        <f t="shared" si="149"/>
        <v>16</v>
      </c>
      <c r="F1384" s="57" t="s">
        <v>52</v>
      </c>
      <c r="G1384" s="57" t="s">
        <v>42</v>
      </c>
      <c r="H1384" s="57" t="s">
        <v>2887</v>
      </c>
      <c r="I1384" s="57" t="s">
        <v>68</v>
      </c>
      <c r="J1384" s="57" t="s">
        <v>139</v>
      </c>
      <c r="K1384" s="57" t="s">
        <v>74</v>
      </c>
      <c r="L1384" s="57" t="s">
        <v>119</v>
      </c>
      <c r="M1384" s="60">
        <v>619</v>
      </c>
      <c r="N1384" s="57" t="s">
        <v>136</v>
      </c>
      <c r="O1384" s="61">
        <v>71.13</v>
      </c>
      <c r="P1384" s="61">
        <v>44029.47</v>
      </c>
      <c r="Q1384" s="61">
        <v>2504.06</v>
      </c>
      <c r="R1384" s="62">
        <f t="shared" si="150"/>
        <v>5.6872362987789769E-2</v>
      </c>
      <c r="S1384" s="60">
        <v>24</v>
      </c>
      <c r="T1384" s="58">
        <v>45426</v>
      </c>
      <c r="U1384" s="58">
        <v>45425</v>
      </c>
      <c r="V1384" s="63">
        <f t="shared" si="151"/>
        <v>-1</v>
      </c>
      <c r="W1384" s="57" t="s">
        <v>115</v>
      </c>
      <c r="X1384" s="64" t="b">
        <f t="shared" si="152"/>
        <v>1</v>
      </c>
      <c r="Y1384" s="60">
        <v>250</v>
      </c>
      <c r="Z1384" s="60">
        <v>432</v>
      </c>
      <c r="AA1384" s="57" t="s">
        <v>116</v>
      </c>
      <c r="AB1384" s="64" t="b">
        <f t="shared" si="153"/>
        <v>0</v>
      </c>
    </row>
    <row r="1385" spans="1:28" ht="15" customHeight="1" x14ac:dyDescent="0.3">
      <c r="A1385" s="65" t="s">
        <v>2888</v>
      </c>
      <c r="B1385" s="81">
        <v>45644</v>
      </c>
      <c r="C1385" s="59">
        <f t="shared" si="147"/>
        <v>2024</v>
      </c>
      <c r="D1385" s="59">
        <f t="shared" si="148"/>
        <v>12</v>
      </c>
      <c r="E1385" s="59">
        <f t="shared" si="149"/>
        <v>51</v>
      </c>
      <c r="F1385" s="65" t="s">
        <v>56</v>
      </c>
      <c r="G1385" s="65" t="s">
        <v>43</v>
      </c>
      <c r="H1385" s="65" t="s">
        <v>2889</v>
      </c>
      <c r="I1385" s="65" t="s">
        <v>66</v>
      </c>
      <c r="J1385" s="65" t="s">
        <v>143</v>
      </c>
      <c r="K1385" s="65" t="s">
        <v>75</v>
      </c>
      <c r="L1385" s="65" t="s">
        <v>135</v>
      </c>
      <c r="M1385" s="67">
        <v>782</v>
      </c>
      <c r="N1385" s="65" t="s">
        <v>136</v>
      </c>
      <c r="O1385" s="68">
        <v>173.84</v>
      </c>
      <c r="P1385" s="68">
        <v>135942.88</v>
      </c>
      <c r="Q1385" s="68">
        <v>9506.4500000000007</v>
      </c>
      <c r="R1385" s="62">
        <f t="shared" si="150"/>
        <v>6.9929738137076397E-2</v>
      </c>
      <c r="S1385" s="67">
        <v>20</v>
      </c>
      <c r="T1385" s="66">
        <v>45664</v>
      </c>
      <c r="U1385" s="66">
        <v>45663</v>
      </c>
      <c r="V1385" s="63">
        <f t="shared" si="151"/>
        <v>-1</v>
      </c>
      <c r="W1385" s="65" t="s">
        <v>115</v>
      </c>
      <c r="X1385" s="64" t="b">
        <f t="shared" si="152"/>
        <v>1</v>
      </c>
      <c r="Y1385" s="67">
        <v>481</v>
      </c>
      <c r="Z1385" s="67">
        <v>238</v>
      </c>
      <c r="AA1385" s="65" t="s">
        <v>83</v>
      </c>
      <c r="AB1385" s="64" t="b">
        <f t="shared" si="153"/>
        <v>1</v>
      </c>
    </row>
    <row r="1386" spans="1:28" ht="15" customHeight="1" x14ac:dyDescent="0.3">
      <c r="A1386" s="57" t="s">
        <v>2890</v>
      </c>
      <c r="B1386" s="82">
        <v>45236</v>
      </c>
      <c r="C1386" s="59">
        <f t="shared" si="147"/>
        <v>2023</v>
      </c>
      <c r="D1386" s="59">
        <f t="shared" si="148"/>
        <v>11</v>
      </c>
      <c r="E1386" s="59">
        <f t="shared" si="149"/>
        <v>45</v>
      </c>
      <c r="F1386" s="57" t="s">
        <v>61</v>
      </c>
      <c r="G1386" s="57" t="s">
        <v>44</v>
      </c>
      <c r="H1386" s="57" t="s">
        <v>734</v>
      </c>
      <c r="I1386" s="57" t="s">
        <v>65</v>
      </c>
      <c r="J1386" s="57" t="s">
        <v>151</v>
      </c>
      <c r="K1386" s="57" t="s">
        <v>74</v>
      </c>
      <c r="L1386" s="57" t="s">
        <v>113</v>
      </c>
      <c r="M1386" s="60">
        <v>118</v>
      </c>
      <c r="N1386" s="57" t="s">
        <v>136</v>
      </c>
      <c r="O1386" s="61">
        <v>154.66</v>
      </c>
      <c r="P1386" s="61">
        <v>18249.88</v>
      </c>
      <c r="Q1386" s="61">
        <v>905.94</v>
      </c>
      <c r="R1386" s="62">
        <f t="shared" si="150"/>
        <v>4.9640874350954635E-2</v>
      </c>
      <c r="S1386" s="60">
        <v>24</v>
      </c>
      <c r="T1386" s="58">
        <v>45260</v>
      </c>
      <c r="U1386" s="58">
        <v>45263</v>
      </c>
      <c r="V1386" s="63">
        <f t="shared" si="151"/>
        <v>3</v>
      </c>
      <c r="W1386" s="57" t="s">
        <v>125</v>
      </c>
      <c r="X1386" s="64" t="b">
        <f t="shared" si="152"/>
        <v>0</v>
      </c>
      <c r="Y1386" s="60">
        <v>202</v>
      </c>
      <c r="Z1386" s="60">
        <v>361</v>
      </c>
      <c r="AA1386" s="57" t="s">
        <v>81</v>
      </c>
      <c r="AB1386" s="64" t="b">
        <f t="shared" si="153"/>
        <v>1</v>
      </c>
    </row>
    <row r="1387" spans="1:28" ht="15" customHeight="1" x14ac:dyDescent="0.3">
      <c r="A1387" s="65" t="s">
        <v>2891</v>
      </c>
      <c r="B1387" s="81">
        <v>45591</v>
      </c>
      <c r="C1387" s="59">
        <f t="shared" si="147"/>
        <v>2024</v>
      </c>
      <c r="D1387" s="59">
        <f t="shared" si="148"/>
        <v>10</v>
      </c>
      <c r="E1387" s="59">
        <f t="shared" si="149"/>
        <v>43</v>
      </c>
      <c r="F1387" s="65" t="s">
        <v>57</v>
      </c>
      <c r="G1387" s="65" t="s">
        <v>42</v>
      </c>
      <c r="H1387" s="65" t="s">
        <v>2892</v>
      </c>
      <c r="I1387" s="65" t="s">
        <v>69</v>
      </c>
      <c r="J1387" s="65" t="s">
        <v>143</v>
      </c>
      <c r="K1387" s="65" t="s">
        <v>72</v>
      </c>
      <c r="L1387" s="65" t="s">
        <v>156</v>
      </c>
      <c r="M1387" s="67">
        <v>804</v>
      </c>
      <c r="N1387" s="65" t="s">
        <v>163</v>
      </c>
      <c r="O1387" s="68">
        <v>76.48</v>
      </c>
      <c r="P1387" s="68">
        <v>61489.919999999998</v>
      </c>
      <c r="Q1387" s="68">
        <v>1666.85</v>
      </c>
      <c r="R1387" s="62">
        <f t="shared" si="150"/>
        <v>2.7107695049855326E-2</v>
      </c>
      <c r="S1387" s="67">
        <v>15</v>
      </c>
      <c r="T1387" s="66">
        <v>45606</v>
      </c>
      <c r="U1387" s="66">
        <v>45606</v>
      </c>
      <c r="V1387" s="63">
        <f t="shared" si="151"/>
        <v>0</v>
      </c>
      <c r="W1387" s="65" t="s">
        <v>115</v>
      </c>
      <c r="X1387" s="64" t="b">
        <f t="shared" si="152"/>
        <v>1</v>
      </c>
      <c r="Y1387" s="67">
        <v>303</v>
      </c>
      <c r="Z1387" s="67">
        <v>144</v>
      </c>
      <c r="AA1387" s="65" t="s">
        <v>84</v>
      </c>
      <c r="AB1387" s="64" t="b">
        <f t="shared" si="153"/>
        <v>1</v>
      </c>
    </row>
    <row r="1388" spans="1:28" ht="15" customHeight="1" x14ac:dyDescent="0.3">
      <c r="A1388" s="57" t="s">
        <v>2893</v>
      </c>
      <c r="B1388" s="82">
        <v>45345</v>
      </c>
      <c r="C1388" s="59">
        <f t="shared" si="147"/>
        <v>2024</v>
      </c>
      <c r="D1388" s="59">
        <f t="shared" si="148"/>
        <v>2</v>
      </c>
      <c r="E1388" s="59">
        <f t="shared" si="149"/>
        <v>8</v>
      </c>
      <c r="F1388" s="57" t="s">
        <v>55</v>
      </c>
      <c r="G1388" s="57" t="s">
        <v>41</v>
      </c>
      <c r="H1388" s="57" t="s">
        <v>2894</v>
      </c>
      <c r="I1388" s="57" t="s">
        <v>66</v>
      </c>
      <c r="J1388" s="57" t="s">
        <v>131</v>
      </c>
      <c r="K1388" s="57" t="s">
        <v>75</v>
      </c>
      <c r="L1388" s="57" t="s">
        <v>124</v>
      </c>
      <c r="M1388" s="60">
        <v>381</v>
      </c>
      <c r="N1388" s="57" t="s">
        <v>136</v>
      </c>
      <c r="O1388" s="61">
        <v>552.41999999999996</v>
      </c>
      <c r="P1388" s="61">
        <v>210472.02</v>
      </c>
      <c r="Q1388" s="61">
        <v>4381.6899999999996</v>
      </c>
      <c r="R1388" s="62">
        <f t="shared" si="150"/>
        <v>2.0818396668592812E-2</v>
      </c>
      <c r="S1388" s="60">
        <v>29</v>
      </c>
      <c r="T1388" s="58">
        <v>45374</v>
      </c>
      <c r="U1388" s="58">
        <v>45386</v>
      </c>
      <c r="V1388" s="63">
        <f t="shared" si="151"/>
        <v>12</v>
      </c>
      <c r="W1388" s="57" t="s">
        <v>125</v>
      </c>
      <c r="X1388" s="64" t="b">
        <f t="shared" si="152"/>
        <v>0</v>
      </c>
      <c r="Y1388" s="60">
        <v>169</v>
      </c>
      <c r="Z1388" s="60">
        <v>488</v>
      </c>
      <c r="AA1388" s="57" t="s">
        <v>84</v>
      </c>
      <c r="AB1388" s="64" t="b">
        <f t="shared" si="153"/>
        <v>1</v>
      </c>
    </row>
    <row r="1389" spans="1:28" ht="15" customHeight="1" x14ac:dyDescent="0.3">
      <c r="A1389" s="65" t="s">
        <v>2895</v>
      </c>
      <c r="B1389" s="81">
        <v>45046</v>
      </c>
      <c r="C1389" s="59">
        <f t="shared" si="147"/>
        <v>2023</v>
      </c>
      <c r="D1389" s="59">
        <f t="shared" si="148"/>
        <v>4</v>
      </c>
      <c r="E1389" s="59">
        <f t="shared" si="149"/>
        <v>18</v>
      </c>
      <c r="F1389" s="65" t="s">
        <v>56</v>
      </c>
      <c r="G1389" s="65" t="s">
        <v>43</v>
      </c>
      <c r="H1389" s="65" t="s">
        <v>2896</v>
      </c>
      <c r="I1389" s="65" t="s">
        <v>64</v>
      </c>
      <c r="J1389" s="65" t="s">
        <v>143</v>
      </c>
      <c r="K1389" s="65" t="s">
        <v>74</v>
      </c>
      <c r="L1389" s="65" t="s">
        <v>113</v>
      </c>
      <c r="M1389" s="67">
        <v>864</v>
      </c>
      <c r="N1389" s="65" t="s">
        <v>120</v>
      </c>
      <c r="O1389" s="68">
        <v>166</v>
      </c>
      <c r="P1389" s="68">
        <v>143424</v>
      </c>
      <c r="Q1389" s="68">
        <v>5477.82</v>
      </c>
      <c r="R1389" s="62">
        <f t="shared" si="150"/>
        <v>3.8193189424364123E-2</v>
      </c>
      <c r="S1389" s="67">
        <v>8</v>
      </c>
      <c r="T1389" s="66">
        <v>45054</v>
      </c>
      <c r="U1389" s="66">
        <v>45057</v>
      </c>
      <c r="V1389" s="63">
        <f t="shared" si="151"/>
        <v>3</v>
      </c>
      <c r="W1389" s="65" t="s">
        <v>128</v>
      </c>
      <c r="X1389" s="64" t="b">
        <f t="shared" si="152"/>
        <v>0</v>
      </c>
      <c r="Y1389" s="67">
        <v>174</v>
      </c>
      <c r="Z1389" s="67">
        <v>67</v>
      </c>
      <c r="AA1389" s="65" t="s">
        <v>116</v>
      </c>
      <c r="AB1389" s="64" t="b">
        <f t="shared" si="153"/>
        <v>0</v>
      </c>
    </row>
    <row r="1390" spans="1:28" ht="15" customHeight="1" x14ac:dyDescent="0.3">
      <c r="A1390" s="57" t="s">
        <v>2897</v>
      </c>
      <c r="B1390" s="82">
        <v>45070</v>
      </c>
      <c r="C1390" s="59">
        <f t="shared" si="147"/>
        <v>2023</v>
      </c>
      <c r="D1390" s="59">
        <f t="shared" si="148"/>
        <v>5</v>
      </c>
      <c r="E1390" s="59">
        <f t="shared" si="149"/>
        <v>21</v>
      </c>
      <c r="F1390" s="57" t="s">
        <v>60</v>
      </c>
      <c r="G1390" s="57" t="s">
        <v>45</v>
      </c>
      <c r="H1390" s="57" t="s">
        <v>2898</v>
      </c>
      <c r="I1390" s="57" t="s">
        <v>65</v>
      </c>
      <c r="J1390" s="57" t="s">
        <v>139</v>
      </c>
      <c r="K1390" s="57" t="s">
        <v>74</v>
      </c>
      <c r="L1390" s="57" t="s">
        <v>119</v>
      </c>
      <c r="M1390" s="60">
        <v>625</v>
      </c>
      <c r="N1390" s="57" t="s">
        <v>132</v>
      </c>
      <c r="O1390" s="61">
        <v>293.56</v>
      </c>
      <c r="P1390" s="61">
        <v>183475</v>
      </c>
      <c r="Q1390" s="61">
        <v>11353.33</v>
      </c>
      <c r="R1390" s="62">
        <f t="shared" si="150"/>
        <v>6.1879438615615207E-2</v>
      </c>
      <c r="S1390" s="60">
        <v>5</v>
      </c>
      <c r="T1390" s="58">
        <v>45075</v>
      </c>
      <c r="U1390" s="58">
        <v>45078</v>
      </c>
      <c r="V1390" s="63">
        <f t="shared" si="151"/>
        <v>3</v>
      </c>
      <c r="W1390" s="57" t="s">
        <v>128</v>
      </c>
      <c r="X1390" s="64" t="b">
        <f t="shared" si="152"/>
        <v>0</v>
      </c>
      <c r="Y1390" s="60">
        <v>346</v>
      </c>
      <c r="Z1390" s="60">
        <v>187</v>
      </c>
      <c r="AA1390" s="57" t="s">
        <v>82</v>
      </c>
      <c r="AB1390" s="64" t="b">
        <f t="shared" si="153"/>
        <v>1</v>
      </c>
    </row>
    <row r="1391" spans="1:28" ht="15" customHeight="1" x14ac:dyDescent="0.3">
      <c r="A1391" s="65" t="s">
        <v>2899</v>
      </c>
      <c r="B1391" s="81">
        <v>44973</v>
      </c>
      <c r="C1391" s="59">
        <f t="shared" si="147"/>
        <v>2023</v>
      </c>
      <c r="D1391" s="59">
        <f t="shared" si="148"/>
        <v>2</v>
      </c>
      <c r="E1391" s="59">
        <f t="shared" si="149"/>
        <v>7</v>
      </c>
      <c r="F1391" s="65" t="s">
        <v>59</v>
      </c>
      <c r="G1391" s="65" t="s">
        <v>42</v>
      </c>
      <c r="H1391" s="65" t="s">
        <v>2900</v>
      </c>
      <c r="I1391" s="65" t="s">
        <v>67</v>
      </c>
      <c r="J1391" s="65" t="s">
        <v>143</v>
      </c>
      <c r="K1391" s="65" t="s">
        <v>72</v>
      </c>
      <c r="L1391" s="65" t="s">
        <v>135</v>
      </c>
      <c r="M1391" s="67">
        <v>777</v>
      </c>
      <c r="N1391" s="65" t="s">
        <v>132</v>
      </c>
      <c r="O1391" s="68">
        <v>110.5</v>
      </c>
      <c r="P1391" s="68">
        <v>85858.5</v>
      </c>
      <c r="Q1391" s="68">
        <v>5788.2</v>
      </c>
      <c r="R1391" s="62">
        <f t="shared" si="150"/>
        <v>6.7415573297926232E-2</v>
      </c>
      <c r="S1391" s="67">
        <v>29</v>
      </c>
      <c r="T1391" s="66">
        <v>45002</v>
      </c>
      <c r="U1391" s="66">
        <v>44997</v>
      </c>
      <c r="V1391" s="63">
        <f t="shared" si="151"/>
        <v>-5</v>
      </c>
      <c r="W1391" s="65" t="s">
        <v>115</v>
      </c>
      <c r="X1391" s="64" t="b">
        <f t="shared" si="152"/>
        <v>1</v>
      </c>
      <c r="Y1391" s="67">
        <v>169</v>
      </c>
      <c r="Z1391" s="67">
        <v>365</v>
      </c>
      <c r="AA1391" s="65" t="s">
        <v>116</v>
      </c>
      <c r="AB1391" s="64" t="b">
        <f t="shared" si="153"/>
        <v>0</v>
      </c>
    </row>
    <row r="1392" spans="1:28" ht="15" customHeight="1" x14ac:dyDescent="0.3">
      <c r="A1392" s="57" t="s">
        <v>2901</v>
      </c>
      <c r="B1392" s="82">
        <v>44965</v>
      </c>
      <c r="C1392" s="59">
        <f t="shared" si="147"/>
        <v>2023</v>
      </c>
      <c r="D1392" s="59">
        <f t="shared" si="148"/>
        <v>2</v>
      </c>
      <c r="E1392" s="59">
        <f t="shared" si="149"/>
        <v>6</v>
      </c>
      <c r="F1392" s="57" t="s">
        <v>55</v>
      </c>
      <c r="G1392" s="57" t="s">
        <v>44</v>
      </c>
      <c r="H1392" s="57" t="s">
        <v>2902</v>
      </c>
      <c r="I1392" s="57" t="s">
        <v>68</v>
      </c>
      <c r="J1392" s="57" t="s">
        <v>112</v>
      </c>
      <c r="K1392" s="57" t="s">
        <v>73</v>
      </c>
      <c r="L1392" s="57" t="s">
        <v>124</v>
      </c>
      <c r="M1392" s="60">
        <v>900</v>
      </c>
      <c r="N1392" s="57" t="s">
        <v>140</v>
      </c>
      <c r="O1392" s="61">
        <v>166.92</v>
      </c>
      <c r="P1392" s="61">
        <v>150228</v>
      </c>
      <c r="Q1392" s="61">
        <v>5670.38</v>
      </c>
      <c r="R1392" s="62">
        <f t="shared" si="150"/>
        <v>3.774516068908592E-2</v>
      </c>
      <c r="S1392" s="60">
        <v>15</v>
      </c>
      <c r="T1392" s="58">
        <v>44980</v>
      </c>
      <c r="U1392" s="58">
        <v>44977</v>
      </c>
      <c r="V1392" s="63">
        <f t="shared" si="151"/>
        <v>-3</v>
      </c>
      <c r="W1392" s="57" t="s">
        <v>115</v>
      </c>
      <c r="X1392" s="64" t="b">
        <f t="shared" si="152"/>
        <v>1</v>
      </c>
      <c r="Y1392" s="60">
        <v>1</v>
      </c>
      <c r="Z1392" s="60">
        <v>130</v>
      </c>
      <c r="AA1392" s="57" t="s">
        <v>116</v>
      </c>
      <c r="AB1392" s="64" t="b">
        <f t="shared" si="153"/>
        <v>0</v>
      </c>
    </row>
    <row r="1393" spans="1:28" ht="15" customHeight="1" x14ac:dyDescent="0.3">
      <c r="A1393" s="65" t="s">
        <v>2903</v>
      </c>
      <c r="B1393" s="81">
        <v>45238</v>
      </c>
      <c r="C1393" s="59">
        <f t="shared" si="147"/>
        <v>2023</v>
      </c>
      <c r="D1393" s="59">
        <f t="shared" si="148"/>
        <v>11</v>
      </c>
      <c r="E1393" s="59">
        <f t="shared" si="149"/>
        <v>45</v>
      </c>
      <c r="F1393" s="65" t="s">
        <v>61</v>
      </c>
      <c r="G1393" s="65" t="s">
        <v>45</v>
      </c>
      <c r="H1393" s="65" t="s">
        <v>2904</v>
      </c>
      <c r="I1393" s="65" t="s">
        <v>65</v>
      </c>
      <c r="J1393" s="65" t="s">
        <v>143</v>
      </c>
      <c r="K1393" s="65" t="s">
        <v>73</v>
      </c>
      <c r="L1393" s="65" t="s">
        <v>156</v>
      </c>
      <c r="M1393" s="67">
        <v>215</v>
      </c>
      <c r="N1393" s="65" t="s">
        <v>114</v>
      </c>
      <c r="O1393" s="68">
        <v>205.08</v>
      </c>
      <c r="P1393" s="68">
        <v>44092.2</v>
      </c>
      <c r="Q1393" s="68">
        <v>2193.11</v>
      </c>
      <c r="R1393" s="62">
        <f t="shared" si="150"/>
        <v>4.9739182894026616E-2</v>
      </c>
      <c r="S1393" s="67">
        <v>4</v>
      </c>
      <c r="T1393" s="66">
        <v>45242</v>
      </c>
      <c r="U1393" s="66">
        <v>45242</v>
      </c>
      <c r="V1393" s="63">
        <f t="shared" si="151"/>
        <v>0</v>
      </c>
      <c r="W1393" s="65" t="s">
        <v>128</v>
      </c>
      <c r="X1393" s="64" t="b">
        <f t="shared" si="152"/>
        <v>0</v>
      </c>
      <c r="Y1393" s="67">
        <v>133</v>
      </c>
      <c r="Z1393" s="67">
        <v>220</v>
      </c>
      <c r="AA1393" s="65" t="s">
        <v>116</v>
      </c>
      <c r="AB1393" s="64" t="b">
        <f t="shared" si="153"/>
        <v>0</v>
      </c>
    </row>
    <row r="1394" spans="1:28" ht="15" customHeight="1" x14ac:dyDescent="0.3">
      <c r="A1394" s="57" t="s">
        <v>2905</v>
      </c>
      <c r="B1394" s="82">
        <v>45431</v>
      </c>
      <c r="C1394" s="59">
        <f t="shared" si="147"/>
        <v>2024</v>
      </c>
      <c r="D1394" s="59">
        <f t="shared" si="148"/>
        <v>5</v>
      </c>
      <c r="E1394" s="59">
        <f t="shared" si="149"/>
        <v>21</v>
      </c>
      <c r="F1394" s="57" t="s">
        <v>54</v>
      </c>
      <c r="G1394" s="57" t="s">
        <v>40</v>
      </c>
      <c r="H1394" s="57" t="s">
        <v>2906</v>
      </c>
      <c r="I1394" s="57" t="s">
        <v>69</v>
      </c>
      <c r="J1394" s="57" t="s">
        <v>123</v>
      </c>
      <c r="K1394" s="57" t="s">
        <v>75</v>
      </c>
      <c r="L1394" s="57" t="s">
        <v>156</v>
      </c>
      <c r="M1394" s="60">
        <v>856</v>
      </c>
      <c r="N1394" s="57" t="s">
        <v>120</v>
      </c>
      <c r="O1394" s="61">
        <v>1047.9100000000001</v>
      </c>
      <c r="P1394" s="61">
        <v>897010.96</v>
      </c>
      <c r="Q1394" s="61">
        <v>40605.120000000003</v>
      </c>
      <c r="R1394" s="62">
        <f t="shared" si="150"/>
        <v>4.5267139210874309E-2</v>
      </c>
      <c r="S1394" s="60">
        <v>12</v>
      </c>
      <c r="T1394" s="58">
        <v>45443</v>
      </c>
      <c r="U1394" s="58">
        <v>45443</v>
      </c>
      <c r="V1394" s="63">
        <f t="shared" si="151"/>
        <v>0</v>
      </c>
      <c r="W1394" s="57" t="s">
        <v>128</v>
      </c>
      <c r="X1394" s="64" t="b">
        <f t="shared" si="152"/>
        <v>0</v>
      </c>
      <c r="Y1394" s="60">
        <v>126</v>
      </c>
      <c r="Z1394" s="60">
        <v>280</v>
      </c>
      <c r="AA1394" s="57" t="s">
        <v>116</v>
      </c>
      <c r="AB1394" s="64" t="b">
        <f t="shared" si="153"/>
        <v>0</v>
      </c>
    </row>
    <row r="1395" spans="1:28" ht="15" customHeight="1" x14ac:dyDescent="0.3">
      <c r="A1395" s="65" t="s">
        <v>2907</v>
      </c>
      <c r="B1395" s="81">
        <v>45045</v>
      </c>
      <c r="C1395" s="59">
        <f t="shared" si="147"/>
        <v>2023</v>
      </c>
      <c r="D1395" s="59">
        <f t="shared" si="148"/>
        <v>4</v>
      </c>
      <c r="E1395" s="59">
        <f t="shared" si="149"/>
        <v>17</v>
      </c>
      <c r="F1395" s="65" t="s">
        <v>59</v>
      </c>
      <c r="G1395" s="65" t="s">
        <v>42</v>
      </c>
      <c r="H1395" s="65" t="s">
        <v>2908</v>
      </c>
      <c r="I1395" s="65" t="s">
        <v>65</v>
      </c>
      <c r="J1395" s="65" t="s">
        <v>131</v>
      </c>
      <c r="K1395" s="65" t="s">
        <v>72</v>
      </c>
      <c r="L1395" s="65" t="s">
        <v>156</v>
      </c>
      <c r="M1395" s="67">
        <v>52</v>
      </c>
      <c r="N1395" s="65" t="s">
        <v>163</v>
      </c>
      <c r="O1395" s="68">
        <v>65.209999999999994</v>
      </c>
      <c r="P1395" s="68">
        <v>3390.92</v>
      </c>
      <c r="Q1395" s="68">
        <v>151.34</v>
      </c>
      <c r="R1395" s="62">
        <f t="shared" si="150"/>
        <v>4.463095561086667E-2</v>
      </c>
      <c r="S1395" s="67">
        <v>13</v>
      </c>
      <c r="T1395" s="66">
        <v>45058</v>
      </c>
      <c r="U1395" s="66">
        <v>45063</v>
      </c>
      <c r="V1395" s="63">
        <f t="shared" si="151"/>
        <v>5</v>
      </c>
      <c r="W1395" s="65" t="s">
        <v>128</v>
      </c>
      <c r="X1395" s="64" t="b">
        <f t="shared" si="152"/>
        <v>0</v>
      </c>
      <c r="Y1395" s="67">
        <v>45</v>
      </c>
      <c r="Z1395" s="67">
        <v>276</v>
      </c>
      <c r="AA1395" s="65" t="s">
        <v>116</v>
      </c>
      <c r="AB1395" s="64" t="b">
        <f t="shared" si="153"/>
        <v>0</v>
      </c>
    </row>
    <row r="1396" spans="1:28" ht="15" customHeight="1" x14ac:dyDescent="0.3">
      <c r="A1396" s="57" t="s">
        <v>2909</v>
      </c>
      <c r="B1396" s="82">
        <v>45026</v>
      </c>
      <c r="C1396" s="59">
        <f t="shared" si="147"/>
        <v>2023</v>
      </c>
      <c r="D1396" s="59">
        <f t="shared" si="148"/>
        <v>4</v>
      </c>
      <c r="E1396" s="59">
        <f t="shared" si="149"/>
        <v>15</v>
      </c>
      <c r="F1396" s="57" t="s">
        <v>57</v>
      </c>
      <c r="G1396" s="57" t="s">
        <v>42</v>
      </c>
      <c r="H1396" s="57" t="s">
        <v>2910</v>
      </c>
      <c r="I1396" s="57" t="s">
        <v>67</v>
      </c>
      <c r="J1396" s="57" t="s">
        <v>131</v>
      </c>
      <c r="K1396" s="57" t="s">
        <v>75</v>
      </c>
      <c r="L1396" s="57" t="s">
        <v>124</v>
      </c>
      <c r="M1396" s="60">
        <v>874</v>
      </c>
      <c r="N1396" s="57" t="s">
        <v>114</v>
      </c>
      <c r="O1396" s="61">
        <v>56.55</v>
      </c>
      <c r="P1396" s="61">
        <v>49424.7</v>
      </c>
      <c r="Q1396" s="61">
        <v>1674.55</v>
      </c>
      <c r="R1396" s="62">
        <f t="shared" si="150"/>
        <v>3.3880832862920769E-2</v>
      </c>
      <c r="S1396" s="60">
        <v>2</v>
      </c>
      <c r="T1396" s="58">
        <v>45028</v>
      </c>
      <c r="U1396" s="58">
        <v>45031</v>
      </c>
      <c r="V1396" s="63">
        <f t="shared" si="151"/>
        <v>3</v>
      </c>
      <c r="W1396" s="57" t="s">
        <v>128</v>
      </c>
      <c r="X1396" s="64" t="b">
        <f t="shared" si="152"/>
        <v>0</v>
      </c>
      <c r="Y1396" s="60">
        <v>193</v>
      </c>
      <c r="Z1396" s="60">
        <v>139</v>
      </c>
      <c r="AA1396" s="57" t="s">
        <v>81</v>
      </c>
      <c r="AB1396" s="64" t="b">
        <f t="shared" si="153"/>
        <v>1</v>
      </c>
    </row>
    <row r="1397" spans="1:28" ht="15" customHeight="1" x14ac:dyDescent="0.3">
      <c r="A1397" s="65" t="s">
        <v>2911</v>
      </c>
      <c r="B1397" s="81">
        <v>45167</v>
      </c>
      <c r="C1397" s="59">
        <f t="shared" si="147"/>
        <v>2023</v>
      </c>
      <c r="D1397" s="59">
        <f t="shared" si="148"/>
        <v>8</v>
      </c>
      <c r="E1397" s="59">
        <f t="shared" si="149"/>
        <v>35</v>
      </c>
      <c r="F1397" s="65" t="s">
        <v>58</v>
      </c>
      <c r="G1397" s="65" t="s">
        <v>44</v>
      </c>
      <c r="H1397" s="65" t="s">
        <v>2912</v>
      </c>
      <c r="I1397" s="65" t="s">
        <v>68</v>
      </c>
      <c r="J1397" s="65" t="s">
        <v>139</v>
      </c>
      <c r="K1397" s="65" t="s">
        <v>73</v>
      </c>
      <c r="L1397" s="65" t="s">
        <v>113</v>
      </c>
      <c r="M1397" s="67">
        <v>254</v>
      </c>
      <c r="N1397" s="65" t="s">
        <v>132</v>
      </c>
      <c r="O1397" s="68">
        <v>85.92</v>
      </c>
      <c r="P1397" s="68">
        <v>21823.68</v>
      </c>
      <c r="Q1397" s="68">
        <v>615.04</v>
      </c>
      <c r="R1397" s="62">
        <f t="shared" si="150"/>
        <v>2.8182231411017753E-2</v>
      </c>
      <c r="S1397" s="67">
        <v>27</v>
      </c>
      <c r="T1397" s="66">
        <v>45194</v>
      </c>
      <c r="U1397" s="66">
        <v>45195</v>
      </c>
      <c r="V1397" s="63">
        <f t="shared" si="151"/>
        <v>1</v>
      </c>
      <c r="W1397" s="65" t="s">
        <v>128</v>
      </c>
      <c r="X1397" s="64" t="b">
        <f t="shared" si="152"/>
        <v>0</v>
      </c>
      <c r="Y1397" s="67">
        <v>361</v>
      </c>
      <c r="Z1397" s="67">
        <v>53</v>
      </c>
      <c r="AA1397" s="65" t="s">
        <v>116</v>
      </c>
      <c r="AB1397" s="64" t="b">
        <f t="shared" si="153"/>
        <v>0</v>
      </c>
    </row>
    <row r="1398" spans="1:28" ht="15" customHeight="1" x14ac:dyDescent="0.3">
      <c r="A1398" s="57" t="s">
        <v>2913</v>
      </c>
      <c r="B1398" s="82">
        <v>45477</v>
      </c>
      <c r="C1398" s="59">
        <f t="shared" si="147"/>
        <v>2024</v>
      </c>
      <c r="D1398" s="59">
        <f t="shared" si="148"/>
        <v>7</v>
      </c>
      <c r="E1398" s="59">
        <f t="shared" si="149"/>
        <v>27</v>
      </c>
      <c r="F1398" s="57" t="s">
        <v>57</v>
      </c>
      <c r="G1398" s="57" t="s">
        <v>40</v>
      </c>
      <c r="H1398" s="57" t="s">
        <v>2914</v>
      </c>
      <c r="I1398" s="57" t="s">
        <v>64</v>
      </c>
      <c r="J1398" s="57" t="s">
        <v>143</v>
      </c>
      <c r="K1398" s="57" t="s">
        <v>72</v>
      </c>
      <c r="L1398" s="57" t="s">
        <v>119</v>
      </c>
      <c r="M1398" s="60">
        <v>296</v>
      </c>
      <c r="N1398" s="57" t="s">
        <v>136</v>
      </c>
      <c r="O1398" s="61">
        <v>935.43</v>
      </c>
      <c r="P1398" s="61">
        <v>276887.28000000003</v>
      </c>
      <c r="Q1398" s="61">
        <v>8805.3799999999992</v>
      </c>
      <c r="R1398" s="62">
        <f t="shared" si="150"/>
        <v>3.1801316405722931E-2</v>
      </c>
      <c r="S1398" s="60">
        <v>19</v>
      </c>
      <c r="T1398" s="58">
        <v>45496</v>
      </c>
      <c r="U1398" s="58">
        <v>45496</v>
      </c>
      <c r="V1398" s="63">
        <f t="shared" si="151"/>
        <v>0</v>
      </c>
      <c r="W1398" s="57" t="s">
        <v>115</v>
      </c>
      <c r="X1398" s="64" t="b">
        <f t="shared" si="152"/>
        <v>1</v>
      </c>
      <c r="Y1398" s="60">
        <v>208</v>
      </c>
      <c r="Z1398" s="60">
        <v>0</v>
      </c>
      <c r="AA1398" s="57" t="s">
        <v>83</v>
      </c>
      <c r="AB1398" s="64" t="b">
        <f t="shared" si="153"/>
        <v>1</v>
      </c>
    </row>
    <row r="1399" spans="1:28" ht="15" customHeight="1" x14ac:dyDescent="0.3">
      <c r="A1399" s="65" t="s">
        <v>2915</v>
      </c>
      <c r="B1399" s="81">
        <v>45065</v>
      </c>
      <c r="C1399" s="59">
        <f t="shared" si="147"/>
        <v>2023</v>
      </c>
      <c r="D1399" s="59">
        <f t="shared" si="148"/>
        <v>5</v>
      </c>
      <c r="E1399" s="59">
        <f t="shared" si="149"/>
        <v>20</v>
      </c>
      <c r="F1399" s="65" t="s">
        <v>52</v>
      </c>
      <c r="G1399" s="65" t="s">
        <v>43</v>
      </c>
      <c r="H1399" s="65" t="s">
        <v>2916</v>
      </c>
      <c r="I1399" s="65" t="s">
        <v>67</v>
      </c>
      <c r="J1399" s="65" t="s">
        <v>139</v>
      </c>
      <c r="K1399" s="65" t="s">
        <v>71</v>
      </c>
      <c r="L1399" s="65" t="s">
        <v>135</v>
      </c>
      <c r="M1399" s="67">
        <v>364</v>
      </c>
      <c r="N1399" s="65" t="s">
        <v>140</v>
      </c>
      <c r="O1399" s="68">
        <v>212.86</v>
      </c>
      <c r="P1399" s="68">
        <v>77481.039999999994</v>
      </c>
      <c r="Q1399" s="68">
        <v>1806.85</v>
      </c>
      <c r="R1399" s="62">
        <f t="shared" si="150"/>
        <v>2.3319898648753296E-2</v>
      </c>
      <c r="S1399" s="67">
        <v>19</v>
      </c>
      <c r="T1399" s="66">
        <v>45084</v>
      </c>
      <c r="U1399" s="66">
        <v>45085</v>
      </c>
      <c r="V1399" s="63">
        <f t="shared" si="151"/>
        <v>1</v>
      </c>
      <c r="W1399" s="65" t="s">
        <v>125</v>
      </c>
      <c r="X1399" s="64" t="b">
        <f t="shared" si="152"/>
        <v>0</v>
      </c>
      <c r="Y1399" s="67">
        <v>295</v>
      </c>
      <c r="Z1399" s="67">
        <v>127</v>
      </c>
      <c r="AA1399" s="65" t="s">
        <v>116</v>
      </c>
      <c r="AB1399" s="64" t="b">
        <f t="shared" si="153"/>
        <v>0</v>
      </c>
    </row>
    <row r="1400" spans="1:28" ht="15" customHeight="1" x14ac:dyDescent="0.3">
      <c r="A1400" s="57" t="s">
        <v>2917</v>
      </c>
      <c r="B1400" s="82">
        <v>45324</v>
      </c>
      <c r="C1400" s="59">
        <f t="shared" si="147"/>
        <v>2024</v>
      </c>
      <c r="D1400" s="59">
        <f t="shared" si="148"/>
        <v>2</v>
      </c>
      <c r="E1400" s="59">
        <f t="shared" si="149"/>
        <v>5</v>
      </c>
      <c r="F1400" s="57" t="s">
        <v>55</v>
      </c>
      <c r="G1400" s="57" t="s">
        <v>46</v>
      </c>
      <c r="H1400" s="57" t="s">
        <v>2918</v>
      </c>
      <c r="I1400" s="57" t="s">
        <v>65</v>
      </c>
      <c r="J1400" s="57" t="s">
        <v>139</v>
      </c>
      <c r="K1400" s="57" t="s">
        <v>72</v>
      </c>
      <c r="L1400" s="57" t="s">
        <v>119</v>
      </c>
      <c r="M1400" s="60">
        <v>794</v>
      </c>
      <c r="N1400" s="57" t="s">
        <v>140</v>
      </c>
      <c r="O1400" s="61">
        <v>66.86</v>
      </c>
      <c r="P1400" s="61">
        <v>53086.84</v>
      </c>
      <c r="Q1400" s="61">
        <v>1692.82</v>
      </c>
      <c r="R1400" s="62">
        <f t="shared" si="150"/>
        <v>3.1887752218817317E-2</v>
      </c>
      <c r="S1400" s="60">
        <v>4</v>
      </c>
      <c r="T1400" s="58">
        <v>45328</v>
      </c>
      <c r="U1400" s="58">
        <v>45328</v>
      </c>
      <c r="V1400" s="63">
        <f t="shared" si="151"/>
        <v>0</v>
      </c>
      <c r="W1400" s="57" t="s">
        <v>115</v>
      </c>
      <c r="X1400" s="64" t="b">
        <f t="shared" si="152"/>
        <v>1</v>
      </c>
      <c r="Y1400" s="60">
        <v>57</v>
      </c>
      <c r="Z1400" s="60">
        <v>0</v>
      </c>
      <c r="AA1400" s="57" t="s">
        <v>83</v>
      </c>
      <c r="AB1400" s="64" t="b">
        <f t="shared" si="153"/>
        <v>1</v>
      </c>
    </row>
    <row r="1401" spans="1:28" ht="15" customHeight="1" x14ac:dyDescent="0.3">
      <c r="A1401" s="65" t="s">
        <v>2919</v>
      </c>
      <c r="B1401" s="81">
        <v>45391</v>
      </c>
      <c r="C1401" s="59">
        <f t="shared" si="147"/>
        <v>2024</v>
      </c>
      <c r="D1401" s="59">
        <f t="shared" si="148"/>
        <v>4</v>
      </c>
      <c r="E1401" s="59">
        <f t="shared" si="149"/>
        <v>15</v>
      </c>
      <c r="F1401" s="65" t="s">
        <v>52</v>
      </c>
      <c r="G1401" s="65" t="s">
        <v>43</v>
      </c>
      <c r="H1401" s="65" t="s">
        <v>2920</v>
      </c>
      <c r="I1401" s="65" t="s">
        <v>67</v>
      </c>
      <c r="J1401" s="65" t="s">
        <v>112</v>
      </c>
      <c r="K1401" s="65" t="s">
        <v>72</v>
      </c>
      <c r="L1401" s="65" t="s">
        <v>156</v>
      </c>
      <c r="M1401" s="67">
        <v>485</v>
      </c>
      <c r="N1401" s="65" t="s">
        <v>132</v>
      </c>
      <c r="O1401" s="68">
        <v>141.19</v>
      </c>
      <c r="P1401" s="68">
        <v>68477.149999999994</v>
      </c>
      <c r="Q1401" s="68">
        <v>1407.35</v>
      </c>
      <c r="R1401" s="62">
        <f t="shared" si="150"/>
        <v>2.0552111178692455E-2</v>
      </c>
      <c r="S1401" s="67">
        <v>4</v>
      </c>
      <c r="T1401" s="66">
        <v>45395</v>
      </c>
      <c r="U1401" s="66">
        <v>45395</v>
      </c>
      <c r="V1401" s="63">
        <f t="shared" si="151"/>
        <v>0</v>
      </c>
      <c r="W1401" s="65" t="s">
        <v>115</v>
      </c>
      <c r="X1401" s="64" t="b">
        <f t="shared" si="152"/>
        <v>1</v>
      </c>
      <c r="Y1401" s="67">
        <v>495</v>
      </c>
      <c r="Z1401" s="67">
        <v>172</v>
      </c>
      <c r="AA1401" s="65" t="s">
        <v>116</v>
      </c>
      <c r="AB1401" s="64" t="b">
        <f t="shared" si="153"/>
        <v>0</v>
      </c>
    </row>
    <row r="1402" spans="1:28" ht="15" customHeight="1" x14ac:dyDescent="0.3">
      <c r="A1402" s="57" t="s">
        <v>2921</v>
      </c>
      <c r="B1402" s="82">
        <v>45306</v>
      </c>
      <c r="C1402" s="59">
        <f t="shared" si="147"/>
        <v>2024</v>
      </c>
      <c r="D1402" s="59">
        <f t="shared" si="148"/>
        <v>1</v>
      </c>
      <c r="E1402" s="59">
        <f t="shared" si="149"/>
        <v>3</v>
      </c>
      <c r="F1402" s="57" t="s">
        <v>56</v>
      </c>
      <c r="G1402" s="57" t="s">
        <v>40</v>
      </c>
      <c r="H1402" s="57" t="s">
        <v>2922</v>
      </c>
      <c r="I1402" s="57" t="s">
        <v>65</v>
      </c>
      <c r="J1402" s="57" t="s">
        <v>151</v>
      </c>
      <c r="K1402" s="57" t="s">
        <v>71</v>
      </c>
      <c r="L1402" s="57" t="s">
        <v>119</v>
      </c>
      <c r="M1402" s="60">
        <v>92</v>
      </c>
      <c r="N1402" s="57" t="s">
        <v>120</v>
      </c>
      <c r="O1402" s="61">
        <v>830.52</v>
      </c>
      <c r="P1402" s="61">
        <v>76407.839999999997</v>
      </c>
      <c r="Q1402" s="61">
        <v>4403.8</v>
      </c>
      <c r="R1402" s="62">
        <f t="shared" si="150"/>
        <v>5.7635446833728066E-2</v>
      </c>
      <c r="S1402" s="60">
        <v>26</v>
      </c>
      <c r="T1402" s="58">
        <v>45332</v>
      </c>
      <c r="U1402" s="58">
        <v>45334</v>
      </c>
      <c r="V1402" s="63">
        <f t="shared" si="151"/>
        <v>2</v>
      </c>
      <c r="W1402" s="57" t="s">
        <v>125</v>
      </c>
      <c r="X1402" s="64" t="b">
        <f t="shared" si="152"/>
        <v>0</v>
      </c>
      <c r="Y1402" s="60">
        <v>77</v>
      </c>
      <c r="Z1402" s="60">
        <v>429</v>
      </c>
      <c r="AA1402" s="57" t="s">
        <v>84</v>
      </c>
      <c r="AB1402" s="64" t="b">
        <f t="shared" si="153"/>
        <v>1</v>
      </c>
    </row>
    <row r="1403" spans="1:28" ht="15" customHeight="1" x14ac:dyDescent="0.3">
      <c r="A1403" s="65" t="s">
        <v>2923</v>
      </c>
      <c r="B1403" s="81">
        <v>45613</v>
      </c>
      <c r="C1403" s="59">
        <f t="shared" si="147"/>
        <v>2024</v>
      </c>
      <c r="D1403" s="59">
        <f t="shared" si="148"/>
        <v>11</v>
      </c>
      <c r="E1403" s="59">
        <f t="shared" si="149"/>
        <v>47</v>
      </c>
      <c r="F1403" s="65" t="s">
        <v>53</v>
      </c>
      <c r="G1403" s="65" t="s">
        <v>39</v>
      </c>
      <c r="H1403" s="65" t="s">
        <v>2924</v>
      </c>
      <c r="I1403" s="65" t="s">
        <v>64</v>
      </c>
      <c r="J1403" s="65" t="s">
        <v>139</v>
      </c>
      <c r="K1403" s="65" t="s">
        <v>74</v>
      </c>
      <c r="L1403" s="65" t="s">
        <v>113</v>
      </c>
      <c r="M1403" s="67">
        <v>119</v>
      </c>
      <c r="N1403" s="65" t="s">
        <v>114</v>
      </c>
      <c r="O1403" s="68">
        <v>1911.68</v>
      </c>
      <c r="P1403" s="68">
        <v>227489.92000000001</v>
      </c>
      <c r="Q1403" s="68">
        <v>8868.1299999999992</v>
      </c>
      <c r="R1403" s="62">
        <f t="shared" si="150"/>
        <v>3.8982518434223366E-2</v>
      </c>
      <c r="S1403" s="67">
        <v>11</v>
      </c>
      <c r="T1403" s="66">
        <v>45624</v>
      </c>
      <c r="U1403" s="66">
        <v>45621</v>
      </c>
      <c r="V1403" s="63">
        <f t="shared" si="151"/>
        <v>-3</v>
      </c>
      <c r="W1403" s="65" t="s">
        <v>115</v>
      </c>
      <c r="X1403" s="64" t="b">
        <f t="shared" si="152"/>
        <v>1</v>
      </c>
      <c r="Y1403" s="67">
        <v>201</v>
      </c>
      <c r="Z1403" s="67">
        <v>431</v>
      </c>
      <c r="AA1403" s="65" t="s">
        <v>116</v>
      </c>
      <c r="AB1403" s="64" t="b">
        <f t="shared" si="153"/>
        <v>0</v>
      </c>
    </row>
    <row r="1404" spans="1:28" ht="15" customHeight="1" x14ac:dyDescent="0.3">
      <c r="A1404" s="57" t="s">
        <v>2925</v>
      </c>
      <c r="B1404" s="82">
        <v>45640</v>
      </c>
      <c r="C1404" s="59">
        <f t="shared" si="147"/>
        <v>2024</v>
      </c>
      <c r="D1404" s="59">
        <f t="shared" si="148"/>
        <v>12</v>
      </c>
      <c r="E1404" s="59">
        <f t="shared" si="149"/>
        <v>50</v>
      </c>
      <c r="F1404" s="57" t="s">
        <v>56</v>
      </c>
      <c r="G1404" s="57" t="s">
        <v>45</v>
      </c>
      <c r="H1404" s="57" t="s">
        <v>2926</v>
      </c>
      <c r="I1404" s="57" t="s">
        <v>64</v>
      </c>
      <c r="J1404" s="57" t="s">
        <v>151</v>
      </c>
      <c r="K1404" s="57" t="s">
        <v>74</v>
      </c>
      <c r="L1404" s="57" t="s">
        <v>146</v>
      </c>
      <c r="M1404" s="60">
        <v>959</v>
      </c>
      <c r="N1404" s="57" t="s">
        <v>140</v>
      </c>
      <c r="O1404" s="61">
        <v>210.83</v>
      </c>
      <c r="P1404" s="61">
        <v>202185.97</v>
      </c>
      <c r="Q1404" s="61">
        <v>15849.09</v>
      </c>
      <c r="R1404" s="62">
        <f t="shared" si="150"/>
        <v>7.8388673556330349E-2</v>
      </c>
      <c r="S1404" s="60">
        <v>27</v>
      </c>
      <c r="T1404" s="58">
        <v>45667</v>
      </c>
      <c r="U1404" s="58">
        <v>45679</v>
      </c>
      <c r="V1404" s="63">
        <f t="shared" si="151"/>
        <v>12</v>
      </c>
      <c r="W1404" s="57" t="s">
        <v>128</v>
      </c>
      <c r="X1404" s="64" t="b">
        <f t="shared" si="152"/>
        <v>0</v>
      </c>
      <c r="Y1404" s="60">
        <v>492</v>
      </c>
      <c r="Z1404" s="60">
        <v>390</v>
      </c>
      <c r="AA1404" s="57" t="s">
        <v>84</v>
      </c>
      <c r="AB1404" s="64" t="b">
        <f t="shared" si="153"/>
        <v>1</v>
      </c>
    </row>
    <row r="1405" spans="1:28" ht="15" customHeight="1" x14ac:dyDescent="0.3">
      <c r="A1405" s="65" t="s">
        <v>2927</v>
      </c>
      <c r="B1405" s="81">
        <v>45480</v>
      </c>
      <c r="C1405" s="59">
        <f t="shared" si="147"/>
        <v>2024</v>
      </c>
      <c r="D1405" s="59">
        <f t="shared" si="148"/>
        <v>7</v>
      </c>
      <c r="E1405" s="59">
        <f t="shared" si="149"/>
        <v>28</v>
      </c>
      <c r="F1405" s="65" t="s">
        <v>54</v>
      </c>
      <c r="G1405" s="65" t="s">
        <v>44</v>
      </c>
      <c r="H1405" s="65" t="s">
        <v>2928</v>
      </c>
      <c r="I1405" s="65" t="s">
        <v>69</v>
      </c>
      <c r="J1405" s="65" t="s">
        <v>151</v>
      </c>
      <c r="K1405" s="65" t="s">
        <v>74</v>
      </c>
      <c r="L1405" s="65" t="s">
        <v>146</v>
      </c>
      <c r="M1405" s="67">
        <v>199</v>
      </c>
      <c r="N1405" s="65" t="s">
        <v>132</v>
      </c>
      <c r="O1405" s="68">
        <v>154.29</v>
      </c>
      <c r="P1405" s="68">
        <v>30703.71</v>
      </c>
      <c r="Q1405" s="68">
        <v>970.94</v>
      </c>
      <c r="R1405" s="62">
        <f t="shared" si="150"/>
        <v>3.1622888569492094E-2</v>
      </c>
      <c r="S1405" s="67">
        <v>5</v>
      </c>
      <c r="T1405" s="66">
        <v>45485</v>
      </c>
      <c r="U1405" s="66">
        <v>45490</v>
      </c>
      <c r="V1405" s="63">
        <f t="shared" si="151"/>
        <v>5</v>
      </c>
      <c r="W1405" s="65" t="s">
        <v>128</v>
      </c>
      <c r="X1405" s="64" t="b">
        <f t="shared" si="152"/>
        <v>0</v>
      </c>
      <c r="Y1405" s="67">
        <v>288</v>
      </c>
      <c r="Z1405" s="67">
        <v>265</v>
      </c>
      <c r="AA1405" s="65" t="s">
        <v>116</v>
      </c>
      <c r="AB1405" s="64" t="b">
        <f t="shared" si="153"/>
        <v>0</v>
      </c>
    </row>
    <row r="1406" spans="1:28" ht="15" customHeight="1" x14ac:dyDescent="0.3">
      <c r="A1406" s="57" t="s">
        <v>2929</v>
      </c>
      <c r="B1406" s="82">
        <v>45356</v>
      </c>
      <c r="C1406" s="59">
        <f t="shared" si="147"/>
        <v>2024</v>
      </c>
      <c r="D1406" s="59">
        <f t="shared" si="148"/>
        <v>3</v>
      </c>
      <c r="E1406" s="59">
        <f t="shared" si="149"/>
        <v>10</v>
      </c>
      <c r="F1406" s="57" t="s">
        <v>55</v>
      </c>
      <c r="G1406" s="57" t="s">
        <v>43</v>
      </c>
      <c r="H1406" s="57" t="s">
        <v>2930</v>
      </c>
      <c r="I1406" s="57" t="s">
        <v>64</v>
      </c>
      <c r="J1406" s="57" t="s">
        <v>131</v>
      </c>
      <c r="K1406" s="57" t="s">
        <v>73</v>
      </c>
      <c r="L1406" s="57" t="s">
        <v>135</v>
      </c>
      <c r="M1406" s="60">
        <v>992</v>
      </c>
      <c r="N1406" s="57" t="s">
        <v>120</v>
      </c>
      <c r="O1406" s="61">
        <v>177.28</v>
      </c>
      <c r="P1406" s="61">
        <v>175861.76000000001</v>
      </c>
      <c r="Q1406" s="61">
        <v>7166.32</v>
      </c>
      <c r="R1406" s="62">
        <f t="shared" si="150"/>
        <v>4.0749734336788163E-2</v>
      </c>
      <c r="S1406" s="60">
        <v>20</v>
      </c>
      <c r="T1406" s="58">
        <v>45376</v>
      </c>
      <c r="U1406" s="58">
        <v>45384</v>
      </c>
      <c r="V1406" s="63">
        <f t="shared" si="151"/>
        <v>8</v>
      </c>
      <c r="W1406" s="57" t="s">
        <v>125</v>
      </c>
      <c r="X1406" s="64" t="b">
        <f t="shared" si="152"/>
        <v>0</v>
      </c>
      <c r="Y1406" s="60">
        <v>489</v>
      </c>
      <c r="Z1406" s="60">
        <v>398</v>
      </c>
      <c r="AA1406" s="57" t="s">
        <v>116</v>
      </c>
      <c r="AB1406" s="64" t="b">
        <f t="shared" si="153"/>
        <v>0</v>
      </c>
    </row>
    <row r="1407" spans="1:28" ht="15" customHeight="1" x14ac:dyDescent="0.3">
      <c r="A1407" s="65" t="s">
        <v>2931</v>
      </c>
      <c r="B1407" s="81">
        <v>45528</v>
      </c>
      <c r="C1407" s="59">
        <f t="shared" si="147"/>
        <v>2024</v>
      </c>
      <c r="D1407" s="59">
        <f t="shared" si="148"/>
        <v>8</v>
      </c>
      <c r="E1407" s="59">
        <f t="shared" si="149"/>
        <v>34</v>
      </c>
      <c r="F1407" s="65" t="s">
        <v>53</v>
      </c>
      <c r="G1407" s="65" t="s">
        <v>42</v>
      </c>
      <c r="H1407" s="65" t="s">
        <v>2932</v>
      </c>
      <c r="I1407" s="65" t="s">
        <v>66</v>
      </c>
      <c r="J1407" s="65" t="s">
        <v>123</v>
      </c>
      <c r="K1407" s="65" t="s">
        <v>72</v>
      </c>
      <c r="L1407" s="65" t="s">
        <v>135</v>
      </c>
      <c r="M1407" s="67">
        <v>809</v>
      </c>
      <c r="N1407" s="65" t="s">
        <v>132</v>
      </c>
      <c r="O1407" s="68">
        <v>108.04</v>
      </c>
      <c r="P1407" s="68">
        <v>87404.36</v>
      </c>
      <c r="Q1407" s="68">
        <v>3624.7</v>
      </c>
      <c r="R1407" s="62">
        <f t="shared" si="150"/>
        <v>4.1470471267108414E-2</v>
      </c>
      <c r="S1407" s="67">
        <v>11</v>
      </c>
      <c r="T1407" s="66">
        <v>45539</v>
      </c>
      <c r="U1407" s="66">
        <v>45542</v>
      </c>
      <c r="V1407" s="63">
        <f t="shared" si="151"/>
        <v>3</v>
      </c>
      <c r="W1407" s="65" t="s">
        <v>128</v>
      </c>
      <c r="X1407" s="64" t="b">
        <f t="shared" si="152"/>
        <v>0</v>
      </c>
      <c r="Y1407" s="67">
        <v>61</v>
      </c>
      <c r="Z1407" s="67">
        <v>295</v>
      </c>
      <c r="AA1407" s="65" t="s">
        <v>81</v>
      </c>
      <c r="AB1407" s="64" t="b">
        <f t="shared" si="153"/>
        <v>1</v>
      </c>
    </row>
    <row r="1408" spans="1:28" ht="15" customHeight="1" x14ac:dyDescent="0.3">
      <c r="A1408" s="57" t="s">
        <v>2933</v>
      </c>
      <c r="B1408" s="82">
        <v>45085</v>
      </c>
      <c r="C1408" s="59">
        <f t="shared" si="147"/>
        <v>2023</v>
      </c>
      <c r="D1408" s="59">
        <f t="shared" si="148"/>
        <v>6</v>
      </c>
      <c r="E1408" s="59">
        <f t="shared" si="149"/>
        <v>23</v>
      </c>
      <c r="F1408" s="57" t="s">
        <v>59</v>
      </c>
      <c r="G1408" s="57" t="s">
        <v>44</v>
      </c>
      <c r="H1408" s="57" t="s">
        <v>2934</v>
      </c>
      <c r="I1408" s="57" t="s">
        <v>67</v>
      </c>
      <c r="J1408" s="57" t="s">
        <v>123</v>
      </c>
      <c r="K1408" s="57" t="s">
        <v>71</v>
      </c>
      <c r="L1408" s="57" t="s">
        <v>119</v>
      </c>
      <c r="M1408" s="60">
        <v>945</v>
      </c>
      <c r="N1408" s="57" t="s">
        <v>132</v>
      </c>
      <c r="O1408" s="61">
        <v>140.49</v>
      </c>
      <c r="P1408" s="61">
        <v>132763.04999999999</v>
      </c>
      <c r="Q1408" s="61">
        <v>2722.58</v>
      </c>
      <c r="R1408" s="62">
        <f t="shared" si="150"/>
        <v>2.0507061264410542E-2</v>
      </c>
      <c r="S1408" s="60">
        <v>10</v>
      </c>
      <c r="T1408" s="58">
        <v>45095</v>
      </c>
      <c r="U1408" s="58">
        <v>45096</v>
      </c>
      <c r="V1408" s="63">
        <f t="shared" si="151"/>
        <v>1</v>
      </c>
      <c r="W1408" s="57" t="s">
        <v>125</v>
      </c>
      <c r="X1408" s="64" t="b">
        <f t="shared" si="152"/>
        <v>0</v>
      </c>
      <c r="Y1408" s="60">
        <v>267</v>
      </c>
      <c r="Z1408" s="60">
        <v>255</v>
      </c>
      <c r="AA1408" s="57" t="s">
        <v>116</v>
      </c>
      <c r="AB1408" s="64" t="b">
        <f t="shared" si="153"/>
        <v>0</v>
      </c>
    </row>
    <row r="1409" spans="1:28" ht="15" customHeight="1" x14ac:dyDescent="0.3">
      <c r="A1409" s="65" t="s">
        <v>2935</v>
      </c>
      <c r="B1409" s="81">
        <v>45351</v>
      </c>
      <c r="C1409" s="59">
        <f t="shared" si="147"/>
        <v>2024</v>
      </c>
      <c r="D1409" s="59">
        <f t="shared" si="148"/>
        <v>2</v>
      </c>
      <c r="E1409" s="59">
        <f t="shared" si="149"/>
        <v>9</v>
      </c>
      <c r="F1409" s="65" t="s">
        <v>53</v>
      </c>
      <c r="G1409" s="65" t="s">
        <v>41</v>
      </c>
      <c r="H1409" s="65" t="s">
        <v>2936</v>
      </c>
      <c r="I1409" s="65" t="s">
        <v>67</v>
      </c>
      <c r="J1409" s="65" t="s">
        <v>143</v>
      </c>
      <c r="K1409" s="65" t="s">
        <v>73</v>
      </c>
      <c r="L1409" s="65" t="s">
        <v>135</v>
      </c>
      <c r="M1409" s="67">
        <v>918</v>
      </c>
      <c r="N1409" s="65" t="s">
        <v>120</v>
      </c>
      <c r="O1409" s="68">
        <v>434.31</v>
      </c>
      <c r="P1409" s="68">
        <v>398696.58</v>
      </c>
      <c r="Q1409" s="68">
        <v>28049.29</v>
      </c>
      <c r="R1409" s="62">
        <f t="shared" si="150"/>
        <v>7.0352472047791326E-2</v>
      </c>
      <c r="S1409" s="67">
        <v>8</v>
      </c>
      <c r="T1409" s="66">
        <v>45359</v>
      </c>
      <c r="U1409" s="66">
        <v>45359</v>
      </c>
      <c r="V1409" s="63">
        <f t="shared" si="151"/>
        <v>0</v>
      </c>
      <c r="W1409" s="65" t="s">
        <v>115</v>
      </c>
      <c r="X1409" s="64" t="b">
        <f t="shared" si="152"/>
        <v>1</v>
      </c>
      <c r="Y1409" s="67">
        <v>125</v>
      </c>
      <c r="Z1409" s="67">
        <v>394</v>
      </c>
      <c r="AA1409" s="65" t="s">
        <v>116</v>
      </c>
      <c r="AB1409" s="64" t="b">
        <f t="shared" si="153"/>
        <v>0</v>
      </c>
    </row>
    <row r="1410" spans="1:28" ht="15" customHeight="1" x14ac:dyDescent="0.3">
      <c r="A1410" s="57" t="s">
        <v>2937</v>
      </c>
      <c r="B1410" s="82">
        <v>45597</v>
      </c>
      <c r="C1410" s="59">
        <f t="shared" ref="C1410:C1473" si="154">YEAR(B1410)</f>
        <v>2024</v>
      </c>
      <c r="D1410" s="59">
        <f t="shared" ref="D1410:D1473" si="155">MONTH(B1410)</f>
        <v>11</v>
      </c>
      <c r="E1410" s="59">
        <f t="shared" ref="E1410:E1473" si="156">WEEKNUM(B1410,1)</f>
        <v>44</v>
      </c>
      <c r="F1410" s="57" t="s">
        <v>54</v>
      </c>
      <c r="G1410" s="57" t="s">
        <v>40</v>
      </c>
      <c r="H1410" s="57" t="s">
        <v>2938</v>
      </c>
      <c r="I1410" s="57" t="s">
        <v>65</v>
      </c>
      <c r="J1410" s="57" t="s">
        <v>112</v>
      </c>
      <c r="K1410" s="57" t="s">
        <v>71</v>
      </c>
      <c r="L1410" s="57" t="s">
        <v>124</v>
      </c>
      <c r="M1410" s="60">
        <v>260</v>
      </c>
      <c r="N1410" s="57" t="s">
        <v>120</v>
      </c>
      <c r="O1410" s="61">
        <v>711.5</v>
      </c>
      <c r="P1410" s="61">
        <v>184990</v>
      </c>
      <c r="Q1410" s="61">
        <v>4054.92</v>
      </c>
      <c r="R1410" s="62">
        <f t="shared" ref="R1410:R1473" si="157">Q1410/P1410</f>
        <v>2.1919671333585598E-2</v>
      </c>
      <c r="S1410" s="60">
        <v>6</v>
      </c>
      <c r="T1410" s="58">
        <v>45603</v>
      </c>
      <c r="U1410" s="58">
        <v>45598</v>
      </c>
      <c r="V1410" s="63">
        <f t="shared" ref="V1410:V1473" si="158">U1410-T1410</f>
        <v>-5</v>
      </c>
      <c r="W1410" s="57" t="s">
        <v>115</v>
      </c>
      <c r="X1410" s="64" t="b">
        <f t="shared" ref="X1410:X1473" si="159">IF(W1410="Entregado", TRUE(), FALSE())</f>
        <v>1</v>
      </c>
      <c r="Y1410" s="60">
        <v>479</v>
      </c>
      <c r="Z1410" s="60">
        <v>439</v>
      </c>
      <c r="AA1410" s="57" t="s">
        <v>116</v>
      </c>
      <c r="AB1410" s="64" t="b">
        <f t="shared" ref="AB1410:AB1473" si="160">IF(AA1410="Ninguna",FALSE(),TRUE())</f>
        <v>0</v>
      </c>
    </row>
    <row r="1411" spans="1:28" ht="15" customHeight="1" x14ac:dyDescent="0.3">
      <c r="A1411" s="65" t="s">
        <v>2939</v>
      </c>
      <c r="B1411" s="81">
        <v>45028</v>
      </c>
      <c r="C1411" s="59">
        <f t="shared" si="154"/>
        <v>2023</v>
      </c>
      <c r="D1411" s="59">
        <f t="shared" si="155"/>
        <v>4</v>
      </c>
      <c r="E1411" s="59">
        <f t="shared" si="156"/>
        <v>15</v>
      </c>
      <c r="F1411" s="65" t="s">
        <v>60</v>
      </c>
      <c r="G1411" s="65" t="s">
        <v>45</v>
      </c>
      <c r="H1411" s="65" t="s">
        <v>2940</v>
      </c>
      <c r="I1411" s="65" t="s">
        <v>64</v>
      </c>
      <c r="J1411" s="65" t="s">
        <v>112</v>
      </c>
      <c r="K1411" s="65" t="s">
        <v>73</v>
      </c>
      <c r="L1411" s="65" t="s">
        <v>113</v>
      </c>
      <c r="M1411" s="67">
        <v>733</v>
      </c>
      <c r="N1411" s="65" t="s">
        <v>120</v>
      </c>
      <c r="O1411" s="68">
        <v>240.48</v>
      </c>
      <c r="P1411" s="68">
        <v>176271.84</v>
      </c>
      <c r="Q1411" s="68">
        <v>13469.07</v>
      </c>
      <c r="R1411" s="62">
        <f t="shared" si="157"/>
        <v>7.641078688462094E-2</v>
      </c>
      <c r="S1411" s="67">
        <v>6</v>
      </c>
      <c r="T1411" s="66">
        <v>45034</v>
      </c>
      <c r="U1411" s="66">
        <v>45029</v>
      </c>
      <c r="V1411" s="63">
        <f t="shared" si="158"/>
        <v>-5</v>
      </c>
      <c r="W1411" s="65" t="s">
        <v>115</v>
      </c>
      <c r="X1411" s="64" t="b">
        <f t="shared" si="159"/>
        <v>1</v>
      </c>
      <c r="Y1411" s="67">
        <v>48</v>
      </c>
      <c r="Z1411" s="67">
        <v>173</v>
      </c>
      <c r="AA1411" s="65" t="s">
        <v>116</v>
      </c>
      <c r="AB1411" s="64" t="b">
        <f t="shared" si="160"/>
        <v>0</v>
      </c>
    </row>
    <row r="1412" spans="1:28" ht="15" customHeight="1" x14ac:dyDescent="0.3">
      <c r="A1412" s="57" t="s">
        <v>2941</v>
      </c>
      <c r="B1412" s="82">
        <v>45428</v>
      </c>
      <c r="C1412" s="59">
        <f t="shared" si="154"/>
        <v>2024</v>
      </c>
      <c r="D1412" s="59">
        <f t="shared" si="155"/>
        <v>5</v>
      </c>
      <c r="E1412" s="59">
        <f t="shared" si="156"/>
        <v>20</v>
      </c>
      <c r="F1412" s="57" t="s">
        <v>52</v>
      </c>
      <c r="G1412" s="57" t="s">
        <v>43</v>
      </c>
      <c r="H1412" s="57" t="s">
        <v>2942</v>
      </c>
      <c r="I1412" s="57" t="s">
        <v>69</v>
      </c>
      <c r="J1412" s="57" t="s">
        <v>123</v>
      </c>
      <c r="K1412" s="57" t="s">
        <v>73</v>
      </c>
      <c r="L1412" s="57" t="s">
        <v>156</v>
      </c>
      <c r="M1412" s="60">
        <v>300</v>
      </c>
      <c r="N1412" s="57" t="s">
        <v>132</v>
      </c>
      <c r="O1412" s="61">
        <v>272.79000000000002</v>
      </c>
      <c r="P1412" s="61">
        <v>81837</v>
      </c>
      <c r="Q1412" s="61">
        <v>6017.02</v>
      </c>
      <c r="R1412" s="62">
        <f t="shared" si="157"/>
        <v>7.3524444933220925E-2</v>
      </c>
      <c r="S1412" s="60">
        <v>8</v>
      </c>
      <c r="T1412" s="58">
        <v>45436</v>
      </c>
      <c r="U1412" s="58">
        <v>45433</v>
      </c>
      <c r="V1412" s="63">
        <f t="shared" si="158"/>
        <v>-3</v>
      </c>
      <c r="W1412" s="57" t="s">
        <v>115</v>
      </c>
      <c r="X1412" s="64" t="b">
        <f t="shared" si="159"/>
        <v>1</v>
      </c>
      <c r="Y1412" s="60">
        <v>87</v>
      </c>
      <c r="Z1412" s="60">
        <v>44</v>
      </c>
      <c r="AA1412" s="57" t="s">
        <v>83</v>
      </c>
      <c r="AB1412" s="64" t="b">
        <f t="shared" si="160"/>
        <v>1</v>
      </c>
    </row>
    <row r="1413" spans="1:28" ht="15" customHeight="1" x14ac:dyDescent="0.3">
      <c r="A1413" s="65" t="s">
        <v>2943</v>
      </c>
      <c r="B1413" s="81">
        <v>45557</v>
      </c>
      <c r="C1413" s="59">
        <f t="shared" si="154"/>
        <v>2024</v>
      </c>
      <c r="D1413" s="59">
        <f t="shared" si="155"/>
        <v>9</v>
      </c>
      <c r="E1413" s="59">
        <f t="shared" si="156"/>
        <v>39</v>
      </c>
      <c r="F1413" s="65" t="s">
        <v>61</v>
      </c>
      <c r="G1413" s="65" t="s">
        <v>44</v>
      </c>
      <c r="H1413" s="65" t="s">
        <v>2944</v>
      </c>
      <c r="I1413" s="65" t="s">
        <v>69</v>
      </c>
      <c r="J1413" s="65" t="s">
        <v>143</v>
      </c>
      <c r="K1413" s="65" t="s">
        <v>73</v>
      </c>
      <c r="L1413" s="65" t="s">
        <v>156</v>
      </c>
      <c r="M1413" s="67">
        <v>654</v>
      </c>
      <c r="N1413" s="65" t="s">
        <v>140</v>
      </c>
      <c r="O1413" s="68">
        <v>123.9</v>
      </c>
      <c r="P1413" s="68">
        <v>81030.600000000006</v>
      </c>
      <c r="Q1413" s="68">
        <v>4224.2299999999996</v>
      </c>
      <c r="R1413" s="62">
        <f t="shared" si="157"/>
        <v>5.2131293610068283E-2</v>
      </c>
      <c r="S1413" s="67">
        <v>23</v>
      </c>
      <c r="T1413" s="66">
        <v>45580</v>
      </c>
      <c r="U1413" s="66">
        <v>45580</v>
      </c>
      <c r="V1413" s="63">
        <f t="shared" si="158"/>
        <v>0</v>
      </c>
      <c r="W1413" s="65" t="s">
        <v>115</v>
      </c>
      <c r="X1413" s="64" t="b">
        <f t="shared" si="159"/>
        <v>1</v>
      </c>
      <c r="Y1413" s="67">
        <v>333</v>
      </c>
      <c r="Z1413" s="67">
        <v>342</v>
      </c>
      <c r="AA1413" s="65" t="s">
        <v>81</v>
      </c>
      <c r="AB1413" s="64" t="b">
        <f t="shared" si="160"/>
        <v>1</v>
      </c>
    </row>
    <row r="1414" spans="1:28" ht="15" customHeight="1" x14ac:dyDescent="0.3">
      <c r="A1414" s="57" t="s">
        <v>2945</v>
      </c>
      <c r="B1414" s="82">
        <v>45344</v>
      </c>
      <c r="C1414" s="59">
        <f t="shared" si="154"/>
        <v>2024</v>
      </c>
      <c r="D1414" s="59">
        <f t="shared" si="155"/>
        <v>2</v>
      </c>
      <c r="E1414" s="59">
        <f t="shared" si="156"/>
        <v>8</v>
      </c>
      <c r="F1414" s="57" t="s">
        <v>56</v>
      </c>
      <c r="G1414" s="57" t="s">
        <v>45</v>
      </c>
      <c r="H1414" s="57" t="s">
        <v>2946</v>
      </c>
      <c r="I1414" s="57" t="s">
        <v>69</v>
      </c>
      <c r="J1414" s="57" t="s">
        <v>123</v>
      </c>
      <c r="K1414" s="57" t="s">
        <v>71</v>
      </c>
      <c r="L1414" s="57" t="s">
        <v>119</v>
      </c>
      <c r="M1414" s="60">
        <v>210</v>
      </c>
      <c r="N1414" s="57" t="s">
        <v>163</v>
      </c>
      <c r="O1414" s="61">
        <v>181.33</v>
      </c>
      <c r="P1414" s="61">
        <v>38079.300000000003</v>
      </c>
      <c r="Q1414" s="61">
        <v>2003.57</v>
      </c>
      <c r="R1414" s="62">
        <f t="shared" si="157"/>
        <v>5.2615725604199651E-2</v>
      </c>
      <c r="S1414" s="60">
        <v>15</v>
      </c>
      <c r="T1414" s="58">
        <v>45359</v>
      </c>
      <c r="U1414" s="58">
        <v>45359</v>
      </c>
      <c r="V1414" s="63">
        <f t="shared" si="158"/>
        <v>0</v>
      </c>
      <c r="W1414" s="57" t="s">
        <v>115</v>
      </c>
      <c r="X1414" s="64" t="b">
        <f t="shared" si="159"/>
        <v>1</v>
      </c>
      <c r="Y1414" s="60">
        <v>260</v>
      </c>
      <c r="Z1414" s="60">
        <v>140</v>
      </c>
      <c r="AA1414" s="57" t="s">
        <v>116</v>
      </c>
      <c r="AB1414" s="64" t="b">
        <f t="shared" si="160"/>
        <v>0</v>
      </c>
    </row>
    <row r="1415" spans="1:28" ht="15" customHeight="1" x14ac:dyDescent="0.3">
      <c r="A1415" s="65" t="s">
        <v>2947</v>
      </c>
      <c r="B1415" s="81">
        <v>45213</v>
      </c>
      <c r="C1415" s="59">
        <f t="shared" si="154"/>
        <v>2023</v>
      </c>
      <c r="D1415" s="59">
        <f t="shared" si="155"/>
        <v>10</v>
      </c>
      <c r="E1415" s="59">
        <f t="shared" si="156"/>
        <v>41</v>
      </c>
      <c r="F1415" s="65" t="s">
        <v>55</v>
      </c>
      <c r="G1415" s="65" t="s">
        <v>43</v>
      </c>
      <c r="H1415" s="65" t="s">
        <v>2948</v>
      </c>
      <c r="I1415" s="65" t="s">
        <v>68</v>
      </c>
      <c r="J1415" s="65" t="s">
        <v>143</v>
      </c>
      <c r="K1415" s="65" t="s">
        <v>75</v>
      </c>
      <c r="L1415" s="65" t="s">
        <v>156</v>
      </c>
      <c r="M1415" s="67">
        <v>806</v>
      </c>
      <c r="N1415" s="65" t="s">
        <v>163</v>
      </c>
      <c r="O1415" s="68">
        <v>278.72000000000003</v>
      </c>
      <c r="P1415" s="68">
        <v>224648.32000000001</v>
      </c>
      <c r="Q1415" s="68">
        <v>13305.17</v>
      </c>
      <c r="R1415" s="62">
        <f t="shared" si="157"/>
        <v>5.9226661476925353E-2</v>
      </c>
      <c r="S1415" s="67">
        <v>26</v>
      </c>
      <c r="T1415" s="66">
        <v>45239</v>
      </c>
      <c r="U1415" s="66">
        <v>45236</v>
      </c>
      <c r="V1415" s="63">
        <f t="shared" si="158"/>
        <v>-3</v>
      </c>
      <c r="W1415" s="65" t="s">
        <v>115</v>
      </c>
      <c r="X1415" s="64" t="b">
        <f t="shared" si="159"/>
        <v>1</v>
      </c>
      <c r="Y1415" s="67">
        <v>178</v>
      </c>
      <c r="Z1415" s="67">
        <v>26</v>
      </c>
      <c r="AA1415" s="65" t="s">
        <v>84</v>
      </c>
      <c r="AB1415" s="64" t="b">
        <f t="shared" si="160"/>
        <v>1</v>
      </c>
    </row>
    <row r="1416" spans="1:28" ht="15" customHeight="1" x14ac:dyDescent="0.3">
      <c r="A1416" s="57" t="s">
        <v>2949</v>
      </c>
      <c r="B1416" s="82">
        <v>44960</v>
      </c>
      <c r="C1416" s="59">
        <f t="shared" si="154"/>
        <v>2023</v>
      </c>
      <c r="D1416" s="59">
        <f t="shared" si="155"/>
        <v>2</v>
      </c>
      <c r="E1416" s="59">
        <f t="shared" si="156"/>
        <v>5</v>
      </c>
      <c r="F1416" s="57" t="s">
        <v>54</v>
      </c>
      <c r="G1416" s="57" t="s">
        <v>44</v>
      </c>
      <c r="H1416" s="57" t="s">
        <v>2950</v>
      </c>
      <c r="I1416" s="57" t="s">
        <v>66</v>
      </c>
      <c r="J1416" s="57" t="s">
        <v>143</v>
      </c>
      <c r="K1416" s="57" t="s">
        <v>73</v>
      </c>
      <c r="L1416" s="57" t="s">
        <v>119</v>
      </c>
      <c r="M1416" s="60">
        <v>335</v>
      </c>
      <c r="N1416" s="57" t="s">
        <v>132</v>
      </c>
      <c r="O1416" s="61">
        <v>148.25</v>
      </c>
      <c r="P1416" s="61">
        <v>49663.75</v>
      </c>
      <c r="Q1416" s="61">
        <v>2146.62</v>
      </c>
      <c r="R1416" s="62">
        <f t="shared" si="157"/>
        <v>4.322307518058946E-2</v>
      </c>
      <c r="S1416" s="60">
        <v>14</v>
      </c>
      <c r="T1416" s="58">
        <v>44974</v>
      </c>
      <c r="U1416" s="58">
        <v>44969</v>
      </c>
      <c r="V1416" s="63">
        <f t="shared" si="158"/>
        <v>-5</v>
      </c>
      <c r="W1416" s="57" t="s">
        <v>128</v>
      </c>
      <c r="X1416" s="64" t="b">
        <f t="shared" si="159"/>
        <v>0</v>
      </c>
      <c r="Y1416" s="60">
        <v>68</v>
      </c>
      <c r="Z1416" s="60">
        <v>232</v>
      </c>
      <c r="AA1416" s="57" t="s">
        <v>116</v>
      </c>
      <c r="AB1416" s="64" t="b">
        <f t="shared" si="160"/>
        <v>0</v>
      </c>
    </row>
    <row r="1417" spans="1:28" ht="15" customHeight="1" x14ac:dyDescent="0.3">
      <c r="A1417" s="65" t="s">
        <v>2951</v>
      </c>
      <c r="B1417" s="81">
        <v>45633</v>
      </c>
      <c r="C1417" s="59">
        <f t="shared" si="154"/>
        <v>2024</v>
      </c>
      <c r="D1417" s="59">
        <f t="shared" si="155"/>
        <v>12</v>
      </c>
      <c r="E1417" s="59">
        <f t="shared" si="156"/>
        <v>49</v>
      </c>
      <c r="F1417" s="65" t="s">
        <v>58</v>
      </c>
      <c r="G1417" s="65" t="s">
        <v>42</v>
      </c>
      <c r="H1417" s="65" t="s">
        <v>2952</v>
      </c>
      <c r="I1417" s="65" t="s">
        <v>64</v>
      </c>
      <c r="J1417" s="65" t="s">
        <v>143</v>
      </c>
      <c r="K1417" s="65" t="s">
        <v>74</v>
      </c>
      <c r="L1417" s="65" t="s">
        <v>135</v>
      </c>
      <c r="M1417" s="67">
        <v>520</v>
      </c>
      <c r="N1417" s="65" t="s">
        <v>132</v>
      </c>
      <c r="O1417" s="68">
        <v>84.68</v>
      </c>
      <c r="P1417" s="68">
        <v>44033.599999999999</v>
      </c>
      <c r="Q1417" s="68">
        <v>2590.64</v>
      </c>
      <c r="R1417" s="62">
        <f t="shared" si="157"/>
        <v>5.8833254605573926E-2</v>
      </c>
      <c r="S1417" s="67">
        <v>11</v>
      </c>
      <c r="T1417" s="66">
        <v>45644</v>
      </c>
      <c r="U1417" s="66">
        <v>45649</v>
      </c>
      <c r="V1417" s="63">
        <f t="shared" si="158"/>
        <v>5</v>
      </c>
      <c r="W1417" s="65" t="s">
        <v>128</v>
      </c>
      <c r="X1417" s="64" t="b">
        <f t="shared" si="159"/>
        <v>0</v>
      </c>
      <c r="Y1417" s="67">
        <v>366</v>
      </c>
      <c r="Z1417" s="67">
        <v>208</v>
      </c>
      <c r="AA1417" s="65" t="s">
        <v>116</v>
      </c>
      <c r="AB1417" s="64" t="b">
        <f t="shared" si="160"/>
        <v>0</v>
      </c>
    </row>
    <row r="1418" spans="1:28" ht="15" customHeight="1" x14ac:dyDescent="0.3">
      <c r="A1418" s="57" t="s">
        <v>2953</v>
      </c>
      <c r="B1418" s="82">
        <v>45306</v>
      </c>
      <c r="C1418" s="59">
        <f t="shared" si="154"/>
        <v>2024</v>
      </c>
      <c r="D1418" s="59">
        <f t="shared" si="155"/>
        <v>1</v>
      </c>
      <c r="E1418" s="59">
        <f t="shared" si="156"/>
        <v>3</v>
      </c>
      <c r="F1418" s="57" t="s">
        <v>61</v>
      </c>
      <c r="G1418" s="57" t="s">
        <v>41</v>
      </c>
      <c r="H1418" s="57" t="s">
        <v>2954</v>
      </c>
      <c r="I1418" s="57" t="s">
        <v>69</v>
      </c>
      <c r="J1418" s="57" t="s">
        <v>143</v>
      </c>
      <c r="K1418" s="57" t="s">
        <v>72</v>
      </c>
      <c r="L1418" s="57" t="s">
        <v>135</v>
      </c>
      <c r="M1418" s="60">
        <v>418</v>
      </c>
      <c r="N1418" s="57" t="s">
        <v>140</v>
      </c>
      <c r="O1418" s="61">
        <v>545.16</v>
      </c>
      <c r="P1418" s="61">
        <v>227876.88</v>
      </c>
      <c r="Q1418" s="61">
        <v>5169.6400000000003</v>
      </c>
      <c r="R1418" s="62">
        <f t="shared" si="157"/>
        <v>2.2686110148603052E-2</v>
      </c>
      <c r="S1418" s="60">
        <v>12</v>
      </c>
      <c r="T1418" s="58">
        <v>45318</v>
      </c>
      <c r="U1418" s="58">
        <v>45318</v>
      </c>
      <c r="V1418" s="63">
        <f t="shared" si="158"/>
        <v>0</v>
      </c>
      <c r="W1418" s="57" t="s">
        <v>115</v>
      </c>
      <c r="X1418" s="64" t="b">
        <f t="shared" si="159"/>
        <v>1</v>
      </c>
      <c r="Y1418" s="60">
        <v>415</v>
      </c>
      <c r="Z1418" s="60">
        <v>49</v>
      </c>
      <c r="AA1418" s="57" t="s">
        <v>116</v>
      </c>
      <c r="AB1418" s="64" t="b">
        <f t="shared" si="160"/>
        <v>0</v>
      </c>
    </row>
    <row r="1419" spans="1:28" ht="15" customHeight="1" x14ac:dyDescent="0.3">
      <c r="A1419" s="65" t="s">
        <v>2955</v>
      </c>
      <c r="B1419" s="81">
        <v>45149</v>
      </c>
      <c r="C1419" s="59">
        <f t="shared" si="154"/>
        <v>2023</v>
      </c>
      <c r="D1419" s="59">
        <f t="shared" si="155"/>
        <v>8</v>
      </c>
      <c r="E1419" s="59">
        <f t="shared" si="156"/>
        <v>32</v>
      </c>
      <c r="F1419" s="65" t="s">
        <v>54</v>
      </c>
      <c r="G1419" s="65" t="s">
        <v>41</v>
      </c>
      <c r="H1419" s="65" t="s">
        <v>2956</v>
      </c>
      <c r="I1419" s="65" t="s">
        <v>66</v>
      </c>
      <c r="J1419" s="65" t="s">
        <v>131</v>
      </c>
      <c r="K1419" s="65" t="s">
        <v>75</v>
      </c>
      <c r="L1419" s="65" t="s">
        <v>124</v>
      </c>
      <c r="M1419" s="67">
        <v>616</v>
      </c>
      <c r="N1419" s="65" t="s">
        <v>120</v>
      </c>
      <c r="O1419" s="68">
        <v>431.7</v>
      </c>
      <c r="P1419" s="68">
        <v>265927.2</v>
      </c>
      <c r="Q1419" s="68">
        <v>6180.91</v>
      </c>
      <c r="R1419" s="62">
        <f t="shared" si="157"/>
        <v>2.3242864964546688E-2</v>
      </c>
      <c r="S1419" s="67">
        <v>26</v>
      </c>
      <c r="T1419" s="66">
        <v>45175</v>
      </c>
      <c r="U1419" s="66">
        <v>45175</v>
      </c>
      <c r="V1419" s="63">
        <f t="shared" si="158"/>
        <v>0</v>
      </c>
      <c r="W1419" s="65" t="s">
        <v>115</v>
      </c>
      <c r="X1419" s="64" t="b">
        <f t="shared" si="159"/>
        <v>1</v>
      </c>
      <c r="Y1419" s="67">
        <v>492</v>
      </c>
      <c r="Z1419" s="67">
        <v>60</v>
      </c>
      <c r="AA1419" s="65" t="s">
        <v>83</v>
      </c>
      <c r="AB1419" s="64" t="b">
        <f t="shared" si="160"/>
        <v>1</v>
      </c>
    </row>
    <row r="1420" spans="1:28" ht="15" customHeight="1" x14ac:dyDescent="0.3">
      <c r="A1420" s="57" t="s">
        <v>2957</v>
      </c>
      <c r="B1420" s="82">
        <v>45381</v>
      </c>
      <c r="C1420" s="59">
        <f t="shared" si="154"/>
        <v>2024</v>
      </c>
      <c r="D1420" s="59">
        <f t="shared" si="155"/>
        <v>3</v>
      </c>
      <c r="E1420" s="59">
        <f t="shared" si="156"/>
        <v>13</v>
      </c>
      <c r="F1420" s="57" t="s">
        <v>58</v>
      </c>
      <c r="G1420" s="57" t="s">
        <v>39</v>
      </c>
      <c r="H1420" s="57" t="s">
        <v>2958</v>
      </c>
      <c r="I1420" s="57" t="s">
        <v>67</v>
      </c>
      <c r="J1420" s="57" t="s">
        <v>131</v>
      </c>
      <c r="K1420" s="57" t="s">
        <v>75</v>
      </c>
      <c r="L1420" s="57" t="s">
        <v>124</v>
      </c>
      <c r="M1420" s="60">
        <v>799</v>
      </c>
      <c r="N1420" s="57" t="s">
        <v>132</v>
      </c>
      <c r="O1420" s="61">
        <v>1802.16</v>
      </c>
      <c r="P1420" s="61">
        <v>1439925.84</v>
      </c>
      <c r="Q1420" s="61">
        <v>68301.19</v>
      </c>
      <c r="R1420" s="62">
        <f t="shared" si="157"/>
        <v>4.7433824786420942E-2</v>
      </c>
      <c r="S1420" s="60">
        <v>13</v>
      </c>
      <c r="T1420" s="58">
        <v>45394</v>
      </c>
      <c r="U1420" s="58">
        <v>45391</v>
      </c>
      <c r="V1420" s="63">
        <f t="shared" si="158"/>
        <v>-3</v>
      </c>
      <c r="W1420" s="57" t="s">
        <v>125</v>
      </c>
      <c r="X1420" s="64" t="b">
        <f t="shared" si="159"/>
        <v>0</v>
      </c>
      <c r="Y1420" s="60">
        <v>432</v>
      </c>
      <c r="Z1420" s="60">
        <v>242</v>
      </c>
      <c r="AA1420" s="57" t="s">
        <v>84</v>
      </c>
      <c r="AB1420" s="64" t="b">
        <f t="shared" si="160"/>
        <v>1</v>
      </c>
    </row>
    <row r="1421" spans="1:28" ht="15" customHeight="1" x14ac:dyDescent="0.3">
      <c r="A1421" s="65" t="s">
        <v>2959</v>
      </c>
      <c r="B1421" s="81">
        <v>45382</v>
      </c>
      <c r="C1421" s="59">
        <f t="shared" si="154"/>
        <v>2024</v>
      </c>
      <c r="D1421" s="59">
        <f t="shared" si="155"/>
        <v>3</v>
      </c>
      <c r="E1421" s="59">
        <f t="shared" si="156"/>
        <v>14</v>
      </c>
      <c r="F1421" s="65" t="s">
        <v>58</v>
      </c>
      <c r="G1421" s="65" t="s">
        <v>44</v>
      </c>
      <c r="H1421" s="65" t="s">
        <v>2960</v>
      </c>
      <c r="I1421" s="65" t="s">
        <v>65</v>
      </c>
      <c r="J1421" s="65" t="s">
        <v>123</v>
      </c>
      <c r="K1421" s="65" t="s">
        <v>71</v>
      </c>
      <c r="L1421" s="65" t="s">
        <v>113</v>
      </c>
      <c r="M1421" s="67">
        <v>971</v>
      </c>
      <c r="N1421" s="65" t="s">
        <v>136</v>
      </c>
      <c r="O1421" s="68">
        <v>118.44</v>
      </c>
      <c r="P1421" s="68">
        <v>115005.24</v>
      </c>
      <c r="Q1421" s="68">
        <v>6092.67</v>
      </c>
      <c r="R1421" s="62">
        <f t="shared" si="157"/>
        <v>5.2977325207094909E-2</v>
      </c>
      <c r="S1421" s="67">
        <v>8</v>
      </c>
      <c r="T1421" s="66">
        <v>45390</v>
      </c>
      <c r="U1421" s="66">
        <v>45390</v>
      </c>
      <c r="V1421" s="63">
        <f t="shared" si="158"/>
        <v>0</v>
      </c>
      <c r="W1421" s="65" t="s">
        <v>115</v>
      </c>
      <c r="X1421" s="64" t="b">
        <f t="shared" si="159"/>
        <v>1</v>
      </c>
      <c r="Y1421" s="67">
        <v>480</v>
      </c>
      <c r="Z1421" s="67">
        <v>268</v>
      </c>
      <c r="AA1421" s="65" t="s">
        <v>83</v>
      </c>
      <c r="AB1421" s="64" t="b">
        <f t="shared" si="160"/>
        <v>1</v>
      </c>
    </row>
    <row r="1422" spans="1:28" ht="15" customHeight="1" x14ac:dyDescent="0.3">
      <c r="A1422" s="57" t="s">
        <v>2961</v>
      </c>
      <c r="B1422" s="82">
        <v>45168</v>
      </c>
      <c r="C1422" s="59">
        <f t="shared" si="154"/>
        <v>2023</v>
      </c>
      <c r="D1422" s="59">
        <f t="shared" si="155"/>
        <v>8</v>
      </c>
      <c r="E1422" s="59">
        <f t="shared" si="156"/>
        <v>35</v>
      </c>
      <c r="F1422" s="57" t="s">
        <v>58</v>
      </c>
      <c r="G1422" s="57" t="s">
        <v>43</v>
      </c>
      <c r="H1422" s="57" t="s">
        <v>2962</v>
      </c>
      <c r="I1422" s="57" t="s">
        <v>64</v>
      </c>
      <c r="J1422" s="57" t="s">
        <v>143</v>
      </c>
      <c r="K1422" s="57" t="s">
        <v>75</v>
      </c>
      <c r="L1422" s="57" t="s">
        <v>156</v>
      </c>
      <c r="M1422" s="60">
        <v>950</v>
      </c>
      <c r="N1422" s="57" t="s">
        <v>120</v>
      </c>
      <c r="O1422" s="61">
        <v>299.3</v>
      </c>
      <c r="P1422" s="61">
        <v>284335</v>
      </c>
      <c r="Q1422" s="61">
        <v>20832.96</v>
      </c>
      <c r="R1422" s="62">
        <f t="shared" si="157"/>
        <v>7.3269066418133535E-2</v>
      </c>
      <c r="S1422" s="60">
        <v>18</v>
      </c>
      <c r="T1422" s="58">
        <v>45186</v>
      </c>
      <c r="U1422" s="58">
        <v>45189</v>
      </c>
      <c r="V1422" s="63">
        <f t="shared" si="158"/>
        <v>3</v>
      </c>
      <c r="W1422" s="57" t="s">
        <v>125</v>
      </c>
      <c r="X1422" s="64" t="b">
        <f t="shared" si="159"/>
        <v>0</v>
      </c>
      <c r="Y1422" s="60">
        <v>59</v>
      </c>
      <c r="Z1422" s="60">
        <v>139</v>
      </c>
      <c r="AA1422" s="57" t="s">
        <v>81</v>
      </c>
      <c r="AB1422" s="64" t="b">
        <f t="shared" si="160"/>
        <v>1</v>
      </c>
    </row>
    <row r="1423" spans="1:28" ht="15" customHeight="1" x14ac:dyDescent="0.3">
      <c r="A1423" s="65" t="s">
        <v>2963</v>
      </c>
      <c r="B1423" s="81">
        <v>45298</v>
      </c>
      <c r="C1423" s="59">
        <f t="shared" si="154"/>
        <v>2024</v>
      </c>
      <c r="D1423" s="59">
        <f t="shared" si="155"/>
        <v>1</v>
      </c>
      <c r="E1423" s="59">
        <f t="shared" si="156"/>
        <v>2</v>
      </c>
      <c r="F1423" s="65" t="s">
        <v>60</v>
      </c>
      <c r="G1423" s="65" t="s">
        <v>41</v>
      </c>
      <c r="H1423" s="65" t="s">
        <v>2964</v>
      </c>
      <c r="I1423" s="65" t="s">
        <v>64</v>
      </c>
      <c r="J1423" s="65" t="s">
        <v>139</v>
      </c>
      <c r="K1423" s="65" t="s">
        <v>71</v>
      </c>
      <c r="L1423" s="65" t="s">
        <v>124</v>
      </c>
      <c r="M1423" s="67">
        <v>846</v>
      </c>
      <c r="N1423" s="65" t="s">
        <v>132</v>
      </c>
      <c r="O1423" s="68">
        <v>542.07000000000005</v>
      </c>
      <c r="P1423" s="68">
        <v>458591.22</v>
      </c>
      <c r="Q1423" s="68">
        <v>12051.61</v>
      </c>
      <c r="R1423" s="62">
        <f t="shared" si="157"/>
        <v>2.6279635270819186E-2</v>
      </c>
      <c r="S1423" s="67">
        <v>25</v>
      </c>
      <c r="T1423" s="66">
        <v>45323</v>
      </c>
      <c r="U1423" s="66">
        <v>45320</v>
      </c>
      <c r="V1423" s="63">
        <f t="shared" si="158"/>
        <v>-3</v>
      </c>
      <c r="W1423" s="65" t="s">
        <v>115</v>
      </c>
      <c r="X1423" s="64" t="b">
        <f t="shared" si="159"/>
        <v>1</v>
      </c>
      <c r="Y1423" s="67">
        <v>301</v>
      </c>
      <c r="Z1423" s="67">
        <v>156</v>
      </c>
      <c r="AA1423" s="65" t="s">
        <v>84</v>
      </c>
      <c r="AB1423" s="64" t="b">
        <f t="shared" si="160"/>
        <v>1</v>
      </c>
    </row>
    <row r="1424" spans="1:28" ht="15" customHeight="1" x14ac:dyDescent="0.3">
      <c r="A1424" s="57" t="s">
        <v>2965</v>
      </c>
      <c r="B1424" s="82">
        <v>45028</v>
      </c>
      <c r="C1424" s="59">
        <f t="shared" si="154"/>
        <v>2023</v>
      </c>
      <c r="D1424" s="59">
        <f t="shared" si="155"/>
        <v>4</v>
      </c>
      <c r="E1424" s="59">
        <f t="shared" si="156"/>
        <v>15</v>
      </c>
      <c r="F1424" s="57" t="s">
        <v>53</v>
      </c>
      <c r="G1424" s="57" t="s">
        <v>40</v>
      </c>
      <c r="H1424" s="57" t="s">
        <v>2966</v>
      </c>
      <c r="I1424" s="57" t="s">
        <v>68</v>
      </c>
      <c r="J1424" s="57" t="s">
        <v>143</v>
      </c>
      <c r="K1424" s="57" t="s">
        <v>71</v>
      </c>
      <c r="L1424" s="57" t="s">
        <v>113</v>
      </c>
      <c r="M1424" s="60">
        <v>517</v>
      </c>
      <c r="N1424" s="57" t="s">
        <v>136</v>
      </c>
      <c r="O1424" s="61">
        <v>870.97</v>
      </c>
      <c r="P1424" s="61">
        <v>450291.49</v>
      </c>
      <c r="Q1424" s="61">
        <v>31231.71</v>
      </c>
      <c r="R1424" s="62">
        <f t="shared" si="157"/>
        <v>6.9358872405072547E-2</v>
      </c>
      <c r="S1424" s="60">
        <v>1</v>
      </c>
      <c r="T1424" s="58">
        <v>45029</v>
      </c>
      <c r="U1424" s="58">
        <v>45034</v>
      </c>
      <c r="V1424" s="63">
        <f t="shared" si="158"/>
        <v>5</v>
      </c>
      <c r="W1424" s="57" t="s">
        <v>128</v>
      </c>
      <c r="X1424" s="64" t="b">
        <f t="shared" si="159"/>
        <v>0</v>
      </c>
      <c r="Y1424" s="60">
        <v>451</v>
      </c>
      <c r="Z1424" s="60">
        <v>84</v>
      </c>
      <c r="AA1424" s="57" t="s">
        <v>116</v>
      </c>
      <c r="AB1424" s="64" t="b">
        <f t="shared" si="160"/>
        <v>0</v>
      </c>
    </row>
    <row r="1425" spans="1:28" ht="15" customHeight="1" x14ac:dyDescent="0.3">
      <c r="A1425" s="65" t="s">
        <v>2967</v>
      </c>
      <c r="B1425" s="81">
        <v>45629</v>
      </c>
      <c r="C1425" s="59">
        <f t="shared" si="154"/>
        <v>2024</v>
      </c>
      <c r="D1425" s="59">
        <f t="shared" si="155"/>
        <v>12</v>
      </c>
      <c r="E1425" s="59">
        <f t="shared" si="156"/>
        <v>49</v>
      </c>
      <c r="F1425" s="65" t="s">
        <v>57</v>
      </c>
      <c r="G1425" s="65" t="s">
        <v>41</v>
      </c>
      <c r="H1425" s="65" t="s">
        <v>2968</v>
      </c>
      <c r="I1425" s="65" t="s">
        <v>67</v>
      </c>
      <c r="J1425" s="65" t="s">
        <v>139</v>
      </c>
      <c r="K1425" s="65" t="s">
        <v>74</v>
      </c>
      <c r="L1425" s="65" t="s">
        <v>146</v>
      </c>
      <c r="M1425" s="67">
        <v>740</v>
      </c>
      <c r="N1425" s="65" t="s">
        <v>114</v>
      </c>
      <c r="O1425" s="68">
        <v>576.34</v>
      </c>
      <c r="P1425" s="68">
        <v>426491.6</v>
      </c>
      <c r="Q1425" s="68">
        <v>13904.84</v>
      </c>
      <c r="R1425" s="62">
        <f t="shared" si="157"/>
        <v>3.2602846105292578E-2</v>
      </c>
      <c r="S1425" s="67">
        <v>15</v>
      </c>
      <c r="T1425" s="66">
        <v>45644</v>
      </c>
      <c r="U1425" s="66">
        <v>45641</v>
      </c>
      <c r="V1425" s="63">
        <f t="shared" si="158"/>
        <v>-3</v>
      </c>
      <c r="W1425" s="65" t="s">
        <v>115</v>
      </c>
      <c r="X1425" s="64" t="b">
        <f t="shared" si="159"/>
        <v>1</v>
      </c>
      <c r="Y1425" s="67">
        <v>248</v>
      </c>
      <c r="Z1425" s="67">
        <v>83</v>
      </c>
      <c r="AA1425" s="65" t="s">
        <v>84</v>
      </c>
      <c r="AB1425" s="64" t="b">
        <f t="shared" si="160"/>
        <v>1</v>
      </c>
    </row>
    <row r="1426" spans="1:28" ht="15" customHeight="1" x14ac:dyDescent="0.3">
      <c r="A1426" s="57" t="s">
        <v>2969</v>
      </c>
      <c r="B1426" s="82">
        <v>45303</v>
      </c>
      <c r="C1426" s="59">
        <f t="shared" si="154"/>
        <v>2024</v>
      </c>
      <c r="D1426" s="59">
        <f t="shared" si="155"/>
        <v>1</v>
      </c>
      <c r="E1426" s="59">
        <f t="shared" si="156"/>
        <v>2</v>
      </c>
      <c r="F1426" s="57" t="s">
        <v>56</v>
      </c>
      <c r="G1426" s="57" t="s">
        <v>46</v>
      </c>
      <c r="H1426" s="57" t="s">
        <v>2970</v>
      </c>
      <c r="I1426" s="57" t="s">
        <v>64</v>
      </c>
      <c r="J1426" s="57" t="s">
        <v>131</v>
      </c>
      <c r="K1426" s="57" t="s">
        <v>73</v>
      </c>
      <c r="L1426" s="57" t="s">
        <v>124</v>
      </c>
      <c r="M1426" s="60">
        <v>610</v>
      </c>
      <c r="N1426" s="57" t="s">
        <v>140</v>
      </c>
      <c r="O1426" s="61">
        <v>86</v>
      </c>
      <c r="P1426" s="61">
        <v>52460</v>
      </c>
      <c r="Q1426" s="61">
        <v>2289.62</v>
      </c>
      <c r="R1426" s="62">
        <f t="shared" si="157"/>
        <v>4.3645062905070531E-2</v>
      </c>
      <c r="S1426" s="60">
        <v>8</v>
      </c>
      <c r="T1426" s="58">
        <v>45311</v>
      </c>
      <c r="U1426" s="58">
        <v>45310</v>
      </c>
      <c r="V1426" s="63">
        <f t="shared" si="158"/>
        <v>-1</v>
      </c>
      <c r="W1426" s="57" t="s">
        <v>115</v>
      </c>
      <c r="X1426" s="64" t="b">
        <f t="shared" si="159"/>
        <v>1</v>
      </c>
      <c r="Y1426" s="60">
        <v>477</v>
      </c>
      <c r="Z1426" s="60">
        <v>275</v>
      </c>
      <c r="AA1426" s="57" t="s">
        <v>84</v>
      </c>
      <c r="AB1426" s="64" t="b">
        <f t="shared" si="160"/>
        <v>1</v>
      </c>
    </row>
    <row r="1427" spans="1:28" ht="15" customHeight="1" x14ac:dyDescent="0.3">
      <c r="A1427" s="65" t="s">
        <v>2971</v>
      </c>
      <c r="B1427" s="81">
        <v>45484</v>
      </c>
      <c r="C1427" s="59">
        <f t="shared" si="154"/>
        <v>2024</v>
      </c>
      <c r="D1427" s="59">
        <f t="shared" si="155"/>
        <v>7</v>
      </c>
      <c r="E1427" s="59">
        <f t="shared" si="156"/>
        <v>28</v>
      </c>
      <c r="F1427" s="65" t="s">
        <v>58</v>
      </c>
      <c r="G1427" s="65" t="s">
        <v>46</v>
      </c>
      <c r="H1427" s="65" t="s">
        <v>2972</v>
      </c>
      <c r="I1427" s="65" t="s">
        <v>68</v>
      </c>
      <c r="J1427" s="65" t="s">
        <v>143</v>
      </c>
      <c r="K1427" s="65" t="s">
        <v>75</v>
      </c>
      <c r="L1427" s="65" t="s">
        <v>113</v>
      </c>
      <c r="M1427" s="67">
        <v>81</v>
      </c>
      <c r="N1427" s="65" t="s">
        <v>136</v>
      </c>
      <c r="O1427" s="68">
        <v>80.44</v>
      </c>
      <c r="P1427" s="68">
        <v>6515.64</v>
      </c>
      <c r="Q1427" s="68">
        <v>254.08</v>
      </c>
      <c r="R1427" s="62">
        <f t="shared" si="157"/>
        <v>3.8995401833127677E-2</v>
      </c>
      <c r="S1427" s="67">
        <v>28</v>
      </c>
      <c r="T1427" s="66">
        <v>45512</v>
      </c>
      <c r="U1427" s="66">
        <v>45513</v>
      </c>
      <c r="V1427" s="63">
        <f t="shared" si="158"/>
        <v>1</v>
      </c>
      <c r="W1427" s="65" t="s">
        <v>128</v>
      </c>
      <c r="X1427" s="64" t="b">
        <f t="shared" si="159"/>
        <v>0</v>
      </c>
      <c r="Y1427" s="67">
        <v>168</v>
      </c>
      <c r="Z1427" s="67">
        <v>30</v>
      </c>
      <c r="AA1427" s="65" t="s">
        <v>116</v>
      </c>
      <c r="AB1427" s="64" t="b">
        <f t="shared" si="160"/>
        <v>0</v>
      </c>
    </row>
    <row r="1428" spans="1:28" ht="15" customHeight="1" x14ac:dyDescent="0.3">
      <c r="A1428" s="57" t="s">
        <v>2973</v>
      </c>
      <c r="B1428" s="82">
        <v>45587</v>
      </c>
      <c r="C1428" s="59">
        <f t="shared" si="154"/>
        <v>2024</v>
      </c>
      <c r="D1428" s="59">
        <f t="shared" si="155"/>
        <v>10</v>
      </c>
      <c r="E1428" s="59">
        <f t="shared" si="156"/>
        <v>43</v>
      </c>
      <c r="F1428" s="57" t="s">
        <v>54</v>
      </c>
      <c r="G1428" s="57" t="s">
        <v>41</v>
      </c>
      <c r="H1428" s="57" t="s">
        <v>2974</v>
      </c>
      <c r="I1428" s="57" t="s">
        <v>68</v>
      </c>
      <c r="J1428" s="57" t="s">
        <v>151</v>
      </c>
      <c r="K1428" s="57" t="s">
        <v>73</v>
      </c>
      <c r="L1428" s="57" t="s">
        <v>119</v>
      </c>
      <c r="M1428" s="60">
        <v>256</v>
      </c>
      <c r="N1428" s="57" t="s">
        <v>132</v>
      </c>
      <c r="O1428" s="61">
        <v>530.45000000000005</v>
      </c>
      <c r="P1428" s="61">
        <v>135795.20000000001</v>
      </c>
      <c r="Q1428" s="61">
        <v>5976.25</v>
      </c>
      <c r="R1428" s="62">
        <f t="shared" si="157"/>
        <v>4.4009287515317179E-2</v>
      </c>
      <c r="S1428" s="60">
        <v>11</v>
      </c>
      <c r="T1428" s="58">
        <v>45598</v>
      </c>
      <c r="U1428" s="58">
        <v>45598</v>
      </c>
      <c r="V1428" s="63">
        <f t="shared" si="158"/>
        <v>0</v>
      </c>
      <c r="W1428" s="57" t="s">
        <v>115</v>
      </c>
      <c r="X1428" s="64" t="b">
        <f t="shared" si="159"/>
        <v>1</v>
      </c>
      <c r="Y1428" s="60">
        <v>464</v>
      </c>
      <c r="Z1428" s="60">
        <v>7</v>
      </c>
      <c r="AA1428" s="57" t="s">
        <v>116</v>
      </c>
      <c r="AB1428" s="64" t="b">
        <f t="shared" si="160"/>
        <v>0</v>
      </c>
    </row>
    <row r="1429" spans="1:28" ht="15" customHeight="1" x14ac:dyDescent="0.3">
      <c r="A1429" s="65" t="s">
        <v>2975</v>
      </c>
      <c r="B1429" s="81">
        <v>45294</v>
      </c>
      <c r="C1429" s="59">
        <f t="shared" si="154"/>
        <v>2024</v>
      </c>
      <c r="D1429" s="59">
        <f t="shared" si="155"/>
        <v>1</v>
      </c>
      <c r="E1429" s="59">
        <f t="shared" si="156"/>
        <v>1</v>
      </c>
      <c r="F1429" s="65" t="s">
        <v>59</v>
      </c>
      <c r="G1429" s="65" t="s">
        <v>44</v>
      </c>
      <c r="H1429" s="65" t="s">
        <v>2976</v>
      </c>
      <c r="I1429" s="65" t="s">
        <v>68</v>
      </c>
      <c r="J1429" s="65" t="s">
        <v>123</v>
      </c>
      <c r="K1429" s="65" t="s">
        <v>73</v>
      </c>
      <c r="L1429" s="65" t="s">
        <v>119</v>
      </c>
      <c r="M1429" s="67">
        <v>650</v>
      </c>
      <c r="N1429" s="65" t="s">
        <v>163</v>
      </c>
      <c r="O1429" s="68">
        <v>153</v>
      </c>
      <c r="P1429" s="68">
        <v>99450</v>
      </c>
      <c r="Q1429" s="68">
        <v>2887.01</v>
      </c>
      <c r="R1429" s="62">
        <f t="shared" si="157"/>
        <v>2.9029763700351936E-2</v>
      </c>
      <c r="S1429" s="67">
        <v>12</v>
      </c>
      <c r="T1429" s="66">
        <v>45306</v>
      </c>
      <c r="U1429" s="66">
        <v>45318</v>
      </c>
      <c r="V1429" s="63">
        <f t="shared" si="158"/>
        <v>12</v>
      </c>
      <c r="W1429" s="65" t="s">
        <v>128</v>
      </c>
      <c r="X1429" s="64" t="b">
        <f t="shared" si="159"/>
        <v>0</v>
      </c>
      <c r="Y1429" s="67">
        <v>450</v>
      </c>
      <c r="Z1429" s="67">
        <v>279</v>
      </c>
      <c r="AA1429" s="65" t="s">
        <v>83</v>
      </c>
      <c r="AB1429" s="64" t="b">
        <f t="shared" si="160"/>
        <v>1</v>
      </c>
    </row>
    <row r="1430" spans="1:28" ht="15" customHeight="1" x14ac:dyDescent="0.3">
      <c r="A1430" s="57" t="s">
        <v>2977</v>
      </c>
      <c r="B1430" s="82">
        <v>44989</v>
      </c>
      <c r="C1430" s="59">
        <f t="shared" si="154"/>
        <v>2023</v>
      </c>
      <c r="D1430" s="59">
        <f t="shared" si="155"/>
        <v>3</v>
      </c>
      <c r="E1430" s="59">
        <f t="shared" si="156"/>
        <v>9</v>
      </c>
      <c r="F1430" s="57" t="s">
        <v>59</v>
      </c>
      <c r="G1430" s="57" t="s">
        <v>39</v>
      </c>
      <c r="H1430" s="57" t="s">
        <v>2978</v>
      </c>
      <c r="I1430" s="57" t="s">
        <v>64</v>
      </c>
      <c r="J1430" s="57" t="s">
        <v>143</v>
      </c>
      <c r="K1430" s="57" t="s">
        <v>73</v>
      </c>
      <c r="L1430" s="57" t="s">
        <v>113</v>
      </c>
      <c r="M1430" s="60">
        <v>733</v>
      </c>
      <c r="N1430" s="57" t="s">
        <v>132</v>
      </c>
      <c r="O1430" s="61">
        <v>1753.48</v>
      </c>
      <c r="P1430" s="61">
        <v>1285300.8400000001</v>
      </c>
      <c r="Q1430" s="61">
        <v>64540.36</v>
      </c>
      <c r="R1430" s="62">
        <f t="shared" si="157"/>
        <v>5.0214205103919482E-2</v>
      </c>
      <c r="S1430" s="60">
        <v>12</v>
      </c>
      <c r="T1430" s="58">
        <v>45001</v>
      </c>
      <c r="U1430" s="58">
        <v>45003</v>
      </c>
      <c r="V1430" s="63">
        <f t="shared" si="158"/>
        <v>2</v>
      </c>
      <c r="W1430" s="57" t="s">
        <v>125</v>
      </c>
      <c r="X1430" s="64" t="b">
        <f t="shared" si="159"/>
        <v>0</v>
      </c>
      <c r="Y1430" s="60">
        <v>268</v>
      </c>
      <c r="Z1430" s="60">
        <v>202</v>
      </c>
      <c r="AA1430" s="57" t="s">
        <v>84</v>
      </c>
      <c r="AB1430" s="64" t="b">
        <f t="shared" si="160"/>
        <v>1</v>
      </c>
    </row>
    <row r="1431" spans="1:28" ht="15" customHeight="1" x14ac:dyDescent="0.3">
      <c r="A1431" s="65" t="s">
        <v>2979</v>
      </c>
      <c r="B1431" s="81">
        <v>45334</v>
      </c>
      <c r="C1431" s="59">
        <f t="shared" si="154"/>
        <v>2024</v>
      </c>
      <c r="D1431" s="59">
        <f t="shared" si="155"/>
        <v>2</v>
      </c>
      <c r="E1431" s="59">
        <f t="shared" si="156"/>
        <v>7</v>
      </c>
      <c r="F1431" s="65" t="s">
        <v>55</v>
      </c>
      <c r="G1431" s="65" t="s">
        <v>41</v>
      </c>
      <c r="H1431" s="65" t="s">
        <v>2980</v>
      </c>
      <c r="I1431" s="65" t="s">
        <v>64</v>
      </c>
      <c r="J1431" s="65" t="s">
        <v>112</v>
      </c>
      <c r="K1431" s="65" t="s">
        <v>71</v>
      </c>
      <c r="L1431" s="65" t="s">
        <v>135</v>
      </c>
      <c r="M1431" s="67">
        <v>949</v>
      </c>
      <c r="N1431" s="65" t="s">
        <v>163</v>
      </c>
      <c r="O1431" s="68">
        <v>546.95000000000005</v>
      </c>
      <c r="P1431" s="68">
        <v>519055.55</v>
      </c>
      <c r="Q1431" s="68">
        <v>35346.93</v>
      </c>
      <c r="R1431" s="62">
        <f t="shared" si="157"/>
        <v>6.8098549374917577E-2</v>
      </c>
      <c r="S1431" s="67">
        <v>4</v>
      </c>
      <c r="T1431" s="66">
        <v>45338</v>
      </c>
      <c r="U1431" s="66">
        <v>45340</v>
      </c>
      <c r="V1431" s="63">
        <f t="shared" si="158"/>
        <v>2</v>
      </c>
      <c r="W1431" s="65" t="s">
        <v>128</v>
      </c>
      <c r="X1431" s="64" t="b">
        <f t="shared" si="159"/>
        <v>0</v>
      </c>
      <c r="Y1431" s="67">
        <v>363</v>
      </c>
      <c r="Z1431" s="67">
        <v>422</v>
      </c>
      <c r="AA1431" s="65" t="s">
        <v>83</v>
      </c>
      <c r="AB1431" s="64" t="b">
        <f t="shared" si="160"/>
        <v>1</v>
      </c>
    </row>
    <row r="1432" spans="1:28" ht="15" customHeight="1" x14ac:dyDescent="0.3">
      <c r="A1432" s="57" t="s">
        <v>2981</v>
      </c>
      <c r="B1432" s="82">
        <v>45209</v>
      </c>
      <c r="C1432" s="59">
        <f t="shared" si="154"/>
        <v>2023</v>
      </c>
      <c r="D1432" s="59">
        <f t="shared" si="155"/>
        <v>10</v>
      </c>
      <c r="E1432" s="59">
        <f t="shared" si="156"/>
        <v>41</v>
      </c>
      <c r="F1432" s="57" t="s">
        <v>52</v>
      </c>
      <c r="G1432" s="57" t="s">
        <v>42</v>
      </c>
      <c r="H1432" s="57" t="s">
        <v>2982</v>
      </c>
      <c r="I1432" s="57" t="s">
        <v>64</v>
      </c>
      <c r="J1432" s="57" t="s">
        <v>139</v>
      </c>
      <c r="K1432" s="57" t="s">
        <v>73</v>
      </c>
      <c r="L1432" s="57" t="s">
        <v>146</v>
      </c>
      <c r="M1432" s="60">
        <v>864</v>
      </c>
      <c r="N1432" s="57" t="s">
        <v>140</v>
      </c>
      <c r="O1432" s="61">
        <v>68.31</v>
      </c>
      <c r="P1432" s="61">
        <v>59019.839999999997</v>
      </c>
      <c r="Q1432" s="61">
        <v>2743.95</v>
      </c>
      <c r="R1432" s="62">
        <f t="shared" si="157"/>
        <v>4.64919932009304E-2</v>
      </c>
      <c r="S1432" s="60">
        <v>16</v>
      </c>
      <c r="T1432" s="58">
        <v>45225</v>
      </c>
      <c r="U1432" s="58">
        <v>45225</v>
      </c>
      <c r="V1432" s="63">
        <f t="shared" si="158"/>
        <v>0</v>
      </c>
      <c r="W1432" s="57" t="s">
        <v>115</v>
      </c>
      <c r="X1432" s="64" t="b">
        <f t="shared" si="159"/>
        <v>1</v>
      </c>
      <c r="Y1432" s="60">
        <v>111</v>
      </c>
      <c r="Z1432" s="60">
        <v>32</v>
      </c>
      <c r="AA1432" s="57" t="s">
        <v>116</v>
      </c>
      <c r="AB1432" s="64" t="b">
        <f t="shared" si="160"/>
        <v>0</v>
      </c>
    </row>
    <row r="1433" spans="1:28" ht="15" customHeight="1" x14ac:dyDescent="0.3">
      <c r="A1433" s="65" t="s">
        <v>2983</v>
      </c>
      <c r="B1433" s="81">
        <v>45121</v>
      </c>
      <c r="C1433" s="59">
        <f t="shared" si="154"/>
        <v>2023</v>
      </c>
      <c r="D1433" s="59">
        <f t="shared" si="155"/>
        <v>7</v>
      </c>
      <c r="E1433" s="59">
        <f t="shared" si="156"/>
        <v>28</v>
      </c>
      <c r="F1433" s="65" t="s">
        <v>58</v>
      </c>
      <c r="G1433" s="65" t="s">
        <v>45</v>
      </c>
      <c r="H1433" s="65" t="s">
        <v>2984</v>
      </c>
      <c r="I1433" s="65" t="s">
        <v>66</v>
      </c>
      <c r="J1433" s="65" t="s">
        <v>143</v>
      </c>
      <c r="K1433" s="65" t="s">
        <v>75</v>
      </c>
      <c r="L1433" s="65" t="s">
        <v>113</v>
      </c>
      <c r="M1433" s="67">
        <v>617</v>
      </c>
      <c r="N1433" s="65" t="s">
        <v>140</v>
      </c>
      <c r="O1433" s="68">
        <v>214.23</v>
      </c>
      <c r="P1433" s="68">
        <v>132179.91</v>
      </c>
      <c r="Q1433" s="68">
        <v>6534.55</v>
      </c>
      <c r="R1433" s="62">
        <f t="shared" si="157"/>
        <v>4.9436786573693388E-2</v>
      </c>
      <c r="S1433" s="67">
        <v>4</v>
      </c>
      <c r="T1433" s="66">
        <v>45125</v>
      </c>
      <c r="U1433" s="66">
        <v>45137</v>
      </c>
      <c r="V1433" s="63">
        <f t="shared" si="158"/>
        <v>12</v>
      </c>
      <c r="W1433" s="65" t="s">
        <v>128</v>
      </c>
      <c r="X1433" s="64" t="b">
        <f t="shared" si="159"/>
        <v>0</v>
      </c>
      <c r="Y1433" s="67">
        <v>99</v>
      </c>
      <c r="Z1433" s="67">
        <v>297</v>
      </c>
      <c r="AA1433" s="65" t="s">
        <v>84</v>
      </c>
      <c r="AB1433" s="64" t="b">
        <f t="shared" si="160"/>
        <v>1</v>
      </c>
    </row>
    <row r="1434" spans="1:28" ht="15" customHeight="1" x14ac:dyDescent="0.3">
      <c r="A1434" s="57" t="s">
        <v>2985</v>
      </c>
      <c r="B1434" s="82">
        <v>45052</v>
      </c>
      <c r="C1434" s="59">
        <f t="shared" si="154"/>
        <v>2023</v>
      </c>
      <c r="D1434" s="59">
        <f t="shared" si="155"/>
        <v>5</v>
      </c>
      <c r="E1434" s="59">
        <f t="shared" si="156"/>
        <v>18</v>
      </c>
      <c r="F1434" s="57" t="s">
        <v>54</v>
      </c>
      <c r="G1434" s="57" t="s">
        <v>43</v>
      </c>
      <c r="H1434" s="57" t="s">
        <v>2986</v>
      </c>
      <c r="I1434" s="57" t="s">
        <v>68</v>
      </c>
      <c r="J1434" s="57" t="s">
        <v>151</v>
      </c>
      <c r="K1434" s="57" t="s">
        <v>71</v>
      </c>
      <c r="L1434" s="57" t="s">
        <v>124</v>
      </c>
      <c r="M1434" s="60">
        <v>596</v>
      </c>
      <c r="N1434" s="57" t="s">
        <v>120</v>
      </c>
      <c r="O1434" s="61">
        <v>179.33</v>
      </c>
      <c r="P1434" s="61">
        <v>106880.68</v>
      </c>
      <c r="Q1434" s="61">
        <v>7580.63</v>
      </c>
      <c r="R1434" s="62">
        <f t="shared" si="157"/>
        <v>7.092610189231581E-2</v>
      </c>
      <c r="S1434" s="60">
        <v>5</v>
      </c>
      <c r="T1434" s="58">
        <v>45057</v>
      </c>
      <c r="U1434" s="58">
        <v>45065</v>
      </c>
      <c r="V1434" s="63">
        <f t="shared" si="158"/>
        <v>8</v>
      </c>
      <c r="W1434" s="57" t="s">
        <v>128</v>
      </c>
      <c r="X1434" s="64" t="b">
        <f t="shared" si="159"/>
        <v>0</v>
      </c>
      <c r="Y1434" s="60">
        <v>401</v>
      </c>
      <c r="Z1434" s="60">
        <v>142</v>
      </c>
      <c r="AA1434" s="57" t="s">
        <v>116</v>
      </c>
      <c r="AB1434" s="64" t="b">
        <f t="shared" si="160"/>
        <v>0</v>
      </c>
    </row>
    <row r="1435" spans="1:28" ht="15" customHeight="1" x14ac:dyDescent="0.3">
      <c r="A1435" s="65" t="s">
        <v>2987</v>
      </c>
      <c r="B1435" s="81">
        <v>45392</v>
      </c>
      <c r="C1435" s="59">
        <f t="shared" si="154"/>
        <v>2024</v>
      </c>
      <c r="D1435" s="59">
        <f t="shared" si="155"/>
        <v>4</v>
      </c>
      <c r="E1435" s="59">
        <f t="shared" si="156"/>
        <v>15</v>
      </c>
      <c r="F1435" s="65" t="s">
        <v>58</v>
      </c>
      <c r="G1435" s="65" t="s">
        <v>39</v>
      </c>
      <c r="H1435" s="65" t="s">
        <v>2988</v>
      </c>
      <c r="I1435" s="65" t="s">
        <v>66</v>
      </c>
      <c r="J1435" s="65" t="s">
        <v>139</v>
      </c>
      <c r="K1435" s="65" t="s">
        <v>75</v>
      </c>
      <c r="L1435" s="65" t="s">
        <v>135</v>
      </c>
      <c r="M1435" s="67">
        <v>944</v>
      </c>
      <c r="N1435" s="65" t="s">
        <v>120</v>
      </c>
      <c r="O1435" s="68">
        <v>2147.81</v>
      </c>
      <c r="P1435" s="68">
        <v>1639255.3774000001</v>
      </c>
      <c r="Q1435" s="68">
        <v>96548.6302</v>
      </c>
      <c r="R1435" s="62">
        <f t="shared" si="157"/>
        <v>5.8897857851248549E-2</v>
      </c>
      <c r="S1435" s="67">
        <v>24</v>
      </c>
      <c r="T1435" s="66">
        <v>45416</v>
      </c>
      <c r="U1435" s="66">
        <v>45421</v>
      </c>
      <c r="V1435" s="63">
        <f t="shared" si="158"/>
        <v>5</v>
      </c>
      <c r="W1435" s="65" t="s">
        <v>128</v>
      </c>
      <c r="X1435" s="64" t="b">
        <f t="shared" si="159"/>
        <v>0</v>
      </c>
      <c r="Y1435" s="67">
        <v>214</v>
      </c>
      <c r="Z1435" s="67">
        <v>451</v>
      </c>
      <c r="AA1435" s="65" t="s">
        <v>81</v>
      </c>
      <c r="AB1435" s="64" t="b">
        <f t="shared" si="160"/>
        <v>1</v>
      </c>
    </row>
    <row r="1436" spans="1:28" ht="15" customHeight="1" x14ac:dyDescent="0.3">
      <c r="A1436" s="57" t="s">
        <v>2989</v>
      </c>
      <c r="B1436" s="82">
        <v>45020</v>
      </c>
      <c r="C1436" s="59">
        <f t="shared" si="154"/>
        <v>2023</v>
      </c>
      <c r="D1436" s="59">
        <f t="shared" si="155"/>
        <v>4</v>
      </c>
      <c r="E1436" s="59">
        <f t="shared" si="156"/>
        <v>14</v>
      </c>
      <c r="F1436" s="57" t="s">
        <v>60</v>
      </c>
      <c r="G1436" s="57" t="s">
        <v>42</v>
      </c>
      <c r="H1436" s="57" t="s">
        <v>2990</v>
      </c>
      <c r="I1436" s="57" t="s">
        <v>65</v>
      </c>
      <c r="J1436" s="57" t="s">
        <v>151</v>
      </c>
      <c r="K1436" s="57" t="s">
        <v>71</v>
      </c>
      <c r="L1436" s="57" t="s">
        <v>113</v>
      </c>
      <c r="M1436" s="60">
        <v>575</v>
      </c>
      <c r="N1436" s="57" t="s">
        <v>163</v>
      </c>
      <c r="O1436" s="61">
        <v>77.47</v>
      </c>
      <c r="P1436" s="61">
        <v>44545.25</v>
      </c>
      <c r="Q1436" s="61">
        <v>2201.75</v>
      </c>
      <c r="R1436" s="62">
        <f t="shared" si="157"/>
        <v>4.942726777827041E-2</v>
      </c>
      <c r="S1436" s="60">
        <v>5</v>
      </c>
      <c r="T1436" s="58">
        <v>45025</v>
      </c>
      <c r="U1436" s="58">
        <v>45024</v>
      </c>
      <c r="V1436" s="63">
        <f t="shared" si="158"/>
        <v>-1</v>
      </c>
      <c r="W1436" s="57" t="s">
        <v>115</v>
      </c>
      <c r="X1436" s="64" t="b">
        <f t="shared" si="159"/>
        <v>1</v>
      </c>
      <c r="Y1436" s="60">
        <v>482</v>
      </c>
      <c r="Z1436" s="60">
        <v>448</v>
      </c>
      <c r="AA1436" s="57" t="s">
        <v>116</v>
      </c>
      <c r="AB1436" s="64" t="b">
        <f t="shared" si="160"/>
        <v>0</v>
      </c>
    </row>
    <row r="1437" spans="1:28" ht="15" customHeight="1" x14ac:dyDescent="0.3">
      <c r="A1437" s="65" t="s">
        <v>2991</v>
      </c>
      <c r="B1437" s="81">
        <v>45605</v>
      </c>
      <c r="C1437" s="59">
        <f t="shared" si="154"/>
        <v>2024</v>
      </c>
      <c r="D1437" s="59">
        <f t="shared" si="155"/>
        <v>11</v>
      </c>
      <c r="E1437" s="59">
        <f t="shared" si="156"/>
        <v>45</v>
      </c>
      <c r="F1437" s="65" t="s">
        <v>52</v>
      </c>
      <c r="G1437" s="65" t="s">
        <v>39</v>
      </c>
      <c r="H1437" s="65" t="s">
        <v>2992</v>
      </c>
      <c r="I1437" s="65" t="s">
        <v>64</v>
      </c>
      <c r="J1437" s="65" t="s">
        <v>123</v>
      </c>
      <c r="K1437" s="65" t="s">
        <v>72</v>
      </c>
      <c r="L1437" s="65" t="s">
        <v>156</v>
      </c>
      <c r="M1437" s="67">
        <v>353</v>
      </c>
      <c r="N1437" s="65" t="s">
        <v>163</v>
      </c>
      <c r="O1437" s="68">
        <v>2192.7199999999998</v>
      </c>
      <c r="P1437" s="68">
        <v>774030.16</v>
      </c>
      <c r="Q1437" s="68">
        <v>27448.46</v>
      </c>
      <c r="R1437" s="62">
        <f t="shared" si="157"/>
        <v>3.5461744798161353E-2</v>
      </c>
      <c r="S1437" s="67">
        <v>8</v>
      </c>
      <c r="T1437" s="66">
        <v>45613</v>
      </c>
      <c r="U1437" s="66">
        <v>45612</v>
      </c>
      <c r="V1437" s="63">
        <f t="shared" si="158"/>
        <v>-1</v>
      </c>
      <c r="W1437" s="65" t="s">
        <v>115</v>
      </c>
      <c r="X1437" s="64" t="b">
        <f t="shared" si="159"/>
        <v>1</v>
      </c>
      <c r="Y1437" s="67">
        <v>112</v>
      </c>
      <c r="Z1437" s="67">
        <v>415</v>
      </c>
      <c r="AA1437" s="65" t="s">
        <v>116</v>
      </c>
      <c r="AB1437" s="64" t="b">
        <f t="shared" si="160"/>
        <v>0</v>
      </c>
    </row>
    <row r="1438" spans="1:28" ht="15" customHeight="1" x14ac:dyDescent="0.3">
      <c r="A1438" s="57" t="s">
        <v>2993</v>
      </c>
      <c r="B1438" s="82">
        <v>45144</v>
      </c>
      <c r="C1438" s="59">
        <f t="shared" si="154"/>
        <v>2023</v>
      </c>
      <c r="D1438" s="59">
        <f t="shared" si="155"/>
        <v>8</v>
      </c>
      <c r="E1438" s="59">
        <f t="shared" si="156"/>
        <v>32</v>
      </c>
      <c r="F1438" s="57" t="s">
        <v>58</v>
      </c>
      <c r="G1438" s="57" t="s">
        <v>42</v>
      </c>
      <c r="H1438" s="57" t="s">
        <v>2994</v>
      </c>
      <c r="I1438" s="57" t="s">
        <v>67</v>
      </c>
      <c r="J1438" s="57" t="s">
        <v>123</v>
      </c>
      <c r="K1438" s="57" t="s">
        <v>72</v>
      </c>
      <c r="L1438" s="57" t="s">
        <v>124</v>
      </c>
      <c r="M1438" s="60">
        <v>980</v>
      </c>
      <c r="N1438" s="57" t="s">
        <v>140</v>
      </c>
      <c r="O1438" s="61">
        <v>90.12</v>
      </c>
      <c r="P1438" s="61">
        <v>88317.6</v>
      </c>
      <c r="Q1438" s="61">
        <v>6455.63</v>
      </c>
      <c r="R1438" s="62">
        <f t="shared" si="157"/>
        <v>7.3095623069467458E-2</v>
      </c>
      <c r="S1438" s="60">
        <v>10</v>
      </c>
      <c r="T1438" s="58">
        <v>45154</v>
      </c>
      <c r="U1438" s="58">
        <v>45149</v>
      </c>
      <c r="V1438" s="63">
        <f t="shared" si="158"/>
        <v>-5</v>
      </c>
      <c r="W1438" s="57" t="s">
        <v>115</v>
      </c>
      <c r="X1438" s="64" t="b">
        <f t="shared" si="159"/>
        <v>1</v>
      </c>
      <c r="Y1438" s="60">
        <v>96</v>
      </c>
      <c r="Z1438" s="60">
        <v>394</v>
      </c>
      <c r="AA1438" s="57" t="s">
        <v>116</v>
      </c>
      <c r="AB1438" s="64" t="b">
        <f t="shared" si="160"/>
        <v>0</v>
      </c>
    </row>
    <row r="1439" spans="1:28" ht="15" customHeight="1" x14ac:dyDescent="0.3">
      <c r="A1439" s="65" t="s">
        <v>2995</v>
      </c>
      <c r="B1439" s="81">
        <v>45584</v>
      </c>
      <c r="C1439" s="59">
        <f t="shared" si="154"/>
        <v>2024</v>
      </c>
      <c r="D1439" s="59">
        <f t="shared" si="155"/>
        <v>10</v>
      </c>
      <c r="E1439" s="59">
        <f t="shared" si="156"/>
        <v>42</v>
      </c>
      <c r="F1439" s="65" t="s">
        <v>56</v>
      </c>
      <c r="G1439" s="65" t="s">
        <v>43</v>
      </c>
      <c r="H1439" s="65" t="s">
        <v>2996</v>
      </c>
      <c r="I1439" s="65" t="s">
        <v>69</v>
      </c>
      <c r="J1439" s="65" t="s">
        <v>123</v>
      </c>
      <c r="K1439" s="65" t="s">
        <v>72</v>
      </c>
      <c r="L1439" s="65" t="s">
        <v>124</v>
      </c>
      <c r="M1439" s="67">
        <v>934</v>
      </c>
      <c r="N1439" s="65" t="s">
        <v>136</v>
      </c>
      <c r="O1439" s="68">
        <v>241.05</v>
      </c>
      <c r="P1439" s="68">
        <v>225140.7</v>
      </c>
      <c r="Q1439" s="68">
        <v>12297.46</v>
      </c>
      <c r="R1439" s="62">
        <f t="shared" si="157"/>
        <v>5.4621221307386884E-2</v>
      </c>
      <c r="S1439" s="67">
        <v>17</v>
      </c>
      <c r="T1439" s="66">
        <v>45601</v>
      </c>
      <c r="U1439" s="66">
        <v>45602</v>
      </c>
      <c r="V1439" s="63">
        <f t="shared" si="158"/>
        <v>1</v>
      </c>
      <c r="W1439" s="65" t="s">
        <v>128</v>
      </c>
      <c r="X1439" s="64" t="b">
        <f t="shared" si="159"/>
        <v>0</v>
      </c>
      <c r="Y1439" s="67">
        <v>306</v>
      </c>
      <c r="Z1439" s="67">
        <v>349</v>
      </c>
      <c r="AA1439" s="65" t="s">
        <v>83</v>
      </c>
      <c r="AB1439" s="64" t="b">
        <f t="shared" si="160"/>
        <v>1</v>
      </c>
    </row>
    <row r="1440" spans="1:28" ht="15" customHeight="1" x14ac:dyDescent="0.3">
      <c r="A1440" s="57" t="s">
        <v>2997</v>
      </c>
      <c r="B1440" s="82">
        <v>45581</v>
      </c>
      <c r="C1440" s="59">
        <f t="shared" si="154"/>
        <v>2024</v>
      </c>
      <c r="D1440" s="59">
        <f t="shared" si="155"/>
        <v>10</v>
      </c>
      <c r="E1440" s="59">
        <f t="shared" si="156"/>
        <v>42</v>
      </c>
      <c r="F1440" s="57" t="s">
        <v>59</v>
      </c>
      <c r="G1440" s="57" t="s">
        <v>43</v>
      </c>
      <c r="H1440" s="57" t="s">
        <v>2998</v>
      </c>
      <c r="I1440" s="57" t="s">
        <v>65</v>
      </c>
      <c r="J1440" s="57" t="s">
        <v>131</v>
      </c>
      <c r="K1440" s="57" t="s">
        <v>72</v>
      </c>
      <c r="L1440" s="57" t="s">
        <v>119</v>
      </c>
      <c r="M1440" s="60">
        <v>63</v>
      </c>
      <c r="N1440" s="57" t="s">
        <v>163</v>
      </c>
      <c r="O1440" s="61">
        <v>226.87</v>
      </c>
      <c r="P1440" s="61">
        <v>14292.81</v>
      </c>
      <c r="Q1440" s="61">
        <v>475.51</v>
      </c>
      <c r="R1440" s="62">
        <f t="shared" si="157"/>
        <v>3.3269175200677827E-2</v>
      </c>
      <c r="S1440" s="60">
        <v>28</v>
      </c>
      <c r="T1440" s="58">
        <v>45609</v>
      </c>
      <c r="U1440" s="58">
        <v>45609</v>
      </c>
      <c r="V1440" s="63">
        <f t="shared" si="158"/>
        <v>0</v>
      </c>
      <c r="W1440" s="57" t="s">
        <v>115</v>
      </c>
      <c r="X1440" s="64" t="b">
        <f t="shared" si="159"/>
        <v>1</v>
      </c>
      <c r="Y1440" s="60">
        <v>117</v>
      </c>
      <c r="Z1440" s="60">
        <v>36</v>
      </c>
      <c r="AA1440" s="57" t="s">
        <v>84</v>
      </c>
      <c r="AB1440" s="64" t="b">
        <f t="shared" si="160"/>
        <v>1</v>
      </c>
    </row>
    <row r="1441" spans="1:28" ht="15" customHeight="1" x14ac:dyDescent="0.3">
      <c r="A1441" s="65" t="s">
        <v>2999</v>
      </c>
      <c r="B1441" s="81">
        <v>45538</v>
      </c>
      <c r="C1441" s="59">
        <f t="shared" si="154"/>
        <v>2024</v>
      </c>
      <c r="D1441" s="59">
        <f t="shared" si="155"/>
        <v>9</v>
      </c>
      <c r="E1441" s="59">
        <f t="shared" si="156"/>
        <v>36</v>
      </c>
      <c r="F1441" s="65" t="s">
        <v>58</v>
      </c>
      <c r="G1441" s="65" t="s">
        <v>46</v>
      </c>
      <c r="H1441" s="65" t="s">
        <v>3000</v>
      </c>
      <c r="I1441" s="65" t="s">
        <v>69</v>
      </c>
      <c r="J1441" s="65" t="s">
        <v>151</v>
      </c>
      <c r="K1441" s="65" t="s">
        <v>71</v>
      </c>
      <c r="L1441" s="65" t="s">
        <v>156</v>
      </c>
      <c r="M1441" s="67">
        <v>739</v>
      </c>
      <c r="N1441" s="65" t="s">
        <v>163</v>
      </c>
      <c r="O1441" s="68">
        <v>48.21</v>
      </c>
      <c r="P1441" s="68">
        <v>35627.19</v>
      </c>
      <c r="Q1441" s="68">
        <v>1287.82</v>
      </c>
      <c r="R1441" s="62">
        <f t="shared" si="157"/>
        <v>3.6147111237232007E-2</v>
      </c>
      <c r="S1441" s="67">
        <v>26</v>
      </c>
      <c r="T1441" s="66">
        <v>45564</v>
      </c>
      <c r="U1441" s="66">
        <v>45564</v>
      </c>
      <c r="V1441" s="63">
        <f t="shared" si="158"/>
        <v>0</v>
      </c>
      <c r="W1441" s="65" t="s">
        <v>115</v>
      </c>
      <c r="X1441" s="64" t="b">
        <f t="shared" si="159"/>
        <v>1</v>
      </c>
      <c r="Y1441" s="67">
        <v>35</v>
      </c>
      <c r="Z1441" s="67">
        <v>146</v>
      </c>
      <c r="AA1441" s="65" t="s">
        <v>116</v>
      </c>
      <c r="AB1441" s="64" t="b">
        <f t="shared" si="160"/>
        <v>0</v>
      </c>
    </row>
    <row r="1442" spans="1:28" ht="15" customHeight="1" x14ac:dyDescent="0.3">
      <c r="A1442" s="57" t="s">
        <v>3001</v>
      </c>
      <c r="B1442" s="82">
        <v>44948</v>
      </c>
      <c r="C1442" s="59">
        <f t="shared" si="154"/>
        <v>2023</v>
      </c>
      <c r="D1442" s="59">
        <f t="shared" si="155"/>
        <v>1</v>
      </c>
      <c r="E1442" s="59">
        <f t="shared" si="156"/>
        <v>4</v>
      </c>
      <c r="F1442" s="57" t="s">
        <v>56</v>
      </c>
      <c r="G1442" s="57" t="s">
        <v>44</v>
      </c>
      <c r="H1442" s="57" t="s">
        <v>3002</v>
      </c>
      <c r="I1442" s="57" t="s">
        <v>69</v>
      </c>
      <c r="J1442" s="57" t="s">
        <v>143</v>
      </c>
      <c r="K1442" s="57" t="s">
        <v>73</v>
      </c>
      <c r="L1442" s="57" t="s">
        <v>156</v>
      </c>
      <c r="M1442" s="60">
        <v>537</v>
      </c>
      <c r="N1442" s="57" t="s">
        <v>136</v>
      </c>
      <c r="O1442" s="61">
        <v>120.08</v>
      </c>
      <c r="P1442" s="61">
        <v>64482.96</v>
      </c>
      <c r="Q1442" s="61">
        <v>4396.96</v>
      </c>
      <c r="R1442" s="62">
        <f t="shared" si="157"/>
        <v>6.8187936782058395E-2</v>
      </c>
      <c r="S1442" s="60">
        <v>9</v>
      </c>
      <c r="T1442" s="58">
        <v>44957</v>
      </c>
      <c r="U1442" s="58">
        <v>44962</v>
      </c>
      <c r="V1442" s="63">
        <f t="shared" si="158"/>
        <v>5</v>
      </c>
      <c r="W1442" s="57" t="s">
        <v>125</v>
      </c>
      <c r="X1442" s="64" t="b">
        <f t="shared" si="159"/>
        <v>0</v>
      </c>
      <c r="Y1442" s="60">
        <v>336</v>
      </c>
      <c r="Z1442" s="60">
        <v>434</v>
      </c>
      <c r="AA1442" s="57" t="s">
        <v>81</v>
      </c>
      <c r="AB1442" s="64" t="b">
        <f t="shared" si="160"/>
        <v>1</v>
      </c>
    </row>
    <row r="1443" spans="1:28" ht="15" customHeight="1" x14ac:dyDescent="0.3">
      <c r="A1443" s="65" t="s">
        <v>3003</v>
      </c>
      <c r="B1443" s="81">
        <v>44978</v>
      </c>
      <c r="C1443" s="59">
        <f t="shared" si="154"/>
        <v>2023</v>
      </c>
      <c r="D1443" s="59">
        <f t="shared" si="155"/>
        <v>2</v>
      </c>
      <c r="E1443" s="59">
        <f t="shared" si="156"/>
        <v>8</v>
      </c>
      <c r="F1443" s="65" t="s">
        <v>56</v>
      </c>
      <c r="G1443" s="65" t="s">
        <v>42</v>
      </c>
      <c r="H1443" s="65" t="s">
        <v>3004</v>
      </c>
      <c r="I1443" s="65" t="s">
        <v>64</v>
      </c>
      <c r="J1443" s="65" t="s">
        <v>112</v>
      </c>
      <c r="K1443" s="65" t="s">
        <v>74</v>
      </c>
      <c r="L1443" s="65" t="s">
        <v>124</v>
      </c>
      <c r="M1443" s="67">
        <v>620</v>
      </c>
      <c r="N1443" s="65" t="s">
        <v>120</v>
      </c>
      <c r="O1443" s="68">
        <v>62.35</v>
      </c>
      <c r="P1443" s="68">
        <v>38657</v>
      </c>
      <c r="Q1443" s="68">
        <v>875.53</v>
      </c>
      <c r="R1443" s="62">
        <f t="shared" si="157"/>
        <v>2.2648679411232119E-2</v>
      </c>
      <c r="S1443" s="67">
        <v>22</v>
      </c>
      <c r="T1443" s="66">
        <v>45000</v>
      </c>
      <c r="U1443" s="66">
        <v>45000</v>
      </c>
      <c r="V1443" s="63">
        <f t="shared" si="158"/>
        <v>0</v>
      </c>
      <c r="W1443" s="65" t="s">
        <v>115</v>
      </c>
      <c r="X1443" s="64" t="b">
        <f t="shared" si="159"/>
        <v>1</v>
      </c>
      <c r="Y1443" s="67">
        <v>358</v>
      </c>
      <c r="Z1443" s="67">
        <v>227</v>
      </c>
      <c r="AA1443" s="65" t="s">
        <v>116</v>
      </c>
      <c r="AB1443" s="64" t="b">
        <f t="shared" si="160"/>
        <v>0</v>
      </c>
    </row>
    <row r="1444" spans="1:28" ht="15" customHeight="1" x14ac:dyDescent="0.3">
      <c r="A1444" s="57" t="s">
        <v>3005</v>
      </c>
      <c r="B1444" s="82">
        <v>45268</v>
      </c>
      <c r="C1444" s="59">
        <f t="shared" si="154"/>
        <v>2023</v>
      </c>
      <c r="D1444" s="59">
        <f t="shared" si="155"/>
        <v>12</v>
      </c>
      <c r="E1444" s="59">
        <f t="shared" si="156"/>
        <v>49</v>
      </c>
      <c r="F1444" s="57" t="s">
        <v>53</v>
      </c>
      <c r="G1444" s="57" t="s">
        <v>45</v>
      </c>
      <c r="H1444" s="57" t="s">
        <v>3006</v>
      </c>
      <c r="I1444" s="57" t="s">
        <v>67</v>
      </c>
      <c r="J1444" s="57" t="s">
        <v>112</v>
      </c>
      <c r="K1444" s="57" t="s">
        <v>74</v>
      </c>
      <c r="L1444" s="57" t="s">
        <v>146</v>
      </c>
      <c r="M1444" s="60">
        <v>541</v>
      </c>
      <c r="N1444" s="57" t="s">
        <v>120</v>
      </c>
      <c r="O1444" s="61">
        <v>239.67</v>
      </c>
      <c r="P1444" s="61">
        <v>129661.47</v>
      </c>
      <c r="Q1444" s="61">
        <v>10311.4</v>
      </c>
      <c r="R1444" s="62">
        <f t="shared" si="157"/>
        <v>7.9525552193724161E-2</v>
      </c>
      <c r="S1444" s="60">
        <v>19</v>
      </c>
      <c r="T1444" s="58">
        <v>45287</v>
      </c>
      <c r="U1444" s="58">
        <v>45287</v>
      </c>
      <c r="V1444" s="63">
        <f t="shared" si="158"/>
        <v>0</v>
      </c>
      <c r="W1444" s="57" t="s">
        <v>115</v>
      </c>
      <c r="X1444" s="64" t="b">
        <f t="shared" si="159"/>
        <v>1</v>
      </c>
      <c r="Y1444" s="60">
        <v>289</v>
      </c>
      <c r="Z1444" s="60">
        <v>33</v>
      </c>
      <c r="AA1444" s="57" t="s">
        <v>116</v>
      </c>
      <c r="AB1444" s="64" t="b">
        <f t="shared" si="160"/>
        <v>0</v>
      </c>
    </row>
    <row r="1445" spans="1:28" ht="15" customHeight="1" x14ac:dyDescent="0.3">
      <c r="A1445" s="65" t="s">
        <v>3007</v>
      </c>
      <c r="B1445" s="81">
        <v>45176</v>
      </c>
      <c r="C1445" s="59">
        <f t="shared" si="154"/>
        <v>2023</v>
      </c>
      <c r="D1445" s="59">
        <f t="shared" si="155"/>
        <v>9</v>
      </c>
      <c r="E1445" s="59">
        <f t="shared" si="156"/>
        <v>36</v>
      </c>
      <c r="F1445" s="65" t="s">
        <v>56</v>
      </c>
      <c r="G1445" s="65" t="s">
        <v>46</v>
      </c>
      <c r="H1445" s="65" t="s">
        <v>3008</v>
      </c>
      <c r="I1445" s="65" t="s">
        <v>69</v>
      </c>
      <c r="J1445" s="65" t="s">
        <v>123</v>
      </c>
      <c r="K1445" s="65" t="s">
        <v>72</v>
      </c>
      <c r="L1445" s="65" t="s">
        <v>135</v>
      </c>
      <c r="M1445" s="67">
        <v>567</v>
      </c>
      <c r="N1445" s="65" t="s">
        <v>163</v>
      </c>
      <c r="O1445" s="68">
        <v>63.45</v>
      </c>
      <c r="P1445" s="68">
        <v>35976.15</v>
      </c>
      <c r="Q1445" s="68">
        <v>1000.9</v>
      </c>
      <c r="R1445" s="62">
        <f t="shared" si="157"/>
        <v>2.7821209328958211E-2</v>
      </c>
      <c r="S1445" s="67">
        <v>29</v>
      </c>
      <c r="T1445" s="66">
        <v>45205</v>
      </c>
      <c r="U1445" s="66">
        <v>45205</v>
      </c>
      <c r="V1445" s="63">
        <f t="shared" si="158"/>
        <v>0</v>
      </c>
      <c r="W1445" s="65" t="s">
        <v>115</v>
      </c>
      <c r="X1445" s="64" t="b">
        <f t="shared" si="159"/>
        <v>1</v>
      </c>
      <c r="Y1445" s="67">
        <v>395</v>
      </c>
      <c r="Z1445" s="67">
        <v>454</v>
      </c>
      <c r="AA1445" s="65" t="s">
        <v>84</v>
      </c>
      <c r="AB1445" s="64" t="b">
        <f t="shared" si="160"/>
        <v>1</v>
      </c>
    </row>
    <row r="1446" spans="1:28" ht="15" customHeight="1" x14ac:dyDescent="0.3">
      <c r="A1446" s="57" t="s">
        <v>3009</v>
      </c>
      <c r="B1446" s="82">
        <v>45055</v>
      </c>
      <c r="C1446" s="59">
        <f t="shared" si="154"/>
        <v>2023</v>
      </c>
      <c r="D1446" s="59">
        <f t="shared" si="155"/>
        <v>5</v>
      </c>
      <c r="E1446" s="59">
        <f t="shared" si="156"/>
        <v>19</v>
      </c>
      <c r="F1446" s="57" t="s">
        <v>52</v>
      </c>
      <c r="G1446" s="57" t="s">
        <v>42</v>
      </c>
      <c r="H1446" s="57" t="s">
        <v>3010</v>
      </c>
      <c r="I1446" s="57" t="s">
        <v>68</v>
      </c>
      <c r="J1446" s="57" t="s">
        <v>112</v>
      </c>
      <c r="K1446" s="57" t="s">
        <v>73</v>
      </c>
      <c r="L1446" s="57" t="s">
        <v>119</v>
      </c>
      <c r="M1446" s="60">
        <v>972</v>
      </c>
      <c r="N1446" s="57" t="s">
        <v>120</v>
      </c>
      <c r="O1446" s="61">
        <v>105.79</v>
      </c>
      <c r="P1446" s="61">
        <v>102827.88</v>
      </c>
      <c r="Q1446" s="61">
        <v>6968.04</v>
      </c>
      <c r="R1446" s="62">
        <f t="shared" si="157"/>
        <v>6.7764112223260842E-2</v>
      </c>
      <c r="S1446" s="60">
        <v>14</v>
      </c>
      <c r="T1446" s="58">
        <v>45069</v>
      </c>
      <c r="U1446" s="58">
        <v>45071</v>
      </c>
      <c r="V1446" s="63">
        <f t="shared" si="158"/>
        <v>2</v>
      </c>
      <c r="W1446" s="57" t="s">
        <v>125</v>
      </c>
      <c r="X1446" s="64" t="b">
        <f t="shared" si="159"/>
        <v>0</v>
      </c>
      <c r="Y1446" s="60">
        <v>388</v>
      </c>
      <c r="Z1446" s="60">
        <v>443</v>
      </c>
      <c r="AA1446" s="57" t="s">
        <v>83</v>
      </c>
      <c r="AB1446" s="64" t="b">
        <f t="shared" si="160"/>
        <v>1</v>
      </c>
    </row>
    <row r="1447" spans="1:28" ht="15" customHeight="1" x14ac:dyDescent="0.3">
      <c r="A1447" s="65" t="s">
        <v>3011</v>
      </c>
      <c r="B1447" s="81">
        <v>45505</v>
      </c>
      <c r="C1447" s="59">
        <f t="shared" si="154"/>
        <v>2024</v>
      </c>
      <c r="D1447" s="59">
        <f t="shared" si="155"/>
        <v>8</v>
      </c>
      <c r="E1447" s="59">
        <f t="shared" si="156"/>
        <v>31</v>
      </c>
      <c r="F1447" s="65" t="s">
        <v>59</v>
      </c>
      <c r="G1447" s="65" t="s">
        <v>46</v>
      </c>
      <c r="H1447" s="65" t="s">
        <v>3012</v>
      </c>
      <c r="I1447" s="65" t="s">
        <v>69</v>
      </c>
      <c r="J1447" s="65" t="s">
        <v>139</v>
      </c>
      <c r="K1447" s="65" t="s">
        <v>75</v>
      </c>
      <c r="L1447" s="65" t="s">
        <v>156</v>
      </c>
      <c r="M1447" s="67">
        <v>202</v>
      </c>
      <c r="N1447" s="65" t="s">
        <v>120</v>
      </c>
      <c r="O1447" s="68">
        <v>52.58</v>
      </c>
      <c r="P1447" s="68">
        <v>10621.16</v>
      </c>
      <c r="Q1447" s="68">
        <v>464</v>
      </c>
      <c r="R1447" s="62">
        <f t="shared" si="157"/>
        <v>4.3686377005901431E-2</v>
      </c>
      <c r="S1447" s="67">
        <v>8</v>
      </c>
      <c r="T1447" s="66">
        <v>45513</v>
      </c>
      <c r="U1447" s="66">
        <v>45515</v>
      </c>
      <c r="V1447" s="63">
        <f t="shared" si="158"/>
        <v>2</v>
      </c>
      <c r="W1447" s="65" t="s">
        <v>125</v>
      </c>
      <c r="X1447" s="64" t="b">
        <f t="shared" si="159"/>
        <v>0</v>
      </c>
      <c r="Y1447" s="67">
        <v>303</v>
      </c>
      <c r="Z1447" s="67">
        <v>236</v>
      </c>
      <c r="AA1447" s="65" t="s">
        <v>81</v>
      </c>
      <c r="AB1447" s="64" t="b">
        <f t="shared" si="160"/>
        <v>1</v>
      </c>
    </row>
    <row r="1448" spans="1:28" ht="15" customHeight="1" x14ac:dyDescent="0.3">
      <c r="A1448" s="57" t="s">
        <v>3013</v>
      </c>
      <c r="B1448" s="82">
        <v>45137</v>
      </c>
      <c r="C1448" s="59">
        <f t="shared" si="154"/>
        <v>2023</v>
      </c>
      <c r="D1448" s="59">
        <f t="shared" si="155"/>
        <v>7</v>
      </c>
      <c r="E1448" s="59">
        <f t="shared" si="156"/>
        <v>31</v>
      </c>
      <c r="F1448" s="57" t="s">
        <v>55</v>
      </c>
      <c r="G1448" s="57" t="s">
        <v>43</v>
      </c>
      <c r="H1448" s="57" t="s">
        <v>3014</v>
      </c>
      <c r="I1448" s="57" t="s">
        <v>65</v>
      </c>
      <c r="J1448" s="57" t="s">
        <v>151</v>
      </c>
      <c r="K1448" s="57" t="s">
        <v>73</v>
      </c>
      <c r="L1448" s="57" t="s">
        <v>119</v>
      </c>
      <c r="M1448" s="60">
        <v>904</v>
      </c>
      <c r="N1448" s="57" t="s">
        <v>114</v>
      </c>
      <c r="O1448" s="61">
        <v>166.33</v>
      </c>
      <c r="P1448" s="61">
        <v>150362.32</v>
      </c>
      <c r="Q1448" s="61">
        <v>7447.89</v>
      </c>
      <c r="R1448" s="62">
        <f t="shared" si="157"/>
        <v>4.9532954798782038E-2</v>
      </c>
      <c r="S1448" s="60">
        <v>9</v>
      </c>
      <c r="T1448" s="58">
        <v>45146</v>
      </c>
      <c r="U1448" s="58">
        <v>45146</v>
      </c>
      <c r="V1448" s="63">
        <f t="shared" si="158"/>
        <v>0</v>
      </c>
      <c r="W1448" s="57" t="s">
        <v>115</v>
      </c>
      <c r="X1448" s="64" t="b">
        <f t="shared" si="159"/>
        <v>1</v>
      </c>
      <c r="Y1448" s="60">
        <v>359</v>
      </c>
      <c r="Z1448" s="60">
        <v>211</v>
      </c>
      <c r="AA1448" s="57" t="s">
        <v>82</v>
      </c>
      <c r="AB1448" s="64" t="b">
        <f t="shared" si="160"/>
        <v>1</v>
      </c>
    </row>
    <row r="1449" spans="1:28" ht="15" customHeight="1" x14ac:dyDescent="0.3">
      <c r="A1449" s="65" t="s">
        <v>3015</v>
      </c>
      <c r="B1449" s="81">
        <v>44997</v>
      </c>
      <c r="C1449" s="59">
        <f t="shared" si="154"/>
        <v>2023</v>
      </c>
      <c r="D1449" s="59">
        <f t="shared" si="155"/>
        <v>3</v>
      </c>
      <c r="E1449" s="59">
        <f t="shared" si="156"/>
        <v>11</v>
      </c>
      <c r="F1449" s="65" t="s">
        <v>60</v>
      </c>
      <c r="G1449" s="65" t="s">
        <v>39</v>
      </c>
      <c r="H1449" s="65" t="s">
        <v>3016</v>
      </c>
      <c r="I1449" s="65" t="s">
        <v>67</v>
      </c>
      <c r="J1449" s="65" t="s">
        <v>151</v>
      </c>
      <c r="K1449" s="65" t="s">
        <v>75</v>
      </c>
      <c r="L1449" s="65" t="s">
        <v>124</v>
      </c>
      <c r="M1449" s="67">
        <v>67</v>
      </c>
      <c r="N1449" s="65" t="s">
        <v>120</v>
      </c>
      <c r="O1449" s="68">
        <v>1537.6</v>
      </c>
      <c r="P1449" s="68">
        <v>103019.2</v>
      </c>
      <c r="Q1449" s="68">
        <v>7503.82</v>
      </c>
      <c r="R1449" s="62">
        <f t="shared" si="157"/>
        <v>7.2839043595756908E-2</v>
      </c>
      <c r="S1449" s="67">
        <v>22</v>
      </c>
      <c r="T1449" s="66">
        <v>45019</v>
      </c>
      <c r="U1449" s="66">
        <v>45019</v>
      </c>
      <c r="V1449" s="63">
        <f t="shared" si="158"/>
        <v>0</v>
      </c>
      <c r="W1449" s="65" t="s">
        <v>115</v>
      </c>
      <c r="X1449" s="64" t="b">
        <f t="shared" si="159"/>
        <v>1</v>
      </c>
      <c r="Y1449" s="67">
        <v>346</v>
      </c>
      <c r="Z1449" s="67">
        <v>308</v>
      </c>
      <c r="AA1449" s="65" t="s">
        <v>116</v>
      </c>
      <c r="AB1449" s="64" t="b">
        <f t="shared" si="160"/>
        <v>0</v>
      </c>
    </row>
    <row r="1450" spans="1:28" ht="15" customHeight="1" x14ac:dyDescent="0.3">
      <c r="A1450" s="57" t="s">
        <v>3017</v>
      </c>
      <c r="B1450" s="82">
        <v>45494</v>
      </c>
      <c r="C1450" s="59">
        <f t="shared" si="154"/>
        <v>2024</v>
      </c>
      <c r="D1450" s="59">
        <f t="shared" si="155"/>
        <v>7</v>
      </c>
      <c r="E1450" s="59">
        <f t="shared" si="156"/>
        <v>30</v>
      </c>
      <c r="F1450" s="57" t="s">
        <v>59</v>
      </c>
      <c r="G1450" s="57" t="s">
        <v>40</v>
      </c>
      <c r="H1450" s="57" t="s">
        <v>3018</v>
      </c>
      <c r="I1450" s="57" t="s">
        <v>67</v>
      </c>
      <c r="J1450" s="57" t="s">
        <v>151</v>
      </c>
      <c r="K1450" s="57" t="s">
        <v>74</v>
      </c>
      <c r="L1450" s="57" t="s">
        <v>135</v>
      </c>
      <c r="M1450" s="60">
        <v>446</v>
      </c>
      <c r="N1450" s="57" t="s">
        <v>140</v>
      </c>
      <c r="O1450" s="61">
        <v>1153.01</v>
      </c>
      <c r="P1450" s="61">
        <v>514242.46</v>
      </c>
      <c r="Q1450" s="61">
        <v>23025.040000000001</v>
      </c>
      <c r="R1450" s="62">
        <f t="shared" si="157"/>
        <v>4.4774676910187459E-2</v>
      </c>
      <c r="S1450" s="60">
        <v>11</v>
      </c>
      <c r="T1450" s="58">
        <v>45505</v>
      </c>
      <c r="U1450" s="58">
        <v>45505</v>
      </c>
      <c r="V1450" s="63">
        <f t="shared" si="158"/>
        <v>0</v>
      </c>
      <c r="W1450" s="57" t="s">
        <v>115</v>
      </c>
      <c r="X1450" s="64" t="b">
        <f t="shared" si="159"/>
        <v>1</v>
      </c>
      <c r="Y1450" s="60">
        <v>123</v>
      </c>
      <c r="Z1450" s="60">
        <v>139</v>
      </c>
      <c r="AA1450" s="57" t="s">
        <v>81</v>
      </c>
      <c r="AB1450" s="64" t="b">
        <f t="shared" si="160"/>
        <v>1</v>
      </c>
    </row>
    <row r="1451" spans="1:28" ht="15" customHeight="1" x14ac:dyDescent="0.3">
      <c r="A1451" s="65" t="s">
        <v>3019</v>
      </c>
      <c r="B1451" s="81">
        <v>45139</v>
      </c>
      <c r="C1451" s="59">
        <f t="shared" si="154"/>
        <v>2023</v>
      </c>
      <c r="D1451" s="59">
        <f t="shared" si="155"/>
        <v>8</v>
      </c>
      <c r="E1451" s="59">
        <f t="shared" si="156"/>
        <v>31</v>
      </c>
      <c r="F1451" s="65" t="s">
        <v>54</v>
      </c>
      <c r="G1451" s="65" t="s">
        <v>46</v>
      </c>
      <c r="H1451" s="65" t="s">
        <v>3020</v>
      </c>
      <c r="I1451" s="65" t="s">
        <v>69</v>
      </c>
      <c r="J1451" s="65" t="s">
        <v>139</v>
      </c>
      <c r="K1451" s="65" t="s">
        <v>73</v>
      </c>
      <c r="L1451" s="65" t="s">
        <v>113</v>
      </c>
      <c r="M1451" s="67">
        <v>120</v>
      </c>
      <c r="N1451" s="65" t="s">
        <v>132</v>
      </c>
      <c r="O1451" s="68">
        <v>76.099999999999994</v>
      </c>
      <c r="P1451" s="68">
        <v>9132</v>
      </c>
      <c r="Q1451" s="68">
        <v>477.14</v>
      </c>
      <c r="R1451" s="62">
        <f t="shared" si="157"/>
        <v>5.2249233464739378E-2</v>
      </c>
      <c r="S1451" s="67">
        <v>23</v>
      </c>
      <c r="T1451" s="66">
        <v>45162</v>
      </c>
      <c r="U1451" s="66">
        <v>45174</v>
      </c>
      <c r="V1451" s="63">
        <f t="shared" si="158"/>
        <v>12</v>
      </c>
      <c r="W1451" s="65" t="s">
        <v>128</v>
      </c>
      <c r="X1451" s="64" t="b">
        <f t="shared" si="159"/>
        <v>0</v>
      </c>
      <c r="Y1451" s="67">
        <v>39</v>
      </c>
      <c r="Z1451" s="67">
        <v>189</v>
      </c>
      <c r="AA1451" s="65" t="s">
        <v>84</v>
      </c>
      <c r="AB1451" s="64" t="b">
        <f t="shared" si="160"/>
        <v>1</v>
      </c>
    </row>
    <row r="1452" spans="1:28" ht="15" customHeight="1" x14ac:dyDescent="0.3">
      <c r="A1452" s="57" t="s">
        <v>3021</v>
      </c>
      <c r="B1452" s="82">
        <v>45527</v>
      </c>
      <c r="C1452" s="59">
        <f t="shared" si="154"/>
        <v>2024</v>
      </c>
      <c r="D1452" s="59">
        <f t="shared" si="155"/>
        <v>8</v>
      </c>
      <c r="E1452" s="59">
        <f t="shared" si="156"/>
        <v>34</v>
      </c>
      <c r="F1452" s="57" t="s">
        <v>55</v>
      </c>
      <c r="G1452" s="57" t="s">
        <v>42</v>
      </c>
      <c r="H1452" s="57" t="s">
        <v>3022</v>
      </c>
      <c r="I1452" s="57" t="s">
        <v>67</v>
      </c>
      <c r="J1452" s="57" t="s">
        <v>143</v>
      </c>
      <c r="K1452" s="57" t="s">
        <v>73</v>
      </c>
      <c r="L1452" s="57" t="s">
        <v>156</v>
      </c>
      <c r="M1452" s="60">
        <v>138</v>
      </c>
      <c r="N1452" s="57" t="s">
        <v>163</v>
      </c>
      <c r="O1452" s="61">
        <v>82.81</v>
      </c>
      <c r="P1452" s="61">
        <v>11427.78</v>
      </c>
      <c r="Q1452" s="61">
        <v>262.36</v>
      </c>
      <c r="R1452" s="62">
        <f t="shared" si="157"/>
        <v>2.2958089847721956E-2</v>
      </c>
      <c r="S1452" s="60">
        <v>1</v>
      </c>
      <c r="T1452" s="58">
        <v>45528</v>
      </c>
      <c r="U1452" s="58">
        <v>45536</v>
      </c>
      <c r="V1452" s="63">
        <f t="shared" si="158"/>
        <v>8</v>
      </c>
      <c r="W1452" s="57" t="s">
        <v>128</v>
      </c>
      <c r="X1452" s="64" t="b">
        <f t="shared" si="159"/>
        <v>0</v>
      </c>
      <c r="Y1452" s="60">
        <v>140</v>
      </c>
      <c r="Z1452" s="60">
        <v>95</v>
      </c>
      <c r="AA1452" s="57" t="s">
        <v>116</v>
      </c>
      <c r="AB1452" s="64" t="b">
        <f t="shared" si="160"/>
        <v>0</v>
      </c>
    </row>
    <row r="1453" spans="1:28" ht="15" customHeight="1" x14ac:dyDescent="0.3">
      <c r="A1453" s="65" t="s">
        <v>3023</v>
      </c>
      <c r="B1453" s="81">
        <v>45148</v>
      </c>
      <c r="C1453" s="59">
        <f t="shared" si="154"/>
        <v>2023</v>
      </c>
      <c r="D1453" s="59">
        <f t="shared" si="155"/>
        <v>8</v>
      </c>
      <c r="E1453" s="59">
        <f t="shared" si="156"/>
        <v>32</v>
      </c>
      <c r="F1453" s="65" t="s">
        <v>56</v>
      </c>
      <c r="G1453" s="65" t="s">
        <v>42</v>
      </c>
      <c r="H1453" s="65" t="s">
        <v>3024</v>
      </c>
      <c r="I1453" s="65" t="s">
        <v>65</v>
      </c>
      <c r="J1453" s="65" t="s">
        <v>131</v>
      </c>
      <c r="K1453" s="65" t="s">
        <v>74</v>
      </c>
      <c r="L1453" s="65" t="s">
        <v>135</v>
      </c>
      <c r="M1453" s="67">
        <v>858</v>
      </c>
      <c r="N1453" s="65" t="s">
        <v>163</v>
      </c>
      <c r="O1453" s="68">
        <v>89.11</v>
      </c>
      <c r="P1453" s="68">
        <v>76456.38</v>
      </c>
      <c r="Q1453" s="68">
        <v>1539.9</v>
      </c>
      <c r="R1453" s="62">
        <f t="shared" si="157"/>
        <v>2.0140896024635223E-2</v>
      </c>
      <c r="S1453" s="67">
        <v>14</v>
      </c>
      <c r="T1453" s="66">
        <v>45162</v>
      </c>
      <c r="U1453" s="66">
        <v>45165</v>
      </c>
      <c r="V1453" s="63">
        <f t="shared" si="158"/>
        <v>3</v>
      </c>
      <c r="W1453" s="65" t="s">
        <v>128</v>
      </c>
      <c r="X1453" s="64" t="b">
        <f t="shared" si="159"/>
        <v>0</v>
      </c>
      <c r="Y1453" s="67">
        <v>25</v>
      </c>
      <c r="Z1453" s="67">
        <v>193</v>
      </c>
      <c r="AA1453" s="65" t="s">
        <v>82</v>
      </c>
      <c r="AB1453" s="64" t="b">
        <f t="shared" si="160"/>
        <v>1</v>
      </c>
    </row>
    <row r="1454" spans="1:28" ht="15" customHeight="1" x14ac:dyDescent="0.3">
      <c r="A1454" s="57" t="s">
        <v>3025</v>
      </c>
      <c r="B1454" s="82">
        <v>45165</v>
      </c>
      <c r="C1454" s="59">
        <f t="shared" si="154"/>
        <v>2023</v>
      </c>
      <c r="D1454" s="59">
        <f t="shared" si="155"/>
        <v>8</v>
      </c>
      <c r="E1454" s="59">
        <f t="shared" si="156"/>
        <v>35</v>
      </c>
      <c r="F1454" s="57" t="s">
        <v>58</v>
      </c>
      <c r="G1454" s="57" t="s">
        <v>40</v>
      </c>
      <c r="H1454" s="57" t="s">
        <v>3026</v>
      </c>
      <c r="I1454" s="57" t="s">
        <v>65</v>
      </c>
      <c r="J1454" s="57" t="s">
        <v>139</v>
      </c>
      <c r="K1454" s="57" t="s">
        <v>73</v>
      </c>
      <c r="L1454" s="57" t="s">
        <v>119</v>
      </c>
      <c r="M1454" s="60">
        <v>715</v>
      </c>
      <c r="N1454" s="57" t="s">
        <v>140</v>
      </c>
      <c r="O1454" s="61">
        <v>613.9</v>
      </c>
      <c r="P1454" s="61">
        <v>438938.5</v>
      </c>
      <c r="Q1454" s="61">
        <v>15225.9</v>
      </c>
      <c r="R1454" s="62">
        <f t="shared" si="157"/>
        <v>3.4688002989029215E-2</v>
      </c>
      <c r="S1454" s="60">
        <v>5</v>
      </c>
      <c r="T1454" s="58">
        <v>45170</v>
      </c>
      <c r="U1454" s="58">
        <v>45172</v>
      </c>
      <c r="V1454" s="63">
        <f t="shared" si="158"/>
        <v>2</v>
      </c>
      <c r="W1454" s="57" t="s">
        <v>128</v>
      </c>
      <c r="X1454" s="64" t="b">
        <f t="shared" si="159"/>
        <v>0</v>
      </c>
      <c r="Y1454" s="60">
        <v>141</v>
      </c>
      <c r="Z1454" s="60">
        <v>469</v>
      </c>
      <c r="AA1454" s="57" t="s">
        <v>81</v>
      </c>
      <c r="AB1454" s="64" t="b">
        <f t="shared" si="160"/>
        <v>1</v>
      </c>
    </row>
    <row r="1455" spans="1:28" ht="15" customHeight="1" x14ac:dyDescent="0.3">
      <c r="A1455" s="65" t="s">
        <v>3027</v>
      </c>
      <c r="B1455" s="81">
        <v>45263</v>
      </c>
      <c r="C1455" s="59">
        <f t="shared" si="154"/>
        <v>2023</v>
      </c>
      <c r="D1455" s="59">
        <f t="shared" si="155"/>
        <v>12</v>
      </c>
      <c r="E1455" s="59">
        <f t="shared" si="156"/>
        <v>49</v>
      </c>
      <c r="F1455" s="65" t="s">
        <v>53</v>
      </c>
      <c r="G1455" s="65" t="s">
        <v>44</v>
      </c>
      <c r="H1455" s="65" t="s">
        <v>3028</v>
      </c>
      <c r="I1455" s="65" t="s">
        <v>65</v>
      </c>
      <c r="J1455" s="65" t="s">
        <v>151</v>
      </c>
      <c r="K1455" s="65" t="s">
        <v>75</v>
      </c>
      <c r="L1455" s="65" t="s">
        <v>124</v>
      </c>
      <c r="M1455" s="67">
        <v>934</v>
      </c>
      <c r="N1455" s="65" t="s">
        <v>132</v>
      </c>
      <c r="O1455" s="68">
        <v>178.52</v>
      </c>
      <c r="P1455" s="68">
        <v>166737.68</v>
      </c>
      <c r="Q1455" s="68">
        <v>10143.48</v>
      </c>
      <c r="R1455" s="62">
        <f t="shared" si="157"/>
        <v>6.0834959440481597E-2</v>
      </c>
      <c r="S1455" s="67">
        <v>21</v>
      </c>
      <c r="T1455" s="66">
        <v>45284</v>
      </c>
      <c r="U1455" s="66">
        <v>45289</v>
      </c>
      <c r="V1455" s="63">
        <f t="shared" si="158"/>
        <v>5</v>
      </c>
      <c r="W1455" s="65" t="s">
        <v>128</v>
      </c>
      <c r="X1455" s="64" t="b">
        <f t="shared" si="159"/>
        <v>0</v>
      </c>
      <c r="Y1455" s="67">
        <v>351</v>
      </c>
      <c r="Z1455" s="67">
        <v>360</v>
      </c>
      <c r="AA1455" s="65" t="s">
        <v>116</v>
      </c>
      <c r="AB1455" s="64" t="b">
        <f t="shared" si="160"/>
        <v>0</v>
      </c>
    </row>
    <row r="1456" spans="1:28" ht="15" customHeight="1" x14ac:dyDescent="0.3">
      <c r="A1456" s="57" t="s">
        <v>3029</v>
      </c>
      <c r="B1456" s="82">
        <v>45078</v>
      </c>
      <c r="C1456" s="59">
        <f t="shared" si="154"/>
        <v>2023</v>
      </c>
      <c r="D1456" s="59">
        <f t="shared" si="155"/>
        <v>6</v>
      </c>
      <c r="E1456" s="59">
        <f t="shared" si="156"/>
        <v>22</v>
      </c>
      <c r="F1456" s="57" t="s">
        <v>55</v>
      </c>
      <c r="G1456" s="57" t="s">
        <v>45</v>
      </c>
      <c r="H1456" s="57" t="s">
        <v>3030</v>
      </c>
      <c r="I1456" s="57" t="s">
        <v>68</v>
      </c>
      <c r="J1456" s="57" t="s">
        <v>151</v>
      </c>
      <c r="K1456" s="57" t="s">
        <v>73</v>
      </c>
      <c r="L1456" s="57" t="s">
        <v>135</v>
      </c>
      <c r="M1456" s="60">
        <v>861</v>
      </c>
      <c r="N1456" s="57" t="s">
        <v>132</v>
      </c>
      <c r="O1456" s="61">
        <v>246.63</v>
      </c>
      <c r="P1456" s="61">
        <v>212348.43</v>
      </c>
      <c r="Q1456" s="61">
        <v>5791.99</v>
      </c>
      <c r="R1456" s="62">
        <f t="shared" si="157"/>
        <v>2.7275878611393547E-2</v>
      </c>
      <c r="S1456" s="60">
        <v>26</v>
      </c>
      <c r="T1456" s="58">
        <v>45104</v>
      </c>
      <c r="U1456" s="58">
        <v>45116</v>
      </c>
      <c r="V1456" s="63">
        <f t="shared" si="158"/>
        <v>12</v>
      </c>
      <c r="W1456" s="57" t="s">
        <v>125</v>
      </c>
      <c r="X1456" s="64" t="b">
        <f t="shared" si="159"/>
        <v>0</v>
      </c>
      <c r="Y1456" s="60">
        <v>394</v>
      </c>
      <c r="Z1456" s="60">
        <v>303</v>
      </c>
      <c r="AA1456" s="57" t="s">
        <v>116</v>
      </c>
      <c r="AB1456" s="64" t="b">
        <f t="shared" si="160"/>
        <v>0</v>
      </c>
    </row>
    <row r="1457" spans="1:28" ht="15" customHeight="1" x14ac:dyDescent="0.3">
      <c r="A1457" s="65" t="s">
        <v>3031</v>
      </c>
      <c r="B1457" s="81">
        <v>45537</v>
      </c>
      <c r="C1457" s="59">
        <f t="shared" si="154"/>
        <v>2024</v>
      </c>
      <c r="D1457" s="59">
        <f t="shared" si="155"/>
        <v>9</v>
      </c>
      <c r="E1457" s="59">
        <f t="shared" si="156"/>
        <v>36</v>
      </c>
      <c r="F1457" s="65" t="s">
        <v>54</v>
      </c>
      <c r="G1457" s="65" t="s">
        <v>43</v>
      </c>
      <c r="H1457" s="65" t="s">
        <v>3032</v>
      </c>
      <c r="I1457" s="65" t="s">
        <v>64</v>
      </c>
      <c r="J1457" s="65" t="s">
        <v>151</v>
      </c>
      <c r="K1457" s="65" t="s">
        <v>75</v>
      </c>
      <c r="L1457" s="65" t="s">
        <v>113</v>
      </c>
      <c r="M1457" s="67">
        <v>335</v>
      </c>
      <c r="N1457" s="65" t="s">
        <v>140</v>
      </c>
      <c r="O1457" s="68">
        <v>185.66</v>
      </c>
      <c r="P1457" s="68">
        <v>62196.1</v>
      </c>
      <c r="Q1457" s="68">
        <v>1668.46</v>
      </c>
      <c r="R1457" s="62">
        <f t="shared" si="157"/>
        <v>2.6825797759023478E-2</v>
      </c>
      <c r="S1457" s="67">
        <v>14</v>
      </c>
      <c r="T1457" s="66">
        <v>45551</v>
      </c>
      <c r="U1457" s="66">
        <v>45556</v>
      </c>
      <c r="V1457" s="63">
        <f t="shared" si="158"/>
        <v>5</v>
      </c>
      <c r="W1457" s="65" t="s">
        <v>125</v>
      </c>
      <c r="X1457" s="64" t="b">
        <f t="shared" si="159"/>
        <v>0</v>
      </c>
      <c r="Y1457" s="67">
        <v>421</v>
      </c>
      <c r="Z1457" s="67">
        <v>295</v>
      </c>
      <c r="AA1457" s="65" t="s">
        <v>83</v>
      </c>
      <c r="AB1457" s="64" t="b">
        <f t="shared" si="160"/>
        <v>1</v>
      </c>
    </row>
    <row r="1458" spans="1:28" ht="15" customHeight="1" x14ac:dyDescent="0.3">
      <c r="A1458" s="57" t="s">
        <v>3033</v>
      </c>
      <c r="B1458" s="82">
        <v>44929</v>
      </c>
      <c r="C1458" s="59">
        <f t="shared" si="154"/>
        <v>2023</v>
      </c>
      <c r="D1458" s="59">
        <f t="shared" si="155"/>
        <v>1</v>
      </c>
      <c r="E1458" s="59">
        <f t="shared" si="156"/>
        <v>1</v>
      </c>
      <c r="F1458" s="57" t="s">
        <v>54</v>
      </c>
      <c r="G1458" s="57" t="s">
        <v>42</v>
      </c>
      <c r="H1458" s="57" t="s">
        <v>3034</v>
      </c>
      <c r="I1458" s="57" t="s">
        <v>69</v>
      </c>
      <c r="J1458" s="57" t="s">
        <v>143</v>
      </c>
      <c r="K1458" s="57" t="s">
        <v>72</v>
      </c>
      <c r="L1458" s="57" t="s">
        <v>135</v>
      </c>
      <c r="M1458" s="60">
        <v>17</v>
      </c>
      <c r="N1458" s="57" t="s">
        <v>136</v>
      </c>
      <c r="O1458" s="61">
        <v>93.49</v>
      </c>
      <c r="P1458" s="61">
        <v>3302.8089</v>
      </c>
      <c r="Q1458" s="61">
        <v>142.36009999999999</v>
      </c>
      <c r="R1458" s="62">
        <f t="shared" si="157"/>
        <v>4.3102735977246516E-2</v>
      </c>
      <c r="S1458" s="60">
        <v>4</v>
      </c>
      <c r="T1458" s="58">
        <v>44933</v>
      </c>
      <c r="U1458" s="58">
        <v>44933</v>
      </c>
      <c r="V1458" s="63">
        <f t="shared" si="158"/>
        <v>0</v>
      </c>
      <c r="W1458" s="57" t="s">
        <v>115</v>
      </c>
      <c r="X1458" s="64" t="b">
        <f t="shared" si="159"/>
        <v>1</v>
      </c>
      <c r="Y1458" s="60">
        <v>335</v>
      </c>
      <c r="Z1458" s="60">
        <v>151</v>
      </c>
      <c r="AA1458" s="57" t="s">
        <v>116</v>
      </c>
      <c r="AB1458" s="64" t="b">
        <f t="shared" si="160"/>
        <v>0</v>
      </c>
    </row>
    <row r="1459" spans="1:28" ht="15" customHeight="1" x14ac:dyDescent="0.3">
      <c r="A1459" s="65" t="s">
        <v>3035</v>
      </c>
      <c r="B1459" s="81">
        <v>45210</v>
      </c>
      <c r="C1459" s="59">
        <f t="shared" si="154"/>
        <v>2023</v>
      </c>
      <c r="D1459" s="59">
        <f t="shared" si="155"/>
        <v>10</v>
      </c>
      <c r="E1459" s="59">
        <f t="shared" si="156"/>
        <v>41</v>
      </c>
      <c r="F1459" s="65" t="s">
        <v>55</v>
      </c>
      <c r="G1459" s="65" t="s">
        <v>41</v>
      </c>
      <c r="H1459" s="65" t="s">
        <v>3036</v>
      </c>
      <c r="I1459" s="65" t="s">
        <v>67</v>
      </c>
      <c r="J1459" s="65" t="s">
        <v>112</v>
      </c>
      <c r="K1459" s="65" t="s">
        <v>73</v>
      </c>
      <c r="L1459" s="65" t="s">
        <v>124</v>
      </c>
      <c r="M1459" s="67">
        <v>38</v>
      </c>
      <c r="N1459" s="65" t="s">
        <v>136</v>
      </c>
      <c r="O1459" s="68">
        <v>393.79</v>
      </c>
      <c r="P1459" s="68">
        <v>14964.02</v>
      </c>
      <c r="Q1459" s="68">
        <v>880.94</v>
      </c>
      <c r="R1459" s="62">
        <f t="shared" si="157"/>
        <v>5.8870544145223011E-2</v>
      </c>
      <c r="S1459" s="67">
        <v>22</v>
      </c>
      <c r="T1459" s="66">
        <v>45232</v>
      </c>
      <c r="U1459" s="66">
        <v>45229</v>
      </c>
      <c r="V1459" s="63">
        <f t="shared" si="158"/>
        <v>-3</v>
      </c>
      <c r="W1459" s="65" t="s">
        <v>115</v>
      </c>
      <c r="X1459" s="64" t="b">
        <f t="shared" si="159"/>
        <v>1</v>
      </c>
      <c r="Y1459" s="67">
        <v>56</v>
      </c>
      <c r="Z1459" s="67">
        <v>433</v>
      </c>
      <c r="AA1459" s="65" t="s">
        <v>82</v>
      </c>
      <c r="AB1459" s="64" t="b">
        <f t="shared" si="160"/>
        <v>1</v>
      </c>
    </row>
    <row r="1460" spans="1:28" ht="15" customHeight="1" x14ac:dyDescent="0.3">
      <c r="A1460" s="57" t="s">
        <v>3037</v>
      </c>
      <c r="B1460" s="82">
        <v>45075</v>
      </c>
      <c r="C1460" s="59">
        <f t="shared" si="154"/>
        <v>2023</v>
      </c>
      <c r="D1460" s="59">
        <f t="shared" si="155"/>
        <v>5</v>
      </c>
      <c r="E1460" s="59">
        <f t="shared" si="156"/>
        <v>22</v>
      </c>
      <c r="F1460" s="57" t="s">
        <v>53</v>
      </c>
      <c r="G1460" s="57" t="s">
        <v>39</v>
      </c>
      <c r="H1460" s="57" t="s">
        <v>3038</v>
      </c>
      <c r="I1460" s="57" t="s">
        <v>65</v>
      </c>
      <c r="J1460" s="57" t="s">
        <v>131</v>
      </c>
      <c r="K1460" s="57" t="s">
        <v>75</v>
      </c>
      <c r="L1460" s="57" t="s">
        <v>119</v>
      </c>
      <c r="M1460" s="60">
        <v>121</v>
      </c>
      <c r="N1460" s="57" t="s">
        <v>132</v>
      </c>
      <c r="O1460" s="61">
        <v>2209</v>
      </c>
      <c r="P1460" s="61">
        <v>267289</v>
      </c>
      <c r="Q1460" s="61">
        <v>16765.52</v>
      </c>
      <c r="R1460" s="62">
        <f t="shared" si="157"/>
        <v>6.2724317124909737E-2</v>
      </c>
      <c r="S1460" s="60">
        <v>23</v>
      </c>
      <c r="T1460" s="58">
        <v>45098</v>
      </c>
      <c r="U1460" s="58">
        <v>45101</v>
      </c>
      <c r="V1460" s="63">
        <f t="shared" si="158"/>
        <v>3</v>
      </c>
      <c r="W1460" s="57" t="s">
        <v>128</v>
      </c>
      <c r="X1460" s="64" t="b">
        <f t="shared" si="159"/>
        <v>0</v>
      </c>
      <c r="Y1460" s="60">
        <v>149</v>
      </c>
      <c r="Z1460" s="60">
        <v>222</v>
      </c>
      <c r="AA1460" s="57" t="s">
        <v>82</v>
      </c>
      <c r="AB1460" s="64" t="b">
        <f t="shared" si="160"/>
        <v>1</v>
      </c>
    </row>
    <row r="1461" spans="1:28" ht="15" customHeight="1" x14ac:dyDescent="0.3">
      <c r="A1461" s="65" t="s">
        <v>3039</v>
      </c>
      <c r="B1461" s="81">
        <v>45060</v>
      </c>
      <c r="C1461" s="59">
        <f t="shared" si="154"/>
        <v>2023</v>
      </c>
      <c r="D1461" s="59">
        <f t="shared" si="155"/>
        <v>5</v>
      </c>
      <c r="E1461" s="59">
        <f t="shared" si="156"/>
        <v>20</v>
      </c>
      <c r="F1461" s="65" t="s">
        <v>56</v>
      </c>
      <c r="G1461" s="65" t="s">
        <v>46</v>
      </c>
      <c r="H1461" s="65" t="s">
        <v>3040</v>
      </c>
      <c r="I1461" s="65" t="s">
        <v>69</v>
      </c>
      <c r="J1461" s="65" t="s">
        <v>139</v>
      </c>
      <c r="K1461" s="65" t="s">
        <v>74</v>
      </c>
      <c r="L1461" s="65" t="s">
        <v>156</v>
      </c>
      <c r="M1461" s="67">
        <v>956</v>
      </c>
      <c r="N1461" s="65" t="s">
        <v>136</v>
      </c>
      <c r="O1461" s="68">
        <v>50.39</v>
      </c>
      <c r="P1461" s="68">
        <v>48172.84</v>
      </c>
      <c r="Q1461" s="68">
        <v>1479.25</v>
      </c>
      <c r="R1461" s="62">
        <f t="shared" si="157"/>
        <v>3.0707137050670047E-2</v>
      </c>
      <c r="S1461" s="67">
        <v>25</v>
      </c>
      <c r="T1461" s="66">
        <v>45085</v>
      </c>
      <c r="U1461" s="66">
        <v>45087</v>
      </c>
      <c r="V1461" s="63">
        <f t="shared" si="158"/>
        <v>2</v>
      </c>
      <c r="W1461" s="65" t="s">
        <v>125</v>
      </c>
      <c r="X1461" s="64" t="b">
        <f t="shared" si="159"/>
        <v>0</v>
      </c>
      <c r="Y1461" s="67">
        <v>366</v>
      </c>
      <c r="Z1461" s="67">
        <v>195</v>
      </c>
      <c r="AA1461" s="65" t="s">
        <v>116</v>
      </c>
      <c r="AB1461" s="64" t="b">
        <f t="shared" si="160"/>
        <v>0</v>
      </c>
    </row>
    <row r="1462" spans="1:28" ht="15" customHeight="1" x14ac:dyDescent="0.3">
      <c r="A1462" s="57" t="s">
        <v>3041</v>
      </c>
      <c r="B1462" s="82">
        <v>45480</v>
      </c>
      <c r="C1462" s="59">
        <f t="shared" si="154"/>
        <v>2024</v>
      </c>
      <c r="D1462" s="59">
        <f t="shared" si="155"/>
        <v>7</v>
      </c>
      <c r="E1462" s="59">
        <f t="shared" si="156"/>
        <v>28</v>
      </c>
      <c r="F1462" s="57" t="s">
        <v>52</v>
      </c>
      <c r="G1462" s="57" t="s">
        <v>44</v>
      </c>
      <c r="H1462" s="57" t="s">
        <v>3042</v>
      </c>
      <c r="I1462" s="57" t="s">
        <v>69</v>
      </c>
      <c r="J1462" s="57" t="s">
        <v>151</v>
      </c>
      <c r="K1462" s="57" t="s">
        <v>72</v>
      </c>
      <c r="L1462" s="57" t="s">
        <v>156</v>
      </c>
      <c r="M1462" s="60">
        <v>682</v>
      </c>
      <c r="N1462" s="57" t="s">
        <v>136</v>
      </c>
      <c r="O1462" s="61">
        <v>146.21</v>
      </c>
      <c r="P1462" s="61">
        <v>99715.22</v>
      </c>
      <c r="Q1462" s="61">
        <v>2470.4699999999998</v>
      </c>
      <c r="R1462" s="62">
        <f t="shared" si="157"/>
        <v>2.4775254971106716E-2</v>
      </c>
      <c r="S1462" s="60">
        <v>1</v>
      </c>
      <c r="T1462" s="58">
        <v>45481</v>
      </c>
      <c r="U1462" s="58">
        <v>45480</v>
      </c>
      <c r="V1462" s="63">
        <f t="shared" si="158"/>
        <v>-1</v>
      </c>
      <c r="W1462" s="57" t="s">
        <v>115</v>
      </c>
      <c r="X1462" s="64" t="b">
        <f t="shared" si="159"/>
        <v>1</v>
      </c>
      <c r="Y1462" s="60">
        <v>399</v>
      </c>
      <c r="Z1462" s="60">
        <v>87</v>
      </c>
      <c r="AA1462" s="57" t="s">
        <v>84</v>
      </c>
      <c r="AB1462" s="64" t="b">
        <f t="shared" si="160"/>
        <v>1</v>
      </c>
    </row>
    <row r="1463" spans="1:28" ht="15" customHeight="1" x14ac:dyDescent="0.3">
      <c r="A1463" s="65" t="s">
        <v>3043</v>
      </c>
      <c r="B1463" s="81">
        <v>45183</v>
      </c>
      <c r="C1463" s="59">
        <f t="shared" si="154"/>
        <v>2023</v>
      </c>
      <c r="D1463" s="59">
        <f t="shared" si="155"/>
        <v>9</v>
      </c>
      <c r="E1463" s="59">
        <f t="shared" si="156"/>
        <v>37</v>
      </c>
      <c r="F1463" s="65" t="s">
        <v>54</v>
      </c>
      <c r="G1463" s="65" t="s">
        <v>45</v>
      </c>
      <c r="H1463" s="65" t="s">
        <v>3044</v>
      </c>
      <c r="I1463" s="65" t="s">
        <v>64</v>
      </c>
      <c r="J1463" s="65" t="s">
        <v>123</v>
      </c>
      <c r="K1463" s="65" t="s">
        <v>73</v>
      </c>
      <c r="L1463" s="65" t="s">
        <v>146</v>
      </c>
      <c r="M1463" s="67">
        <v>140</v>
      </c>
      <c r="N1463" s="65" t="s">
        <v>136</v>
      </c>
      <c r="O1463" s="68">
        <v>179.27</v>
      </c>
      <c r="P1463" s="68">
        <v>25097.8</v>
      </c>
      <c r="Q1463" s="68">
        <v>1918.07</v>
      </c>
      <c r="R1463" s="62">
        <f t="shared" si="157"/>
        <v>7.6423829977129473E-2</v>
      </c>
      <c r="S1463" s="67">
        <v>22</v>
      </c>
      <c r="T1463" s="66">
        <v>45205</v>
      </c>
      <c r="U1463" s="66">
        <v>45207</v>
      </c>
      <c r="V1463" s="63">
        <f t="shared" si="158"/>
        <v>2</v>
      </c>
      <c r="W1463" s="65" t="s">
        <v>128</v>
      </c>
      <c r="X1463" s="64" t="b">
        <f t="shared" si="159"/>
        <v>0</v>
      </c>
      <c r="Y1463" s="67">
        <v>204</v>
      </c>
      <c r="Z1463" s="67">
        <v>298</v>
      </c>
      <c r="AA1463" s="65" t="s">
        <v>116</v>
      </c>
      <c r="AB1463" s="64" t="b">
        <f t="shared" si="160"/>
        <v>0</v>
      </c>
    </row>
    <row r="1464" spans="1:28" ht="15" customHeight="1" x14ac:dyDescent="0.3">
      <c r="A1464" s="57" t="s">
        <v>3045</v>
      </c>
      <c r="B1464" s="82">
        <v>45105</v>
      </c>
      <c r="C1464" s="59">
        <f t="shared" si="154"/>
        <v>2023</v>
      </c>
      <c r="D1464" s="59">
        <f t="shared" si="155"/>
        <v>6</v>
      </c>
      <c r="E1464" s="59">
        <f t="shared" si="156"/>
        <v>26</v>
      </c>
      <c r="F1464" s="57" t="s">
        <v>56</v>
      </c>
      <c r="G1464" s="57" t="s">
        <v>40</v>
      </c>
      <c r="H1464" s="57" t="s">
        <v>3046</v>
      </c>
      <c r="I1464" s="57" t="s">
        <v>68</v>
      </c>
      <c r="J1464" s="57" t="s">
        <v>131</v>
      </c>
      <c r="K1464" s="57" t="s">
        <v>75</v>
      </c>
      <c r="L1464" s="57" t="s">
        <v>119</v>
      </c>
      <c r="M1464" s="60">
        <v>197</v>
      </c>
      <c r="N1464" s="57" t="s">
        <v>132</v>
      </c>
      <c r="O1464" s="61">
        <v>1019.24</v>
      </c>
      <c r="P1464" s="61">
        <v>200790.28</v>
      </c>
      <c r="Q1464" s="61">
        <v>7156.16</v>
      </c>
      <c r="R1464" s="62">
        <f t="shared" si="157"/>
        <v>3.5639972213794412E-2</v>
      </c>
      <c r="S1464" s="60">
        <v>23</v>
      </c>
      <c r="T1464" s="58">
        <v>45128</v>
      </c>
      <c r="U1464" s="58">
        <v>45140</v>
      </c>
      <c r="V1464" s="63">
        <f t="shared" si="158"/>
        <v>12</v>
      </c>
      <c r="W1464" s="57" t="s">
        <v>128</v>
      </c>
      <c r="X1464" s="64" t="b">
        <f t="shared" si="159"/>
        <v>0</v>
      </c>
      <c r="Y1464" s="60">
        <v>75</v>
      </c>
      <c r="Z1464" s="60">
        <v>16</v>
      </c>
      <c r="AA1464" s="57" t="s">
        <v>82</v>
      </c>
      <c r="AB1464" s="64" t="b">
        <f t="shared" si="160"/>
        <v>1</v>
      </c>
    </row>
    <row r="1465" spans="1:28" ht="15" customHeight="1" x14ac:dyDescent="0.3">
      <c r="A1465" s="65" t="s">
        <v>3047</v>
      </c>
      <c r="B1465" s="81">
        <v>45039</v>
      </c>
      <c r="C1465" s="59">
        <f t="shared" si="154"/>
        <v>2023</v>
      </c>
      <c r="D1465" s="59">
        <f t="shared" si="155"/>
        <v>4</v>
      </c>
      <c r="E1465" s="59">
        <f t="shared" si="156"/>
        <v>17</v>
      </c>
      <c r="F1465" s="65" t="s">
        <v>52</v>
      </c>
      <c r="G1465" s="65" t="s">
        <v>39</v>
      </c>
      <c r="H1465" s="65" t="s">
        <v>3048</v>
      </c>
      <c r="I1465" s="65" t="s">
        <v>67</v>
      </c>
      <c r="J1465" s="65" t="s">
        <v>123</v>
      </c>
      <c r="K1465" s="65" t="s">
        <v>73</v>
      </c>
      <c r="L1465" s="65" t="s">
        <v>146</v>
      </c>
      <c r="M1465" s="67">
        <v>684</v>
      </c>
      <c r="N1465" s="65" t="s">
        <v>136</v>
      </c>
      <c r="O1465" s="68">
        <v>1982.19</v>
      </c>
      <c r="P1465" s="68">
        <v>1355817.96</v>
      </c>
      <c r="Q1465" s="68">
        <v>96535.31</v>
      </c>
      <c r="R1465" s="62">
        <f t="shared" si="157"/>
        <v>7.1200790111970488E-2</v>
      </c>
      <c r="S1465" s="67">
        <v>19</v>
      </c>
      <c r="T1465" s="66">
        <v>45058</v>
      </c>
      <c r="U1465" s="66">
        <v>45053</v>
      </c>
      <c r="V1465" s="63">
        <f t="shared" si="158"/>
        <v>-5</v>
      </c>
      <c r="W1465" s="65" t="s">
        <v>115</v>
      </c>
      <c r="X1465" s="64" t="b">
        <f t="shared" si="159"/>
        <v>1</v>
      </c>
      <c r="Y1465" s="67">
        <v>465</v>
      </c>
      <c r="Z1465" s="67">
        <v>487</v>
      </c>
      <c r="AA1465" s="65" t="s">
        <v>116</v>
      </c>
      <c r="AB1465" s="64" t="b">
        <f t="shared" si="160"/>
        <v>0</v>
      </c>
    </row>
    <row r="1466" spans="1:28" ht="15" customHeight="1" x14ac:dyDescent="0.3">
      <c r="A1466" s="57" t="s">
        <v>3049</v>
      </c>
      <c r="B1466" s="82">
        <v>45603</v>
      </c>
      <c r="C1466" s="59">
        <f t="shared" si="154"/>
        <v>2024</v>
      </c>
      <c r="D1466" s="59">
        <f t="shared" si="155"/>
        <v>11</v>
      </c>
      <c r="E1466" s="59">
        <f t="shared" si="156"/>
        <v>45</v>
      </c>
      <c r="F1466" s="57" t="s">
        <v>52</v>
      </c>
      <c r="G1466" s="57" t="s">
        <v>43</v>
      </c>
      <c r="H1466" s="57" t="s">
        <v>3050</v>
      </c>
      <c r="I1466" s="57" t="s">
        <v>68</v>
      </c>
      <c r="J1466" s="57" t="s">
        <v>131</v>
      </c>
      <c r="K1466" s="57" t="s">
        <v>75</v>
      </c>
      <c r="L1466" s="57" t="s">
        <v>146</v>
      </c>
      <c r="M1466" s="60">
        <v>718</v>
      </c>
      <c r="N1466" s="57" t="s">
        <v>163</v>
      </c>
      <c r="O1466" s="61">
        <v>247.75</v>
      </c>
      <c r="P1466" s="61">
        <v>177884.5</v>
      </c>
      <c r="Q1466" s="61">
        <v>12773.79</v>
      </c>
      <c r="R1466" s="62">
        <f t="shared" si="157"/>
        <v>7.1809460633163652E-2</v>
      </c>
      <c r="S1466" s="60">
        <v>8</v>
      </c>
      <c r="T1466" s="58">
        <v>45611</v>
      </c>
      <c r="U1466" s="58">
        <v>45616</v>
      </c>
      <c r="V1466" s="63">
        <f t="shared" si="158"/>
        <v>5</v>
      </c>
      <c r="W1466" s="57" t="s">
        <v>128</v>
      </c>
      <c r="X1466" s="64" t="b">
        <f t="shared" si="159"/>
        <v>0</v>
      </c>
      <c r="Y1466" s="60">
        <v>284</v>
      </c>
      <c r="Z1466" s="60">
        <v>210</v>
      </c>
      <c r="AA1466" s="57" t="s">
        <v>83</v>
      </c>
      <c r="AB1466" s="64" t="b">
        <f t="shared" si="160"/>
        <v>1</v>
      </c>
    </row>
    <row r="1467" spans="1:28" ht="15" customHeight="1" x14ac:dyDescent="0.3">
      <c r="A1467" s="65" t="s">
        <v>3051</v>
      </c>
      <c r="B1467" s="81">
        <v>44953</v>
      </c>
      <c r="C1467" s="59">
        <f t="shared" si="154"/>
        <v>2023</v>
      </c>
      <c r="D1467" s="59">
        <f t="shared" si="155"/>
        <v>1</v>
      </c>
      <c r="E1467" s="59">
        <f t="shared" si="156"/>
        <v>4</v>
      </c>
      <c r="F1467" s="65" t="s">
        <v>54</v>
      </c>
      <c r="G1467" s="65" t="s">
        <v>44</v>
      </c>
      <c r="H1467" s="65" t="s">
        <v>3052</v>
      </c>
      <c r="I1467" s="65" t="s">
        <v>67</v>
      </c>
      <c r="J1467" s="65" t="s">
        <v>151</v>
      </c>
      <c r="K1467" s="65" t="s">
        <v>73</v>
      </c>
      <c r="L1467" s="65" t="s">
        <v>124</v>
      </c>
      <c r="M1467" s="67">
        <v>484</v>
      </c>
      <c r="N1467" s="65" t="s">
        <v>114</v>
      </c>
      <c r="O1467" s="68">
        <v>142.99</v>
      </c>
      <c r="P1467" s="68">
        <v>69207.16</v>
      </c>
      <c r="Q1467" s="68">
        <v>4591.99</v>
      </c>
      <c r="R1467" s="62">
        <f t="shared" si="157"/>
        <v>6.6351371736681569E-2</v>
      </c>
      <c r="S1467" s="67">
        <v>15</v>
      </c>
      <c r="T1467" s="66">
        <v>44968</v>
      </c>
      <c r="U1467" s="66">
        <v>44968</v>
      </c>
      <c r="V1467" s="63">
        <f t="shared" si="158"/>
        <v>0</v>
      </c>
      <c r="W1467" s="65" t="s">
        <v>115</v>
      </c>
      <c r="X1467" s="64" t="b">
        <f t="shared" si="159"/>
        <v>1</v>
      </c>
      <c r="Y1467" s="67">
        <v>209</v>
      </c>
      <c r="Z1467" s="67">
        <v>231</v>
      </c>
      <c r="AA1467" s="65" t="s">
        <v>116</v>
      </c>
      <c r="AB1467" s="64" t="b">
        <f t="shared" si="160"/>
        <v>0</v>
      </c>
    </row>
    <row r="1468" spans="1:28" ht="15" customHeight="1" x14ac:dyDescent="0.3">
      <c r="A1468" s="57" t="s">
        <v>3053</v>
      </c>
      <c r="B1468" s="82">
        <v>45061</v>
      </c>
      <c r="C1468" s="59">
        <f t="shared" si="154"/>
        <v>2023</v>
      </c>
      <c r="D1468" s="59">
        <f t="shared" si="155"/>
        <v>5</v>
      </c>
      <c r="E1468" s="59">
        <f t="shared" si="156"/>
        <v>20</v>
      </c>
      <c r="F1468" s="57" t="s">
        <v>55</v>
      </c>
      <c r="G1468" s="57" t="s">
        <v>45</v>
      </c>
      <c r="H1468" s="57" t="s">
        <v>3054</v>
      </c>
      <c r="I1468" s="57" t="s">
        <v>65</v>
      </c>
      <c r="J1468" s="57" t="s">
        <v>131</v>
      </c>
      <c r="K1468" s="57" t="s">
        <v>72</v>
      </c>
      <c r="L1468" s="57" t="s">
        <v>124</v>
      </c>
      <c r="M1468" s="60">
        <v>373</v>
      </c>
      <c r="N1468" s="57" t="s">
        <v>132</v>
      </c>
      <c r="O1468" s="61">
        <v>282.8</v>
      </c>
      <c r="P1468" s="61">
        <v>105484.4</v>
      </c>
      <c r="Q1468" s="61">
        <v>3178.25</v>
      </c>
      <c r="R1468" s="62">
        <f t="shared" si="157"/>
        <v>3.0130047665815989E-2</v>
      </c>
      <c r="S1468" s="60">
        <v>21</v>
      </c>
      <c r="T1468" s="58">
        <v>45082</v>
      </c>
      <c r="U1468" s="58">
        <v>45081</v>
      </c>
      <c r="V1468" s="63">
        <f t="shared" si="158"/>
        <v>-1</v>
      </c>
      <c r="W1468" s="57" t="s">
        <v>115</v>
      </c>
      <c r="X1468" s="64" t="b">
        <f t="shared" si="159"/>
        <v>1</v>
      </c>
      <c r="Y1468" s="60">
        <v>493</v>
      </c>
      <c r="Z1468" s="60">
        <v>357</v>
      </c>
      <c r="AA1468" s="57" t="s">
        <v>116</v>
      </c>
      <c r="AB1468" s="64" t="b">
        <f t="shared" si="160"/>
        <v>0</v>
      </c>
    </row>
    <row r="1469" spans="1:28" ht="15" customHeight="1" x14ac:dyDescent="0.3">
      <c r="A1469" s="65" t="s">
        <v>3055</v>
      </c>
      <c r="B1469" s="81">
        <v>44942</v>
      </c>
      <c r="C1469" s="59">
        <f t="shared" si="154"/>
        <v>2023</v>
      </c>
      <c r="D1469" s="59">
        <f t="shared" si="155"/>
        <v>1</v>
      </c>
      <c r="E1469" s="59">
        <f t="shared" si="156"/>
        <v>3</v>
      </c>
      <c r="F1469" s="65" t="s">
        <v>52</v>
      </c>
      <c r="G1469" s="65" t="s">
        <v>46</v>
      </c>
      <c r="H1469" s="65" t="s">
        <v>3056</v>
      </c>
      <c r="I1469" s="65" t="s">
        <v>65</v>
      </c>
      <c r="J1469" s="65" t="s">
        <v>131</v>
      </c>
      <c r="K1469" s="65" t="s">
        <v>72</v>
      </c>
      <c r="L1469" s="65" t="s">
        <v>124</v>
      </c>
      <c r="M1469" s="67">
        <v>213</v>
      </c>
      <c r="N1469" s="65" t="s">
        <v>140</v>
      </c>
      <c r="O1469" s="68">
        <v>45.77</v>
      </c>
      <c r="P1469" s="68">
        <v>9749.01</v>
      </c>
      <c r="Q1469" s="68">
        <v>675.69</v>
      </c>
      <c r="R1469" s="62">
        <f t="shared" si="157"/>
        <v>6.9308575947711615E-2</v>
      </c>
      <c r="S1469" s="67">
        <v>15</v>
      </c>
      <c r="T1469" s="66">
        <v>44957</v>
      </c>
      <c r="U1469" s="66">
        <v>44957</v>
      </c>
      <c r="V1469" s="63">
        <f t="shared" si="158"/>
        <v>0</v>
      </c>
      <c r="W1469" s="65" t="s">
        <v>115</v>
      </c>
      <c r="X1469" s="64" t="b">
        <f t="shared" si="159"/>
        <v>1</v>
      </c>
      <c r="Y1469" s="67">
        <v>385</v>
      </c>
      <c r="Z1469" s="67">
        <v>182</v>
      </c>
      <c r="AA1469" s="65" t="s">
        <v>82</v>
      </c>
      <c r="AB1469" s="64" t="b">
        <f t="shared" si="160"/>
        <v>1</v>
      </c>
    </row>
    <row r="1470" spans="1:28" ht="15" customHeight="1" x14ac:dyDescent="0.3">
      <c r="A1470" s="57" t="s">
        <v>3057</v>
      </c>
      <c r="B1470" s="82">
        <v>45293</v>
      </c>
      <c r="C1470" s="59">
        <f t="shared" si="154"/>
        <v>2024</v>
      </c>
      <c r="D1470" s="59">
        <f t="shared" si="155"/>
        <v>1</v>
      </c>
      <c r="E1470" s="59">
        <f t="shared" si="156"/>
        <v>1</v>
      </c>
      <c r="F1470" s="57" t="s">
        <v>58</v>
      </c>
      <c r="G1470" s="57" t="s">
        <v>46</v>
      </c>
      <c r="H1470" s="57" t="s">
        <v>3058</v>
      </c>
      <c r="I1470" s="57" t="s">
        <v>69</v>
      </c>
      <c r="J1470" s="57" t="s">
        <v>151</v>
      </c>
      <c r="K1470" s="57" t="s">
        <v>73</v>
      </c>
      <c r="L1470" s="57" t="s">
        <v>113</v>
      </c>
      <c r="M1470" s="60">
        <v>221</v>
      </c>
      <c r="N1470" s="57" t="s">
        <v>136</v>
      </c>
      <c r="O1470" s="61">
        <v>57.88</v>
      </c>
      <c r="P1470" s="61">
        <v>12791.48</v>
      </c>
      <c r="Q1470" s="61">
        <v>846.22</v>
      </c>
      <c r="R1470" s="62">
        <f t="shared" si="157"/>
        <v>6.6154971903173057E-2</v>
      </c>
      <c r="S1470" s="60">
        <v>9</v>
      </c>
      <c r="T1470" s="58">
        <v>45302</v>
      </c>
      <c r="U1470" s="58">
        <v>45303</v>
      </c>
      <c r="V1470" s="63">
        <f t="shared" si="158"/>
        <v>1</v>
      </c>
      <c r="W1470" s="57" t="s">
        <v>125</v>
      </c>
      <c r="X1470" s="64" t="b">
        <f t="shared" si="159"/>
        <v>0</v>
      </c>
      <c r="Y1470" s="60">
        <v>437</v>
      </c>
      <c r="Z1470" s="60">
        <v>161</v>
      </c>
      <c r="AA1470" s="57" t="s">
        <v>116</v>
      </c>
      <c r="AB1470" s="64" t="b">
        <f t="shared" si="160"/>
        <v>0</v>
      </c>
    </row>
    <row r="1471" spans="1:28" ht="15" customHeight="1" x14ac:dyDescent="0.3">
      <c r="A1471" s="65" t="s">
        <v>3059</v>
      </c>
      <c r="B1471" s="81">
        <v>45170</v>
      </c>
      <c r="C1471" s="59">
        <f t="shared" si="154"/>
        <v>2023</v>
      </c>
      <c r="D1471" s="59">
        <f t="shared" si="155"/>
        <v>9</v>
      </c>
      <c r="E1471" s="59">
        <f t="shared" si="156"/>
        <v>35</v>
      </c>
      <c r="F1471" s="65" t="s">
        <v>59</v>
      </c>
      <c r="G1471" s="65" t="s">
        <v>40</v>
      </c>
      <c r="H1471" s="65" t="s">
        <v>3060</v>
      </c>
      <c r="I1471" s="65" t="s">
        <v>67</v>
      </c>
      <c r="J1471" s="65" t="s">
        <v>143</v>
      </c>
      <c r="K1471" s="65" t="s">
        <v>73</v>
      </c>
      <c r="L1471" s="65" t="s">
        <v>119</v>
      </c>
      <c r="M1471" s="67">
        <v>630</v>
      </c>
      <c r="N1471" s="65" t="s">
        <v>120</v>
      </c>
      <c r="O1471" s="68">
        <v>718.9</v>
      </c>
      <c r="P1471" s="68">
        <v>452907</v>
      </c>
      <c r="Q1471" s="68">
        <v>25273.74</v>
      </c>
      <c r="R1471" s="62">
        <f t="shared" si="157"/>
        <v>5.580337685220145E-2</v>
      </c>
      <c r="S1471" s="67">
        <v>21</v>
      </c>
      <c r="T1471" s="66">
        <v>45191</v>
      </c>
      <c r="U1471" s="66">
        <v>45191</v>
      </c>
      <c r="V1471" s="63">
        <f t="shared" si="158"/>
        <v>0</v>
      </c>
      <c r="W1471" s="65" t="s">
        <v>115</v>
      </c>
      <c r="X1471" s="64" t="b">
        <f t="shared" si="159"/>
        <v>1</v>
      </c>
      <c r="Y1471" s="67">
        <v>257</v>
      </c>
      <c r="Z1471" s="67">
        <v>366</v>
      </c>
      <c r="AA1471" s="65" t="s">
        <v>84</v>
      </c>
      <c r="AB1471" s="64" t="b">
        <f t="shared" si="160"/>
        <v>1</v>
      </c>
    </row>
    <row r="1472" spans="1:28" ht="15" customHeight="1" x14ac:dyDescent="0.3">
      <c r="A1472" s="57" t="s">
        <v>3061</v>
      </c>
      <c r="B1472" s="82">
        <v>45529</v>
      </c>
      <c r="C1472" s="59">
        <f t="shared" si="154"/>
        <v>2024</v>
      </c>
      <c r="D1472" s="59">
        <f t="shared" si="155"/>
        <v>8</v>
      </c>
      <c r="E1472" s="59">
        <f t="shared" si="156"/>
        <v>35</v>
      </c>
      <c r="F1472" s="57" t="s">
        <v>60</v>
      </c>
      <c r="G1472" s="57" t="s">
        <v>41</v>
      </c>
      <c r="H1472" s="57" t="s">
        <v>3062</v>
      </c>
      <c r="I1472" s="57" t="s">
        <v>67</v>
      </c>
      <c r="J1472" s="57" t="s">
        <v>123</v>
      </c>
      <c r="K1472" s="57" t="s">
        <v>71</v>
      </c>
      <c r="L1472" s="57" t="s">
        <v>156</v>
      </c>
      <c r="M1472" s="60">
        <v>285</v>
      </c>
      <c r="N1472" s="57" t="s">
        <v>132</v>
      </c>
      <c r="O1472" s="61">
        <v>745.21</v>
      </c>
      <c r="P1472" s="61">
        <v>212384.85</v>
      </c>
      <c r="Q1472" s="61">
        <v>8544.69</v>
      </c>
      <c r="R1472" s="62">
        <f t="shared" si="157"/>
        <v>4.0232106951131399E-2</v>
      </c>
      <c r="S1472" s="60">
        <v>9</v>
      </c>
      <c r="T1472" s="58">
        <v>45538</v>
      </c>
      <c r="U1472" s="58">
        <v>45539</v>
      </c>
      <c r="V1472" s="63">
        <f t="shared" si="158"/>
        <v>1</v>
      </c>
      <c r="W1472" s="57" t="s">
        <v>125</v>
      </c>
      <c r="X1472" s="64" t="b">
        <f t="shared" si="159"/>
        <v>0</v>
      </c>
      <c r="Y1472" s="60">
        <v>258</v>
      </c>
      <c r="Z1472" s="60">
        <v>480</v>
      </c>
      <c r="AA1472" s="57" t="s">
        <v>116</v>
      </c>
      <c r="AB1472" s="64" t="b">
        <f t="shared" si="160"/>
        <v>0</v>
      </c>
    </row>
    <row r="1473" spans="1:28" ht="15" customHeight="1" x14ac:dyDescent="0.3">
      <c r="A1473" s="65" t="s">
        <v>3063</v>
      </c>
      <c r="B1473" s="81">
        <v>45258</v>
      </c>
      <c r="C1473" s="59">
        <f t="shared" si="154"/>
        <v>2023</v>
      </c>
      <c r="D1473" s="59">
        <f t="shared" si="155"/>
        <v>11</v>
      </c>
      <c r="E1473" s="59">
        <f t="shared" si="156"/>
        <v>48</v>
      </c>
      <c r="F1473" s="65" t="s">
        <v>54</v>
      </c>
      <c r="G1473" s="65" t="s">
        <v>40</v>
      </c>
      <c r="H1473" s="65" t="s">
        <v>3064</v>
      </c>
      <c r="I1473" s="65" t="s">
        <v>68</v>
      </c>
      <c r="J1473" s="65" t="s">
        <v>143</v>
      </c>
      <c r="K1473" s="65" t="s">
        <v>73</v>
      </c>
      <c r="L1473" s="65" t="s">
        <v>119</v>
      </c>
      <c r="M1473" s="67">
        <v>82</v>
      </c>
      <c r="N1473" s="65" t="s">
        <v>140</v>
      </c>
      <c r="O1473" s="68">
        <v>809.21</v>
      </c>
      <c r="P1473" s="68">
        <v>66355.22</v>
      </c>
      <c r="Q1473" s="68">
        <v>2372.23</v>
      </c>
      <c r="R1473" s="62">
        <f t="shared" si="157"/>
        <v>3.5750465449440147E-2</v>
      </c>
      <c r="S1473" s="67">
        <v>10</v>
      </c>
      <c r="T1473" s="66">
        <v>45268</v>
      </c>
      <c r="U1473" s="66">
        <v>45271</v>
      </c>
      <c r="V1473" s="63">
        <f t="shared" si="158"/>
        <v>3</v>
      </c>
      <c r="W1473" s="65" t="s">
        <v>125</v>
      </c>
      <c r="X1473" s="64" t="b">
        <f t="shared" si="159"/>
        <v>0</v>
      </c>
      <c r="Y1473" s="67">
        <v>476</v>
      </c>
      <c r="Z1473" s="67">
        <v>69</v>
      </c>
      <c r="AA1473" s="65" t="s">
        <v>82</v>
      </c>
      <c r="AB1473" s="64" t="b">
        <f t="shared" si="160"/>
        <v>1</v>
      </c>
    </row>
    <row r="1474" spans="1:28" ht="15" customHeight="1" x14ac:dyDescent="0.3">
      <c r="A1474" s="57" t="s">
        <v>3065</v>
      </c>
      <c r="B1474" s="82">
        <v>44943</v>
      </c>
      <c r="C1474" s="59">
        <f t="shared" ref="C1474:C1537" si="161">YEAR(B1474)</f>
        <v>2023</v>
      </c>
      <c r="D1474" s="59">
        <f t="shared" ref="D1474:D1537" si="162">MONTH(B1474)</f>
        <v>1</v>
      </c>
      <c r="E1474" s="59">
        <f t="shared" ref="E1474:E1537" si="163">WEEKNUM(B1474,1)</f>
        <v>3</v>
      </c>
      <c r="F1474" s="57" t="s">
        <v>61</v>
      </c>
      <c r="G1474" s="57" t="s">
        <v>43</v>
      </c>
      <c r="H1474" s="57" t="s">
        <v>3066</v>
      </c>
      <c r="I1474" s="57" t="s">
        <v>65</v>
      </c>
      <c r="J1474" s="57" t="s">
        <v>123</v>
      </c>
      <c r="K1474" s="57" t="s">
        <v>73</v>
      </c>
      <c r="L1474" s="57" t="s">
        <v>124</v>
      </c>
      <c r="M1474" s="60">
        <v>688</v>
      </c>
      <c r="N1474" s="57" t="s">
        <v>114</v>
      </c>
      <c r="O1474" s="61">
        <v>257.22000000000003</v>
      </c>
      <c r="P1474" s="61">
        <v>176967.36</v>
      </c>
      <c r="Q1474" s="61">
        <v>4833.57</v>
      </c>
      <c r="R1474" s="62">
        <f t="shared" ref="R1474:R1537" si="164">Q1474/P1474</f>
        <v>2.7313341850158133E-2</v>
      </c>
      <c r="S1474" s="60">
        <v>20</v>
      </c>
      <c r="T1474" s="58">
        <v>44963</v>
      </c>
      <c r="U1474" s="58">
        <v>44971</v>
      </c>
      <c r="V1474" s="63">
        <f t="shared" ref="V1474:V1537" si="165">U1474-T1474</f>
        <v>8</v>
      </c>
      <c r="W1474" s="57" t="s">
        <v>128</v>
      </c>
      <c r="X1474" s="64" t="b">
        <f t="shared" ref="X1474:X1537" si="166">IF(W1474="Entregado", TRUE(), FALSE())</f>
        <v>0</v>
      </c>
      <c r="Y1474" s="60">
        <v>183</v>
      </c>
      <c r="Z1474" s="60">
        <v>59</v>
      </c>
      <c r="AA1474" s="57" t="s">
        <v>83</v>
      </c>
      <c r="AB1474" s="64" t="b">
        <f t="shared" ref="AB1474:AB1537" si="167">IF(AA1474="Ninguna",FALSE(),TRUE())</f>
        <v>1</v>
      </c>
    </row>
    <row r="1475" spans="1:28" ht="15" customHeight="1" x14ac:dyDescent="0.3">
      <c r="A1475" s="65" t="s">
        <v>3067</v>
      </c>
      <c r="B1475" s="81">
        <v>45105</v>
      </c>
      <c r="C1475" s="59">
        <f t="shared" si="161"/>
        <v>2023</v>
      </c>
      <c r="D1475" s="59">
        <f t="shared" si="162"/>
        <v>6</v>
      </c>
      <c r="E1475" s="59">
        <f t="shared" si="163"/>
        <v>26</v>
      </c>
      <c r="F1475" s="65" t="s">
        <v>52</v>
      </c>
      <c r="G1475" s="65" t="s">
        <v>44</v>
      </c>
      <c r="H1475" s="65" t="s">
        <v>3068</v>
      </c>
      <c r="I1475" s="65" t="s">
        <v>66</v>
      </c>
      <c r="J1475" s="65" t="s">
        <v>112</v>
      </c>
      <c r="K1475" s="65" t="s">
        <v>72</v>
      </c>
      <c r="L1475" s="65" t="s">
        <v>113</v>
      </c>
      <c r="M1475" s="67">
        <v>781</v>
      </c>
      <c r="N1475" s="65" t="s">
        <v>163</v>
      </c>
      <c r="O1475" s="68">
        <v>149.72999999999999</v>
      </c>
      <c r="P1475" s="68">
        <v>116939.13</v>
      </c>
      <c r="Q1475" s="68">
        <v>5915.42</v>
      </c>
      <c r="R1475" s="62">
        <f t="shared" si="164"/>
        <v>5.0585462710386164E-2</v>
      </c>
      <c r="S1475" s="67">
        <v>25</v>
      </c>
      <c r="T1475" s="66">
        <v>45130</v>
      </c>
      <c r="U1475" s="66">
        <v>45127</v>
      </c>
      <c r="V1475" s="63">
        <f t="shared" si="165"/>
        <v>-3</v>
      </c>
      <c r="W1475" s="65" t="s">
        <v>128</v>
      </c>
      <c r="X1475" s="64" t="b">
        <f t="shared" si="166"/>
        <v>0</v>
      </c>
      <c r="Y1475" s="67">
        <v>327</v>
      </c>
      <c r="Z1475" s="67">
        <v>178</v>
      </c>
      <c r="AA1475" s="65" t="s">
        <v>116</v>
      </c>
      <c r="AB1475" s="64" t="b">
        <f t="shared" si="167"/>
        <v>0</v>
      </c>
    </row>
    <row r="1476" spans="1:28" ht="15" customHeight="1" x14ac:dyDescent="0.3">
      <c r="A1476" s="57" t="s">
        <v>3069</v>
      </c>
      <c r="B1476" s="82">
        <v>45198</v>
      </c>
      <c r="C1476" s="59">
        <f t="shared" si="161"/>
        <v>2023</v>
      </c>
      <c r="D1476" s="59">
        <f t="shared" si="162"/>
        <v>9</v>
      </c>
      <c r="E1476" s="59">
        <f t="shared" si="163"/>
        <v>39</v>
      </c>
      <c r="F1476" s="57" t="s">
        <v>57</v>
      </c>
      <c r="G1476" s="57" t="s">
        <v>44</v>
      </c>
      <c r="H1476" s="57" t="s">
        <v>3070</v>
      </c>
      <c r="I1476" s="57" t="s">
        <v>69</v>
      </c>
      <c r="J1476" s="57" t="s">
        <v>123</v>
      </c>
      <c r="K1476" s="57" t="s">
        <v>73</v>
      </c>
      <c r="L1476" s="57" t="s">
        <v>119</v>
      </c>
      <c r="M1476" s="60">
        <v>252</v>
      </c>
      <c r="N1476" s="57" t="s">
        <v>140</v>
      </c>
      <c r="O1476" s="61">
        <v>104.36</v>
      </c>
      <c r="P1476" s="61">
        <v>26298.720000000001</v>
      </c>
      <c r="Q1476" s="61">
        <v>1449.47</v>
      </c>
      <c r="R1476" s="62">
        <f t="shared" si="164"/>
        <v>5.5115610189393247E-2</v>
      </c>
      <c r="S1476" s="60">
        <v>21</v>
      </c>
      <c r="T1476" s="58">
        <v>45219</v>
      </c>
      <c r="U1476" s="58">
        <v>45227</v>
      </c>
      <c r="V1476" s="63">
        <f t="shared" si="165"/>
        <v>8</v>
      </c>
      <c r="W1476" s="57" t="s">
        <v>125</v>
      </c>
      <c r="X1476" s="64" t="b">
        <f t="shared" si="166"/>
        <v>0</v>
      </c>
      <c r="Y1476" s="60">
        <v>10</v>
      </c>
      <c r="Z1476" s="60">
        <v>483</v>
      </c>
      <c r="AA1476" s="57" t="s">
        <v>81</v>
      </c>
      <c r="AB1476" s="64" t="b">
        <f t="shared" si="167"/>
        <v>1</v>
      </c>
    </row>
    <row r="1477" spans="1:28" ht="15" customHeight="1" x14ac:dyDescent="0.3">
      <c r="A1477" s="65" t="s">
        <v>3071</v>
      </c>
      <c r="B1477" s="81">
        <v>44980</v>
      </c>
      <c r="C1477" s="59">
        <f t="shared" si="161"/>
        <v>2023</v>
      </c>
      <c r="D1477" s="59">
        <f t="shared" si="162"/>
        <v>2</v>
      </c>
      <c r="E1477" s="59">
        <f t="shared" si="163"/>
        <v>8</v>
      </c>
      <c r="F1477" s="65" t="s">
        <v>58</v>
      </c>
      <c r="G1477" s="65" t="s">
        <v>42</v>
      </c>
      <c r="H1477" s="65" t="s">
        <v>3072</v>
      </c>
      <c r="I1477" s="65" t="s">
        <v>67</v>
      </c>
      <c r="J1477" s="65" t="s">
        <v>123</v>
      </c>
      <c r="K1477" s="65" t="s">
        <v>74</v>
      </c>
      <c r="L1477" s="65" t="s">
        <v>119</v>
      </c>
      <c r="M1477" s="67">
        <v>796</v>
      </c>
      <c r="N1477" s="65" t="s">
        <v>136</v>
      </c>
      <c r="O1477" s="68">
        <v>71.3</v>
      </c>
      <c r="P1477" s="68">
        <v>56754.8</v>
      </c>
      <c r="Q1477" s="68">
        <v>2358.75</v>
      </c>
      <c r="R1477" s="62">
        <f t="shared" si="164"/>
        <v>4.1560361414364949E-2</v>
      </c>
      <c r="S1477" s="67">
        <v>26</v>
      </c>
      <c r="T1477" s="66">
        <v>45006</v>
      </c>
      <c r="U1477" s="66">
        <v>45005</v>
      </c>
      <c r="V1477" s="63">
        <f t="shared" si="165"/>
        <v>-1</v>
      </c>
      <c r="W1477" s="65" t="s">
        <v>115</v>
      </c>
      <c r="X1477" s="64" t="b">
        <f t="shared" si="166"/>
        <v>1</v>
      </c>
      <c r="Y1477" s="67">
        <v>459</v>
      </c>
      <c r="Z1477" s="67">
        <v>76</v>
      </c>
      <c r="AA1477" s="65" t="s">
        <v>116</v>
      </c>
      <c r="AB1477" s="64" t="b">
        <f t="shared" si="167"/>
        <v>0</v>
      </c>
    </row>
    <row r="1478" spans="1:28" ht="15" customHeight="1" x14ac:dyDescent="0.3">
      <c r="A1478" s="57" t="s">
        <v>3073</v>
      </c>
      <c r="B1478" s="82">
        <v>45056</v>
      </c>
      <c r="C1478" s="59">
        <f t="shared" si="161"/>
        <v>2023</v>
      </c>
      <c r="D1478" s="59">
        <f t="shared" si="162"/>
        <v>5</v>
      </c>
      <c r="E1478" s="59">
        <f t="shared" si="163"/>
        <v>19</v>
      </c>
      <c r="F1478" s="57" t="s">
        <v>61</v>
      </c>
      <c r="G1478" s="57" t="s">
        <v>41</v>
      </c>
      <c r="H1478" s="57" t="s">
        <v>3074</v>
      </c>
      <c r="I1478" s="57" t="s">
        <v>64</v>
      </c>
      <c r="J1478" s="57" t="s">
        <v>131</v>
      </c>
      <c r="K1478" s="57" t="s">
        <v>73</v>
      </c>
      <c r="L1478" s="57" t="s">
        <v>146</v>
      </c>
      <c r="M1478" s="60">
        <v>111</v>
      </c>
      <c r="N1478" s="57" t="s">
        <v>120</v>
      </c>
      <c r="O1478" s="61">
        <v>462.51</v>
      </c>
      <c r="P1478" s="61">
        <v>51338.61</v>
      </c>
      <c r="Q1478" s="61">
        <v>2491.0300000000002</v>
      </c>
      <c r="R1478" s="62">
        <f t="shared" si="164"/>
        <v>4.8521570802170143E-2</v>
      </c>
      <c r="S1478" s="60">
        <v>9</v>
      </c>
      <c r="T1478" s="58">
        <v>45065</v>
      </c>
      <c r="U1478" s="58">
        <v>45065</v>
      </c>
      <c r="V1478" s="63">
        <f t="shared" si="165"/>
        <v>0</v>
      </c>
      <c r="W1478" s="57" t="s">
        <v>115</v>
      </c>
      <c r="X1478" s="64" t="b">
        <f t="shared" si="166"/>
        <v>1</v>
      </c>
      <c r="Y1478" s="60">
        <v>159</v>
      </c>
      <c r="Z1478" s="60">
        <v>494</v>
      </c>
      <c r="AA1478" s="57" t="s">
        <v>84</v>
      </c>
      <c r="AB1478" s="64" t="b">
        <f t="shared" si="167"/>
        <v>1</v>
      </c>
    </row>
    <row r="1479" spans="1:28" ht="15" customHeight="1" x14ac:dyDescent="0.3">
      <c r="A1479" s="65" t="s">
        <v>3075</v>
      </c>
      <c r="B1479" s="81">
        <v>45358</v>
      </c>
      <c r="C1479" s="59">
        <f t="shared" si="161"/>
        <v>2024</v>
      </c>
      <c r="D1479" s="59">
        <f t="shared" si="162"/>
        <v>3</v>
      </c>
      <c r="E1479" s="59">
        <f t="shared" si="163"/>
        <v>10</v>
      </c>
      <c r="F1479" s="65" t="s">
        <v>56</v>
      </c>
      <c r="G1479" s="65" t="s">
        <v>41</v>
      </c>
      <c r="H1479" s="65" t="s">
        <v>3076</v>
      </c>
      <c r="I1479" s="65" t="s">
        <v>64</v>
      </c>
      <c r="J1479" s="65" t="s">
        <v>112</v>
      </c>
      <c r="K1479" s="65" t="s">
        <v>71</v>
      </c>
      <c r="L1479" s="65" t="s">
        <v>119</v>
      </c>
      <c r="M1479" s="67">
        <v>996</v>
      </c>
      <c r="N1479" s="65" t="s">
        <v>136</v>
      </c>
      <c r="O1479" s="68">
        <v>514.45000000000005</v>
      </c>
      <c r="P1479" s="68">
        <v>512392.2</v>
      </c>
      <c r="Q1479" s="68">
        <v>21423.56</v>
      </c>
      <c r="R1479" s="62">
        <f t="shared" si="164"/>
        <v>4.1810862850761583E-2</v>
      </c>
      <c r="S1479" s="67">
        <v>3</v>
      </c>
      <c r="T1479" s="66">
        <v>45361</v>
      </c>
      <c r="U1479" s="66">
        <v>45360</v>
      </c>
      <c r="V1479" s="63">
        <f t="shared" si="165"/>
        <v>-1</v>
      </c>
      <c r="W1479" s="65" t="s">
        <v>115</v>
      </c>
      <c r="X1479" s="64" t="b">
        <f t="shared" si="166"/>
        <v>1</v>
      </c>
      <c r="Y1479" s="67">
        <v>259</v>
      </c>
      <c r="Z1479" s="67">
        <v>456</v>
      </c>
      <c r="AA1479" s="65" t="s">
        <v>81</v>
      </c>
      <c r="AB1479" s="64" t="b">
        <f t="shared" si="167"/>
        <v>1</v>
      </c>
    </row>
    <row r="1480" spans="1:28" ht="15" customHeight="1" x14ac:dyDescent="0.3">
      <c r="A1480" s="57" t="s">
        <v>3077</v>
      </c>
      <c r="B1480" s="82">
        <v>45465</v>
      </c>
      <c r="C1480" s="59">
        <f t="shared" si="161"/>
        <v>2024</v>
      </c>
      <c r="D1480" s="59">
        <f t="shared" si="162"/>
        <v>6</v>
      </c>
      <c r="E1480" s="59">
        <f t="shared" si="163"/>
        <v>25</v>
      </c>
      <c r="F1480" s="57" t="s">
        <v>60</v>
      </c>
      <c r="G1480" s="57" t="s">
        <v>44</v>
      </c>
      <c r="H1480" s="57" t="s">
        <v>3078</v>
      </c>
      <c r="I1480" s="57" t="s">
        <v>66</v>
      </c>
      <c r="J1480" s="57" t="s">
        <v>151</v>
      </c>
      <c r="K1480" s="57" t="s">
        <v>75</v>
      </c>
      <c r="L1480" s="57" t="s">
        <v>146</v>
      </c>
      <c r="M1480" s="60">
        <v>694</v>
      </c>
      <c r="N1480" s="57" t="s">
        <v>140</v>
      </c>
      <c r="O1480" s="61">
        <v>106.5</v>
      </c>
      <c r="P1480" s="61">
        <v>73911</v>
      </c>
      <c r="Q1480" s="61">
        <v>4320.8599999999997</v>
      </c>
      <c r="R1480" s="62">
        <f t="shared" si="164"/>
        <v>5.8460310373286785E-2</v>
      </c>
      <c r="S1480" s="60">
        <v>20</v>
      </c>
      <c r="T1480" s="58">
        <v>45485</v>
      </c>
      <c r="U1480" s="58">
        <v>45493</v>
      </c>
      <c r="V1480" s="63">
        <f t="shared" si="165"/>
        <v>8</v>
      </c>
      <c r="W1480" s="57" t="s">
        <v>125</v>
      </c>
      <c r="X1480" s="64" t="b">
        <f t="shared" si="166"/>
        <v>0</v>
      </c>
      <c r="Y1480" s="60">
        <v>392</v>
      </c>
      <c r="Z1480" s="60">
        <v>34</v>
      </c>
      <c r="AA1480" s="57" t="s">
        <v>116</v>
      </c>
      <c r="AB1480" s="64" t="b">
        <f t="shared" si="167"/>
        <v>0</v>
      </c>
    </row>
    <row r="1481" spans="1:28" ht="15" customHeight="1" x14ac:dyDescent="0.3">
      <c r="A1481" s="65" t="s">
        <v>3079</v>
      </c>
      <c r="B1481" s="81">
        <v>45043</v>
      </c>
      <c r="C1481" s="59">
        <f t="shared" si="161"/>
        <v>2023</v>
      </c>
      <c r="D1481" s="59">
        <f t="shared" si="162"/>
        <v>4</v>
      </c>
      <c r="E1481" s="59">
        <f t="shared" si="163"/>
        <v>17</v>
      </c>
      <c r="F1481" s="65" t="s">
        <v>53</v>
      </c>
      <c r="G1481" s="65" t="s">
        <v>44</v>
      </c>
      <c r="H1481" s="65" t="s">
        <v>3080</v>
      </c>
      <c r="I1481" s="65" t="s">
        <v>65</v>
      </c>
      <c r="J1481" s="65" t="s">
        <v>151</v>
      </c>
      <c r="K1481" s="65" t="s">
        <v>72</v>
      </c>
      <c r="L1481" s="65" t="s">
        <v>146</v>
      </c>
      <c r="M1481" s="67">
        <v>180</v>
      </c>
      <c r="N1481" s="65" t="s">
        <v>132</v>
      </c>
      <c r="O1481" s="68">
        <v>85.89</v>
      </c>
      <c r="P1481" s="68">
        <v>15460.2</v>
      </c>
      <c r="Q1481" s="68">
        <v>1145.22</v>
      </c>
      <c r="R1481" s="62">
        <f t="shared" si="164"/>
        <v>7.4075367718399496E-2</v>
      </c>
      <c r="S1481" s="67">
        <v>25</v>
      </c>
      <c r="T1481" s="66">
        <v>45068</v>
      </c>
      <c r="U1481" s="66">
        <v>45070</v>
      </c>
      <c r="V1481" s="63">
        <f t="shared" si="165"/>
        <v>2</v>
      </c>
      <c r="W1481" s="65" t="s">
        <v>125</v>
      </c>
      <c r="X1481" s="64" t="b">
        <f t="shared" si="166"/>
        <v>0</v>
      </c>
      <c r="Y1481" s="67">
        <v>87</v>
      </c>
      <c r="Z1481" s="67">
        <v>417</v>
      </c>
      <c r="AA1481" s="65" t="s">
        <v>116</v>
      </c>
      <c r="AB1481" s="64" t="b">
        <f t="shared" si="167"/>
        <v>0</v>
      </c>
    </row>
    <row r="1482" spans="1:28" ht="15" customHeight="1" x14ac:dyDescent="0.3">
      <c r="A1482" s="57" t="s">
        <v>3081</v>
      </c>
      <c r="B1482" s="82">
        <v>44992</v>
      </c>
      <c r="C1482" s="59">
        <f t="shared" si="161"/>
        <v>2023</v>
      </c>
      <c r="D1482" s="59">
        <f t="shared" si="162"/>
        <v>3</v>
      </c>
      <c r="E1482" s="59">
        <f t="shared" si="163"/>
        <v>10</v>
      </c>
      <c r="F1482" s="57" t="s">
        <v>52</v>
      </c>
      <c r="G1482" s="57" t="s">
        <v>39</v>
      </c>
      <c r="H1482" s="57" t="s">
        <v>3082</v>
      </c>
      <c r="I1482" s="57" t="s">
        <v>65</v>
      </c>
      <c r="J1482" s="57" t="s">
        <v>139</v>
      </c>
      <c r="K1482" s="57" t="s">
        <v>74</v>
      </c>
      <c r="L1482" s="57" t="s">
        <v>135</v>
      </c>
      <c r="M1482" s="60">
        <v>662</v>
      </c>
      <c r="N1482" s="57" t="s">
        <v>120</v>
      </c>
      <c r="O1482" s="61">
        <v>2105.27</v>
      </c>
      <c r="P1482" s="61">
        <v>1393688.74</v>
      </c>
      <c r="Q1482" s="61">
        <v>41581</v>
      </c>
      <c r="R1482" s="62">
        <f t="shared" si="164"/>
        <v>2.983521270323243E-2</v>
      </c>
      <c r="S1482" s="60">
        <v>26</v>
      </c>
      <c r="T1482" s="58">
        <v>45018</v>
      </c>
      <c r="U1482" s="58">
        <v>45030</v>
      </c>
      <c r="V1482" s="63">
        <f t="shared" si="165"/>
        <v>12</v>
      </c>
      <c r="W1482" s="57" t="s">
        <v>125</v>
      </c>
      <c r="X1482" s="64" t="b">
        <f t="shared" si="166"/>
        <v>0</v>
      </c>
      <c r="Y1482" s="60">
        <v>368</v>
      </c>
      <c r="Z1482" s="60">
        <v>15</v>
      </c>
      <c r="AA1482" s="57" t="s">
        <v>116</v>
      </c>
      <c r="AB1482" s="64" t="b">
        <f t="shared" si="167"/>
        <v>0</v>
      </c>
    </row>
    <row r="1483" spans="1:28" ht="15" customHeight="1" x14ac:dyDescent="0.3">
      <c r="A1483" s="65" t="s">
        <v>3083</v>
      </c>
      <c r="B1483" s="81">
        <v>45414</v>
      </c>
      <c r="C1483" s="59">
        <f t="shared" si="161"/>
        <v>2024</v>
      </c>
      <c r="D1483" s="59">
        <f t="shared" si="162"/>
        <v>5</v>
      </c>
      <c r="E1483" s="59">
        <f t="shared" si="163"/>
        <v>18</v>
      </c>
      <c r="F1483" s="65" t="s">
        <v>53</v>
      </c>
      <c r="G1483" s="65" t="s">
        <v>45</v>
      </c>
      <c r="H1483" s="65" t="s">
        <v>3084</v>
      </c>
      <c r="I1483" s="65" t="s">
        <v>65</v>
      </c>
      <c r="J1483" s="65" t="s">
        <v>112</v>
      </c>
      <c r="K1483" s="65" t="s">
        <v>75</v>
      </c>
      <c r="L1483" s="65" t="s">
        <v>124</v>
      </c>
      <c r="M1483" s="67">
        <v>918</v>
      </c>
      <c r="N1483" s="65" t="s">
        <v>120</v>
      </c>
      <c r="O1483" s="68">
        <v>294.5</v>
      </c>
      <c r="P1483" s="68">
        <v>270351</v>
      </c>
      <c r="Q1483" s="68">
        <v>11593.88</v>
      </c>
      <c r="R1483" s="62">
        <f t="shared" si="164"/>
        <v>4.2884546385994503E-2</v>
      </c>
      <c r="S1483" s="67">
        <v>11</v>
      </c>
      <c r="T1483" s="66">
        <v>45425</v>
      </c>
      <c r="U1483" s="66">
        <v>45430</v>
      </c>
      <c r="V1483" s="63">
        <f t="shared" si="165"/>
        <v>5</v>
      </c>
      <c r="W1483" s="65" t="s">
        <v>125</v>
      </c>
      <c r="X1483" s="64" t="b">
        <f t="shared" si="166"/>
        <v>0</v>
      </c>
      <c r="Y1483" s="67">
        <v>183</v>
      </c>
      <c r="Z1483" s="67">
        <v>465</v>
      </c>
      <c r="AA1483" s="65" t="s">
        <v>82</v>
      </c>
      <c r="AB1483" s="64" t="b">
        <f t="shared" si="167"/>
        <v>1</v>
      </c>
    </row>
    <row r="1484" spans="1:28" ht="15" customHeight="1" x14ac:dyDescent="0.3">
      <c r="A1484" s="57" t="s">
        <v>3085</v>
      </c>
      <c r="B1484" s="82">
        <v>45386</v>
      </c>
      <c r="C1484" s="59">
        <f t="shared" si="161"/>
        <v>2024</v>
      </c>
      <c r="D1484" s="59">
        <f t="shared" si="162"/>
        <v>4</v>
      </c>
      <c r="E1484" s="59">
        <f t="shared" si="163"/>
        <v>14</v>
      </c>
      <c r="F1484" s="57" t="s">
        <v>60</v>
      </c>
      <c r="G1484" s="57" t="s">
        <v>39</v>
      </c>
      <c r="H1484" s="57" t="s">
        <v>3086</v>
      </c>
      <c r="I1484" s="57" t="s">
        <v>68</v>
      </c>
      <c r="J1484" s="57" t="s">
        <v>131</v>
      </c>
      <c r="K1484" s="57" t="s">
        <v>74</v>
      </c>
      <c r="L1484" s="57" t="s">
        <v>113</v>
      </c>
      <c r="M1484" s="60">
        <v>197</v>
      </c>
      <c r="N1484" s="57" t="s">
        <v>140</v>
      </c>
      <c r="O1484" s="61">
        <v>1459.88</v>
      </c>
      <c r="P1484" s="61">
        <v>287596.36</v>
      </c>
      <c r="Q1484" s="61">
        <v>8182.73</v>
      </c>
      <c r="R1484" s="62">
        <f t="shared" si="164"/>
        <v>2.845213339974122E-2</v>
      </c>
      <c r="S1484" s="60">
        <v>6</v>
      </c>
      <c r="T1484" s="58">
        <v>45392</v>
      </c>
      <c r="U1484" s="58">
        <v>45394</v>
      </c>
      <c r="V1484" s="63">
        <f t="shared" si="165"/>
        <v>2</v>
      </c>
      <c r="W1484" s="57" t="s">
        <v>125</v>
      </c>
      <c r="X1484" s="64" t="b">
        <f t="shared" si="166"/>
        <v>0</v>
      </c>
      <c r="Y1484" s="60">
        <v>15</v>
      </c>
      <c r="Z1484" s="60">
        <v>401</v>
      </c>
      <c r="AA1484" s="57" t="s">
        <v>116</v>
      </c>
      <c r="AB1484" s="64" t="b">
        <f t="shared" si="167"/>
        <v>0</v>
      </c>
    </row>
    <row r="1485" spans="1:28" ht="15" customHeight="1" x14ac:dyDescent="0.3">
      <c r="A1485" s="65" t="s">
        <v>3087</v>
      </c>
      <c r="B1485" s="81">
        <v>45297</v>
      </c>
      <c r="C1485" s="59">
        <f t="shared" si="161"/>
        <v>2024</v>
      </c>
      <c r="D1485" s="59">
        <f t="shared" si="162"/>
        <v>1</v>
      </c>
      <c r="E1485" s="59">
        <f t="shared" si="163"/>
        <v>1</v>
      </c>
      <c r="F1485" s="65" t="s">
        <v>58</v>
      </c>
      <c r="G1485" s="65" t="s">
        <v>39</v>
      </c>
      <c r="H1485" s="65" t="s">
        <v>3088</v>
      </c>
      <c r="I1485" s="65" t="s">
        <v>64</v>
      </c>
      <c r="J1485" s="65" t="s">
        <v>139</v>
      </c>
      <c r="K1485" s="65" t="s">
        <v>72</v>
      </c>
      <c r="L1485" s="65" t="s">
        <v>146</v>
      </c>
      <c r="M1485" s="67">
        <v>450</v>
      </c>
      <c r="N1485" s="65" t="s">
        <v>114</v>
      </c>
      <c r="O1485" s="68">
        <v>1456.21</v>
      </c>
      <c r="P1485" s="68">
        <v>655294.5</v>
      </c>
      <c r="Q1485" s="68">
        <v>37677.22</v>
      </c>
      <c r="R1485" s="62">
        <f t="shared" si="164"/>
        <v>5.7496621747931659E-2</v>
      </c>
      <c r="S1485" s="67">
        <v>2</v>
      </c>
      <c r="T1485" s="66">
        <v>45299</v>
      </c>
      <c r="U1485" s="66">
        <v>45301</v>
      </c>
      <c r="V1485" s="63">
        <f t="shared" si="165"/>
        <v>2</v>
      </c>
      <c r="W1485" s="65" t="s">
        <v>125</v>
      </c>
      <c r="X1485" s="64" t="b">
        <f t="shared" si="166"/>
        <v>0</v>
      </c>
      <c r="Y1485" s="67">
        <v>464</v>
      </c>
      <c r="Z1485" s="67">
        <v>293</v>
      </c>
      <c r="AA1485" s="65" t="s">
        <v>82</v>
      </c>
      <c r="AB1485" s="64" t="b">
        <f t="shared" si="167"/>
        <v>1</v>
      </c>
    </row>
    <row r="1486" spans="1:28" ht="15" customHeight="1" x14ac:dyDescent="0.3">
      <c r="A1486" s="57" t="s">
        <v>3089</v>
      </c>
      <c r="B1486" s="82">
        <v>45452</v>
      </c>
      <c r="C1486" s="59">
        <f t="shared" si="161"/>
        <v>2024</v>
      </c>
      <c r="D1486" s="59">
        <f t="shared" si="162"/>
        <v>6</v>
      </c>
      <c r="E1486" s="59">
        <f t="shared" si="163"/>
        <v>24</v>
      </c>
      <c r="F1486" s="57" t="s">
        <v>58</v>
      </c>
      <c r="G1486" s="57" t="s">
        <v>41</v>
      </c>
      <c r="H1486" s="57" t="s">
        <v>3090</v>
      </c>
      <c r="I1486" s="57" t="s">
        <v>65</v>
      </c>
      <c r="J1486" s="57" t="s">
        <v>139</v>
      </c>
      <c r="K1486" s="57" t="s">
        <v>71</v>
      </c>
      <c r="L1486" s="57" t="s">
        <v>119</v>
      </c>
      <c r="M1486" s="60">
        <v>95</v>
      </c>
      <c r="N1486" s="57" t="s">
        <v>114</v>
      </c>
      <c r="O1486" s="61">
        <v>352.84</v>
      </c>
      <c r="P1486" s="61">
        <v>33519.800000000003</v>
      </c>
      <c r="Q1486" s="61">
        <v>2136.29</v>
      </c>
      <c r="R1486" s="62">
        <f t="shared" si="164"/>
        <v>6.3732182172924659E-2</v>
      </c>
      <c r="S1486" s="60">
        <v>7</v>
      </c>
      <c r="T1486" s="58">
        <v>45459</v>
      </c>
      <c r="U1486" s="58">
        <v>45471</v>
      </c>
      <c r="V1486" s="63">
        <f t="shared" si="165"/>
        <v>12</v>
      </c>
      <c r="W1486" s="57" t="s">
        <v>125</v>
      </c>
      <c r="X1486" s="64" t="b">
        <f t="shared" si="166"/>
        <v>0</v>
      </c>
      <c r="Y1486" s="60">
        <v>494</v>
      </c>
      <c r="Z1486" s="60">
        <v>497</v>
      </c>
      <c r="AA1486" s="57" t="s">
        <v>116</v>
      </c>
      <c r="AB1486" s="64" t="b">
        <f t="shared" si="167"/>
        <v>0</v>
      </c>
    </row>
    <row r="1487" spans="1:28" ht="15" customHeight="1" x14ac:dyDescent="0.3">
      <c r="A1487" s="65" t="s">
        <v>3091</v>
      </c>
      <c r="B1487" s="81">
        <v>45534</v>
      </c>
      <c r="C1487" s="59">
        <f t="shared" si="161"/>
        <v>2024</v>
      </c>
      <c r="D1487" s="59">
        <f t="shared" si="162"/>
        <v>8</v>
      </c>
      <c r="E1487" s="59">
        <f t="shared" si="163"/>
        <v>35</v>
      </c>
      <c r="F1487" s="65" t="s">
        <v>60</v>
      </c>
      <c r="G1487" s="65" t="s">
        <v>42</v>
      </c>
      <c r="H1487" s="65" t="s">
        <v>3092</v>
      </c>
      <c r="I1487" s="65" t="s">
        <v>64</v>
      </c>
      <c r="J1487" s="65" t="s">
        <v>151</v>
      </c>
      <c r="K1487" s="65" t="s">
        <v>72</v>
      </c>
      <c r="L1487" s="65" t="s">
        <v>146</v>
      </c>
      <c r="M1487" s="67">
        <v>485</v>
      </c>
      <c r="N1487" s="65" t="s">
        <v>136</v>
      </c>
      <c r="O1487" s="68">
        <v>99.54</v>
      </c>
      <c r="P1487" s="68">
        <v>48276.9</v>
      </c>
      <c r="Q1487" s="68">
        <v>3664.93</v>
      </c>
      <c r="R1487" s="62">
        <f t="shared" si="164"/>
        <v>7.5914774975195165E-2</v>
      </c>
      <c r="S1487" s="67">
        <v>18</v>
      </c>
      <c r="T1487" s="66">
        <v>45552</v>
      </c>
      <c r="U1487" s="66">
        <v>45564</v>
      </c>
      <c r="V1487" s="63">
        <f t="shared" si="165"/>
        <v>12</v>
      </c>
      <c r="W1487" s="65" t="s">
        <v>128</v>
      </c>
      <c r="X1487" s="64" t="b">
        <f t="shared" si="166"/>
        <v>0</v>
      </c>
      <c r="Y1487" s="67">
        <v>243</v>
      </c>
      <c r="Z1487" s="67">
        <v>170</v>
      </c>
      <c r="AA1487" s="65" t="s">
        <v>82</v>
      </c>
      <c r="AB1487" s="64" t="b">
        <f t="shared" si="167"/>
        <v>1</v>
      </c>
    </row>
    <row r="1488" spans="1:28" ht="15" customHeight="1" x14ac:dyDescent="0.3">
      <c r="A1488" s="57" t="s">
        <v>3093</v>
      </c>
      <c r="B1488" s="82">
        <v>45038</v>
      </c>
      <c r="C1488" s="59">
        <f t="shared" si="161"/>
        <v>2023</v>
      </c>
      <c r="D1488" s="59">
        <f t="shared" si="162"/>
        <v>4</v>
      </c>
      <c r="E1488" s="59">
        <f t="shared" si="163"/>
        <v>16</v>
      </c>
      <c r="F1488" s="57" t="s">
        <v>58</v>
      </c>
      <c r="G1488" s="57" t="s">
        <v>46</v>
      </c>
      <c r="H1488" s="57" t="s">
        <v>3094</v>
      </c>
      <c r="I1488" s="57" t="s">
        <v>66</v>
      </c>
      <c r="J1488" s="57" t="s">
        <v>123</v>
      </c>
      <c r="K1488" s="57" t="s">
        <v>74</v>
      </c>
      <c r="L1488" s="57" t="s">
        <v>146</v>
      </c>
      <c r="M1488" s="60">
        <v>61</v>
      </c>
      <c r="N1488" s="57" t="s">
        <v>140</v>
      </c>
      <c r="O1488" s="61">
        <v>81.62</v>
      </c>
      <c r="P1488" s="61">
        <v>4978.82</v>
      </c>
      <c r="Q1488" s="61">
        <v>182.88</v>
      </c>
      <c r="R1488" s="62">
        <f t="shared" si="164"/>
        <v>3.6731595036574929E-2</v>
      </c>
      <c r="S1488" s="60">
        <v>27</v>
      </c>
      <c r="T1488" s="58">
        <v>45065</v>
      </c>
      <c r="U1488" s="58">
        <v>45068</v>
      </c>
      <c r="V1488" s="63">
        <f t="shared" si="165"/>
        <v>3</v>
      </c>
      <c r="W1488" s="57" t="s">
        <v>125</v>
      </c>
      <c r="X1488" s="64" t="b">
        <f t="shared" si="166"/>
        <v>0</v>
      </c>
      <c r="Y1488" s="60">
        <v>85</v>
      </c>
      <c r="Z1488" s="60">
        <v>31</v>
      </c>
      <c r="AA1488" s="57" t="s">
        <v>84</v>
      </c>
      <c r="AB1488" s="64" t="b">
        <f t="shared" si="167"/>
        <v>1</v>
      </c>
    </row>
    <row r="1489" spans="1:28" ht="15" customHeight="1" x14ac:dyDescent="0.3">
      <c r="A1489" s="65" t="s">
        <v>3095</v>
      </c>
      <c r="B1489" s="81">
        <v>45389</v>
      </c>
      <c r="C1489" s="59">
        <f t="shared" si="161"/>
        <v>2024</v>
      </c>
      <c r="D1489" s="59">
        <f t="shared" si="162"/>
        <v>4</v>
      </c>
      <c r="E1489" s="59">
        <f t="shared" si="163"/>
        <v>15</v>
      </c>
      <c r="F1489" s="65" t="s">
        <v>52</v>
      </c>
      <c r="G1489" s="65" t="s">
        <v>39</v>
      </c>
      <c r="H1489" s="65" t="s">
        <v>3096</v>
      </c>
      <c r="I1489" s="65" t="s">
        <v>69</v>
      </c>
      <c r="J1489" s="65" t="s">
        <v>131</v>
      </c>
      <c r="K1489" s="65" t="s">
        <v>74</v>
      </c>
      <c r="L1489" s="65" t="s">
        <v>146</v>
      </c>
      <c r="M1489" s="67">
        <v>120</v>
      </c>
      <c r="N1489" s="65" t="s">
        <v>120</v>
      </c>
      <c r="O1489" s="68">
        <v>1225.93</v>
      </c>
      <c r="P1489" s="68">
        <v>147111.6</v>
      </c>
      <c r="Q1489" s="68">
        <v>11329.46</v>
      </c>
      <c r="R1489" s="62">
        <f t="shared" si="164"/>
        <v>7.7012689685925506E-2</v>
      </c>
      <c r="S1489" s="67">
        <v>2</v>
      </c>
      <c r="T1489" s="66">
        <v>45391</v>
      </c>
      <c r="U1489" s="66">
        <v>45391</v>
      </c>
      <c r="V1489" s="63">
        <f t="shared" si="165"/>
        <v>0</v>
      </c>
      <c r="W1489" s="65" t="s">
        <v>115</v>
      </c>
      <c r="X1489" s="64" t="b">
        <f t="shared" si="166"/>
        <v>1</v>
      </c>
      <c r="Y1489" s="67">
        <v>198</v>
      </c>
      <c r="Z1489" s="67">
        <v>262</v>
      </c>
      <c r="AA1489" s="65" t="s">
        <v>81</v>
      </c>
      <c r="AB1489" s="64" t="b">
        <f t="shared" si="167"/>
        <v>1</v>
      </c>
    </row>
    <row r="1490" spans="1:28" ht="15" customHeight="1" x14ac:dyDescent="0.3">
      <c r="A1490" s="57" t="s">
        <v>3097</v>
      </c>
      <c r="B1490" s="82">
        <v>45442</v>
      </c>
      <c r="C1490" s="59">
        <f t="shared" si="161"/>
        <v>2024</v>
      </c>
      <c r="D1490" s="59">
        <f t="shared" si="162"/>
        <v>5</v>
      </c>
      <c r="E1490" s="59">
        <f t="shared" si="163"/>
        <v>22</v>
      </c>
      <c r="F1490" s="57" t="s">
        <v>60</v>
      </c>
      <c r="G1490" s="57" t="s">
        <v>42</v>
      </c>
      <c r="H1490" s="57" t="s">
        <v>3098</v>
      </c>
      <c r="I1490" s="57" t="s">
        <v>68</v>
      </c>
      <c r="J1490" s="57" t="s">
        <v>112</v>
      </c>
      <c r="K1490" s="57" t="s">
        <v>72</v>
      </c>
      <c r="L1490" s="57" t="s">
        <v>156</v>
      </c>
      <c r="M1490" s="60">
        <v>958</v>
      </c>
      <c r="N1490" s="57" t="s">
        <v>140</v>
      </c>
      <c r="O1490" s="61">
        <v>66.22</v>
      </c>
      <c r="P1490" s="61">
        <v>63438.76</v>
      </c>
      <c r="Q1490" s="61">
        <v>1509.57</v>
      </c>
      <c r="R1490" s="62">
        <f t="shared" si="164"/>
        <v>2.3795704707973483E-2</v>
      </c>
      <c r="S1490" s="60">
        <v>27</v>
      </c>
      <c r="T1490" s="58">
        <v>45469</v>
      </c>
      <c r="U1490" s="58">
        <v>45469</v>
      </c>
      <c r="V1490" s="63">
        <f t="shared" si="165"/>
        <v>0</v>
      </c>
      <c r="W1490" s="57" t="s">
        <v>115</v>
      </c>
      <c r="X1490" s="64" t="b">
        <f t="shared" si="166"/>
        <v>1</v>
      </c>
      <c r="Y1490" s="60">
        <v>9</v>
      </c>
      <c r="Z1490" s="60">
        <v>214</v>
      </c>
      <c r="AA1490" s="57" t="s">
        <v>116</v>
      </c>
      <c r="AB1490" s="64" t="b">
        <f t="shared" si="167"/>
        <v>0</v>
      </c>
    </row>
    <row r="1491" spans="1:28" ht="15" customHeight="1" x14ac:dyDescent="0.3">
      <c r="A1491" s="65" t="s">
        <v>3099</v>
      </c>
      <c r="B1491" s="81">
        <v>45153</v>
      </c>
      <c r="C1491" s="59">
        <f t="shared" si="161"/>
        <v>2023</v>
      </c>
      <c r="D1491" s="59">
        <f t="shared" si="162"/>
        <v>8</v>
      </c>
      <c r="E1491" s="59">
        <f t="shared" si="163"/>
        <v>33</v>
      </c>
      <c r="F1491" s="65" t="s">
        <v>54</v>
      </c>
      <c r="G1491" s="65" t="s">
        <v>40</v>
      </c>
      <c r="H1491" s="65" t="s">
        <v>3100</v>
      </c>
      <c r="I1491" s="65" t="s">
        <v>67</v>
      </c>
      <c r="J1491" s="65" t="s">
        <v>139</v>
      </c>
      <c r="K1491" s="65" t="s">
        <v>73</v>
      </c>
      <c r="L1491" s="65" t="s">
        <v>156</v>
      </c>
      <c r="M1491" s="67">
        <v>886</v>
      </c>
      <c r="N1491" s="65" t="s">
        <v>120</v>
      </c>
      <c r="O1491" s="68">
        <v>1065.6500000000001</v>
      </c>
      <c r="P1491" s="68">
        <v>944165.9</v>
      </c>
      <c r="Q1491" s="68">
        <v>53044.03</v>
      </c>
      <c r="R1491" s="62">
        <f t="shared" si="164"/>
        <v>5.6180836439867189E-2</v>
      </c>
      <c r="S1491" s="67">
        <v>17</v>
      </c>
      <c r="T1491" s="66">
        <v>45170</v>
      </c>
      <c r="U1491" s="66">
        <v>45170</v>
      </c>
      <c r="V1491" s="63">
        <f t="shared" si="165"/>
        <v>0</v>
      </c>
      <c r="W1491" s="65" t="s">
        <v>115</v>
      </c>
      <c r="X1491" s="64" t="b">
        <f t="shared" si="166"/>
        <v>1</v>
      </c>
      <c r="Y1491" s="67">
        <v>476</v>
      </c>
      <c r="Z1491" s="67">
        <v>470</v>
      </c>
      <c r="AA1491" s="65" t="s">
        <v>81</v>
      </c>
      <c r="AB1491" s="64" t="b">
        <f t="shared" si="167"/>
        <v>1</v>
      </c>
    </row>
    <row r="1492" spans="1:28" ht="15" customHeight="1" x14ac:dyDescent="0.3">
      <c r="A1492" s="57" t="s">
        <v>3101</v>
      </c>
      <c r="B1492" s="82">
        <v>45556</v>
      </c>
      <c r="C1492" s="59">
        <f t="shared" si="161"/>
        <v>2024</v>
      </c>
      <c r="D1492" s="59">
        <f t="shared" si="162"/>
        <v>9</v>
      </c>
      <c r="E1492" s="59">
        <f t="shared" si="163"/>
        <v>38</v>
      </c>
      <c r="F1492" s="57" t="s">
        <v>57</v>
      </c>
      <c r="G1492" s="57" t="s">
        <v>43</v>
      </c>
      <c r="H1492" s="57" t="s">
        <v>3102</v>
      </c>
      <c r="I1492" s="57" t="s">
        <v>66</v>
      </c>
      <c r="J1492" s="57" t="s">
        <v>131</v>
      </c>
      <c r="K1492" s="57" t="s">
        <v>72</v>
      </c>
      <c r="L1492" s="57" t="s">
        <v>156</v>
      </c>
      <c r="M1492" s="60">
        <v>863</v>
      </c>
      <c r="N1492" s="57" t="s">
        <v>136</v>
      </c>
      <c r="O1492" s="61">
        <v>238.61</v>
      </c>
      <c r="P1492" s="61">
        <v>205920.43</v>
      </c>
      <c r="Q1492" s="61">
        <v>4824.3</v>
      </c>
      <c r="R1492" s="62">
        <f t="shared" si="164"/>
        <v>2.3427981380963511E-2</v>
      </c>
      <c r="S1492" s="60">
        <v>11</v>
      </c>
      <c r="T1492" s="58">
        <v>45567</v>
      </c>
      <c r="U1492" s="58">
        <v>45569</v>
      </c>
      <c r="V1492" s="63">
        <f t="shared" si="165"/>
        <v>2</v>
      </c>
      <c r="W1492" s="57" t="s">
        <v>128</v>
      </c>
      <c r="X1492" s="64" t="b">
        <f t="shared" si="166"/>
        <v>0</v>
      </c>
      <c r="Y1492" s="60">
        <v>163</v>
      </c>
      <c r="Z1492" s="60">
        <v>45</v>
      </c>
      <c r="AA1492" s="57" t="s">
        <v>83</v>
      </c>
      <c r="AB1492" s="64" t="b">
        <f t="shared" si="167"/>
        <v>1</v>
      </c>
    </row>
    <row r="1493" spans="1:28" ht="15" customHeight="1" x14ac:dyDescent="0.3">
      <c r="A1493" s="65" t="s">
        <v>3103</v>
      </c>
      <c r="B1493" s="81">
        <v>44971</v>
      </c>
      <c r="C1493" s="59">
        <f t="shared" si="161"/>
        <v>2023</v>
      </c>
      <c r="D1493" s="59">
        <f t="shared" si="162"/>
        <v>2</v>
      </c>
      <c r="E1493" s="59">
        <f t="shared" si="163"/>
        <v>7</v>
      </c>
      <c r="F1493" s="65" t="s">
        <v>56</v>
      </c>
      <c r="G1493" s="65" t="s">
        <v>39</v>
      </c>
      <c r="H1493" s="65" t="s">
        <v>3104</v>
      </c>
      <c r="I1493" s="65" t="s">
        <v>64</v>
      </c>
      <c r="J1493" s="65" t="s">
        <v>151</v>
      </c>
      <c r="K1493" s="65" t="s">
        <v>71</v>
      </c>
      <c r="L1493" s="65" t="s">
        <v>156</v>
      </c>
      <c r="M1493" s="67">
        <v>52</v>
      </c>
      <c r="N1493" s="65" t="s">
        <v>132</v>
      </c>
      <c r="O1493" s="68">
        <v>1103.83</v>
      </c>
      <c r="P1493" s="68">
        <v>57399.16</v>
      </c>
      <c r="Q1493" s="68">
        <v>4226.1000000000004</v>
      </c>
      <c r="R1493" s="62">
        <f t="shared" si="164"/>
        <v>7.3626513001235558E-2</v>
      </c>
      <c r="S1493" s="67">
        <v>27</v>
      </c>
      <c r="T1493" s="66">
        <v>44998</v>
      </c>
      <c r="U1493" s="66">
        <v>44999</v>
      </c>
      <c r="V1493" s="63">
        <f t="shared" si="165"/>
        <v>1</v>
      </c>
      <c r="W1493" s="65" t="s">
        <v>125</v>
      </c>
      <c r="X1493" s="64" t="b">
        <f t="shared" si="166"/>
        <v>0</v>
      </c>
      <c r="Y1493" s="67">
        <v>23</v>
      </c>
      <c r="Z1493" s="67">
        <v>188</v>
      </c>
      <c r="AA1493" s="65" t="s">
        <v>82</v>
      </c>
      <c r="AB1493" s="64" t="b">
        <f t="shared" si="167"/>
        <v>1</v>
      </c>
    </row>
    <row r="1494" spans="1:28" ht="15" customHeight="1" x14ac:dyDescent="0.3">
      <c r="A1494" s="57" t="s">
        <v>3105</v>
      </c>
      <c r="B1494" s="82">
        <v>45601</v>
      </c>
      <c r="C1494" s="59">
        <f t="shared" si="161"/>
        <v>2024</v>
      </c>
      <c r="D1494" s="59">
        <f t="shared" si="162"/>
        <v>11</v>
      </c>
      <c r="E1494" s="59">
        <f t="shared" si="163"/>
        <v>45</v>
      </c>
      <c r="F1494" s="57" t="s">
        <v>59</v>
      </c>
      <c r="G1494" s="57" t="s">
        <v>40</v>
      </c>
      <c r="H1494" s="57" t="s">
        <v>3106</v>
      </c>
      <c r="I1494" s="57" t="s">
        <v>66</v>
      </c>
      <c r="J1494" s="57" t="s">
        <v>139</v>
      </c>
      <c r="K1494" s="57" t="s">
        <v>72</v>
      </c>
      <c r="L1494" s="57" t="s">
        <v>135</v>
      </c>
      <c r="M1494" s="60">
        <v>220</v>
      </c>
      <c r="N1494" s="57" t="s">
        <v>132</v>
      </c>
      <c r="O1494" s="61">
        <v>958.43</v>
      </c>
      <c r="P1494" s="61">
        <v>210854.6</v>
      </c>
      <c r="Q1494" s="61">
        <v>10919.85</v>
      </c>
      <c r="R1494" s="62">
        <f t="shared" si="164"/>
        <v>5.1788531054100785E-2</v>
      </c>
      <c r="S1494" s="60">
        <v>12</v>
      </c>
      <c r="T1494" s="58">
        <v>45613</v>
      </c>
      <c r="U1494" s="58">
        <v>45616</v>
      </c>
      <c r="V1494" s="63">
        <f t="shared" si="165"/>
        <v>3</v>
      </c>
      <c r="W1494" s="57" t="s">
        <v>128</v>
      </c>
      <c r="X1494" s="64" t="b">
        <f t="shared" si="166"/>
        <v>0</v>
      </c>
      <c r="Y1494" s="60">
        <v>63</v>
      </c>
      <c r="Z1494" s="60">
        <v>273</v>
      </c>
      <c r="AA1494" s="57" t="s">
        <v>116</v>
      </c>
      <c r="AB1494" s="64" t="b">
        <f t="shared" si="167"/>
        <v>0</v>
      </c>
    </row>
    <row r="1495" spans="1:28" ht="15" customHeight="1" x14ac:dyDescent="0.3">
      <c r="A1495" s="65" t="s">
        <v>3107</v>
      </c>
      <c r="B1495" s="81">
        <v>45460</v>
      </c>
      <c r="C1495" s="59">
        <f t="shared" si="161"/>
        <v>2024</v>
      </c>
      <c r="D1495" s="59">
        <f t="shared" si="162"/>
        <v>6</v>
      </c>
      <c r="E1495" s="59">
        <f t="shared" si="163"/>
        <v>25</v>
      </c>
      <c r="F1495" s="65" t="s">
        <v>55</v>
      </c>
      <c r="G1495" s="65" t="s">
        <v>46</v>
      </c>
      <c r="H1495" s="65" t="s">
        <v>3108</v>
      </c>
      <c r="I1495" s="65" t="s">
        <v>67</v>
      </c>
      <c r="J1495" s="65" t="s">
        <v>139</v>
      </c>
      <c r="K1495" s="65" t="s">
        <v>75</v>
      </c>
      <c r="L1495" s="65" t="s">
        <v>146</v>
      </c>
      <c r="M1495" s="67">
        <v>977</v>
      </c>
      <c r="N1495" s="65" t="s">
        <v>140</v>
      </c>
      <c r="O1495" s="68">
        <v>56.83</v>
      </c>
      <c r="P1495" s="68">
        <v>55522.91</v>
      </c>
      <c r="Q1495" s="68">
        <v>3340.31</v>
      </c>
      <c r="R1495" s="62">
        <f t="shared" si="164"/>
        <v>6.0160931766724761E-2</v>
      </c>
      <c r="S1495" s="67">
        <v>27</v>
      </c>
      <c r="T1495" s="66">
        <v>45487</v>
      </c>
      <c r="U1495" s="66">
        <v>45489</v>
      </c>
      <c r="V1495" s="63">
        <f t="shared" si="165"/>
        <v>2</v>
      </c>
      <c r="W1495" s="65" t="s">
        <v>128</v>
      </c>
      <c r="X1495" s="64" t="b">
        <f t="shared" si="166"/>
        <v>0</v>
      </c>
      <c r="Y1495" s="67">
        <v>311</v>
      </c>
      <c r="Z1495" s="67">
        <v>70</v>
      </c>
      <c r="AA1495" s="65" t="s">
        <v>84</v>
      </c>
      <c r="AB1495" s="64" t="b">
        <f t="shared" si="167"/>
        <v>1</v>
      </c>
    </row>
    <row r="1496" spans="1:28" ht="15" customHeight="1" x14ac:dyDescent="0.3">
      <c r="A1496" s="57" t="s">
        <v>3109</v>
      </c>
      <c r="B1496" s="82">
        <v>45235</v>
      </c>
      <c r="C1496" s="59">
        <f t="shared" si="161"/>
        <v>2023</v>
      </c>
      <c r="D1496" s="59">
        <f t="shared" si="162"/>
        <v>11</v>
      </c>
      <c r="E1496" s="59">
        <f t="shared" si="163"/>
        <v>45</v>
      </c>
      <c r="F1496" s="57" t="s">
        <v>57</v>
      </c>
      <c r="G1496" s="57" t="s">
        <v>43</v>
      </c>
      <c r="H1496" s="57" t="s">
        <v>3110</v>
      </c>
      <c r="I1496" s="57" t="s">
        <v>68</v>
      </c>
      <c r="J1496" s="57" t="s">
        <v>143</v>
      </c>
      <c r="K1496" s="57" t="s">
        <v>73</v>
      </c>
      <c r="L1496" s="57" t="s">
        <v>135</v>
      </c>
      <c r="M1496" s="60">
        <v>209</v>
      </c>
      <c r="N1496" s="57" t="s">
        <v>120</v>
      </c>
      <c r="O1496" s="61">
        <v>199</v>
      </c>
      <c r="P1496" s="61">
        <v>41591</v>
      </c>
      <c r="Q1496" s="61">
        <v>2906.98</v>
      </c>
      <c r="R1496" s="62">
        <f t="shared" si="164"/>
        <v>6.9894448318145758E-2</v>
      </c>
      <c r="S1496" s="60">
        <v>19</v>
      </c>
      <c r="T1496" s="58">
        <v>45254</v>
      </c>
      <c r="U1496" s="58">
        <v>45251</v>
      </c>
      <c r="V1496" s="63">
        <f t="shared" si="165"/>
        <v>-3</v>
      </c>
      <c r="W1496" s="57" t="s">
        <v>115</v>
      </c>
      <c r="X1496" s="64" t="b">
        <f t="shared" si="166"/>
        <v>1</v>
      </c>
      <c r="Y1496" s="60">
        <v>237</v>
      </c>
      <c r="Z1496" s="60">
        <v>489</v>
      </c>
      <c r="AA1496" s="57" t="s">
        <v>82</v>
      </c>
      <c r="AB1496" s="64" t="b">
        <f t="shared" si="167"/>
        <v>1</v>
      </c>
    </row>
    <row r="1497" spans="1:28" ht="15" customHeight="1" x14ac:dyDescent="0.3">
      <c r="A1497" s="65" t="s">
        <v>3111</v>
      </c>
      <c r="B1497" s="81">
        <v>45396</v>
      </c>
      <c r="C1497" s="59">
        <f t="shared" si="161"/>
        <v>2024</v>
      </c>
      <c r="D1497" s="59">
        <f t="shared" si="162"/>
        <v>4</v>
      </c>
      <c r="E1497" s="59">
        <f t="shared" si="163"/>
        <v>16</v>
      </c>
      <c r="F1497" s="65" t="s">
        <v>59</v>
      </c>
      <c r="G1497" s="65" t="s">
        <v>43</v>
      </c>
      <c r="H1497" s="65" t="s">
        <v>3112</v>
      </c>
      <c r="I1497" s="65" t="s">
        <v>69</v>
      </c>
      <c r="J1497" s="65" t="s">
        <v>151</v>
      </c>
      <c r="K1497" s="65" t="s">
        <v>75</v>
      </c>
      <c r="L1497" s="65" t="s">
        <v>119</v>
      </c>
      <c r="M1497" s="67">
        <v>819</v>
      </c>
      <c r="N1497" s="65" t="s">
        <v>132</v>
      </c>
      <c r="O1497" s="68">
        <v>263.16000000000003</v>
      </c>
      <c r="P1497" s="68">
        <v>215528.04</v>
      </c>
      <c r="Q1497" s="68">
        <v>6254.33</v>
      </c>
      <c r="R1497" s="62">
        <f t="shared" si="164"/>
        <v>2.9018637203771722E-2</v>
      </c>
      <c r="S1497" s="67">
        <v>22</v>
      </c>
      <c r="T1497" s="66">
        <v>45418</v>
      </c>
      <c r="U1497" s="66">
        <v>45423</v>
      </c>
      <c r="V1497" s="63">
        <f t="shared" si="165"/>
        <v>5</v>
      </c>
      <c r="W1497" s="65" t="s">
        <v>128</v>
      </c>
      <c r="X1497" s="64" t="b">
        <f t="shared" si="166"/>
        <v>0</v>
      </c>
      <c r="Y1497" s="67">
        <v>461</v>
      </c>
      <c r="Z1497" s="67">
        <v>295</v>
      </c>
      <c r="AA1497" s="65" t="s">
        <v>116</v>
      </c>
      <c r="AB1497" s="64" t="b">
        <f t="shared" si="167"/>
        <v>0</v>
      </c>
    </row>
    <row r="1498" spans="1:28" ht="15" customHeight="1" x14ac:dyDescent="0.3">
      <c r="A1498" s="57" t="s">
        <v>3113</v>
      </c>
      <c r="B1498" s="82">
        <v>45585</v>
      </c>
      <c r="C1498" s="59">
        <f t="shared" si="161"/>
        <v>2024</v>
      </c>
      <c r="D1498" s="59">
        <f t="shared" si="162"/>
        <v>10</v>
      </c>
      <c r="E1498" s="59">
        <f t="shared" si="163"/>
        <v>43</v>
      </c>
      <c r="F1498" s="57" t="s">
        <v>55</v>
      </c>
      <c r="G1498" s="57" t="s">
        <v>46</v>
      </c>
      <c r="H1498" s="57" t="s">
        <v>3114</v>
      </c>
      <c r="I1498" s="57" t="s">
        <v>67</v>
      </c>
      <c r="J1498" s="57" t="s">
        <v>143</v>
      </c>
      <c r="K1498" s="57" t="s">
        <v>72</v>
      </c>
      <c r="L1498" s="57" t="s">
        <v>124</v>
      </c>
      <c r="M1498" s="60">
        <v>867</v>
      </c>
      <c r="N1498" s="57" t="s">
        <v>120</v>
      </c>
      <c r="O1498" s="61">
        <v>80.92</v>
      </c>
      <c r="P1498" s="61">
        <v>70157.64</v>
      </c>
      <c r="Q1498" s="61">
        <v>1565.6</v>
      </c>
      <c r="R1498" s="62">
        <f t="shared" si="164"/>
        <v>2.2315459870086849E-2</v>
      </c>
      <c r="S1498" s="60">
        <v>24</v>
      </c>
      <c r="T1498" s="58">
        <v>45609</v>
      </c>
      <c r="U1498" s="58">
        <v>45621</v>
      </c>
      <c r="V1498" s="63">
        <f t="shared" si="165"/>
        <v>12</v>
      </c>
      <c r="W1498" s="57" t="s">
        <v>128</v>
      </c>
      <c r="X1498" s="64" t="b">
        <f t="shared" si="166"/>
        <v>0</v>
      </c>
      <c r="Y1498" s="60">
        <v>461</v>
      </c>
      <c r="Z1498" s="60">
        <v>87</v>
      </c>
      <c r="AA1498" s="57" t="s">
        <v>83</v>
      </c>
      <c r="AB1498" s="64" t="b">
        <f t="shared" si="167"/>
        <v>1</v>
      </c>
    </row>
    <row r="1499" spans="1:28" ht="15" customHeight="1" x14ac:dyDescent="0.3">
      <c r="A1499" s="65" t="s">
        <v>3115</v>
      </c>
      <c r="B1499" s="81">
        <v>44958</v>
      </c>
      <c r="C1499" s="59">
        <f t="shared" si="161"/>
        <v>2023</v>
      </c>
      <c r="D1499" s="59">
        <f t="shared" si="162"/>
        <v>2</v>
      </c>
      <c r="E1499" s="59">
        <f t="shared" si="163"/>
        <v>5</v>
      </c>
      <c r="F1499" s="65" t="s">
        <v>53</v>
      </c>
      <c r="G1499" s="65" t="s">
        <v>39</v>
      </c>
      <c r="H1499" s="65" t="s">
        <v>3116</v>
      </c>
      <c r="I1499" s="65" t="s">
        <v>68</v>
      </c>
      <c r="J1499" s="65" t="s">
        <v>151</v>
      </c>
      <c r="K1499" s="65" t="s">
        <v>73</v>
      </c>
      <c r="L1499" s="65" t="s">
        <v>113</v>
      </c>
      <c r="M1499" s="67">
        <v>761</v>
      </c>
      <c r="N1499" s="65" t="s">
        <v>136</v>
      </c>
      <c r="O1499" s="68">
        <v>1530.43</v>
      </c>
      <c r="P1499" s="68">
        <v>1164657.23</v>
      </c>
      <c r="Q1499" s="68">
        <v>84708.86</v>
      </c>
      <c r="R1499" s="62">
        <f t="shared" si="164"/>
        <v>7.2732867506433638E-2</v>
      </c>
      <c r="S1499" s="67">
        <v>25</v>
      </c>
      <c r="T1499" s="66">
        <v>44983</v>
      </c>
      <c r="U1499" s="66">
        <v>44983</v>
      </c>
      <c r="V1499" s="63">
        <f t="shared" si="165"/>
        <v>0</v>
      </c>
      <c r="W1499" s="65" t="s">
        <v>115</v>
      </c>
      <c r="X1499" s="64" t="b">
        <f t="shared" si="166"/>
        <v>1</v>
      </c>
      <c r="Y1499" s="67">
        <v>344</v>
      </c>
      <c r="Z1499" s="67">
        <v>333</v>
      </c>
      <c r="AA1499" s="65" t="s">
        <v>82</v>
      </c>
      <c r="AB1499" s="64" t="b">
        <f t="shared" si="167"/>
        <v>1</v>
      </c>
    </row>
    <row r="1500" spans="1:28" ht="15" customHeight="1" x14ac:dyDescent="0.3">
      <c r="A1500" s="57" t="s">
        <v>3117</v>
      </c>
      <c r="B1500" s="82">
        <v>44989</v>
      </c>
      <c r="C1500" s="59">
        <f t="shared" si="161"/>
        <v>2023</v>
      </c>
      <c r="D1500" s="59">
        <f t="shared" si="162"/>
        <v>3</v>
      </c>
      <c r="E1500" s="59">
        <f t="shared" si="163"/>
        <v>9</v>
      </c>
      <c r="F1500" s="57" t="s">
        <v>57</v>
      </c>
      <c r="G1500" s="57" t="s">
        <v>41</v>
      </c>
      <c r="H1500" s="57" t="s">
        <v>3118</v>
      </c>
      <c r="I1500" s="57" t="s">
        <v>64</v>
      </c>
      <c r="J1500" s="57" t="s">
        <v>151</v>
      </c>
      <c r="K1500" s="57" t="s">
        <v>75</v>
      </c>
      <c r="L1500" s="57" t="s">
        <v>135</v>
      </c>
      <c r="M1500" s="60">
        <v>636</v>
      </c>
      <c r="N1500" s="57" t="s">
        <v>140</v>
      </c>
      <c r="O1500" s="61">
        <v>728.86</v>
      </c>
      <c r="P1500" s="61">
        <v>463554.96</v>
      </c>
      <c r="Q1500" s="61">
        <v>18030.43</v>
      </c>
      <c r="R1500" s="62">
        <f t="shared" si="164"/>
        <v>3.8895991966087472E-2</v>
      </c>
      <c r="S1500" s="60">
        <v>7</v>
      </c>
      <c r="T1500" s="58">
        <v>44996</v>
      </c>
      <c r="U1500" s="58">
        <v>44996</v>
      </c>
      <c r="V1500" s="63">
        <f t="shared" si="165"/>
        <v>0</v>
      </c>
      <c r="W1500" s="57" t="s">
        <v>115</v>
      </c>
      <c r="X1500" s="64" t="b">
        <f t="shared" si="166"/>
        <v>1</v>
      </c>
      <c r="Y1500" s="60">
        <v>237</v>
      </c>
      <c r="Z1500" s="60">
        <v>433</v>
      </c>
      <c r="AA1500" s="57" t="s">
        <v>116</v>
      </c>
      <c r="AB1500" s="64" t="b">
        <f t="shared" si="167"/>
        <v>0</v>
      </c>
    </row>
    <row r="1501" spans="1:28" ht="15" customHeight="1" x14ac:dyDescent="0.3">
      <c r="A1501" s="65" t="s">
        <v>3119</v>
      </c>
      <c r="B1501" s="81">
        <v>45417</v>
      </c>
      <c r="C1501" s="59">
        <f t="shared" si="161"/>
        <v>2024</v>
      </c>
      <c r="D1501" s="59">
        <f t="shared" si="162"/>
        <v>5</v>
      </c>
      <c r="E1501" s="59">
        <f t="shared" si="163"/>
        <v>19</v>
      </c>
      <c r="F1501" s="65" t="s">
        <v>61</v>
      </c>
      <c r="G1501" s="65" t="s">
        <v>46</v>
      </c>
      <c r="H1501" s="65" t="s">
        <v>3120</v>
      </c>
      <c r="I1501" s="65" t="s">
        <v>67</v>
      </c>
      <c r="J1501" s="65" t="s">
        <v>143</v>
      </c>
      <c r="K1501" s="65" t="s">
        <v>75</v>
      </c>
      <c r="L1501" s="65" t="s">
        <v>156</v>
      </c>
      <c r="M1501" s="67">
        <v>35</v>
      </c>
      <c r="N1501" s="65" t="s">
        <v>120</v>
      </c>
      <c r="O1501" s="68">
        <v>61.51</v>
      </c>
      <c r="P1501" s="68">
        <v>3302.8089</v>
      </c>
      <c r="Q1501" s="68">
        <v>142.36009999999999</v>
      </c>
      <c r="R1501" s="62">
        <f t="shared" si="164"/>
        <v>4.3102735977246516E-2</v>
      </c>
      <c r="S1501" s="67">
        <v>20</v>
      </c>
      <c r="T1501" s="66">
        <v>45437</v>
      </c>
      <c r="U1501" s="66">
        <v>45449</v>
      </c>
      <c r="V1501" s="63">
        <f t="shared" si="165"/>
        <v>12</v>
      </c>
      <c r="W1501" s="65" t="s">
        <v>125</v>
      </c>
      <c r="X1501" s="64" t="b">
        <f t="shared" si="166"/>
        <v>0</v>
      </c>
      <c r="Y1501" s="67">
        <v>21</v>
      </c>
      <c r="Z1501" s="67">
        <v>260</v>
      </c>
      <c r="AA1501" s="65" t="s">
        <v>83</v>
      </c>
      <c r="AB1501" s="64" t="b">
        <f t="shared" si="167"/>
        <v>1</v>
      </c>
    </row>
    <row r="1502" spans="1:28" ht="15" customHeight="1" x14ac:dyDescent="0.3">
      <c r="A1502" s="57" t="s">
        <v>3121</v>
      </c>
      <c r="B1502" s="82">
        <v>45338</v>
      </c>
      <c r="C1502" s="59">
        <f t="shared" si="161"/>
        <v>2024</v>
      </c>
      <c r="D1502" s="59">
        <f t="shared" si="162"/>
        <v>2</v>
      </c>
      <c r="E1502" s="59">
        <f t="shared" si="163"/>
        <v>7</v>
      </c>
      <c r="F1502" s="57" t="s">
        <v>57</v>
      </c>
      <c r="G1502" s="57" t="s">
        <v>46</v>
      </c>
      <c r="H1502" s="57" t="s">
        <v>3122</v>
      </c>
      <c r="I1502" s="57" t="s">
        <v>66</v>
      </c>
      <c r="J1502" s="57" t="s">
        <v>131</v>
      </c>
      <c r="K1502" s="57" t="s">
        <v>73</v>
      </c>
      <c r="L1502" s="57" t="s">
        <v>156</v>
      </c>
      <c r="M1502" s="60">
        <v>928</v>
      </c>
      <c r="N1502" s="57" t="s">
        <v>140</v>
      </c>
      <c r="O1502" s="61">
        <v>79.05</v>
      </c>
      <c r="P1502" s="61">
        <v>73358.399999999994</v>
      </c>
      <c r="Q1502" s="61">
        <v>3529.1</v>
      </c>
      <c r="R1502" s="62">
        <f t="shared" si="164"/>
        <v>4.8107646840716264E-2</v>
      </c>
      <c r="S1502" s="60">
        <v>6</v>
      </c>
      <c r="T1502" s="58">
        <v>45344</v>
      </c>
      <c r="U1502" s="58">
        <v>45341</v>
      </c>
      <c r="V1502" s="63">
        <f t="shared" si="165"/>
        <v>-3</v>
      </c>
      <c r="W1502" s="57" t="s">
        <v>115</v>
      </c>
      <c r="X1502" s="64" t="b">
        <f t="shared" si="166"/>
        <v>1</v>
      </c>
      <c r="Y1502" s="60">
        <v>179</v>
      </c>
      <c r="Z1502" s="60">
        <v>493</v>
      </c>
      <c r="AA1502" s="57" t="s">
        <v>116</v>
      </c>
      <c r="AB1502" s="64" t="b">
        <f t="shared" si="167"/>
        <v>0</v>
      </c>
    </row>
    <row r="1503" spans="1:28" ht="15" customHeight="1" x14ac:dyDescent="0.3">
      <c r="A1503" s="65" t="s">
        <v>3123</v>
      </c>
      <c r="B1503" s="81">
        <v>45363</v>
      </c>
      <c r="C1503" s="59">
        <f t="shared" si="161"/>
        <v>2024</v>
      </c>
      <c r="D1503" s="59">
        <f t="shared" si="162"/>
        <v>3</v>
      </c>
      <c r="E1503" s="59">
        <f t="shared" si="163"/>
        <v>11</v>
      </c>
      <c r="F1503" s="65" t="s">
        <v>58</v>
      </c>
      <c r="G1503" s="65" t="s">
        <v>46</v>
      </c>
      <c r="H1503" s="65" t="s">
        <v>3124</v>
      </c>
      <c r="I1503" s="65" t="s">
        <v>65</v>
      </c>
      <c r="J1503" s="65" t="s">
        <v>131</v>
      </c>
      <c r="K1503" s="65" t="s">
        <v>73</v>
      </c>
      <c r="L1503" s="65" t="s">
        <v>119</v>
      </c>
      <c r="M1503" s="67">
        <v>308</v>
      </c>
      <c r="N1503" s="65" t="s">
        <v>120</v>
      </c>
      <c r="O1503" s="68">
        <v>65.23</v>
      </c>
      <c r="P1503" s="68">
        <v>20090.84</v>
      </c>
      <c r="Q1503" s="68">
        <v>1123.05</v>
      </c>
      <c r="R1503" s="62">
        <f t="shared" si="164"/>
        <v>5.5898608520101693E-2</v>
      </c>
      <c r="S1503" s="67">
        <v>21</v>
      </c>
      <c r="T1503" s="66">
        <v>45384</v>
      </c>
      <c r="U1503" s="66">
        <v>45385</v>
      </c>
      <c r="V1503" s="63">
        <f t="shared" si="165"/>
        <v>1</v>
      </c>
      <c r="W1503" s="65" t="s">
        <v>125</v>
      </c>
      <c r="X1503" s="64" t="b">
        <f t="shared" si="166"/>
        <v>0</v>
      </c>
      <c r="Y1503" s="67">
        <v>305</v>
      </c>
      <c r="Z1503" s="67">
        <v>181</v>
      </c>
      <c r="AA1503" s="65" t="s">
        <v>83</v>
      </c>
      <c r="AB1503" s="64" t="b">
        <f t="shared" si="167"/>
        <v>1</v>
      </c>
    </row>
    <row r="1504" spans="1:28" ht="15" customHeight="1" x14ac:dyDescent="0.3">
      <c r="A1504" s="57" t="s">
        <v>3125</v>
      </c>
      <c r="B1504" s="82">
        <v>45629</v>
      </c>
      <c r="C1504" s="59">
        <f t="shared" si="161"/>
        <v>2024</v>
      </c>
      <c r="D1504" s="59">
        <f t="shared" si="162"/>
        <v>12</v>
      </c>
      <c r="E1504" s="59">
        <f t="shared" si="163"/>
        <v>49</v>
      </c>
      <c r="F1504" s="57" t="s">
        <v>52</v>
      </c>
      <c r="G1504" s="57" t="s">
        <v>43</v>
      </c>
      <c r="H1504" s="57" t="s">
        <v>3126</v>
      </c>
      <c r="I1504" s="57" t="s">
        <v>66</v>
      </c>
      <c r="J1504" s="57" t="s">
        <v>131</v>
      </c>
      <c r="K1504" s="57" t="s">
        <v>74</v>
      </c>
      <c r="L1504" s="57" t="s">
        <v>146</v>
      </c>
      <c r="M1504" s="60">
        <v>86</v>
      </c>
      <c r="N1504" s="57" t="s">
        <v>114</v>
      </c>
      <c r="O1504" s="61">
        <v>283.61</v>
      </c>
      <c r="P1504" s="61">
        <v>24390.46</v>
      </c>
      <c r="Q1504" s="61">
        <v>533.13</v>
      </c>
      <c r="R1504" s="62">
        <f t="shared" si="164"/>
        <v>2.1858136336912054E-2</v>
      </c>
      <c r="S1504" s="60">
        <v>24</v>
      </c>
      <c r="T1504" s="58">
        <v>45653</v>
      </c>
      <c r="U1504" s="58">
        <v>45652</v>
      </c>
      <c r="V1504" s="63">
        <f t="shared" si="165"/>
        <v>-1</v>
      </c>
      <c r="W1504" s="57" t="s">
        <v>115</v>
      </c>
      <c r="X1504" s="64" t="b">
        <f t="shared" si="166"/>
        <v>1</v>
      </c>
      <c r="Y1504" s="60">
        <v>46</v>
      </c>
      <c r="Z1504" s="60">
        <v>341</v>
      </c>
      <c r="AA1504" s="57" t="s">
        <v>83</v>
      </c>
      <c r="AB1504" s="64" t="b">
        <f t="shared" si="167"/>
        <v>1</v>
      </c>
    </row>
    <row r="1505" spans="1:28" ht="15" customHeight="1" x14ac:dyDescent="0.3">
      <c r="A1505" s="65" t="s">
        <v>3127</v>
      </c>
      <c r="B1505" s="81">
        <v>45037</v>
      </c>
      <c r="C1505" s="59">
        <f t="shared" si="161"/>
        <v>2023</v>
      </c>
      <c r="D1505" s="59">
        <f t="shared" si="162"/>
        <v>4</v>
      </c>
      <c r="E1505" s="59">
        <f t="shared" si="163"/>
        <v>16</v>
      </c>
      <c r="F1505" s="65" t="s">
        <v>52</v>
      </c>
      <c r="G1505" s="65" t="s">
        <v>45</v>
      </c>
      <c r="H1505" s="65" t="s">
        <v>3128</v>
      </c>
      <c r="I1505" s="65" t="s">
        <v>64</v>
      </c>
      <c r="J1505" s="65" t="s">
        <v>123</v>
      </c>
      <c r="K1505" s="65" t="s">
        <v>73</v>
      </c>
      <c r="L1505" s="65" t="s">
        <v>113</v>
      </c>
      <c r="M1505" s="67">
        <v>933</v>
      </c>
      <c r="N1505" s="65" t="s">
        <v>114</v>
      </c>
      <c r="O1505" s="68">
        <v>285.24</v>
      </c>
      <c r="P1505" s="68">
        <v>266128.92</v>
      </c>
      <c r="Q1505" s="68">
        <v>9712.0400000000009</v>
      </c>
      <c r="R1505" s="62">
        <f t="shared" si="164"/>
        <v>3.6493741454329737E-2</v>
      </c>
      <c r="S1505" s="67">
        <v>1</v>
      </c>
      <c r="T1505" s="66">
        <v>45038</v>
      </c>
      <c r="U1505" s="66">
        <v>45037</v>
      </c>
      <c r="V1505" s="63">
        <f t="shared" si="165"/>
        <v>-1</v>
      </c>
      <c r="W1505" s="65" t="s">
        <v>115</v>
      </c>
      <c r="X1505" s="64" t="b">
        <f t="shared" si="166"/>
        <v>1</v>
      </c>
      <c r="Y1505" s="67">
        <v>278</v>
      </c>
      <c r="Z1505" s="67">
        <v>441</v>
      </c>
      <c r="AA1505" s="65" t="s">
        <v>82</v>
      </c>
      <c r="AB1505" s="64" t="b">
        <f t="shared" si="167"/>
        <v>1</v>
      </c>
    </row>
    <row r="1506" spans="1:28" ht="15" customHeight="1" x14ac:dyDescent="0.3">
      <c r="A1506" s="57" t="s">
        <v>3129</v>
      </c>
      <c r="B1506" s="82">
        <v>45429</v>
      </c>
      <c r="C1506" s="59">
        <f t="shared" si="161"/>
        <v>2024</v>
      </c>
      <c r="D1506" s="59">
        <f t="shared" si="162"/>
        <v>5</v>
      </c>
      <c r="E1506" s="59">
        <f t="shared" si="163"/>
        <v>20</v>
      </c>
      <c r="F1506" s="57" t="s">
        <v>59</v>
      </c>
      <c r="G1506" s="57" t="s">
        <v>42</v>
      </c>
      <c r="H1506" s="57" t="s">
        <v>3130</v>
      </c>
      <c r="I1506" s="57" t="s">
        <v>69</v>
      </c>
      <c r="J1506" s="57" t="s">
        <v>139</v>
      </c>
      <c r="K1506" s="57" t="s">
        <v>72</v>
      </c>
      <c r="L1506" s="57" t="s">
        <v>135</v>
      </c>
      <c r="M1506" s="60">
        <v>146</v>
      </c>
      <c r="N1506" s="57" t="s">
        <v>120</v>
      </c>
      <c r="O1506" s="61">
        <v>61.59</v>
      </c>
      <c r="P1506" s="61">
        <v>8992.14</v>
      </c>
      <c r="Q1506" s="61">
        <v>197.54</v>
      </c>
      <c r="R1506" s="62">
        <f t="shared" si="164"/>
        <v>2.1968074340479576E-2</v>
      </c>
      <c r="S1506" s="60">
        <v>17</v>
      </c>
      <c r="T1506" s="58">
        <v>45446</v>
      </c>
      <c r="U1506" s="58">
        <v>45454</v>
      </c>
      <c r="V1506" s="63">
        <f t="shared" si="165"/>
        <v>8</v>
      </c>
      <c r="W1506" s="57" t="s">
        <v>125</v>
      </c>
      <c r="X1506" s="64" t="b">
        <f t="shared" si="166"/>
        <v>0</v>
      </c>
      <c r="Y1506" s="60">
        <v>223</v>
      </c>
      <c r="Z1506" s="60">
        <v>21</v>
      </c>
      <c r="AA1506" s="57" t="s">
        <v>81</v>
      </c>
      <c r="AB1506" s="64" t="b">
        <f t="shared" si="167"/>
        <v>1</v>
      </c>
    </row>
    <row r="1507" spans="1:28" ht="15" customHeight="1" x14ac:dyDescent="0.3">
      <c r="A1507" s="65" t="s">
        <v>3131</v>
      </c>
      <c r="B1507" s="81">
        <v>45656</v>
      </c>
      <c r="C1507" s="59">
        <f t="shared" si="161"/>
        <v>2024</v>
      </c>
      <c r="D1507" s="59">
        <f t="shared" si="162"/>
        <v>12</v>
      </c>
      <c r="E1507" s="59">
        <f t="shared" si="163"/>
        <v>53</v>
      </c>
      <c r="F1507" s="65" t="s">
        <v>58</v>
      </c>
      <c r="G1507" s="65" t="s">
        <v>40</v>
      </c>
      <c r="H1507" s="65" t="s">
        <v>3132</v>
      </c>
      <c r="I1507" s="65" t="s">
        <v>67</v>
      </c>
      <c r="J1507" s="65" t="s">
        <v>131</v>
      </c>
      <c r="K1507" s="65" t="s">
        <v>71</v>
      </c>
      <c r="L1507" s="65" t="s">
        <v>146</v>
      </c>
      <c r="M1507" s="67">
        <v>29</v>
      </c>
      <c r="N1507" s="65" t="s">
        <v>136</v>
      </c>
      <c r="O1507" s="68">
        <v>1159.3599999999999</v>
      </c>
      <c r="P1507" s="68">
        <v>33621.440000000002</v>
      </c>
      <c r="Q1507" s="68">
        <v>1520.37</v>
      </c>
      <c r="R1507" s="62">
        <f t="shared" si="164"/>
        <v>4.5220252315189349E-2</v>
      </c>
      <c r="S1507" s="67">
        <v>29</v>
      </c>
      <c r="T1507" s="66">
        <v>45685</v>
      </c>
      <c r="U1507" s="66">
        <v>45682</v>
      </c>
      <c r="V1507" s="63">
        <f t="shared" si="165"/>
        <v>-3</v>
      </c>
      <c r="W1507" s="65" t="s">
        <v>115</v>
      </c>
      <c r="X1507" s="64" t="b">
        <f t="shared" si="166"/>
        <v>1</v>
      </c>
      <c r="Y1507" s="67">
        <v>217</v>
      </c>
      <c r="Z1507" s="67">
        <v>73</v>
      </c>
      <c r="AA1507" s="65" t="s">
        <v>116</v>
      </c>
      <c r="AB1507" s="64" t="b">
        <f t="shared" si="167"/>
        <v>0</v>
      </c>
    </row>
    <row r="1508" spans="1:28" ht="15" customHeight="1" x14ac:dyDescent="0.3">
      <c r="A1508" s="57" t="s">
        <v>3133</v>
      </c>
      <c r="B1508" s="82">
        <v>45381</v>
      </c>
      <c r="C1508" s="59">
        <f t="shared" si="161"/>
        <v>2024</v>
      </c>
      <c r="D1508" s="59">
        <f t="shared" si="162"/>
        <v>3</v>
      </c>
      <c r="E1508" s="59">
        <f t="shared" si="163"/>
        <v>13</v>
      </c>
      <c r="F1508" s="57" t="s">
        <v>53</v>
      </c>
      <c r="G1508" s="57" t="s">
        <v>41</v>
      </c>
      <c r="H1508" s="57" t="s">
        <v>3134</v>
      </c>
      <c r="I1508" s="57" t="s">
        <v>69</v>
      </c>
      <c r="J1508" s="57" t="s">
        <v>123</v>
      </c>
      <c r="K1508" s="57" t="s">
        <v>74</v>
      </c>
      <c r="L1508" s="57" t="s">
        <v>146</v>
      </c>
      <c r="M1508" s="60">
        <v>449</v>
      </c>
      <c r="N1508" s="57" t="s">
        <v>140</v>
      </c>
      <c r="O1508" s="61">
        <v>680.21</v>
      </c>
      <c r="P1508" s="61">
        <v>305414.28999999998</v>
      </c>
      <c r="Q1508" s="61">
        <v>22510.87</v>
      </c>
      <c r="R1508" s="62">
        <f t="shared" si="164"/>
        <v>7.3706014214331622E-2</v>
      </c>
      <c r="S1508" s="60">
        <v>11</v>
      </c>
      <c r="T1508" s="58">
        <v>45392</v>
      </c>
      <c r="U1508" s="58">
        <v>45400</v>
      </c>
      <c r="V1508" s="63">
        <f t="shared" si="165"/>
        <v>8</v>
      </c>
      <c r="W1508" s="57" t="s">
        <v>128</v>
      </c>
      <c r="X1508" s="64" t="b">
        <f t="shared" si="166"/>
        <v>0</v>
      </c>
      <c r="Y1508" s="60">
        <v>498</v>
      </c>
      <c r="Z1508" s="60">
        <v>89</v>
      </c>
      <c r="AA1508" s="57" t="s">
        <v>116</v>
      </c>
      <c r="AB1508" s="64" t="b">
        <f t="shared" si="167"/>
        <v>0</v>
      </c>
    </row>
    <row r="1509" spans="1:28" ht="15" customHeight="1" x14ac:dyDescent="0.3">
      <c r="A1509" s="65" t="s">
        <v>3135</v>
      </c>
      <c r="B1509" s="81">
        <v>45002</v>
      </c>
      <c r="C1509" s="59">
        <f t="shared" si="161"/>
        <v>2023</v>
      </c>
      <c r="D1509" s="59">
        <f t="shared" si="162"/>
        <v>3</v>
      </c>
      <c r="E1509" s="59">
        <f t="shared" si="163"/>
        <v>11</v>
      </c>
      <c r="F1509" s="65" t="s">
        <v>52</v>
      </c>
      <c r="G1509" s="65" t="s">
        <v>39</v>
      </c>
      <c r="H1509" s="65" t="s">
        <v>3136</v>
      </c>
      <c r="I1509" s="65" t="s">
        <v>64</v>
      </c>
      <c r="J1509" s="65" t="s">
        <v>139</v>
      </c>
      <c r="K1509" s="65" t="s">
        <v>73</v>
      </c>
      <c r="L1509" s="65" t="s">
        <v>124</v>
      </c>
      <c r="M1509" s="67">
        <v>220</v>
      </c>
      <c r="N1509" s="65" t="s">
        <v>163</v>
      </c>
      <c r="O1509" s="68">
        <v>1999.57</v>
      </c>
      <c r="P1509" s="68">
        <v>439905.4</v>
      </c>
      <c r="Q1509" s="68">
        <v>34734.550000000003</v>
      </c>
      <c r="R1509" s="62">
        <f t="shared" si="164"/>
        <v>7.8959135304999664E-2</v>
      </c>
      <c r="S1509" s="67">
        <v>22</v>
      </c>
      <c r="T1509" s="66">
        <v>45024</v>
      </c>
      <c r="U1509" s="66">
        <v>45026</v>
      </c>
      <c r="V1509" s="63">
        <f t="shared" si="165"/>
        <v>2</v>
      </c>
      <c r="W1509" s="65" t="s">
        <v>128</v>
      </c>
      <c r="X1509" s="64" t="b">
        <f t="shared" si="166"/>
        <v>0</v>
      </c>
      <c r="Y1509" s="67">
        <v>474</v>
      </c>
      <c r="Z1509" s="67">
        <v>334</v>
      </c>
      <c r="AA1509" s="65" t="s">
        <v>116</v>
      </c>
      <c r="AB1509" s="64" t="b">
        <f t="shared" si="167"/>
        <v>0</v>
      </c>
    </row>
    <row r="1510" spans="1:28" ht="15" customHeight="1" x14ac:dyDescent="0.3">
      <c r="A1510" s="57" t="s">
        <v>3137</v>
      </c>
      <c r="B1510" s="82">
        <v>45009</v>
      </c>
      <c r="C1510" s="59">
        <f t="shared" si="161"/>
        <v>2023</v>
      </c>
      <c r="D1510" s="59">
        <f t="shared" si="162"/>
        <v>3</v>
      </c>
      <c r="E1510" s="59">
        <f t="shared" si="163"/>
        <v>12</v>
      </c>
      <c r="F1510" s="57" t="s">
        <v>56</v>
      </c>
      <c r="G1510" s="57" t="s">
        <v>39</v>
      </c>
      <c r="H1510" s="57" t="s">
        <v>3138</v>
      </c>
      <c r="I1510" s="57" t="s">
        <v>67</v>
      </c>
      <c r="J1510" s="57" t="s">
        <v>131</v>
      </c>
      <c r="K1510" s="57" t="s">
        <v>71</v>
      </c>
      <c r="L1510" s="57" t="s">
        <v>124</v>
      </c>
      <c r="M1510" s="60">
        <v>761</v>
      </c>
      <c r="N1510" s="57" t="s">
        <v>120</v>
      </c>
      <c r="O1510" s="61">
        <v>1291.0899999999999</v>
      </c>
      <c r="P1510" s="61">
        <v>982519.49</v>
      </c>
      <c r="Q1510" s="61">
        <v>57205.09</v>
      </c>
      <c r="R1510" s="62">
        <f t="shared" si="164"/>
        <v>5.8222855202597554E-2</v>
      </c>
      <c r="S1510" s="60">
        <v>26</v>
      </c>
      <c r="T1510" s="58">
        <v>45035</v>
      </c>
      <c r="U1510" s="58">
        <v>45035</v>
      </c>
      <c r="V1510" s="63">
        <f t="shared" si="165"/>
        <v>0</v>
      </c>
      <c r="W1510" s="57" t="s">
        <v>115</v>
      </c>
      <c r="X1510" s="64" t="b">
        <f t="shared" si="166"/>
        <v>1</v>
      </c>
      <c r="Y1510" s="60">
        <v>236</v>
      </c>
      <c r="Z1510" s="60">
        <v>165</v>
      </c>
      <c r="AA1510" s="57" t="s">
        <v>81</v>
      </c>
      <c r="AB1510" s="64" t="b">
        <f t="shared" si="167"/>
        <v>1</v>
      </c>
    </row>
    <row r="1511" spans="1:28" ht="15" customHeight="1" x14ac:dyDescent="0.3">
      <c r="A1511" s="65" t="s">
        <v>3139</v>
      </c>
      <c r="B1511" s="81">
        <v>45256</v>
      </c>
      <c r="C1511" s="59">
        <f t="shared" si="161"/>
        <v>2023</v>
      </c>
      <c r="D1511" s="59">
        <f t="shared" si="162"/>
        <v>11</v>
      </c>
      <c r="E1511" s="59">
        <f t="shared" si="163"/>
        <v>48</v>
      </c>
      <c r="F1511" s="65" t="s">
        <v>53</v>
      </c>
      <c r="G1511" s="65" t="s">
        <v>40</v>
      </c>
      <c r="H1511" s="65" t="s">
        <v>3140</v>
      </c>
      <c r="I1511" s="65" t="s">
        <v>68</v>
      </c>
      <c r="J1511" s="65" t="s">
        <v>151</v>
      </c>
      <c r="K1511" s="65" t="s">
        <v>74</v>
      </c>
      <c r="L1511" s="65" t="s">
        <v>135</v>
      </c>
      <c r="M1511" s="67">
        <v>560</v>
      </c>
      <c r="N1511" s="65" t="s">
        <v>120</v>
      </c>
      <c r="O1511" s="68">
        <v>1075.28</v>
      </c>
      <c r="P1511" s="68">
        <v>602156.80000000005</v>
      </c>
      <c r="Q1511" s="68">
        <v>17883.009999999998</v>
      </c>
      <c r="R1511" s="62">
        <f t="shared" si="164"/>
        <v>2.9698261316653731E-2</v>
      </c>
      <c r="S1511" s="67">
        <v>28</v>
      </c>
      <c r="T1511" s="66">
        <v>45284</v>
      </c>
      <c r="U1511" s="66">
        <v>45279</v>
      </c>
      <c r="V1511" s="63">
        <f t="shared" si="165"/>
        <v>-5</v>
      </c>
      <c r="W1511" s="65" t="s">
        <v>115</v>
      </c>
      <c r="X1511" s="64" t="b">
        <f t="shared" si="166"/>
        <v>1</v>
      </c>
      <c r="Y1511" s="67">
        <v>203</v>
      </c>
      <c r="Z1511" s="67">
        <v>488</v>
      </c>
      <c r="AA1511" s="65" t="s">
        <v>82</v>
      </c>
      <c r="AB1511" s="64" t="b">
        <f t="shared" si="167"/>
        <v>1</v>
      </c>
    </row>
    <row r="1512" spans="1:28" ht="15" customHeight="1" x14ac:dyDescent="0.3">
      <c r="A1512" s="57" t="s">
        <v>3141</v>
      </c>
      <c r="B1512" s="82">
        <v>45549</v>
      </c>
      <c r="C1512" s="59">
        <f t="shared" si="161"/>
        <v>2024</v>
      </c>
      <c r="D1512" s="59">
        <f t="shared" si="162"/>
        <v>9</v>
      </c>
      <c r="E1512" s="59">
        <f t="shared" si="163"/>
        <v>37</v>
      </c>
      <c r="F1512" s="57" t="s">
        <v>58</v>
      </c>
      <c r="G1512" s="57" t="s">
        <v>42</v>
      </c>
      <c r="H1512" s="57" t="s">
        <v>3142</v>
      </c>
      <c r="I1512" s="57" t="s">
        <v>68</v>
      </c>
      <c r="J1512" s="57" t="s">
        <v>112</v>
      </c>
      <c r="K1512" s="57" t="s">
        <v>72</v>
      </c>
      <c r="L1512" s="57" t="s">
        <v>135</v>
      </c>
      <c r="M1512" s="60">
        <v>444</v>
      </c>
      <c r="N1512" s="57" t="s">
        <v>114</v>
      </c>
      <c r="O1512" s="61">
        <v>110.41</v>
      </c>
      <c r="P1512" s="61">
        <v>49022.04</v>
      </c>
      <c r="Q1512" s="61">
        <v>3644.84</v>
      </c>
      <c r="R1512" s="62">
        <f t="shared" si="164"/>
        <v>7.435104699845213E-2</v>
      </c>
      <c r="S1512" s="60">
        <v>18</v>
      </c>
      <c r="T1512" s="58">
        <v>45567</v>
      </c>
      <c r="U1512" s="58">
        <v>45579</v>
      </c>
      <c r="V1512" s="63">
        <f t="shared" si="165"/>
        <v>12</v>
      </c>
      <c r="W1512" s="57" t="s">
        <v>128</v>
      </c>
      <c r="X1512" s="64" t="b">
        <f t="shared" si="166"/>
        <v>0</v>
      </c>
      <c r="Y1512" s="60">
        <v>338</v>
      </c>
      <c r="Z1512" s="60">
        <v>233</v>
      </c>
      <c r="AA1512" s="57" t="s">
        <v>81</v>
      </c>
      <c r="AB1512" s="64" t="b">
        <f t="shared" si="167"/>
        <v>1</v>
      </c>
    </row>
    <row r="1513" spans="1:28" ht="15" customHeight="1" x14ac:dyDescent="0.3">
      <c r="A1513" s="65" t="s">
        <v>3143</v>
      </c>
      <c r="B1513" s="81">
        <v>45078</v>
      </c>
      <c r="C1513" s="59">
        <f t="shared" si="161"/>
        <v>2023</v>
      </c>
      <c r="D1513" s="59">
        <f t="shared" si="162"/>
        <v>6</v>
      </c>
      <c r="E1513" s="59">
        <f t="shared" si="163"/>
        <v>22</v>
      </c>
      <c r="F1513" s="65" t="s">
        <v>58</v>
      </c>
      <c r="G1513" s="65" t="s">
        <v>46</v>
      </c>
      <c r="H1513" s="65" t="s">
        <v>3144</v>
      </c>
      <c r="I1513" s="65" t="s">
        <v>66</v>
      </c>
      <c r="J1513" s="65" t="s">
        <v>131</v>
      </c>
      <c r="K1513" s="65" t="s">
        <v>71</v>
      </c>
      <c r="L1513" s="65" t="s">
        <v>135</v>
      </c>
      <c r="M1513" s="67">
        <v>789</v>
      </c>
      <c r="N1513" s="65" t="s">
        <v>132</v>
      </c>
      <c r="O1513" s="68">
        <v>55.88</v>
      </c>
      <c r="P1513" s="68">
        <v>44089.32</v>
      </c>
      <c r="Q1513" s="68">
        <v>2247.4499999999998</v>
      </c>
      <c r="R1513" s="62">
        <f t="shared" si="164"/>
        <v>5.097492998304351E-2</v>
      </c>
      <c r="S1513" s="67">
        <v>21</v>
      </c>
      <c r="T1513" s="66">
        <v>45099</v>
      </c>
      <c r="U1513" s="66">
        <v>45094</v>
      </c>
      <c r="V1513" s="63">
        <f t="shared" si="165"/>
        <v>-5</v>
      </c>
      <c r="W1513" s="65" t="s">
        <v>115</v>
      </c>
      <c r="X1513" s="64" t="b">
        <f t="shared" si="166"/>
        <v>1</v>
      </c>
      <c r="Y1513" s="67">
        <v>18</v>
      </c>
      <c r="Z1513" s="67">
        <v>374</v>
      </c>
      <c r="AA1513" s="65" t="s">
        <v>116</v>
      </c>
      <c r="AB1513" s="64" t="b">
        <f t="shared" si="167"/>
        <v>0</v>
      </c>
    </row>
    <row r="1514" spans="1:28" ht="15" customHeight="1" x14ac:dyDescent="0.3">
      <c r="A1514" s="57" t="s">
        <v>3145</v>
      </c>
      <c r="B1514" s="82">
        <v>44994</v>
      </c>
      <c r="C1514" s="59">
        <f t="shared" si="161"/>
        <v>2023</v>
      </c>
      <c r="D1514" s="59">
        <f t="shared" si="162"/>
        <v>3</v>
      </c>
      <c r="E1514" s="59">
        <f t="shared" si="163"/>
        <v>10</v>
      </c>
      <c r="F1514" s="57" t="s">
        <v>59</v>
      </c>
      <c r="G1514" s="57" t="s">
        <v>45</v>
      </c>
      <c r="H1514" s="57" t="s">
        <v>3146</v>
      </c>
      <c r="I1514" s="57" t="s">
        <v>66</v>
      </c>
      <c r="J1514" s="57" t="s">
        <v>112</v>
      </c>
      <c r="K1514" s="57" t="s">
        <v>73</v>
      </c>
      <c r="L1514" s="57" t="s">
        <v>135</v>
      </c>
      <c r="M1514" s="60">
        <v>216</v>
      </c>
      <c r="N1514" s="57" t="s">
        <v>114</v>
      </c>
      <c r="O1514" s="61">
        <v>292.36</v>
      </c>
      <c r="P1514" s="61">
        <v>63149.760000000002</v>
      </c>
      <c r="Q1514" s="61">
        <v>1845.55</v>
      </c>
      <c r="R1514" s="62">
        <f t="shared" si="164"/>
        <v>2.9224972509792592E-2</v>
      </c>
      <c r="S1514" s="60">
        <v>17</v>
      </c>
      <c r="T1514" s="58">
        <v>45011</v>
      </c>
      <c r="U1514" s="58">
        <v>45012</v>
      </c>
      <c r="V1514" s="63">
        <f t="shared" si="165"/>
        <v>1</v>
      </c>
      <c r="W1514" s="57" t="s">
        <v>125</v>
      </c>
      <c r="X1514" s="64" t="b">
        <f t="shared" si="166"/>
        <v>0</v>
      </c>
      <c r="Y1514" s="60">
        <v>179</v>
      </c>
      <c r="Z1514" s="60">
        <v>432</v>
      </c>
      <c r="AA1514" s="57" t="s">
        <v>82</v>
      </c>
      <c r="AB1514" s="64" t="b">
        <f t="shared" si="167"/>
        <v>1</v>
      </c>
    </row>
    <row r="1515" spans="1:28" ht="15" customHeight="1" x14ac:dyDescent="0.3">
      <c r="A1515" s="65" t="s">
        <v>3147</v>
      </c>
      <c r="B1515" s="81">
        <v>45056</v>
      </c>
      <c r="C1515" s="59">
        <f t="shared" si="161"/>
        <v>2023</v>
      </c>
      <c r="D1515" s="59">
        <f t="shared" si="162"/>
        <v>5</v>
      </c>
      <c r="E1515" s="59">
        <f t="shared" si="163"/>
        <v>19</v>
      </c>
      <c r="F1515" s="65" t="s">
        <v>54</v>
      </c>
      <c r="G1515" s="65" t="s">
        <v>41</v>
      </c>
      <c r="H1515" s="65" t="s">
        <v>3148</v>
      </c>
      <c r="I1515" s="65" t="s">
        <v>64</v>
      </c>
      <c r="J1515" s="65" t="s">
        <v>131</v>
      </c>
      <c r="K1515" s="65" t="s">
        <v>73</v>
      </c>
      <c r="L1515" s="65" t="s">
        <v>156</v>
      </c>
      <c r="M1515" s="67">
        <v>448</v>
      </c>
      <c r="N1515" s="65" t="s">
        <v>140</v>
      </c>
      <c r="O1515" s="68">
        <v>369.94</v>
      </c>
      <c r="P1515" s="68">
        <v>165733.12</v>
      </c>
      <c r="Q1515" s="68">
        <v>12480.3</v>
      </c>
      <c r="R1515" s="62">
        <f t="shared" si="164"/>
        <v>7.5303596529166891E-2</v>
      </c>
      <c r="S1515" s="67">
        <v>7</v>
      </c>
      <c r="T1515" s="66">
        <v>45063</v>
      </c>
      <c r="U1515" s="66">
        <v>45065</v>
      </c>
      <c r="V1515" s="63">
        <f t="shared" si="165"/>
        <v>2</v>
      </c>
      <c r="W1515" s="65" t="s">
        <v>128</v>
      </c>
      <c r="X1515" s="64" t="b">
        <f t="shared" si="166"/>
        <v>0</v>
      </c>
      <c r="Y1515" s="67">
        <v>161</v>
      </c>
      <c r="Z1515" s="67">
        <v>128</v>
      </c>
      <c r="AA1515" s="65" t="s">
        <v>82</v>
      </c>
      <c r="AB1515" s="64" t="b">
        <f t="shared" si="167"/>
        <v>1</v>
      </c>
    </row>
    <row r="1516" spans="1:28" ht="15" customHeight="1" x14ac:dyDescent="0.3">
      <c r="A1516" s="57" t="s">
        <v>3149</v>
      </c>
      <c r="B1516" s="82">
        <v>45208</v>
      </c>
      <c r="C1516" s="59">
        <f t="shared" si="161"/>
        <v>2023</v>
      </c>
      <c r="D1516" s="59">
        <f t="shared" si="162"/>
        <v>10</v>
      </c>
      <c r="E1516" s="59">
        <f t="shared" si="163"/>
        <v>41</v>
      </c>
      <c r="F1516" s="57" t="s">
        <v>52</v>
      </c>
      <c r="G1516" s="57" t="s">
        <v>39</v>
      </c>
      <c r="H1516" s="57" t="s">
        <v>3150</v>
      </c>
      <c r="I1516" s="57" t="s">
        <v>68</v>
      </c>
      <c r="J1516" s="57" t="s">
        <v>151</v>
      </c>
      <c r="K1516" s="57" t="s">
        <v>72</v>
      </c>
      <c r="L1516" s="57" t="s">
        <v>146</v>
      </c>
      <c r="M1516" s="60">
        <v>983</v>
      </c>
      <c r="N1516" s="57" t="s">
        <v>114</v>
      </c>
      <c r="O1516" s="61">
        <v>1229.8900000000001</v>
      </c>
      <c r="P1516" s="61">
        <v>1208981.8700000001</v>
      </c>
      <c r="Q1516" s="61">
        <v>79125.62</v>
      </c>
      <c r="R1516" s="62">
        <f t="shared" si="164"/>
        <v>6.5448144396077657E-2</v>
      </c>
      <c r="S1516" s="60">
        <v>17</v>
      </c>
      <c r="T1516" s="58">
        <v>45225</v>
      </c>
      <c r="U1516" s="58">
        <v>45225</v>
      </c>
      <c r="V1516" s="63">
        <f t="shared" si="165"/>
        <v>0</v>
      </c>
      <c r="W1516" s="57" t="s">
        <v>115</v>
      </c>
      <c r="X1516" s="64" t="b">
        <f t="shared" si="166"/>
        <v>1</v>
      </c>
      <c r="Y1516" s="60">
        <v>479</v>
      </c>
      <c r="Z1516" s="60">
        <v>333</v>
      </c>
      <c r="AA1516" s="57" t="s">
        <v>84</v>
      </c>
      <c r="AB1516" s="64" t="b">
        <f t="shared" si="167"/>
        <v>1</v>
      </c>
    </row>
    <row r="1517" spans="1:28" ht="15" customHeight="1" x14ac:dyDescent="0.3">
      <c r="A1517" s="65" t="s">
        <v>3151</v>
      </c>
      <c r="B1517" s="81">
        <v>45566</v>
      </c>
      <c r="C1517" s="59">
        <f t="shared" si="161"/>
        <v>2024</v>
      </c>
      <c r="D1517" s="59">
        <f t="shared" si="162"/>
        <v>10</v>
      </c>
      <c r="E1517" s="59">
        <f t="shared" si="163"/>
        <v>40</v>
      </c>
      <c r="F1517" s="65" t="s">
        <v>58</v>
      </c>
      <c r="G1517" s="65" t="s">
        <v>40</v>
      </c>
      <c r="H1517" s="65" t="s">
        <v>3152</v>
      </c>
      <c r="I1517" s="65" t="s">
        <v>67</v>
      </c>
      <c r="J1517" s="65" t="s">
        <v>112</v>
      </c>
      <c r="K1517" s="65" t="s">
        <v>74</v>
      </c>
      <c r="L1517" s="65" t="s">
        <v>146</v>
      </c>
      <c r="M1517" s="67">
        <v>788</v>
      </c>
      <c r="N1517" s="65" t="s">
        <v>163</v>
      </c>
      <c r="O1517" s="68">
        <v>904.05</v>
      </c>
      <c r="P1517" s="68">
        <v>712391.4</v>
      </c>
      <c r="Q1517" s="68">
        <v>45523.46</v>
      </c>
      <c r="R1517" s="62">
        <f t="shared" si="164"/>
        <v>6.390231549679011E-2</v>
      </c>
      <c r="S1517" s="67">
        <v>20</v>
      </c>
      <c r="T1517" s="66">
        <v>45586</v>
      </c>
      <c r="U1517" s="66">
        <v>45598</v>
      </c>
      <c r="V1517" s="63">
        <f t="shared" si="165"/>
        <v>12</v>
      </c>
      <c r="W1517" s="65" t="s">
        <v>128</v>
      </c>
      <c r="X1517" s="64" t="b">
        <f t="shared" si="166"/>
        <v>0</v>
      </c>
      <c r="Y1517" s="67">
        <v>284</v>
      </c>
      <c r="Z1517" s="67">
        <v>291</v>
      </c>
      <c r="AA1517" s="65" t="s">
        <v>81</v>
      </c>
      <c r="AB1517" s="64" t="b">
        <f t="shared" si="167"/>
        <v>1</v>
      </c>
    </row>
    <row r="1518" spans="1:28" ht="15" customHeight="1" x14ac:dyDescent="0.3">
      <c r="A1518" s="57" t="s">
        <v>3153</v>
      </c>
      <c r="B1518" s="82">
        <v>45575</v>
      </c>
      <c r="C1518" s="59">
        <f t="shared" si="161"/>
        <v>2024</v>
      </c>
      <c r="D1518" s="59">
        <f t="shared" si="162"/>
        <v>10</v>
      </c>
      <c r="E1518" s="59">
        <f t="shared" si="163"/>
        <v>41</v>
      </c>
      <c r="F1518" s="57" t="s">
        <v>58</v>
      </c>
      <c r="G1518" s="57" t="s">
        <v>44</v>
      </c>
      <c r="H1518" s="57" t="s">
        <v>3154</v>
      </c>
      <c r="I1518" s="57" t="s">
        <v>68</v>
      </c>
      <c r="J1518" s="57" t="s">
        <v>123</v>
      </c>
      <c r="K1518" s="57" t="s">
        <v>71</v>
      </c>
      <c r="L1518" s="57" t="s">
        <v>156</v>
      </c>
      <c r="M1518" s="60">
        <v>675</v>
      </c>
      <c r="N1518" s="57" t="s">
        <v>136</v>
      </c>
      <c r="O1518" s="61">
        <v>139.28</v>
      </c>
      <c r="P1518" s="61">
        <v>94014</v>
      </c>
      <c r="Q1518" s="61">
        <v>5880.65</v>
      </c>
      <c r="R1518" s="62">
        <f t="shared" si="164"/>
        <v>6.2550790307826495E-2</v>
      </c>
      <c r="S1518" s="60">
        <v>9</v>
      </c>
      <c r="T1518" s="58">
        <v>45584</v>
      </c>
      <c r="U1518" s="58">
        <v>45592</v>
      </c>
      <c r="V1518" s="63">
        <f t="shared" si="165"/>
        <v>8</v>
      </c>
      <c r="W1518" s="57" t="s">
        <v>128</v>
      </c>
      <c r="X1518" s="64" t="b">
        <f t="shared" si="166"/>
        <v>0</v>
      </c>
      <c r="Y1518" s="60">
        <v>60</v>
      </c>
      <c r="Z1518" s="60">
        <v>94</v>
      </c>
      <c r="AA1518" s="57" t="s">
        <v>81</v>
      </c>
      <c r="AB1518" s="64" t="b">
        <f t="shared" si="167"/>
        <v>1</v>
      </c>
    </row>
    <row r="1519" spans="1:28" ht="15" customHeight="1" x14ac:dyDescent="0.3">
      <c r="A1519" s="65" t="s">
        <v>3155</v>
      </c>
      <c r="B1519" s="81">
        <v>45526</v>
      </c>
      <c r="C1519" s="59">
        <f t="shared" si="161"/>
        <v>2024</v>
      </c>
      <c r="D1519" s="59">
        <f t="shared" si="162"/>
        <v>8</v>
      </c>
      <c r="E1519" s="59">
        <f t="shared" si="163"/>
        <v>34</v>
      </c>
      <c r="F1519" s="65" t="s">
        <v>56</v>
      </c>
      <c r="G1519" s="65" t="s">
        <v>45</v>
      </c>
      <c r="H1519" s="65" t="s">
        <v>3156</v>
      </c>
      <c r="I1519" s="65" t="s">
        <v>66</v>
      </c>
      <c r="J1519" s="65" t="s">
        <v>151</v>
      </c>
      <c r="K1519" s="65" t="s">
        <v>72</v>
      </c>
      <c r="L1519" s="65" t="s">
        <v>146</v>
      </c>
      <c r="M1519" s="67">
        <v>51</v>
      </c>
      <c r="N1519" s="65" t="s">
        <v>163</v>
      </c>
      <c r="O1519" s="68">
        <v>243.22</v>
      </c>
      <c r="P1519" s="68">
        <v>12404.22</v>
      </c>
      <c r="Q1519" s="68">
        <v>397.19</v>
      </c>
      <c r="R1519" s="62">
        <f t="shared" si="164"/>
        <v>3.2020554295231783E-2</v>
      </c>
      <c r="S1519" s="67">
        <v>17</v>
      </c>
      <c r="T1519" s="66">
        <v>45543</v>
      </c>
      <c r="U1519" s="66">
        <v>45543</v>
      </c>
      <c r="V1519" s="63">
        <f t="shared" si="165"/>
        <v>0</v>
      </c>
      <c r="W1519" s="65" t="s">
        <v>115</v>
      </c>
      <c r="X1519" s="64" t="b">
        <f t="shared" si="166"/>
        <v>1</v>
      </c>
      <c r="Y1519" s="67">
        <v>84</v>
      </c>
      <c r="Z1519" s="67">
        <v>27</v>
      </c>
      <c r="AA1519" s="65" t="s">
        <v>116</v>
      </c>
      <c r="AB1519" s="64" t="b">
        <f t="shared" si="167"/>
        <v>0</v>
      </c>
    </row>
    <row r="1520" spans="1:28" ht="15" customHeight="1" x14ac:dyDescent="0.3">
      <c r="A1520" s="57" t="s">
        <v>3157</v>
      </c>
      <c r="B1520" s="82">
        <v>45488</v>
      </c>
      <c r="C1520" s="59">
        <f t="shared" si="161"/>
        <v>2024</v>
      </c>
      <c r="D1520" s="59">
        <f t="shared" si="162"/>
        <v>7</v>
      </c>
      <c r="E1520" s="59">
        <f t="shared" si="163"/>
        <v>29</v>
      </c>
      <c r="F1520" s="57" t="s">
        <v>57</v>
      </c>
      <c r="G1520" s="57" t="s">
        <v>40</v>
      </c>
      <c r="H1520" s="57" t="s">
        <v>3158</v>
      </c>
      <c r="I1520" s="57" t="s">
        <v>64</v>
      </c>
      <c r="J1520" s="57" t="s">
        <v>112</v>
      </c>
      <c r="K1520" s="57" t="s">
        <v>74</v>
      </c>
      <c r="L1520" s="57" t="s">
        <v>135</v>
      </c>
      <c r="M1520" s="60">
        <v>420</v>
      </c>
      <c r="N1520" s="57" t="s">
        <v>136</v>
      </c>
      <c r="O1520" s="61">
        <v>570.86</v>
      </c>
      <c r="P1520" s="61">
        <v>239761.2</v>
      </c>
      <c r="Q1520" s="61">
        <v>7830.7</v>
      </c>
      <c r="R1520" s="62">
        <f t="shared" si="164"/>
        <v>3.2660413778376148E-2</v>
      </c>
      <c r="S1520" s="60">
        <v>20</v>
      </c>
      <c r="T1520" s="58">
        <v>45508</v>
      </c>
      <c r="U1520" s="58">
        <v>45508</v>
      </c>
      <c r="V1520" s="63">
        <f t="shared" si="165"/>
        <v>0</v>
      </c>
      <c r="W1520" s="57" t="s">
        <v>115</v>
      </c>
      <c r="X1520" s="64" t="b">
        <f t="shared" si="166"/>
        <v>1</v>
      </c>
      <c r="Y1520" s="60">
        <v>34</v>
      </c>
      <c r="Z1520" s="60">
        <v>353</v>
      </c>
      <c r="AA1520" s="57" t="s">
        <v>116</v>
      </c>
      <c r="AB1520" s="64" t="b">
        <f t="shared" si="167"/>
        <v>0</v>
      </c>
    </row>
    <row r="1521" spans="1:28" ht="15" customHeight="1" x14ac:dyDescent="0.3">
      <c r="A1521" s="65" t="s">
        <v>3159</v>
      </c>
      <c r="B1521" s="81">
        <v>45656</v>
      </c>
      <c r="C1521" s="59">
        <f t="shared" si="161"/>
        <v>2024</v>
      </c>
      <c r="D1521" s="59">
        <f t="shared" si="162"/>
        <v>12</v>
      </c>
      <c r="E1521" s="59">
        <f t="shared" si="163"/>
        <v>53</v>
      </c>
      <c r="F1521" s="65" t="s">
        <v>57</v>
      </c>
      <c r="G1521" s="65" t="s">
        <v>45</v>
      </c>
      <c r="H1521" s="65" t="s">
        <v>3160</v>
      </c>
      <c r="I1521" s="65" t="s">
        <v>68</v>
      </c>
      <c r="J1521" s="65" t="s">
        <v>112</v>
      </c>
      <c r="K1521" s="65" t="s">
        <v>75</v>
      </c>
      <c r="L1521" s="65" t="s">
        <v>113</v>
      </c>
      <c r="M1521" s="67">
        <v>532</v>
      </c>
      <c r="N1521" s="65" t="s">
        <v>163</v>
      </c>
      <c r="O1521" s="68">
        <v>293.66000000000003</v>
      </c>
      <c r="P1521" s="68">
        <v>156227.12</v>
      </c>
      <c r="Q1521" s="68">
        <v>9576.34</v>
      </c>
      <c r="R1521" s="62">
        <f t="shared" si="164"/>
        <v>6.1297551923123209E-2</v>
      </c>
      <c r="S1521" s="67">
        <v>22</v>
      </c>
      <c r="T1521" s="66">
        <v>45678</v>
      </c>
      <c r="U1521" s="66">
        <v>45678</v>
      </c>
      <c r="V1521" s="63">
        <f t="shared" si="165"/>
        <v>0</v>
      </c>
      <c r="W1521" s="65" t="s">
        <v>115</v>
      </c>
      <c r="X1521" s="64" t="b">
        <f t="shared" si="166"/>
        <v>1</v>
      </c>
      <c r="Y1521" s="67">
        <v>489</v>
      </c>
      <c r="Z1521" s="67">
        <v>34</v>
      </c>
      <c r="AA1521" s="65" t="s">
        <v>116</v>
      </c>
      <c r="AB1521" s="64" t="b">
        <f t="shared" si="167"/>
        <v>0</v>
      </c>
    </row>
    <row r="1522" spans="1:28" ht="15" customHeight="1" x14ac:dyDescent="0.3">
      <c r="A1522" s="57" t="s">
        <v>3161</v>
      </c>
      <c r="B1522" s="82">
        <v>45259</v>
      </c>
      <c r="C1522" s="59">
        <f t="shared" si="161"/>
        <v>2023</v>
      </c>
      <c r="D1522" s="59">
        <f t="shared" si="162"/>
        <v>11</v>
      </c>
      <c r="E1522" s="59">
        <f t="shared" si="163"/>
        <v>48</v>
      </c>
      <c r="F1522" s="57" t="s">
        <v>58</v>
      </c>
      <c r="G1522" s="57" t="s">
        <v>39</v>
      </c>
      <c r="H1522" s="57" t="s">
        <v>3162</v>
      </c>
      <c r="I1522" s="57" t="s">
        <v>64</v>
      </c>
      <c r="J1522" s="57" t="s">
        <v>143</v>
      </c>
      <c r="K1522" s="57" t="s">
        <v>75</v>
      </c>
      <c r="L1522" s="57" t="s">
        <v>124</v>
      </c>
      <c r="M1522" s="60">
        <v>815</v>
      </c>
      <c r="N1522" s="57" t="s">
        <v>114</v>
      </c>
      <c r="O1522" s="61">
        <v>1103.51</v>
      </c>
      <c r="P1522" s="61">
        <v>899360.65</v>
      </c>
      <c r="Q1522" s="61">
        <v>29843.81</v>
      </c>
      <c r="R1522" s="62">
        <f t="shared" si="164"/>
        <v>3.3183361980535842E-2</v>
      </c>
      <c r="S1522" s="60">
        <v>22</v>
      </c>
      <c r="T1522" s="58">
        <v>45281</v>
      </c>
      <c r="U1522" s="58">
        <v>45281</v>
      </c>
      <c r="V1522" s="63">
        <f t="shared" si="165"/>
        <v>0</v>
      </c>
      <c r="W1522" s="57" t="s">
        <v>115</v>
      </c>
      <c r="X1522" s="64" t="b">
        <f t="shared" si="166"/>
        <v>1</v>
      </c>
      <c r="Y1522" s="60">
        <v>4</v>
      </c>
      <c r="Z1522" s="60">
        <v>443</v>
      </c>
      <c r="AA1522" s="57" t="s">
        <v>82</v>
      </c>
      <c r="AB1522" s="64" t="b">
        <f t="shared" si="167"/>
        <v>1</v>
      </c>
    </row>
    <row r="1523" spans="1:28" ht="15" customHeight="1" x14ac:dyDescent="0.3">
      <c r="A1523" s="65" t="s">
        <v>3163</v>
      </c>
      <c r="B1523" s="81">
        <v>45317</v>
      </c>
      <c r="C1523" s="59">
        <f t="shared" si="161"/>
        <v>2024</v>
      </c>
      <c r="D1523" s="59">
        <f t="shared" si="162"/>
        <v>1</v>
      </c>
      <c r="E1523" s="59">
        <f t="shared" si="163"/>
        <v>4</v>
      </c>
      <c r="F1523" s="65" t="s">
        <v>53</v>
      </c>
      <c r="G1523" s="65" t="s">
        <v>46</v>
      </c>
      <c r="H1523" s="65" t="s">
        <v>3164</v>
      </c>
      <c r="I1523" s="65" t="s">
        <v>68</v>
      </c>
      <c r="J1523" s="65" t="s">
        <v>143</v>
      </c>
      <c r="K1523" s="65" t="s">
        <v>74</v>
      </c>
      <c r="L1523" s="65" t="s">
        <v>124</v>
      </c>
      <c r="M1523" s="67">
        <v>619</v>
      </c>
      <c r="N1523" s="65" t="s">
        <v>163</v>
      </c>
      <c r="O1523" s="68">
        <v>48.87</v>
      </c>
      <c r="P1523" s="68">
        <v>30250.53</v>
      </c>
      <c r="Q1523" s="68">
        <v>1401.21</v>
      </c>
      <c r="R1523" s="62">
        <f t="shared" si="164"/>
        <v>4.6320180175355607E-2</v>
      </c>
      <c r="S1523" s="67">
        <v>28</v>
      </c>
      <c r="T1523" s="66">
        <v>45345</v>
      </c>
      <c r="U1523" s="66">
        <v>45344</v>
      </c>
      <c r="V1523" s="63">
        <f t="shared" si="165"/>
        <v>-1</v>
      </c>
      <c r="W1523" s="65" t="s">
        <v>115</v>
      </c>
      <c r="X1523" s="64" t="b">
        <f t="shared" si="166"/>
        <v>1</v>
      </c>
      <c r="Y1523" s="67">
        <v>75</v>
      </c>
      <c r="Z1523" s="67">
        <v>230</v>
      </c>
      <c r="AA1523" s="65" t="s">
        <v>82</v>
      </c>
      <c r="AB1523" s="64" t="b">
        <f t="shared" si="167"/>
        <v>1</v>
      </c>
    </row>
    <row r="1524" spans="1:28" ht="15" customHeight="1" x14ac:dyDescent="0.3">
      <c r="A1524" s="57" t="s">
        <v>3165</v>
      </c>
      <c r="B1524" s="82">
        <v>45538</v>
      </c>
      <c r="C1524" s="59">
        <f t="shared" si="161"/>
        <v>2024</v>
      </c>
      <c r="D1524" s="59">
        <f t="shared" si="162"/>
        <v>9</v>
      </c>
      <c r="E1524" s="59">
        <f t="shared" si="163"/>
        <v>36</v>
      </c>
      <c r="F1524" s="57" t="s">
        <v>56</v>
      </c>
      <c r="G1524" s="57" t="s">
        <v>44</v>
      </c>
      <c r="H1524" s="57" t="s">
        <v>3166</v>
      </c>
      <c r="I1524" s="57" t="s">
        <v>69</v>
      </c>
      <c r="J1524" s="57" t="s">
        <v>151</v>
      </c>
      <c r="K1524" s="57" t="s">
        <v>73</v>
      </c>
      <c r="L1524" s="57" t="s">
        <v>146</v>
      </c>
      <c r="M1524" s="60">
        <v>436</v>
      </c>
      <c r="N1524" s="57" t="s">
        <v>114</v>
      </c>
      <c r="O1524" s="61">
        <v>85.35</v>
      </c>
      <c r="P1524" s="61">
        <v>37212.6</v>
      </c>
      <c r="Q1524" s="61">
        <v>2490.27</v>
      </c>
      <c r="R1524" s="62">
        <f t="shared" si="164"/>
        <v>6.6920075458312508E-2</v>
      </c>
      <c r="S1524" s="60">
        <v>29</v>
      </c>
      <c r="T1524" s="58">
        <v>45567</v>
      </c>
      <c r="U1524" s="58">
        <v>45570</v>
      </c>
      <c r="V1524" s="63">
        <f t="shared" si="165"/>
        <v>3</v>
      </c>
      <c r="W1524" s="57" t="s">
        <v>125</v>
      </c>
      <c r="X1524" s="64" t="b">
        <f t="shared" si="166"/>
        <v>0</v>
      </c>
      <c r="Y1524" s="60">
        <v>252</v>
      </c>
      <c r="Z1524" s="60">
        <v>317</v>
      </c>
      <c r="AA1524" s="57" t="s">
        <v>81</v>
      </c>
      <c r="AB1524" s="64" t="b">
        <f t="shared" si="167"/>
        <v>1</v>
      </c>
    </row>
    <row r="1525" spans="1:28" ht="15" customHeight="1" x14ac:dyDescent="0.3">
      <c r="A1525" s="65" t="s">
        <v>3167</v>
      </c>
      <c r="B1525" s="81">
        <v>45470</v>
      </c>
      <c r="C1525" s="59">
        <f t="shared" si="161"/>
        <v>2024</v>
      </c>
      <c r="D1525" s="59">
        <f t="shared" si="162"/>
        <v>6</v>
      </c>
      <c r="E1525" s="59">
        <f t="shared" si="163"/>
        <v>26</v>
      </c>
      <c r="F1525" s="65" t="s">
        <v>53</v>
      </c>
      <c r="G1525" s="65" t="s">
        <v>42</v>
      </c>
      <c r="H1525" s="65" t="s">
        <v>3168</v>
      </c>
      <c r="I1525" s="65" t="s">
        <v>68</v>
      </c>
      <c r="J1525" s="65" t="s">
        <v>151</v>
      </c>
      <c r="K1525" s="65" t="s">
        <v>73</v>
      </c>
      <c r="L1525" s="65" t="s">
        <v>113</v>
      </c>
      <c r="M1525" s="67">
        <v>284</v>
      </c>
      <c r="N1525" s="65" t="s">
        <v>114</v>
      </c>
      <c r="O1525" s="68">
        <v>92.28</v>
      </c>
      <c r="P1525" s="68">
        <v>26207.52</v>
      </c>
      <c r="Q1525" s="68">
        <v>1756.88</v>
      </c>
      <c r="R1525" s="62">
        <f t="shared" si="164"/>
        <v>6.7037247324432073E-2</v>
      </c>
      <c r="S1525" s="67">
        <v>8</v>
      </c>
      <c r="T1525" s="66">
        <v>45478</v>
      </c>
      <c r="U1525" s="66">
        <v>45490</v>
      </c>
      <c r="V1525" s="63">
        <f t="shared" si="165"/>
        <v>12</v>
      </c>
      <c r="W1525" s="65" t="s">
        <v>128</v>
      </c>
      <c r="X1525" s="64" t="b">
        <f t="shared" si="166"/>
        <v>0</v>
      </c>
      <c r="Y1525" s="67">
        <v>6</v>
      </c>
      <c r="Z1525" s="67">
        <v>342</v>
      </c>
      <c r="AA1525" s="65" t="s">
        <v>84</v>
      </c>
      <c r="AB1525" s="64" t="b">
        <f t="shared" si="167"/>
        <v>1</v>
      </c>
    </row>
    <row r="1526" spans="1:28" ht="15" customHeight="1" x14ac:dyDescent="0.3">
      <c r="A1526" s="57" t="s">
        <v>3169</v>
      </c>
      <c r="B1526" s="82">
        <v>45228</v>
      </c>
      <c r="C1526" s="59">
        <f t="shared" si="161"/>
        <v>2023</v>
      </c>
      <c r="D1526" s="59">
        <f t="shared" si="162"/>
        <v>10</v>
      </c>
      <c r="E1526" s="59">
        <f t="shared" si="163"/>
        <v>44</v>
      </c>
      <c r="F1526" s="57" t="s">
        <v>55</v>
      </c>
      <c r="G1526" s="57" t="s">
        <v>41</v>
      </c>
      <c r="H1526" s="57" t="s">
        <v>3170</v>
      </c>
      <c r="I1526" s="57" t="s">
        <v>66</v>
      </c>
      <c r="J1526" s="57" t="s">
        <v>151</v>
      </c>
      <c r="K1526" s="57" t="s">
        <v>75</v>
      </c>
      <c r="L1526" s="57" t="s">
        <v>124</v>
      </c>
      <c r="M1526" s="60">
        <v>457</v>
      </c>
      <c r="N1526" s="57" t="s">
        <v>140</v>
      </c>
      <c r="O1526" s="61">
        <v>722.91</v>
      </c>
      <c r="P1526" s="61">
        <v>330369.87</v>
      </c>
      <c r="Q1526" s="61">
        <v>15592.04</v>
      </c>
      <c r="R1526" s="62">
        <f t="shared" si="164"/>
        <v>4.7195708252692661E-2</v>
      </c>
      <c r="S1526" s="60">
        <v>17</v>
      </c>
      <c r="T1526" s="58">
        <v>45245</v>
      </c>
      <c r="U1526" s="58">
        <v>45253</v>
      </c>
      <c r="V1526" s="63">
        <f t="shared" si="165"/>
        <v>8</v>
      </c>
      <c r="W1526" s="57" t="s">
        <v>125</v>
      </c>
      <c r="X1526" s="64" t="b">
        <f t="shared" si="166"/>
        <v>0</v>
      </c>
      <c r="Y1526" s="60">
        <v>168</v>
      </c>
      <c r="Z1526" s="60">
        <v>429</v>
      </c>
      <c r="AA1526" s="57" t="s">
        <v>116</v>
      </c>
      <c r="AB1526" s="64" t="b">
        <f t="shared" si="167"/>
        <v>0</v>
      </c>
    </row>
    <row r="1527" spans="1:28" ht="15" customHeight="1" x14ac:dyDescent="0.3">
      <c r="A1527" s="65" t="s">
        <v>3171</v>
      </c>
      <c r="B1527" s="81">
        <v>45391</v>
      </c>
      <c r="C1527" s="59">
        <f t="shared" si="161"/>
        <v>2024</v>
      </c>
      <c r="D1527" s="59">
        <f t="shared" si="162"/>
        <v>4</v>
      </c>
      <c r="E1527" s="59">
        <f t="shared" si="163"/>
        <v>15</v>
      </c>
      <c r="F1527" s="65" t="s">
        <v>54</v>
      </c>
      <c r="G1527" s="65" t="s">
        <v>42</v>
      </c>
      <c r="H1527" s="65" t="s">
        <v>3172</v>
      </c>
      <c r="I1527" s="65" t="s">
        <v>67</v>
      </c>
      <c r="J1527" s="65" t="s">
        <v>139</v>
      </c>
      <c r="K1527" s="65" t="s">
        <v>73</v>
      </c>
      <c r="L1527" s="65" t="s">
        <v>113</v>
      </c>
      <c r="M1527" s="67">
        <v>911</v>
      </c>
      <c r="N1527" s="65" t="s">
        <v>114</v>
      </c>
      <c r="O1527" s="68">
        <v>98.62</v>
      </c>
      <c r="P1527" s="68">
        <v>89842.82</v>
      </c>
      <c r="Q1527" s="68">
        <v>6067.21</v>
      </c>
      <c r="R1527" s="62">
        <f t="shared" si="164"/>
        <v>6.7531384255302751E-2</v>
      </c>
      <c r="S1527" s="67">
        <v>7</v>
      </c>
      <c r="T1527" s="66">
        <v>45398</v>
      </c>
      <c r="U1527" s="66">
        <v>45399</v>
      </c>
      <c r="V1527" s="63">
        <f t="shared" si="165"/>
        <v>1</v>
      </c>
      <c r="W1527" s="65" t="s">
        <v>128</v>
      </c>
      <c r="X1527" s="64" t="b">
        <f t="shared" si="166"/>
        <v>0</v>
      </c>
      <c r="Y1527" s="67">
        <v>129</v>
      </c>
      <c r="Z1527" s="67">
        <v>363</v>
      </c>
      <c r="AA1527" s="65" t="s">
        <v>81</v>
      </c>
      <c r="AB1527" s="64" t="b">
        <f t="shared" si="167"/>
        <v>1</v>
      </c>
    </row>
    <row r="1528" spans="1:28" ht="15" customHeight="1" x14ac:dyDescent="0.3">
      <c r="A1528" s="57" t="s">
        <v>3173</v>
      </c>
      <c r="B1528" s="82">
        <v>45444</v>
      </c>
      <c r="C1528" s="59">
        <f t="shared" si="161"/>
        <v>2024</v>
      </c>
      <c r="D1528" s="59">
        <f t="shared" si="162"/>
        <v>6</v>
      </c>
      <c r="E1528" s="59">
        <f t="shared" si="163"/>
        <v>22</v>
      </c>
      <c r="F1528" s="57" t="s">
        <v>57</v>
      </c>
      <c r="G1528" s="57" t="s">
        <v>42</v>
      </c>
      <c r="H1528" s="57" t="s">
        <v>3174</v>
      </c>
      <c r="I1528" s="57" t="s">
        <v>66</v>
      </c>
      <c r="J1528" s="57" t="s">
        <v>123</v>
      </c>
      <c r="K1528" s="57" t="s">
        <v>73</v>
      </c>
      <c r="L1528" s="57" t="s">
        <v>156</v>
      </c>
      <c r="M1528" s="60">
        <v>951</v>
      </c>
      <c r="N1528" s="57" t="s">
        <v>132</v>
      </c>
      <c r="O1528" s="61">
        <v>108.65</v>
      </c>
      <c r="P1528" s="61">
        <v>103326.15</v>
      </c>
      <c r="Q1528" s="61">
        <v>7265.62</v>
      </c>
      <c r="R1528" s="62">
        <f t="shared" si="164"/>
        <v>7.0317339802170115E-2</v>
      </c>
      <c r="S1528" s="60">
        <v>1</v>
      </c>
      <c r="T1528" s="58">
        <v>45445</v>
      </c>
      <c r="U1528" s="58">
        <v>45445</v>
      </c>
      <c r="V1528" s="63">
        <f t="shared" si="165"/>
        <v>0</v>
      </c>
      <c r="W1528" s="57" t="s">
        <v>115</v>
      </c>
      <c r="X1528" s="64" t="b">
        <f t="shared" si="166"/>
        <v>1</v>
      </c>
      <c r="Y1528" s="60">
        <v>472</v>
      </c>
      <c r="Z1528" s="60">
        <v>466</v>
      </c>
      <c r="AA1528" s="57" t="s">
        <v>116</v>
      </c>
      <c r="AB1528" s="64" t="b">
        <f t="shared" si="167"/>
        <v>0</v>
      </c>
    </row>
    <row r="1529" spans="1:28" ht="15" customHeight="1" x14ac:dyDescent="0.3">
      <c r="A1529" s="65" t="s">
        <v>3175</v>
      </c>
      <c r="B1529" s="81">
        <v>45546</v>
      </c>
      <c r="C1529" s="59">
        <f t="shared" si="161"/>
        <v>2024</v>
      </c>
      <c r="D1529" s="59">
        <f t="shared" si="162"/>
        <v>9</v>
      </c>
      <c r="E1529" s="59">
        <f t="shared" si="163"/>
        <v>37</v>
      </c>
      <c r="F1529" s="65" t="s">
        <v>57</v>
      </c>
      <c r="G1529" s="65" t="s">
        <v>40</v>
      </c>
      <c r="H1529" s="65" t="s">
        <v>3176</v>
      </c>
      <c r="I1529" s="65" t="s">
        <v>66</v>
      </c>
      <c r="J1529" s="65" t="s">
        <v>131</v>
      </c>
      <c r="K1529" s="65" t="s">
        <v>74</v>
      </c>
      <c r="L1529" s="65" t="s">
        <v>119</v>
      </c>
      <c r="M1529" s="67">
        <v>893</v>
      </c>
      <c r="N1529" s="65" t="s">
        <v>163</v>
      </c>
      <c r="O1529" s="68">
        <v>568.5</v>
      </c>
      <c r="P1529" s="68">
        <v>507670.5</v>
      </c>
      <c r="Q1529" s="68">
        <v>30098.03</v>
      </c>
      <c r="R1529" s="62">
        <f t="shared" si="164"/>
        <v>5.9286545111445314E-2</v>
      </c>
      <c r="S1529" s="67">
        <v>13</v>
      </c>
      <c r="T1529" s="66">
        <v>45559</v>
      </c>
      <c r="U1529" s="66">
        <v>45560</v>
      </c>
      <c r="V1529" s="63">
        <f t="shared" si="165"/>
        <v>1</v>
      </c>
      <c r="W1529" s="65" t="s">
        <v>125</v>
      </c>
      <c r="X1529" s="64" t="b">
        <f t="shared" si="166"/>
        <v>0</v>
      </c>
      <c r="Y1529" s="67">
        <v>137</v>
      </c>
      <c r="Z1529" s="67">
        <v>124</v>
      </c>
      <c r="AA1529" s="65" t="s">
        <v>116</v>
      </c>
      <c r="AB1529" s="64" t="b">
        <f t="shared" si="167"/>
        <v>0</v>
      </c>
    </row>
    <row r="1530" spans="1:28" ht="15" customHeight="1" x14ac:dyDescent="0.3">
      <c r="A1530" s="57" t="s">
        <v>3177</v>
      </c>
      <c r="B1530" s="82">
        <v>45367</v>
      </c>
      <c r="C1530" s="59">
        <f t="shared" si="161"/>
        <v>2024</v>
      </c>
      <c r="D1530" s="59">
        <f t="shared" si="162"/>
        <v>3</v>
      </c>
      <c r="E1530" s="59">
        <f t="shared" si="163"/>
        <v>11</v>
      </c>
      <c r="F1530" s="57" t="s">
        <v>56</v>
      </c>
      <c r="G1530" s="57" t="s">
        <v>45</v>
      </c>
      <c r="H1530" s="57" t="s">
        <v>3178</v>
      </c>
      <c r="I1530" s="57" t="s">
        <v>66</v>
      </c>
      <c r="J1530" s="57" t="s">
        <v>143</v>
      </c>
      <c r="K1530" s="57" t="s">
        <v>74</v>
      </c>
      <c r="L1530" s="57" t="s">
        <v>146</v>
      </c>
      <c r="M1530" s="60">
        <v>751</v>
      </c>
      <c r="N1530" s="57" t="s">
        <v>120</v>
      </c>
      <c r="O1530" s="61">
        <v>226.72</v>
      </c>
      <c r="P1530" s="61">
        <v>170266.72</v>
      </c>
      <c r="Q1530" s="61">
        <v>5738.93</v>
      </c>
      <c r="R1530" s="62">
        <f t="shared" si="164"/>
        <v>3.3705529771173137E-2</v>
      </c>
      <c r="S1530" s="60">
        <v>23</v>
      </c>
      <c r="T1530" s="58">
        <v>45390</v>
      </c>
      <c r="U1530" s="58">
        <v>45390</v>
      </c>
      <c r="V1530" s="63">
        <f t="shared" si="165"/>
        <v>0</v>
      </c>
      <c r="W1530" s="57" t="s">
        <v>115</v>
      </c>
      <c r="X1530" s="64" t="b">
        <f t="shared" si="166"/>
        <v>1</v>
      </c>
      <c r="Y1530" s="60">
        <v>357</v>
      </c>
      <c r="Z1530" s="60">
        <v>465</v>
      </c>
      <c r="AA1530" s="57" t="s">
        <v>116</v>
      </c>
      <c r="AB1530" s="64" t="b">
        <f t="shared" si="167"/>
        <v>0</v>
      </c>
    </row>
    <row r="1531" spans="1:28" ht="15" customHeight="1" x14ac:dyDescent="0.3">
      <c r="A1531" s="65" t="s">
        <v>3179</v>
      </c>
      <c r="B1531" s="81">
        <v>45028</v>
      </c>
      <c r="C1531" s="59">
        <f t="shared" si="161"/>
        <v>2023</v>
      </c>
      <c r="D1531" s="59">
        <f t="shared" si="162"/>
        <v>4</v>
      </c>
      <c r="E1531" s="59">
        <f t="shared" si="163"/>
        <v>15</v>
      </c>
      <c r="F1531" s="65" t="s">
        <v>60</v>
      </c>
      <c r="G1531" s="65" t="s">
        <v>41</v>
      </c>
      <c r="H1531" s="65" t="s">
        <v>3180</v>
      </c>
      <c r="I1531" s="65" t="s">
        <v>64</v>
      </c>
      <c r="J1531" s="65" t="s">
        <v>112</v>
      </c>
      <c r="K1531" s="65" t="s">
        <v>73</v>
      </c>
      <c r="L1531" s="65" t="s">
        <v>156</v>
      </c>
      <c r="M1531" s="67">
        <v>378</v>
      </c>
      <c r="N1531" s="65" t="s">
        <v>120</v>
      </c>
      <c r="O1531" s="68">
        <v>533.83000000000004</v>
      </c>
      <c r="P1531" s="68">
        <v>201787.74</v>
      </c>
      <c r="Q1531" s="68">
        <v>7353.29</v>
      </c>
      <c r="R1531" s="62">
        <f t="shared" si="164"/>
        <v>3.6440717359736523E-2</v>
      </c>
      <c r="S1531" s="67">
        <v>19</v>
      </c>
      <c r="T1531" s="66">
        <v>45047</v>
      </c>
      <c r="U1531" s="66">
        <v>45047</v>
      </c>
      <c r="V1531" s="63">
        <f t="shared" si="165"/>
        <v>0</v>
      </c>
      <c r="W1531" s="65" t="s">
        <v>115</v>
      </c>
      <c r="X1531" s="64" t="b">
        <f t="shared" si="166"/>
        <v>1</v>
      </c>
      <c r="Y1531" s="67">
        <v>299</v>
      </c>
      <c r="Z1531" s="67">
        <v>78</v>
      </c>
      <c r="AA1531" s="65" t="s">
        <v>116</v>
      </c>
      <c r="AB1531" s="64" t="b">
        <f t="shared" si="167"/>
        <v>0</v>
      </c>
    </row>
    <row r="1532" spans="1:28" ht="15" customHeight="1" x14ac:dyDescent="0.3">
      <c r="A1532" s="57" t="s">
        <v>3181</v>
      </c>
      <c r="B1532" s="82">
        <v>45645</v>
      </c>
      <c r="C1532" s="59">
        <f t="shared" si="161"/>
        <v>2024</v>
      </c>
      <c r="D1532" s="59">
        <f t="shared" si="162"/>
        <v>12</v>
      </c>
      <c r="E1532" s="59">
        <f t="shared" si="163"/>
        <v>51</v>
      </c>
      <c r="F1532" s="57" t="s">
        <v>53</v>
      </c>
      <c r="G1532" s="57" t="s">
        <v>41</v>
      </c>
      <c r="H1532" s="57" t="s">
        <v>3182</v>
      </c>
      <c r="I1532" s="57" t="s">
        <v>65</v>
      </c>
      <c r="J1532" s="57" t="s">
        <v>143</v>
      </c>
      <c r="K1532" s="57" t="s">
        <v>74</v>
      </c>
      <c r="L1532" s="57" t="s">
        <v>156</v>
      </c>
      <c r="M1532" s="60">
        <v>947</v>
      </c>
      <c r="N1532" s="57" t="s">
        <v>120</v>
      </c>
      <c r="O1532" s="61">
        <v>549.59</v>
      </c>
      <c r="P1532" s="61">
        <v>520461.73</v>
      </c>
      <c r="Q1532" s="61">
        <v>20241</v>
      </c>
      <c r="R1532" s="62">
        <f t="shared" si="164"/>
        <v>3.8890467508533241E-2</v>
      </c>
      <c r="S1532" s="60">
        <v>27</v>
      </c>
      <c r="T1532" s="58">
        <v>45672</v>
      </c>
      <c r="U1532" s="58">
        <v>45669</v>
      </c>
      <c r="V1532" s="63">
        <f t="shared" si="165"/>
        <v>-3</v>
      </c>
      <c r="W1532" s="57" t="s">
        <v>128</v>
      </c>
      <c r="X1532" s="64" t="b">
        <f t="shared" si="166"/>
        <v>0</v>
      </c>
      <c r="Y1532" s="60">
        <v>325</v>
      </c>
      <c r="Z1532" s="60">
        <v>380</v>
      </c>
      <c r="AA1532" s="57" t="s">
        <v>116</v>
      </c>
      <c r="AB1532" s="64" t="b">
        <f t="shared" si="167"/>
        <v>0</v>
      </c>
    </row>
    <row r="1533" spans="1:28" ht="15" customHeight="1" x14ac:dyDescent="0.3">
      <c r="A1533" s="65" t="s">
        <v>3183</v>
      </c>
      <c r="B1533" s="81">
        <v>45044</v>
      </c>
      <c r="C1533" s="59">
        <f t="shared" si="161"/>
        <v>2023</v>
      </c>
      <c r="D1533" s="59">
        <f t="shared" si="162"/>
        <v>4</v>
      </c>
      <c r="E1533" s="59">
        <f t="shared" si="163"/>
        <v>17</v>
      </c>
      <c r="F1533" s="65" t="s">
        <v>52</v>
      </c>
      <c r="G1533" s="65" t="s">
        <v>39</v>
      </c>
      <c r="H1533" s="65" t="s">
        <v>3184</v>
      </c>
      <c r="I1533" s="65" t="s">
        <v>65</v>
      </c>
      <c r="J1533" s="65" t="s">
        <v>131</v>
      </c>
      <c r="K1533" s="65" t="s">
        <v>71</v>
      </c>
      <c r="L1533" s="65" t="s">
        <v>113</v>
      </c>
      <c r="M1533" s="67">
        <v>229</v>
      </c>
      <c r="N1533" s="65" t="s">
        <v>132</v>
      </c>
      <c r="O1533" s="68">
        <v>1136.6600000000001</v>
      </c>
      <c r="P1533" s="68">
        <v>260295.14</v>
      </c>
      <c r="Q1533" s="68">
        <v>7030.12</v>
      </c>
      <c r="R1533" s="62">
        <f t="shared" si="164"/>
        <v>2.7008264541550794E-2</v>
      </c>
      <c r="S1533" s="67">
        <v>24</v>
      </c>
      <c r="T1533" s="66">
        <v>45068</v>
      </c>
      <c r="U1533" s="66">
        <v>45068</v>
      </c>
      <c r="V1533" s="63">
        <f t="shared" si="165"/>
        <v>0</v>
      </c>
      <c r="W1533" s="65" t="s">
        <v>115</v>
      </c>
      <c r="X1533" s="64" t="b">
        <f t="shared" si="166"/>
        <v>1</v>
      </c>
      <c r="Y1533" s="67">
        <v>90</v>
      </c>
      <c r="Z1533" s="67">
        <v>60</v>
      </c>
      <c r="AA1533" s="65" t="s">
        <v>116</v>
      </c>
      <c r="AB1533" s="64" t="b">
        <f t="shared" si="167"/>
        <v>0</v>
      </c>
    </row>
    <row r="1534" spans="1:28" ht="15" customHeight="1" x14ac:dyDescent="0.3">
      <c r="A1534" s="57" t="s">
        <v>3185</v>
      </c>
      <c r="B1534" s="82">
        <v>45597</v>
      </c>
      <c r="C1534" s="59">
        <f t="shared" si="161"/>
        <v>2024</v>
      </c>
      <c r="D1534" s="59">
        <f t="shared" si="162"/>
        <v>11</v>
      </c>
      <c r="E1534" s="59">
        <f t="shared" si="163"/>
        <v>44</v>
      </c>
      <c r="F1534" s="57" t="s">
        <v>56</v>
      </c>
      <c r="G1534" s="57" t="s">
        <v>39</v>
      </c>
      <c r="H1534" s="57" t="s">
        <v>3186</v>
      </c>
      <c r="I1534" s="57" t="s">
        <v>69</v>
      </c>
      <c r="J1534" s="57" t="s">
        <v>151</v>
      </c>
      <c r="K1534" s="57" t="s">
        <v>75</v>
      </c>
      <c r="L1534" s="57" t="s">
        <v>146</v>
      </c>
      <c r="M1534" s="60">
        <v>586</v>
      </c>
      <c r="N1534" s="57" t="s">
        <v>114</v>
      </c>
      <c r="O1534" s="61">
        <v>1871.32</v>
      </c>
      <c r="P1534" s="61">
        <v>1096593.52</v>
      </c>
      <c r="Q1534" s="61">
        <v>39904.57</v>
      </c>
      <c r="R1534" s="62">
        <f t="shared" si="164"/>
        <v>3.6389573047996851E-2</v>
      </c>
      <c r="S1534" s="60">
        <v>19</v>
      </c>
      <c r="T1534" s="58">
        <v>45616</v>
      </c>
      <c r="U1534" s="58">
        <v>45628</v>
      </c>
      <c r="V1534" s="63">
        <f t="shared" si="165"/>
        <v>12</v>
      </c>
      <c r="W1534" s="57" t="s">
        <v>125</v>
      </c>
      <c r="X1534" s="64" t="b">
        <f t="shared" si="166"/>
        <v>0</v>
      </c>
      <c r="Y1534" s="60">
        <v>162</v>
      </c>
      <c r="Z1534" s="60">
        <v>448</v>
      </c>
      <c r="AA1534" s="57" t="s">
        <v>84</v>
      </c>
      <c r="AB1534" s="64" t="b">
        <f t="shared" si="167"/>
        <v>1</v>
      </c>
    </row>
    <row r="1535" spans="1:28" ht="15" customHeight="1" x14ac:dyDescent="0.3">
      <c r="A1535" s="65" t="s">
        <v>3187</v>
      </c>
      <c r="B1535" s="81">
        <v>45593</v>
      </c>
      <c r="C1535" s="59">
        <f t="shared" si="161"/>
        <v>2024</v>
      </c>
      <c r="D1535" s="59">
        <f t="shared" si="162"/>
        <v>10</v>
      </c>
      <c r="E1535" s="59">
        <f t="shared" si="163"/>
        <v>44</v>
      </c>
      <c r="F1535" s="65" t="s">
        <v>59</v>
      </c>
      <c r="G1535" s="65" t="s">
        <v>41</v>
      </c>
      <c r="H1535" s="65" t="s">
        <v>3188</v>
      </c>
      <c r="I1535" s="65" t="s">
        <v>66</v>
      </c>
      <c r="J1535" s="65" t="s">
        <v>143</v>
      </c>
      <c r="K1535" s="65" t="s">
        <v>71</v>
      </c>
      <c r="L1535" s="65" t="s">
        <v>156</v>
      </c>
      <c r="M1535" s="67">
        <v>876</v>
      </c>
      <c r="N1535" s="65" t="s">
        <v>163</v>
      </c>
      <c r="O1535" s="68">
        <v>551.29</v>
      </c>
      <c r="P1535" s="68">
        <v>482930.04</v>
      </c>
      <c r="Q1535" s="68">
        <v>15729.59</v>
      </c>
      <c r="R1535" s="62">
        <f t="shared" si="164"/>
        <v>3.2571156683481525E-2</v>
      </c>
      <c r="S1535" s="67">
        <v>29</v>
      </c>
      <c r="T1535" s="66">
        <v>45622</v>
      </c>
      <c r="U1535" s="66">
        <v>45622</v>
      </c>
      <c r="V1535" s="63">
        <f t="shared" si="165"/>
        <v>0</v>
      </c>
      <c r="W1535" s="65" t="s">
        <v>115</v>
      </c>
      <c r="X1535" s="64" t="b">
        <f t="shared" si="166"/>
        <v>1</v>
      </c>
      <c r="Y1535" s="67">
        <v>317</v>
      </c>
      <c r="Z1535" s="67">
        <v>216</v>
      </c>
      <c r="AA1535" s="65" t="s">
        <v>83</v>
      </c>
      <c r="AB1535" s="64" t="b">
        <f t="shared" si="167"/>
        <v>1</v>
      </c>
    </row>
    <row r="1536" spans="1:28" ht="15" customHeight="1" x14ac:dyDescent="0.3">
      <c r="A1536" s="57" t="s">
        <v>3189</v>
      </c>
      <c r="B1536" s="82">
        <v>45491</v>
      </c>
      <c r="C1536" s="59">
        <f t="shared" si="161"/>
        <v>2024</v>
      </c>
      <c r="D1536" s="59">
        <f t="shared" si="162"/>
        <v>7</v>
      </c>
      <c r="E1536" s="59">
        <f t="shared" si="163"/>
        <v>29</v>
      </c>
      <c r="F1536" s="57" t="s">
        <v>60</v>
      </c>
      <c r="G1536" s="57" t="s">
        <v>44</v>
      </c>
      <c r="H1536" s="57" t="s">
        <v>3190</v>
      </c>
      <c r="I1536" s="57" t="s">
        <v>65</v>
      </c>
      <c r="J1536" s="57" t="s">
        <v>123</v>
      </c>
      <c r="K1536" s="57" t="s">
        <v>71</v>
      </c>
      <c r="L1536" s="57" t="s">
        <v>135</v>
      </c>
      <c r="M1536" s="60">
        <v>241</v>
      </c>
      <c r="N1536" s="57" t="s">
        <v>136</v>
      </c>
      <c r="O1536" s="61">
        <v>157.44999999999999</v>
      </c>
      <c r="P1536" s="61">
        <v>37945.449999999997</v>
      </c>
      <c r="Q1536" s="61">
        <v>1795.57</v>
      </c>
      <c r="R1536" s="62">
        <f t="shared" si="164"/>
        <v>4.7319770881620857E-2</v>
      </c>
      <c r="S1536" s="60">
        <v>17</v>
      </c>
      <c r="T1536" s="58">
        <v>45508</v>
      </c>
      <c r="U1536" s="58">
        <v>45513</v>
      </c>
      <c r="V1536" s="63">
        <f t="shared" si="165"/>
        <v>5</v>
      </c>
      <c r="W1536" s="57" t="s">
        <v>125</v>
      </c>
      <c r="X1536" s="64" t="b">
        <f t="shared" si="166"/>
        <v>0</v>
      </c>
      <c r="Y1536" s="60">
        <v>457</v>
      </c>
      <c r="Z1536" s="60">
        <v>281</v>
      </c>
      <c r="AA1536" s="57" t="s">
        <v>82</v>
      </c>
      <c r="AB1536" s="64" t="b">
        <f t="shared" si="167"/>
        <v>1</v>
      </c>
    </row>
    <row r="1537" spans="1:28" ht="15" customHeight="1" x14ac:dyDescent="0.3">
      <c r="A1537" s="65" t="s">
        <v>3191</v>
      </c>
      <c r="B1537" s="81">
        <v>45147</v>
      </c>
      <c r="C1537" s="59">
        <f t="shared" si="161"/>
        <v>2023</v>
      </c>
      <c r="D1537" s="59">
        <f t="shared" si="162"/>
        <v>8</v>
      </c>
      <c r="E1537" s="59">
        <f t="shared" si="163"/>
        <v>32</v>
      </c>
      <c r="F1537" s="65" t="s">
        <v>61</v>
      </c>
      <c r="G1537" s="65" t="s">
        <v>43</v>
      </c>
      <c r="H1537" s="65" t="s">
        <v>3192</v>
      </c>
      <c r="I1537" s="65" t="s">
        <v>69</v>
      </c>
      <c r="J1537" s="65" t="s">
        <v>123</v>
      </c>
      <c r="K1537" s="65" t="s">
        <v>73</v>
      </c>
      <c r="L1537" s="65" t="s">
        <v>156</v>
      </c>
      <c r="M1537" s="67">
        <v>337</v>
      </c>
      <c r="N1537" s="65" t="s">
        <v>136</v>
      </c>
      <c r="O1537" s="68">
        <v>217.65</v>
      </c>
      <c r="P1537" s="68">
        <v>73348.05</v>
      </c>
      <c r="Q1537" s="68">
        <v>5464.89</v>
      </c>
      <c r="R1537" s="62">
        <f t="shared" si="164"/>
        <v>7.4506275217950585E-2</v>
      </c>
      <c r="S1537" s="67">
        <v>13</v>
      </c>
      <c r="T1537" s="66">
        <v>45160</v>
      </c>
      <c r="U1537" s="66">
        <v>45168</v>
      </c>
      <c r="V1537" s="63">
        <f t="shared" si="165"/>
        <v>8</v>
      </c>
      <c r="W1537" s="65" t="s">
        <v>125</v>
      </c>
      <c r="X1537" s="64" t="b">
        <f t="shared" si="166"/>
        <v>0</v>
      </c>
      <c r="Y1537" s="67">
        <v>252</v>
      </c>
      <c r="Z1537" s="67">
        <v>162</v>
      </c>
      <c r="AA1537" s="65" t="s">
        <v>116</v>
      </c>
      <c r="AB1537" s="64" t="b">
        <f t="shared" si="167"/>
        <v>0</v>
      </c>
    </row>
    <row r="1538" spans="1:28" ht="15" customHeight="1" x14ac:dyDescent="0.3">
      <c r="A1538" s="57" t="s">
        <v>3193</v>
      </c>
      <c r="B1538" s="82">
        <v>45367</v>
      </c>
      <c r="C1538" s="59">
        <f t="shared" ref="C1538:C1601" si="168">YEAR(B1538)</f>
        <v>2024</v>
      </c>
      <c r="D1538" s="59">
        <f t="shared" ref="D1538:D1601" si="169">MONTH(B1538)</f>
        <v>3</v>
      </c>
      <c r="E1538" s="59">
        <f t="shared" ref="E1538:E1601" si="170">WEEKNUM(B1538,1)</f>
        <v>11</v>
      </c>
      <c r="F1538" s="57" t="s">
        <v>53</v>
      </c>
      <c r="G1538" s="57" t="s">
        <v>39</v>
      </c>
      <c r="H1538" s="57" t="s">
        <v>3194</v>
      </c>
      <c r="I1538" s="57" t="s">
        <v>64</v>
      </c>
      <c r="J1538" s="57" t="s">
        <v>139</v>
      </c>
      <c r="K1538" s="57" t="s">
        <v>73</v>
      </c>
      <c r="L1538" s="57" t="s">
        <v>135</v>
      </c>
      <c r="M1538" s="60">
        <v>452</v>
      </c>
      <c r="N1538" s="57" t="s">
        <v>140</v>
      </c>
      <c r="O1538" s="61">
        <v>1229.26</v>
      </c>
      <c r="P1538" s="61">
        <v>555625.52</v>
      </c>
      <c r="Q1538" s="61">
        <v>14595.63</v>
      </c>
      <c r="R1538" s="62">
        <f t="shared" ref="R1538:R1601" si="171">Q1538/P1538</f>
        <v>2.6268825809152897E-2</v>
      </c>
      <c r="S1538" s="60">
        <v>29</v>
      </c>
      <c r="T1538" s="58">
        <v>45396</v>
      </c>
      <c r="U1538" s="58">
        <v>45397</v>
      </c>
      <c r="V1538" s="63">
        <f t="shared" ref="V1538:V1601" si="172">U1538-T1538</f>
        <v>1</v>
      </c>
      <c r="W1538" s="57" t="s">
        <v>125</v>
      </c>
      <c r="X1538" s="64" t="b">
        <f t="shared" ref="X1538:X1601" si="173">IF(W1538="Entregado", TRUE(), FALSE())</f>
        <v>0</v>
      </c>
      <c r="Y1538" s="60">
        <v>200</v>
      </c>
      <c r="Z1538" s="60">
        <v>56</v>
      </c>
      <c r="AA1538" s="57" t="s">
        <v>116</v>
      </c>
      <c r="AB1538" s="64" t="b">
        <f t="shared" ref="AB1538:AB1601" si="174">IF(AA1538="Ninguna",FALSE(),TRUE())</f>
        <v>0</v>
      </c>
    </row>
    <row r="1539" spans="1:28" ht="15" customHeight="1" x14ac:dyDescent="0.3">
      <c r="A1539" s="65" t="s">
        <v>3195</v>
      </c>
      <c r="B1539" s="81">
        <v>45389</v>
      </c>
      <c r="C1539" s="59">
        <f t="shared" si="168"/>
        <v>2024</v>
      </c>
      <c r="D1539" s="59">
        <f t="shared" si="169"/>
        <v>4</v>
      </c>
      <c r="E1539" s="59">
        <f t="shared" si="170"/>
        <v>15</v>
      </c>
      <c r="F1539" s="65" t="s">
        <v>60</v>
      </c>
      <c r="G1539" s="65" t="s">
        <v>43</v>
      </c>
      <c r="H1539" s="65" t="s">
        <v>3196</v>
      </c>
      <c r="I1539" s="65" t="s">
        <v>66</v>
      </c>
      <c r="J1539" s="65" t="s">
        <v>143</v>
      </c>
      <c r="K1539" s="65" t="s">
        <v>71</v>
      </c>
      <c r="L1539" s="65" t="s">
        <v>119</v>
      </c>
      <c r="M1539" s="67">
        <v>61</v>
      </c>
      <c r="N1539" s="65" t="s">
        <v>132</v>
      </c>
      <c r="O1539" s="68">
        <v>243.72</v>
      </c>
      <c r="P1539" s="68">
        <v>14866.92</v>
      </c>
      <c r="Q1539" s="68">
        <v>939.83</v>
      </c>
      <c r="R1539" s="62">
        <f t="shared" si="171"/>
        <v>6.3216187347480177E-2</v>
      </c>
      <c r="S1539" s="67">
        <v>16</v>
      </c>
      <c r="T1539" s="66">
        <v>45405</v>
      </c>
      <c r="U1539" s="66">
        <v>45413</v>
      </c>
      <c r="V1539" s="63">
        <f t="shared" si="172"/>
        <v>8</v>
      </c>
      <c r="W1539" s="65" t="s">
        <v>125</v>
      </c>
      <c r="X1539" s="64" t="b">
        <f t="shared" si="173"/>
        <v>0</v>
      </c>
      <c r="Y1539" s="67">
        <v>19</v>
      </c>
      <c r="Z1539" s="67">
        <v>462</v>
      </c>
      <c r="AA1539" s="65" t="s">
        <v>83</v>
      </c>
      <c r="AB1539" s="64" t="b">
        <f t="shared" si="174"/>
        <v>1</v>
      </c>
    </row>
    <row r="1540" spans="1:28" ht="15" customHeight="1" x14ac:dyDescent="0.3">
      <c r="A1540" s="57" t="s">
        <v>3197</v>
      </c>
      <c r="B1540" s="82">
        <v>45160</v>
      </c>
      <c r="C1540" s="59">
        <f t="shared" si="168"/>
        <v>2023</v>
      </c>
      <c r="D1540" s="59">
        <f t="shared" si="169"/>
        <v>8</v>
      </c>
      <c r="E1540" s="59">
        <f t="shared" si="170"/>
        <v>34</v>
      </c>
      <c r="F1540" s="57" t="s">
        <v>56</v>
      </c>
      <c r="G1540" s="57" t="s">
        <v>40</v>
      </c>
      <c r="H1540" s="57" t="s">
        <v>3198</v>
      </c>
      <c r="I1540" s="57" t="s">
        <v>67</v>
      </c>
      <c r="J1540" s="57" t="s">
        <v>151</v>
      </c>
      <c r="K1540" s="57" t="s">
        <v>71</v>
      </c>
      <c r="L1540" s="57" t="s">
        <v>135</v>
      </c>
      <c r="M1540" s="60">
        <v>895</v>
      </c>
      <c r="N1540" s="57" t="s">
        <v>163</v>
      </c>
      <c r="O1540" s="61">
        <v>670.33</v>
      </c>
      <c r="P1540" s="61">
        <v>599945.35</v>
      </c>
      <c r="Q1540" s="61">
        <v>36738.839999999997</v>
      </c>
      <c r="R1540" s="62">
        <f t="shared" si="171"/>
        <v>6.123697766804926E-2</v>
      </c>
      <c r="S1540" s="60">
        <v>8</v>
      </c>
      <c r="T1540" s="58">
        <v>45168</v>
      </c>
      <c r="U1540" s="58">
        <v>45168</v>
      </c>
      <c r="V1540" s="63">
        <f t="shared" si="172"/>
        <v>0</v>
      </c>
      <c r="W1540" s="57" t="s">
        <v>115</v>
      </c>
      <c r="X1540" s="64" t="b">
        <f t="shared" si="173"/>
        <v>1</v>
      </c>
      <c r="Y1540" s="60">
        <v>228</v>
      </c>
      <c r="Z1540" s="60">
        <v>190</v>
      </c>
      <c r="AA1540" s="57" t="s">
        <v>82</v>
      </c>
      <c r="AB1540" s="64" t="b">
        <f t="shared" si="174"/>
        <v>1</v>
      </c>
    </row>
    <row r="1541" spans="1:28" ht="15" customHeight="1" x14ac:dyDescent="0.3">
      <c r="A1541" s="65" t="s">
        <v>3199</v>
      </c>
      <c r="B1541" s="81">
        <v>45350</v>
      </c>
      <c r="C1541" s="59">
        <f t="shared" si="168"/>
        <v>2024</v>
      </c>
      <c r="D1541" s="59">
        <f t="shared" si="169"/>
        <v>2</v>
      </c>
      <c r="E1541" s="59">
        <f t="shared" si="170"/>
        <v>9</v>
      </c>
      <c r="F1541" s="65" t="s">
        <v>52</v>
      </c>
      <c r="G1541" s="65" t="s">
        <v>44</v>
      </c>
      <c r="H1541" s="65" t="s">
        <v>3200</v>
      </c>
      <c r="I1541" s="65" t="s">
        <v>64</v>
      </c>
      <c r="J1541" s="65" t="s">
        <v>112</v>
      </c>
      <c r="K1541" s="65" t="s">
        <v>72</v>
      </c>
      <c r="L1541" s="65" t="s">
        <v>135</v>
      </c>
      <c r="M1541" s="67">
        <v>952</v>
      </c>
      <c r="N1541" s="65" t="s">
        <v>114</v>
      </c>
      <c r="O1541" s="68">
        <v>167.75</v>
      </c>
      <c r="P1541" s="68">
        <v>159698</v>
      </c>
      <c r="Q1541" s="68">
        <v>4111.47</v>
      </c>
      <c r="R1541" s="62">
        <f t="shared" si="171"/>
        <v>2.5745281719245075E-2</v>
      </c>
      <c r="S1541" s="67">
        <v>19</v>
      </c>
      <c r="T1541" s="66">
        <v>45369</v>
      </c>
      <c r="U1541" s="66">
        <v>45372</v>
      </c>
      <c r="V1541" s="63">
        <f t="shared" si="172"/>
        <v>3</v>
      </c>
      <c r="W1541" s="65" t="s">
        <v>125</v>
      </c>
      <c r="X1541" s="64" t="b">
        <f t="shared" si="173"/>
        <v>0</v>
      </c>
      <c r="Y1541" s="67">
        <v>162</v>
      </c>
      <c r="Z1541" s="67">
        <v>131</v>
      </c>
      <c r="AA1541" s="65" t="s">
        <v>81</v>
      </c>
      <c r="AB1541" s="64" t="b">
        <f t="shared" si="174"/>
        <v>1</v>
      </c>
    </row>
    <row r="1542" spans="1:28" ht="15" customHeight="1" x14ac:dyDescent="0.3">
      <c r="A1542" s="57" t="s">
        <v>3201</v>
      </c>
      <c r="B1542" s="82">
        <v>45274</v>
      </c>
      <c r="C1542" s="59">
        <f t="shared" si="168"/>
        <v>2023</v>
      </c>
      <c r="D1542" s="59">
        <f t="shared" si="169"/>
        <v>12</v>
      </c>
      <c r="E1542" s="59">
        <f t="shared" si="170"/>
        <v>50</v>
      </c>
      <c r="F1542" s="57" t="s">
        <v>59</v>
      </c>
      <c r="G1542" s="57" t="s">
        <v>41</v>
      </c>
      <c r="H1542" s="57" t="s">
        <v>3202</v>
      </c>
      <c r="I1542" s="57" t="s">
        <v>69</v>
      </c>
      <c r="J1542" s="57" t="s">
        <v>139</v>
      </c>
      <c r="K1542" s="57" t="s">
        <v>72</v>
      </c>
      <c r="L1542" s="57" t="s">
        <v>113</v>
      </c>
      <c r="M1542" s="60">
        <v>385</v>
      </c>
      <c r="N1542" s="57" t="s">
        <v>120</v>
      </c>
      <c r="O1542" s="61">
        <v>595.25</v>
      </c>
      <c r="P1542" s="61">
        <v>229171.25</v>
      </c>
      <c r="Q1542" s="61">
        <v>17269.05</v>
      </c>
      <c r="R1542" s="62">
        <f t="shared" si="171"/>
        <v>7.5354347458505375E-2</v>
      </c>
      <c r="S1542" s="60">
        <v>18</v>
      </c>
      <c r="T1542" s="58">
        <v>45292</v>
      </c>
      <c r="U1542" s="58">
        <v>45291</v>
      </c>
      <c r="V1542" s="63">
        <f t="shared" si="172"/>
        <v>-1</v>
      </c>
      <c r="W1542" s="57" t="s">
        <v>115</v>
      </c>
      <c r="X1542" s="64" t="b">
        <f t="shared" si="173"/>
        <v>1</v>
      </c>
      <c r="Y1542" s="60">
        <v>164</v>
      </c>
      <c r="Z1542" s="60">
        <v>462</v>
      </c>
      <c r="AA1542" s="57" t="s">
        <v>82</v>
      </c>
      <c r="AB1542" s="64" t="b">
        <f t="shared" si="174"/>
        <v>1</v>
      </c>
    </row>
    <row r="1543" spans="1:28" ht="15" customHeight="1" x14ac:dyDescent="0.3">
      <c r="A1543" s="65" t="s">
        <v>3203</v>
      </c>
      <c r="B1543" s="81">
        <v>45391</v>
      </c>
      <c r="C1543" s="59">
        <f t="shared" si="168"/>
        <v>2024</v>
      </c>
      <c r="D1543" s="59">
        <f t="shared" si="169"/>
        <v>4</v>
      </c>
      <c r="E1543" s="59">
        <f t="shared" si="170"/>
        <v>15</v>
      </c>
      <c r="F1543" s="65" t="s">
        <v>54</v>
      </c>
      <c r="G1543" s="65" t="s">
        <v>44</v>
      </c>
      <c r="H1543" s="65" t="s">
        <v>3204</v>
      </c>
      <c r="I1543" s="65" t="s">
        <v>64</v>
      </c>
      <c r="J1543" s="65" t="s">
        <v>151</v>
      </c>
      <c r="K1543" s="65" t="s">
        <v>75</v>
      </c>
      <c r="L1543" s="65" t="s">
        <v>156</v>
      </c>
      <c r="M1543" s="67">
        <v>272</v>
      </c>
      <c r="N1543" s="65" t="s">
        <v>132</v>
      </c>
      <c r="O1543" s="68">
        <v>99.09</v>
      </c>
      <c r="P1543" s="68">
        <v>26952.48</v>
      </c>
      <c r="Q1543" s="68">
        <v>1458.35</v>
      </c>
      <c r="R1543" s="62">
        <f t="shared" si="171"/>
        <v>5.4108193383317599E-2</v>
      </c>
      <c r="S1543" s="67">
        <v>1</v>
      </c>
      <c r="T1543" s="66">
        <v>45392</v>
      </c>
      <c r="U1543" s="66">
        <v>45392</v>
      </c>
      <c r="V1543" s="63">
        <f t="shared" si="172"/>
        <v>0</v>
      </c>
      <c r="W1543" s="65" t="s">
        <v>115</v>
      </c>
      <c r="X1543" s="64" t="b">
        <f t="shared" si="173"/>
        <v>1</v>
      </c>
      <c r="Y1543" s="67">
        <v>231</v>
      </c>
      <c r="Z1543" s="67">
        <v>41</v>
      </c>
      <c r="AA1543" s="65" t="s">
        <v>116</v>
      </c>
      <c r="AB1543" s="64" t="b">
        <f t="shared" si="174"/>
        <v>0</v>
      </c>
    </row>
    <row r="1544" spans="1:28" ht="15" customHeight="1" x14ac:dyDescent="0.3">
      <c r="A1544" s="57" t="s">
        <v>3205</v>
      </c>
      <c r="B1544" s="82">
        <v>45335</v>
      </c>
      <c r="C1544" s="59">
        <f t="shared" si="168"/>
        <v>2024</v>
      </c>
      <c r="D1544" s="59">
        <f t="shared" si="169"/>
        <v>2</v>
      </c>
      <c r="E1544" s="59">
        <f t="shared" si="170"/>
        <v>7</v>
      </c>
      <c r="F1544" s="57" t="s">
        <v>60</v>
      </c>
      <c r="G1544" s="57" t="s">
        <v>39</v>
      </c>
      <c r="H1544" s="57" t="s">
        <v>3206</v>
      </c>
      <c r="I1544" s="57" t="s">
        <v>67</v>
      </c>
      <c r="J1544" s="57" t="s">
        <v>139</v>
      </c>
      <c r="K1544" s="57" t="s">
        <v>71</v>
      </c>
      <c r="L1544" s="57" t="s">
        <v>119</v>
      </c>
      <c r="M1544" s="60">
        <v>276</v>
      </c>
      <c r="N1544" s="57" t="s">
        <v>132</v>
      </c>
      <c r="O1544" s="61">
        <v>2204.81</v>
      </c>
      <c r="P1544" s="61">
        <v>608527.56000000006</v>
      </c>
      <c r="Q1544" s="61">
        <v>25450.77</v>
      </c>
      <c r="R1544" s="62">
        <f t="shared" si="171"/>
        <v>4.1823528912971496E-2</v>
      </c>
      <c r="S1544" s="60">
        <v>14</v>
      </c>
      <c r="T1544" s="58">
        <v>45349</v>
      </c>
      <c r="U1544" s="58">
        <v>45349</v>
      </c>
      <c r="V1544" s="63">
        <f t="shared" si="172"/>
        <v>0</v>
      </c>
      <c r="W1544" s="57" t="s">
        <v>115</v>
      </c>
      <c r="X1544" s="64" t="b">
        <f t="shared" si="173"/>
        <v>1</v>
      </c>
      <c r="Y1544" s="60">
        <v>327</v>
      </c>
      <c r="Z1544" s="60">
        <v>485</v>
      </c>
      <c r="AA1544" s="57" t="s">
        <v>83</v>
      </c>
      <c r="AB1544" s="64" t="b">
        <f t="shared" si="174"/>
        <v>1</v>
      </c>
    </row>
    <row r="1545" spans="1:28" ht="15" customHeight="1" x14ac:dyDescent="0.3">
      <c r="A1545" s="65" t="s">
        <v>3207</v>
      </c>
      <c r="B1545" s="81">
        <v>45352</v>
      </c>
      <c r="C1545" s="59">
        <f t="shared" si="168"/>
        <v>2024</v>
      </c>
      <c r="D1545" s="59">
        <f t="shared" si="169"/>
        <v>3</v>
      </c>
      <c r="E1545" s="59">
        <f t="shared" si="170"/>
        <v>9</v>
      </c>
      <c r="F1545" s="65" t="s">
        <v>54</v>
      </c>
      <c r="G1545" s="65" t="s">
        <v>42</v>
      </c>
      <c r="H1545" s="65" t="s">
        <v>3208</v>
      </c>
      <c r="I1545" s="65" t="s">
        <v>64</v>
      </c>
      <c r="J1545" s="65" t="s">
        <v>143</v>
      </c>
      <c r="K1545" s="65" t="s">
        <v>74</v>
      </c>
      <c r="L1545" s="65" t="s">
        <v>156</v>
      </c>
      <c r="M1545" s="67">
        <v>368</v>
      </c>
      <c r="N1545" s="65" t="s">
        <v>163</v>
      </c>
      <c r="O1545" s="68">
        <v>89.18</v>
      </c>
      <c r="P1545" s="68">
        <v>32818.239999999998</v>
      </c>
      <c r="Q1545" s="68">
        <v>2146.06</v>
      </c>
      <c r="R1545" s="62">
        <f t="shared" si="171"/>
        <v>6.5392294041362362E-2</v>
      </c>
      <c r="S1545" s="67">
        <v>19</v>
      </c>
      <c r="T1545" s="66">
        <v>45371</v>
      </c>
      <c r="U1545" s="66">
        <v>45374</v>
      </c>
      <c r="V1545" s="63">
        <f t="shared" si="172"/>
        <v>3</v>
      </c>
      <c r="W1545" s="65" t="s">
        <v>128</v>
      </c>
      <c r="X1545" s="64" t="b">
        <f t="shared" si="173"/>
        <v>0</v>
      </c>
      <c r="Y1545" s="67">
        <v>237</v>
      </c>
      <c r="Z1545" s="67">
        <v>172</v>
      </c>
      <c r="AA1545" s="65" t="s">
        <v>81</v>
      </c>
      <c r="AB1545" s="64" t="b">
        <f t="shared" si="174"/>
        <v>1</v>
      </c>
    </row>
    <row r="1546" spans="1:28" ht="15" customHeight="1" x14ac:dyDescent="0.3">
      <c r="A1546" s="57" t="s">
        <v>3209</v>
      </c>
      <c r="B1546" s="82">
        <v>45024</v>
      </c>
      <c r="C1546" s="59">
        <f t="shared" si="168"/>
        <v>2023</v>
      </c>
      <c r="D1546" s="59">
        <f t="shared" si="169"/>
        <v>4</v>
      </c>
      <c r="E1546" s="59">
        <f t="shared" si="170"/>
        <v>14</v>
      </c>
      <c r="F1546" s="57" t="s">
        <v>58</v>
      </c>
      <c r="G1546" s="57" t="s">
        <v>40</v>
      </c>
      <c r="H1546" s="57" t="s">
        <v>3210</v>
      </c>
      <c r="I1546" s="57" t="s">
        <v>69</v>
      </c>
      <c r="J1546" s="57" t="s">
        <v>131</v>
      </c>
      <c r="K1546" s="57" t="s">
        <v>72</v>
      </c>
      <c r="L1546" s="57" t="s">
        <v>135</v>
      </c>
      <c r="M1546" s="60">
        <v>326</v>
      </c>
      <c r="N1546" s="57" t="s">
        <v>114</v>
      </c>
      <c r="O1546" s="61">
        <v>606.66</v>
      </c>
      <c r="P1546" s="61">
        <v>197771.16</v>
      </c>
      <c r="Q1546" s="61">
        <v>7009.39</v>
      </c>
      <c r="R1546" s="62">
        <f t="shared" si="171"/>
        <v>3.5441921865655236E-2</v>
      </c>
      <c r="S1546" s="60">
        <v>15</v>
      </c>
      <c r="T1546" s="58">
        <v>45039</v>
      </c>
      <c r="U1546" s="58">
        <v>45039</v>
      </c>
      <c r="V1546" s="63">
        <f t="shared" si="172"/>
        <v>0</v>
      </c>
      <c r="W1546" s="57" t="s">
        <v>115</v>
      </c>
      <c r="X1546" s="64" t="b">
        <f t="shared" si="173"/>
        <v>1</v>
      </c>
      <c r="Y1546" s="60">
        <v>119</v>
      </c>
      <c r="Z1546" s="60">
        <v>166</v>
      </c>
      <c r="AA1546" s="57" t="s">
        <v>83</v>
      </c>
      <c r="AB1546" s="64" t="b">
        <f t="shared" si="174"/>
        <v>1</v>
      </c>
    </row>
    <row r="1547" spans="1:28" ht="15" customHeight="1" x14ac:dyDescent="0.3">
      <c r="A1547" s="65" t="s">
        <v>3211</v>
      </c>
      <c r="B1547" s="81">
        <v>45247</v>
      </c>
      <c r="C1547" s="59">
        <f t="shared" si="168"/>
        <v>2023</v>
      </c>
      <c r="D1547" s="59">
        <f t="shared" si="169"/>
        <v>11</v>
      </c>
      <c r="E1547" s="59">
        <f t="shared" si="170"/>
        <v>46</v>
      </c>
      <c r="F1547" s="65" t="s">
        <v>57</v>
      </c>
      <c r="G1547" s="65" t="s">
        <v>41</v>
      </c>
      <c r="H1547" s="65" t="s">
        <v>3212</v>
      </c>
      <c r="I1547" s="65" t="s">
        <v>67</v>
      </c>
      <c r="J1547" s="65" t="s">
        <v>143</v>
      </c>
      <c r="K1547" s="65" t="s">
        <v>73</v>
      </c>
      <c r="L1547" s="65" t="s">
        <v>124</v>
      </c>
      <c r="M1547" s="67">
        <v>333</v>
      </c>
      <c r="N1547" s="65" t="s">
        <v>140</v>
      </c>
      <c r="O1547" s="68">
        <v>600.73</v>
      </c>
      <c r="P1547" s="68">
        <v>200043.09</v>
      </c>
      <c r="Q1547" s="68">
        <v>12324.77</v>
      </c>
      <c r="R1547" s="62">
        <f t="shared" si="171"/>
        <v>6.1610576001400505E-2</v>
      </c>
      <c r="S1547" s="67">
        <v>18</v>
      </c>
      <c r="T1547" s="66">
        <v>45265</v>
      </c>
      <c r="U1547" s="66">
        <v>45262</v>
      </c>
      <c r="V1547" s="63">
        <f t="shared" si="172"/>
        <v>-3</v>
      </c>
      <c r="W1547" s="65" t="s">
        <v>115</v>
      </c>
      <c r="X1547" s="64" t="b">
        <f t="shared" si="173"/>
        <v>1</v>
      </c>
      <c r="Y1547" s="67">
        <v>437</v>
      </c>
      <c r="Z1547" s="67">
        <v>249</v>
      </c>
      <c r="AA1547" s="65" t="s">
        <v>84</v>
      </c>
      <c r="AB1547" s="64" t="b">
        <f t="shared" si="174"/>
        <v>1</v>
      </c>
    </row>
    <row r="1548" spans="1:28" ht="15" customHeight="1" x14ac:dyDescent="0.3">
      <c r="A1548" s="57" t="s">
        <v>3213</v>
      </c>
      <c r="B1548" s="82">
        <v>45364</v>
      </c>
      <c r="C1548" s="59">
        <f t="shared" si="168"/>
        <v>2024</v>
      </c>
      <c r="D1548" s="59">
        <f t="shared" si="169"/>
        <v>3</v>
      </c>
      <c r="E1548" s="59">
        <f t="shared" si="170"/>
        <v>11</v>
      </c>
      <c r="F1548" s="57" t="s">
        <v>55</v>
      </c>
      <c r="G1548" s="57" t="s">
        <v>46</v>
      </c>
      <c r="H1548" s="57" t="s">
        <v>3214</v>
      </c>
      <c r="I1548" s="57" t="s">
        <v>67</v>
      </c>
      <c r="J1548" s="57" t="s">
        <v>151</v>
      </c>
      <c r="K1548" s="57" t="s">
        <v>71</v>
      </c>
      <c r="L1548" s="57" t="s">
        <v>135</v>
      </c>
      <c r="M1548" s="60">
        <v>930</v>
      </c>
      <c r="N1548" s="57" t="s">
        <v>114</v>
      </c>
      <c r="O1548" s="61">
        <v>54.15</v>
      </c>
      <c r="P1548" s="61">
        <v>50359.5</v>
      </c>
      <c r="Q1548" s="61">
        <v>1127.18</v>
      </c>
      <c r="R1548" s="62">
        <f t="shared" si="171"/>
        <v>2.2382668612674871E-2</v>
      </c>
      <c r="S1548" s="60">
        <v>2</v>
      </c>
      <c r="T1548" s="58">
        <v>45366</v>
      </c>
      <c r="U1548" s="58">
        <v>45371</v>
      </c>
      <c r="V1548" s="63">
        <f t="shared" si="172"/>
        <v>5</v>
      </c>
      <c r="W1548" s="57" t="s">
        <v>128</v>
      </c>
      <c r="X1548" s="64" t="b">
        <f t="shared" si="173"/>
        <v>0</v>
      </c>
      <c r="Y1548" s="60">
        <v>350</v>
      </c>
      <c r="Z1548" s="60">
        <v>192</v>
      </c>
      <c r="AA1548" s="57" t="s">
        <v>84</v>
      </c>
      <c r="AB1548" s="64" t="b">
        <f t="shared" si="174"/>
        <v>1</v>
      </c>
    </row>
    <row r="1549" spans="1:28" ht="15" customHeight="1" x14ac:dyDescent="0.3">
      <c r="A1549" s="65" t="s">
        <v>3215</v>
      </c>
      <c r="B1549" s="81">
        <v>45247</v>
      </c>
      <c r="C1549" s="59">
        <f t="shared" si="168"/>
        <v>2023</v>
      </c>
      <c r="D1549" s="59">
        <f t="shared" si="169"/>
        <v>11</v>
      </c>
      <c r="E1549" s="59">
        <f t="shared" si="170"/>
        <v>46</v>
      </c>
      <c r="F1549" s="65" t="s">
        <v>57</v>
      </c>
      <c r="G1549" s="65" t="s">
        <v>40</v>
      </c>
      <c r="H1549" s="65" t="s">
        <v>3216</v>
      </c>
      <c r="I1549" s="65" t="s">
        <v>64</v>
      </c>
      <c r="J1549" s="65" t="s">
        <v>112</v>
      </c>
      <c r="K1549" s="65" t="s">
        <v>74</v>
      </c>
      <c r="L1549" s="65" t="s">
        <v>156</v>
      </c>
      <c r="M1549" s="67">
        <v>917</v>
      </c>
      <c r="N1549" s="65" t="s">
        <v>140</v>
      </c>
      <c r="O1549" s="68">
        <v>1074.3599999999999</v>
      </c>
      <c r="P1549" s="68">
        <v>985188.12</v>
      </c>
      <c r="Q1549" s="68">
        <v>69322.25</v>
      </c>
      <c r="R1549" s="62">
        <f t="shared" si="171"/>
        <v>7.0364480237540827E-2</v>
      </c>
      <c r="S1549" s="67">
        <v>22</v>
      </c>
      <c r="T1549" s="66">
        <v>45269</v>
      </c>
      <c r="U1549" s="66">
        <v>45269</v>
      </c>
      <c r="V1549" s="63">
        <f t="shared" si="172"/>
        <v>0</v>
      </c>
      <c r="W1549" s="65" t="s">
        <v>115</v>
      </c>
      <c r="X1549" s="64" t="b">
        <f t="shared" si="173"/>
        <v>1</v>
      </c>
      <c r="Y1549" s="67">
        <v>382</v>
      </c>
      <c r="Z1549" s="67">
        <v>277</v>
      </c>
      <c r="AA1549" s="65" t="s">
        <v>116</v>
      </c>
      <c r="AB1549" s="64" t="b">
        <f t="shared" si="174"/>
        <v>0</v>
      </c>
    </row>
    <row r="1550" spans="1:28" ht="15" customHeight="1" x14ac:dyDescent="0.3">
      <c r="A1550" s="57" t="s">
        <v>3217</v>
      </c>
      <c r="B1550" s="82">
        <v>45608</v>
      </c>
      <c r="C1550" s="59">
        <f t="shared" si="168"/>
        <v>2024</v>
      </c>
      <c r="D1550" s="59">
        <f t="shared" si="169"/>
        <v>11</v>
      </c>
      <c r="E1550" s="59">
        <f t="shared" si="170"/>
        <v>46</v>
      </c>
      <c r="F1550" s="57" t="s">
        <v>61</v>
      </c>
      <c r="G1550" s="57" t="s">
        <v>45</v>
      </c>
      <c r="H1550" s="57" t="s">
        <v>3218</v>
      </c>
      <c r="I1550" s="57" t="s">
        <v>67</v>
      </c>
      <c r="J1550" s="57" t="s">
        <v>112</v>
      </c>
      <c r="K1550" s="57" t="s">
        <v>74</v>
      </c>
      <c r="L1550" s="57" t="s">
        <v>119</v>
      </c>
      <c r="M1550" s="60">
        <v>675</v>
      </c>
      <c r="N1550" s="57" t="s">
        <v>140</v>
      </c>
      <c r="O1550" s="61">
        <v>270.85000000000002</v>
      </c>
      <c r="P1550" s="61">
        <v>182823.75</v>
      </c>
      <c r="Q1550" s="61">
        <v>8572.65</v>
      </c>
      <c r="R1550" s="62">
        <f t="shared" si="171"/>
        <v>4.6890242651734249E-2</v>
      </c>
      <c r="S1550" s="60">
        <v>28</v>
      </c>
      <c r="T1550" s="58">
        <v>45636</v>
      </c>
      <c r="U1550" s="58">
        <v>45635</v>
      </c>
      <c r="V1550" s="63">
        <f t="shared" si="172"/>
        <v>-1</v>
      </c>
      <c r="W1550" s="57" t="s">
        <v>115</v>
      </c>
      <c r="X1550" s="64" t="b">
        <f t="shared" si="173"/>
        <v>1</v>
      </c>
      <c r="Y1550" s="60">
        <v>368</v>
      </c>
      <c r="Z1550" s="60">
        <v>394</v>
      </c>
      <c r="AA1550" s="57" t="s">
        <v>83</v>
      </c>
      <c r="AB1550" s="64" t="b">
        <f t="shared" si="174"/>
        <v>1</v>
      </c>
    </row>
    <row r="1551" spans="1:28" ht="15" customHeight="1" x14ac:dyDescent="0.3">
      <c r="A1551" s="65" t="s">
        <v>3219</v>
      </c>
      <c r="B1551" s="81">
        <v>45188</v>
      </c>
      <c r="C1551" s="59">
        <f t="shared" si="168"/>
        <v>2023</v>
      </c>
      <c r="D1551" s="59">
        <f t="shared" si="169"/>
        <v>9</v>
      </c>
      <c r="E1551" s="59">
        <f t="shared" si="170"/>
        <v>38</v>
      </c>
      <c r="F1551" s="65" t="s">
        <v>52</v>
      </c>
      <c r="G1551" s="65" t="s">
        <v>43</v>
      </c>
      <c r="H1551" s="65" t="s">
        <v>3220</v>
      </c>
      <c r="I1551" s="65" t="s">
        <v>64</v>
      </c>
      <c r="J1551" s="65" t="s">
        <v>151</v>
      </c>
      <c r="K1551" s="65" t="s">
        <v>74</v>
      </c>
      <c r="L1551" s="65" t="s">
        <v>124</v>
      </c>
      <c r="M1551" s="67">
        <v>879</v>
      </c>
      <c r="N1551" s="65" t="s">
        <v>120</v>
      </c>
      <c r="O1551" s="68">
        <v>296.63</v>
      </c>
      <c r="P1551" s="68">
        <v>260737.77</v>
      </c>
      <c r="Q1551" s="68">
        <v>15175.35</v>
      </c>
      <c r="R1551" s="62">
        <f t="shared" si="171"/>
        <v>5.8201579310891559E-2</v>
      </c>
      <c r="S1551" s="67">
        <v>17</v>
      </c>
      <c r="T1551" s="66">
        <v>45205</v>
      </c>
      <c r="U1551" s="66">
        <v>45217</v>
      </c>
      <c r="V1551" s="63">
        <f t="shared" si="172"/>
        <v>12</v>
      </c>
      <c r="W1551" s="65" t="s">
        <v>125</v>
      </c>
      <c r="X1551" s="64" t="b">
        <f t="shared" si="173"/>
        <v>0</v>
      </c>
      <c r="Y1551" s="67">
        <v>106</v>
      </c>
      <c r="Z1551" s="67">
        <v>237</v>
      </c>
      <c r="AA1551" s="65" t="s">
        <v>83</v>
      </c>
      <c r="AB1551" s="64" t="b">
        <f t="shared" si="174"/>
        <v>1</v>
      </c>
    </row>
    <row r="1552" spans="1:28" ht="15" customHeight="1" x14ac:dyDescent="0.3">
      <c r="A1552" s="57" t="s">
        <v>3221</v>
      </c>
      <c r="B1552" s="82">
        <v>45310</v>
      </c>
      <c r="C1552" s="59">
        <f t="shared" si="168"/>
        <v>2024</v>
      </c>
      <c r="D1552" s="59">
        <f t="shared" si="169"/>
        <v>1</v>
      </c>
      <c r="E1552" s="59">
        <f t="shared" si="170"/>
        <v>3</v>
      </c>
      <c r="F1552" s="57" t="s">
        <v>59</v>
      </c>
      <c r="G1552" s="57" t="s">
        <v>44</v>
      </c>
      <c r="H1552" s="57" t="s">
        <v>3222</v>
      </c>
      <c r="I1552" s="57" t="s">
        <v>66</v>
      </c>
      <c r="J1552" s="57" t="s">
        <v>139</v>
      </c>
      <c r="K1552" s="57" t="s">
        <v>73</v>
      </c>
      <c r="L1552" s="57" t="s">
        <v>119</v>
      </c>
      <c r="M1552" s="60">
        <v>887</v>
      </c>
      <c r="N1552" s="57" t="s">
        <v>120</v>
      </c>
      <c r="O1552" s="61">
        <v>132.18</v>
      </c>
      <c r="P1552" s="61">
        <v>117243.66</v>
      </c>
      <c r="Q1552" s="61">
        <v>3901.2</v>
      </c>
      <c r="R1552" s="62">
        <f t="shared" si="171"/>
        <v>3.3274293893588783E-2</v>
      </c>
      <c r="S1552" s="60">
        <v>18</v>
      </c>
      <c r="T1552" s="58">
        <v>45328</v>
      </c>
      <c r="U1552" s="58">
        <v>45331</v>
      </c>
      <c r="V1552" s="63">
        <f t="shared" si="172"/>
        <v>3</v>
      </c>
      <c r="W1552" s="57" t="s">
        <v>125</v>
      </c>
      <c r="X1552" s="64" t="b">
        <f t="shared" si="173"/>
        <v>0</v>
      </c>
      <c r="Y1552" s="60">
        <v>249</v>
      </c>
      <c r="Z1552" s="60">
        <v>229</v>
      </c>
      <c r="AA1552" s="57" t="s">
        <v>83</v>
      </c>
      <c r="AB1552" s="64" t="b">
        <f t="shared" si="174"/>
        <v>1</v>
      </c>
    </row>
    <row r="1553" spans="1:28" ht="15" customHeight="1" x14ac:dyDescent="0.3">
      <c r="A1553" s="65" t="s">
        <v>3223</v>
      </c>
      <c r="B1553" s="81">
        <v>45083</v>
      </c>
      <c r="C1553" s="59">
        <f t="shared" si="168"/>
        <v>2023</v>
      </c>
      <c r="D1553" s="59">
        <f t="shared" si="169"/>
        <v>6</v>
      </c>
      <c r="E1553" s="59">
        <f t="shared" si="170"/>
        <v>23</v>
      </c>
      <c r="F1553" s="65" t="s">
        <v>54</v>
      </c>
      <c r="G1553" s="65" t="s">
        <v>41</v>
      </c>
      <c r="H1553" s="65" t="s">
        <v>3224</v>
      </c>
      <c r="I1553" s="65" t="s">
        <v>67</v>
      </c>
      <c r="J1553" s="65" t="s">
        <v>123</v>
      </c>
      <c r="K1553" s="65" t="s">
        <v>72</v>
      </c>
      <c r="L1553" s="65" t="s">
        <v>113</v>
      </c>
      <c r="M1553" s="67">
        <v>661</v>
      </c>
      <c r="N1553" s="65" t="s">
        <v>163</v>
      </c>
      <c r="O1553" s="68">
        <v>531.98</v>
      </c>
      <c r="P1553" s="68">
        <v>351638.78</v>
      </c>
      <c r="Q1553" s="68">
        <v>21317.9</v>
      </c>
      <c r="R1553" s="62">
        <f t="shared" si="171"/>
        <v>6.0624428284047627E-2</v>
      </c>
      <c r="S1553" s="67">
        <v>6</v>
      </c>
      <c r="T1553" s="66">
        <v>45089</v>
      </c>
      <c r="U1553" s="66">
        <v>45089</v>
      </c>
      <c r="V1553" s="63">
        <f t="shared" si="172"/>
        <v>0</v>
      </c>
      <c r="W1553" s="65" t="s">
        <v>115</v>
      </c>
      <c r="X1553" s="64" t="b">
        <f t="shared" si="173"/>
        <v>1</v>
      </c>
      <c r="Y1553" s="67">
        <v>335</v>
      </c>
      <c r="Z1553" s="67">
        <v>164</v>
      </c>
      <c r="AA1553" s="65" t="s">
        <v>81</v>
      </c>
      <c r="AB1553" s="64" t="b">
        <f t="shared" si="174"/>
        <v>1</v>
      </c>
    </row>
    <row r="1554" spans="1:28" ht="15" customHeight="1" x14ac:dyDescent="0.3">
      <c r="A1554" s="57" t="s">
        <v>3225</v>
      </c>
      <c r="B1554" s="82">
        <v>45630</v>
      </c>
      <c r="C1554" s="59">
        <f t="shared" si="168"/>
        <v>2024</v>
      </c>
      <c r="D1554" s="59">
        <f t="shared" si="169"/>
        <v>12</v>
      </c>
      <c r="E1554" s="59">
        <f t="shared" si="170"/>
        <v>49</v>
      </c>
      <c r="F1554" s="57" t="s">
        <v>56</v>
      </c>
      <c r="G1554" s="57" t="s">
        <v>40</v>
      </c>
      <c r="H1554" s="57" t="s">
        <v>3226</v>
      </c>
      <c r="I1554" s="57" t="s">
        <v>64</v>
      </c>
      <c r="J1554" s="57" t="s">
        <v>151</v>
      </c>
      <c r="K1554" s="57" t="s">
        <v>74</v>
      </c>
      <c r="L1554" s="57" t="s">
        <v>135</v>
      </c>
      <c r="M1554" s="60">
        <v>948</v>
      </c>
      <c r="N1554" s="57" t="s">
        <v>114</v>
      </c>
      <c r="O1554" s="61">
        <v>1042.22</v>
      </c>
      <c r="P1554" s="61">
        <v>988024.56</v>
      </c>
      <c r="Q1554" s="61">
        <v>65540.03</v>
      </c>
      <c r="R1554" s="62">
        <f t="shared" si="171"/>
        <v>6.6334413792304911E-2</v>
      </c>
      <c r="S1554" s="60">
        <v>19</v>
      </c>
      <c r="T1554" s="58">
        <v>45649</v>
      </c>
      <c r="U1554" s="58">
        <v>45649</v>
      </c>
      <c r="V1554" s="63">
        <f t="shared" si="172"/>
        <v>0</v>
      </c>
      <c r="W1554" s="57" t="s">
        <v>115</v>
      </c>
      <c r="X1554" s="64" t="b">
        <f t="shared" si="173"/>
        <v>1</v>
      </c>
      <c r="Y1554" s="60">
        <v>283</v>
      </c>
      <c r="Z1554" s="60">
        <v>242</v>
      </c>
      <c r="AA1554" s="57" t="s">
        <v>82</v>
      </c>
      <c r="AB1554" s="64" t="b">
        <f t="shared" si="174"/>
        <v>1</v>
      </c>
    </row>
    <row r="1555" spans="1:28" ht="15" customHeight="1" x14ac:dyDescent="0.3">
      <c r="A1555" s="65" t="s">
        <v>3227</v>
      </c>
      <c r="B1555" s="81">
        <v>45412</v>
      </c>
      <c r="C1555" s="59">
        <f t="shared" si="168"/>
        <v>2024</v>
      </c>
      <c r="D1555" s="59">
        <f t="shared" si="169"/>
        <v>4</v>
      </c>
      <c r="E1555" s="59">
        <f t="shared" si="170"/>
        <v>18</v>
      </c>
      <c r="F1555" s="65" t="s">
        <v>54</v>
      </c>
      <c r="G1555" s="65" t="s">
        <v>44</v>
      </c>
      <c r="H1555" s="65" t="s">
        <v>2775</v>
      </c>
      <c r="I1555" s="65" t="s">
        <v>66</v>
      </c>
      <c r="J1555" s="65" t="s">
        <v>143</v>
      </c>
      <c r="K1555" s="65" t="s">
        <v>72</v>
      </c>
      <c r="L1555" s="65" t="s">
        <v>135</v>
      </c>
      <c r="M1555" s="67">
        <v>572</v>
      </c>
      <c r="N1555" s="65" t="s">
        <v>140</v>
      </c>
      <c r="O1555" s="68">
        <v>96.72</v>
      </c>
      <c r="P1555" s="68">
        <v>55323.839999999997</v>
      </c>
      <c r="Q1555" s="68">
        <v>2677.28</v>
      </c>
      <c r="R1555" s="62">
        <f t="shared" si="171"/>
        <v>4.8392880899084383E-2</v>
      </c>
      <c r="S1555" s="67">
        <v>4</v>
      </c>
      <c r="T1555" s="66">
        <v>45416</v>
      </c>
      <c r="U1555" s="66">
        <v>45413</v>
      </c>
      <c r="V1555" s="63">
        <f t="shared" si="172"/>
        <v>-3</v>
      </c>
      <c r="W1555" s="65" t="s">
        <v>115</v>
      </c>
      <c r="X1555" s="64" t="b">
        <f t="shared" si="173"/>
        <v>1</v>
      </c>
      <c r="Y1555" s="67">
        <v>197</v>
      </c>
      <c r="Z1555" s="67">
        <v>89</v>
      </c>
      <c r="AA1555" s="65" t="s">
        <v>116</v>
      </c>
      <c r="AB1555" s="64" t="b">
        <f t="shared" si="174"/>
        <v>0</v>
      </c>
    </row>
    <row r="1556" spans="1:28" ht="15" customHeight="1" x14ac:dyDescent="0.3">
      <c r="A1556" s="57" t="s">
        <v>3228</v>
      </c>
      <c r="B1556" s="82">
        <v>44995</v>
      </c>
      <c r="C1556" s="59">
        <f t="shared" si="168"/>
        <v>2023</v>
      </c>
      <c r="D1556" s="59">
        <f t="shared" si="169"/>
        <v>3</v>
      </c>
      <c r="E1556" s="59">
        <f t="shared" si="170"/>
        <v>10</v>
      </c>
      <c r="F1556" s="57" t="s">
        <v>52</v>
      </c>
      <c r="G1556" s="57" t="s">
        <v>41</v>
      </c>
      <c r="H1556" s="57" t="s">
        <v>2451</v>
      </c>
      <c r="I1556" s="57" t="s">
        <v>67</v>
      </c>
      <c r="J1556" s="57" t="s">
        <v>112</v>
      </c>
      <c r="K1556" s="57" t="s">
        <v>75</v>
      </c>
      <c r="L1556" s="57" t="s">
        <v>113</v>
      </c>
      <c r="M1556" s="60">
        <v>638</v>
      </c>
      <c r="N1556" s="57" t="s">
        <v>163</v>
      </c>
      <c r="O1556" s="61">
        <v>568.77</v>
      </c>
      <c r="P1556" s="61">
        <v>362875.26</v>
      </c>
      <c r="Q1556" s="61">
        <v>20706.97</v>
      </c>
      <c r="R1556" s="62">
        <f t="shared" si="171"/>
        <v>5.7063603619601957E-2</v>
      </c>
      <c r="S1556" s="60">
        <v>1</v>
      </c>
      <c r="T1556" s="58">
        <v>44996</v>
      </c>
      <c r="U1556" s="58">
        <v>44996</v>
      </c>
      <c r="V1556" s="63">
        <f t="shared" si="172"/>
        <v>0</v>
      </c>
      <c r="W1556" s="57" t="s">
        <v>115</v>
      </c>
      <c r="X1556" s="64" t="b">
        <f t="shared" si="173"/>
        <v>1</v>
      </c>
      <c r="Y1556" s="60">
        <v>415</v>
      </c>
      <c r="Z1556" s="60">
        <v>178</v>
      </c>
      <c r="AA1556" s="57" t="s">
        <v>82</v>
      </c>
      <c r="AB1556" s="64" t="b">
        <f t="shared" si="174"/>
        <v>1</v>
      </c>
    </row>
    <row r="1557" spans="1:28" ht="15" customHeight="1" x14ac:dyDescent="0.3">
      <c r="A1557" s="65" t="s">
        <v>3229</v>
      </c>
      <c r="B1557" s="81">
        <v>45020</v>
      </c>
      <c r="C1557" s="59">
        <f t="shared" si="168"/>
        <v>2023</v>
      </c>
      <c r="D1557" s="59">
        <f t="shared" si="169"/>
        <v>4</v>
      </c>
      <c r="E1557" s="59">
        <f t="shared" si="170"/>
        <v>14</v>
      </c>
      <c r="F1557" s="65" t="s">
        <v>56</v>
      </c>
      <c r="G1557" s="65" t="s">
        <v>39</v>
      </c>
      <c r="H1557" s="65" t="s">
        <v>3230</v>
      </c>
      <c r="I1557" s="65" t="s">
        <v>66</v>
      </c>
      <c r="J1557" s="65" t="s">
        <v>131</v>
      </c>
      <c r="K1557" s="65" t="s">
        <v>73</v>
      </c>
      <c r="L1557" s="65" t="s">
        <v>156</v>
      </c>
      <c r="M1557" s="67">
        <v>430</v>
      </c>
      <c r="N1557" s="65" t="s">
        <v>140</v>
      </c>
      <c r="O1557" s="68">
        <v>1705.5</v>
      </c>
      <c r="P1557" s="68">
        <v>733365</v>
      </c>
      <c r="Q1557" s="68">
        <v>34746.51</v>
      </c>
      <c r="R1557" s="62">
        <f t="shared" si="171"/>
        <v>4.7379558609969119E-2</v>
      </c>
      <c r="S1557" s="67">
        <v>8</v>
      </c>
      <c r="T1557" s="66">
        <v>45028</v>
      </c>
      <c r="U1557" s="66">
        <v>45027</v>
      </c>
      <c r="V1557" s="63">
        <f t="shared" si="172"/>
        <v>-1</v>
      </c>
      <c r="W1557" s="65" t="s">
        <v>115</v>
      </c>
      <c r="X1557" s="64" t="b">
        <f t="shared" si="173"/>
        <v>1</v>
      </c>
      <c r="Y1557" s="67">
        <v>219</v>
      </c>
      <c r="Z1557" s="67">
        <v>474</v>
      </c>
      <c r="AA1557" s="65" t="s">
        <v>81</v>
      </c>
      <c r="AB1557" s="64" t="b">
        <f t="shared" si="174"/>
        <v>1</v>
      </c>
    </row>
    <row r="1558" spans="1:28" ht="15" customHeight="1" x14ac:dyDescent="0.3">
      <c r="A1558" s="57" t="s">
        <v>3231</v>
      </c>
      <c r="B1558" s="82">
        <v>45014</v>
      </c>
      <c r="C1558" s="59">
        <f t="shared" si="168"/>
        <v>2023</v>
      </c>
      <c r="D1558" s="59">
        <f t="shared" si="169"/>
        <v>3</v>
      </c>
      <c r="E1558" s="59">
        <f t="shared" si="170"/>
        <v>13</v>
      </c>
      <c r="F1558" s="57" t="s">
        <v>56</v>
      </c>
      <c r="G1558" s="57" t="s">
        <v>40</v>
      </c>
      <c r="H1558" s="57" t="s">
        <v>3232</v>
      </c>
      <c r="I1558" s="57" t="s">
        <v>68</v>
      </c>
      <c r="J1558" s="57" t="s">
        <v>112</v>
      </c>
      <c r="K1558" s="57" t="s">
        <v>72</v>
      </c>
      <c r="L1558" s="57" t="s">
        <v>135</v>
      </c>
      <c r="M1558" s="60">
        <v>55</v>
      </c>
      <c r="N1558" s="57" t="s">
        <v>132</v>
      </c>
      <c r="O1558" s="61">
        <v>617.26</v>
      </c>
      <c r="P1558" s="61">
        <v>33949.300000000003</v>
      </c>
      <c r="Q1558" s="61">
        <v>2500.21</v>
      </c>
      <c r="R1558" s="62">
        <f t="shared" si="171"/>
        <v>7.3645406532682547E-2</v>
      </c>
      <c r="S1558" s="60">
        <v>29</v>
      </c>
      <c r="T1558" s="58">
        <v>45043</v>
      </c>
      <c r="U1558" s="58">
        <v>45055</v>
      </c>
      <c r="V1558" s="63">
        <f t="shared" si="172"/>
        <v>12</v>
      </c>
      <c r="W1558" s="57" t="s">
        <v>128</v>
      </c>
      <c r="X1558" s="64" t="b">
        <f t="shared" si="173"/>
        <v>0</v>
      </c>
      <c r="Y1558" s="60">
        <v>394</v>
      </c>
      <c r="Z1558" s="60">
        <v>57</v>
      </c>
      <c r="AA1558" s="57" t="s">
        <v>84</v>
      </c>
      <c r="AB1558" s="64" t="b">
        <f t="shared" si="174"/>
        <v>1</v>
      </c>
    </row>
    <row r="1559" spans="1:28" ht="15" customHeight="1" x14ac:dyDescent="0.3">
      <c r="A1559" s="65" t="s">
        <v>3233</v>
      </c>
      <c r="B1559" s="81">
        <v>45022</v>
      </c>
      <c r="C1559" s="59">
        <f t="shared" si="168"/>
        <v>2023</v>
      </c>
      <c r="D1559" s="59">
        <f t="shared" si="169"/>
        <v>4</v>
      </c>
      <c r="E1559" s="59">
        <f t="shared" si="170"/>
        <v>14</v>
      </c>
      <c r="F1559" s="65" t="s">
        <v>61</v>
      </c>
      <c r="G1559" s="65" t="s">
        <v>39</v>
      </c>
      <c r="H1559" s="65" t="s">
        <v>3234</v>
      </c>
      <c r="I1559" s="65" t="s">
        <v>67</v>
      </c>
      <c r="J1559" s="65" t="s">
        <v>123</v>
      </c>
      <c r="K1559" s="65" t="s">
        <v>72</v>
      </c>
      <c r="L1559" s="65" t="s">
        <v>156</v>
      </c>
      <c r="M1559" s="67">
        <v>830</v>
      </c>
      <c r="N1559" s="65" t="s">
        <v>136</v>
      </c>
      <c r="O1559" s="68">
        <v>1551.58</v>
      </c>
      <c r="P1559" s="68">
        <v>1287811.3999999999</v>
      </c>
      <c r="Q1559" s="68">
        <v>64225.919999999998</v>
      </c>
      <c r="R1559" s="62">
        <f t="shared" si="171"/>
        <v>4.9872147427798823E-2</v>
      </c>
      <c r="S1559" s="67">
        <v>23</v>
      </c>
      <c r="T1559" s="66">
        <v>45045</v>
      </c>
      <c r="U1559" s="66">
        <v>45057</v>
      </c>
      <c r="V1559" s="63">
        <f t="shared" si="172"/>
        <v>12</v>
      </c>
      <c r="W1559" s="65" t="s">
        <v>125</v>
      </c>
      <c r="X1559" s="64" t="b">
        <f t="shared" si="173"/>
        <v>0</v>
      </c>
      <c r="Y1559" s="67">
        <v>425</v>
      </c>
      <c r="Z1559" s="67">
        <v>460</v>
      </c>
      <c r="AA1559" s="65" t="s">
        <v>82</v>
      </c>
      <c r="AB1559" s="64" t="b">
        <f t="shared" si="174"/>
        <v>1</v>
      </c>
    </row>
    <row r="1560" spans="1:28" ht="15" customHeight="1" x14ac:dyDescent="0.3">
      <c r="A1560" s="57" t="s">
        <v>3235</v>
      </c>
      <c r="B1560" s="82">
        <v>45369</v>
      </c>
      <c r="C1560" s="59">
        <f t="shared" si="168"/>
        <v>2024</v>
      </c>
      <c r="D1560" s="59">
        <f t="shared" si="169"/>
        <v>3</v>
      </c>
      <c r="E1560" s="59">
        <f t="shared" si="170"/>
        <v>12</v>
      </c>
      <c r="F1560" s="57" t="s">
        <v>52</v>
      </c>
      <c r="G1560" s="57" t="s">
        <v>40</v>
      </c>
      <c r="H1560" s="57" t="s">
        <v>3236</v>
      </c>
      <c r="I1560" s="57" t="s">
        <v>68</v>
      </c>
      <c r="J1560" s="57" t="s">
        <v>112</v>
      </c>
      <c r="K1560" s="57" t="s">
        <v>74</v>
      </c>
      <c r="L1560" s="57" t="s">
        <v>119</v>
      </c>
      <c r="M1560" s="60">
        <v>609</v>
      </c>
      <c r="N1560" s="57" t="s">
        <v>136</v>
      </c>
      <c r="O1560" s="61">
        <v>1106.0999999999999</v>
      </c>
      <c r="P1560" s="61">
        <v>673614.9</v>
      </c>
      <c r="Q1560" s="61">
        <v>47495.59</v>
      </c>
      <c r="R1560" s="62">
        <f t="shared" si="171"/>
        <v>7.0508520521146423E-2</v>
      </c>
      <c r="S1560" s="60">
        <v>7</v>
      </c>
      <c r="T1560" s="58">
        <v>45376</v>
      </c>
      <c r="U1560" s="58">
        <v>45379</v>
      </c>
      <c r="V1560" s="63">
        <f t="shared" si="172"/>
        <v>3</v>
      </c>
      <c r="W1560" s="57" t="s">
        <v>125</v>
      </c>
      <c r="X1560" s="64" t="b">
        <f t="shared" si="173"/>
        <v>0</v>
      </c>
      <c r="Y1560" s="60">
        <v>150</v>
      </c>
      <c r="Z1560" s="60">
        <v>262</v>
      </c>
      <c r="AA1560" s="57" t="s">
        <v>82</v>
      </c>
      <c r="AB1560" s="64" t="b">
        <f t="shared" si="174"/>
        <v>1</v>
      </c>
    </row>
    <row r="1561" spans="1:28" ht="15" customHeight="1" x14ac:dyDescent="0.3">
      <c r="A1561" s="65" t="s">
        <v>3237</v>
      </c>
      <c r="B1561" s="81">
        <v>45025</v>
      </c>
      <c r="C1561" s="59">
        <f t="shared" si="168"/>
        <v>2023</v>
      </c>
      <c r="D1561" s="59">
        <f t="shared" si="169"/>
        <v>4</v>
      </c>
      <c r="E1561" s="59">
        <f t="shared" si="170"/>
        <v>15</v>
      </c>
      <c r="F1561" s="65" t="s">
        <v>60</v>
      </c>
      <c r="G1561" s="65" t="s">
        <v>39</v>
      </c>
      <c r="H1561" s="65" t="s">
        <v>3238</v>
      </c>
      <c r="I1561" s="65" t="s">
        <v>69</v>
      </c>
      <c r="J1561" s="65" t="s">
        <v>123</v>
      </c>
      <c r="K1561" s="65" t="s">
        <v>74</v>
      </c>
      <c r="L1561" s="65" t="s">
        <v>124</v>
      </c>
      <c r="M1561" s="67">
        <v>729</v>
      </c>
      <c r="N1561" s="65" t="s">
        <v>140</v>
      </c>
      <c r="O1561" s="68">
        <v>2077.38</v>
      </c>
      <c r="P1561" s="68">
        <v>1514410.02</v>
      </c>
      <c r="Q1561" s="68">
        <v>96548.6302</v>
      </c>
      <c r="R1561" s="62">
        <f t="shared" si="171"/>
        <v>6.3753295953496131E-2</v>
      </c>
      <c r="S1561" s="67">
        <v>3</v>
      </c>
      <c r="T1561" s="66">
        <v>45028</v>
      </c>
      <c r="U1561" s="66">
        <v>45036</v>
      </c>
      <c r="V1561" s="63">
        <f t="shared" si="172"/>
        <v>8</v>
      </c>
      <c r="W1561" s="65" t="s">
        <v>125</v>
      </c>
      <c r="X1561" s="64" t="b">
        <f t="shared" si="173"/>
        <v>0</v>
      </c>
      <c r="Y1561" s="67">
        <v>285</v>
      </c>
      <c r="Z1561" s="67">
        <v>135</v>
      </c>
      <c r="AA1561" s="65" t="s">
        <v>84</v>
      </c>
      <c r="AB1561" s="64" t="b">
        <f t="shared" si="174"/>
        <v>1</v>
      </c>
    </row>
    <row r="1562" spans="1:28" ht="15" customHeight="1" x14ac:dyDescent="0.3">
      <c r="A1562" s="57" t="s">
        <v>3239</v>
      </c>
      <c r="B1562" s="82">
        <v>45308</v>
      </c>
      <c r="C1562" s="59">
        <f t="shared" si="168"/>
        <v>2024</v>
      </c>
      <c r="D1562" s="59">
        <f t="shared" si="169"/>
        <v>1</v>
      </c>
      <c r="E1562" s="59">
        <f t="shared" si="170"/>
        <v>3</v>
      </c>
      <c r="F1562" s="57" t="s">
        <v>57</v>
      </c>
      <c r="G1562" s="57" t="s">
        <v>45</v>
      </c>
      <c r="H1562" s="57" t="s">
        <v>3240</v>
      </c>
      <c r="I1562" s="57" t="s">
        <v>69</v>
      </c>
      <c r="J1562" s="57" t="s">
        <v>151</v>
      </c>
      <c r="K1562" s="57" t="s">
        <v>73</v>
      </c>
      <c r="L1562" s="57" t="s">
        <v>124</v>
      </c>
      <c r="M1562" s="60">
        <v>898</v>
      </c>
      <c r="N1562" s="57" t="s">
        <v>163</v>
      </c>
      <c r="O1562" s="61">
        <v>155.88</v>
      </c>
      <c r="P1562" s="61">
        <v>139980.24</v>
      </c>
      <c r="Q1562" s="61">
        <v>6247.36</v>
      </c>
      <c r="R1562" s="62">
        <f t="shared" si="171"/>
        <v>4.4630299247950998E-2</v>
      </c>
      <c r="S1562" s="60">
        <v>10</v>
      </c>
      <c r="T1562" s="58">
        <v>45318</v>
      </c>
      <c r="U1562" s="58">
        <v>45315</v>
      </c>
      <c r="V1562" s="63">
        <f t="shared" si="172"/>
        <v>-3</v>
      </c>
      <c r="W1562" s="57" t="s">
        <v>115</v>
      </c>
      <c r="X1562" s="64" t="b">
        <f t="shared" si="173"/>
        <v>1</v>
      </c>
      <c r="Y1562" s="60">
        <v>264</v>
      </c>
      <c r="Z1562" s="60">
        <v>237</v>
      </c>
      <c r="AA1562" s="57" t="s">
        <v>116</v>
      </c>
      <c r="AB1562" s="64" t="b">
        <f t="shared" si="174"/>
        <v>0</v>
      </c>
    </row>
    <row r="1563" spans="1:28" ht="15" customHeight="1" x14ac:dyDescent="0.3">
      <c r="A1563" s="65" t="s">
        <v>3241</v>
      </c>
      <c r="B1563" s="81">
        <v>45060</v>
      </c>
      <c r="C1563" s="59">
        <f t="shared" si="168"/>
        <v>2023</v>
      </c>
      <c r="D1563" s="59">
        <f t="shared" si="169"/>
        <v>5</v>
      </c>
      <c r="E1563" s="59">
        <f t="shared" si="170"/>
        <v>20</v>
      </c>
      <c r="F1563" s="65" t="s">
        <v>58</v>
      </c>
      <c r="G1563" s="65" t="s">
        <v>44</v>
      </c>
      <c r="H1563" s="65" t="s">
        <v>3242</v>
      </c>
      <c r="I1563" s="65" t="s">
        <v>64</v>
      </c>
      <c r="J1563" s="65" t="s">
        <v>112</v>
      </c>
      <c r="K1563" s="65" t="s">
        <v>72</v>
      </c>
      <c r="L1563" s="65" t="s">
        <v>124</v>
      </c>
      <c r="M1563" s="67">
        <v>278</v>
      </c>
      <c r="N1563" s="65" t="s">
        <v>120</v>
      </c>
      <c r="O1563" s="68">
        <v>92.71</v>
      </c>
      <c r="P1563" s="68">
        <v>25773.38</v>
      </c>
      <c r="Q1563" s="68">
        <v>871.27</v>
      </c>
      <c r="R1563" s="62">
        <f t="shared" si="171"/>
        <v>3.3805034496833551E-2</v>
      </c>
      <c r="S1563" s="67">
        <v>10</v>
      </c>
      <c r="T1563" s="66">
        <v>45070</v>
      </c>
      <c r="U1563" s="66">
        <v>45082</v>
      </c>
      <c r="V1563" s="63">
        <f t="shared" si="172"/>
        <v>12</v>
      </c>
      <c r="W1563" s="65" t="s">
        <v>125</v>
      </c>
      <c r="X1563" s="64" t="b">
        <f t="shared" si="173"/>
        <v>0</v>
      </c>
      <c r="Y1563" s="67">
        <v>219</v>
      </c>
      <c r="Z1563" s="67">
        <v>306</v>
      </c>
      <c r="AA1563" s="65" t="s">
        <v>116</v>
      </c>
      <c r="AB1563" s="64" t="b">
        <f t="shared" si="174"/>
        <v>0</v>
      </c>
    </row>
    <row r="1564" spans="1:28" ht="15" customHeight="1" x14ac:dyDescent="0.3">
      <c r="A1564" s="57" t="s">
        <v>3243</v>
      </c>
      <c r="B1564" s="82">
        <v>45496</v>
      </c>
      <c r="C1564" s="59">
        <f t="shared" si="168"/>
        <v>2024</v>
      </c>
      <c r="D1564" s="59">
        <f t="shared" si="169"/>
        <v>7</v>
      </c>
      <c r="E1564" s="59">
        <f t="shared" si="170"/>
        <v>30</v>
      </c>
      <c r="F1564" s="57" t="s">
        <v>54</v>
      </c>
      <c r="G1564" s="57" t="s">
        <v>46</v>
      </c>
      <c r="H1564" s="57" t="s">
        <v>3244</v>
      </c>
      <c r="I1564" s="57" t="s">
        <v>65</v>
      </c>
      <c r="J1564" s="57" t="s">
        <v>139</v>
      </c>
      <c r="K1564" s="57" t="s">
        <v>71</v>
      </c>
      <c r="L1564" s="57" t="s">
        <v>146</v>
      </c>
      <c r="M1564" s="60">
        <v>610</v>
      </c>
      <c r="N1564" s="57" t="s">
        <v>114</v>
      </c>
      <c r="O1564" s="61">
        <v>54.61</v>
      </c>
      <c r="P1564" s="61">
        <v>33312.1</v>
      </c>
      <c r="Q1564" s="61">
        <v>1477.89</v>
      </c>
      <c r="R1564" s="62">
        <f t="shared" si="171"/>
        <v>4.4364960479825653E-2</v>
      </c>
      <c r="S1564" s="60">
        <v>19</v>
      </c>
      <c r="T1564" s="58">
        <v>45515</v>
      </c>
      <c r="U1564" s="58">
        <v>45527</v>
      </c>
      <c r="V1564" s="63">
        <f t="shared" si="172"/>
        <v>12</v>
      </c>
      <c r="W1564" s="57" t="s">
        <v>128</v>
      </c>
      <c r="X1564" s="64" t="b">
        <f t="shared" si="173"/>
        <v>0</v>
      </c>
      <c r="Y1564" s="60">
        <v>215</v>
      </c>
      <c r="Z1564" s="60">
        <v>242</v>
      </c>
      <c r="AA1564" s="57" t="s">
        <v>83</v>
      </c>
      <c r="AB1564" s="64" t="b">
        <f t="shared" si="174"/>
        <v>1</v>
      </c>
    </row>
    <row r="1565" spans="1:28" ht="15" customHeight="1" x14ac:dyDescent="0.3">
      <c r="A1565" s="65" t="s">
        <v>3245</v>
      </c>
      <c r="B1565" s="81">
        <v>44988</v>
      </c>
      <c r="C1565" s="59">
        <f t="shared" si="168"/>
        <v>2023</v>
      </c>
      <c r="D1565" s="59">
        <f t="shared" si="169"/>
        <v>3</v>
      </c>
      <c r="E1565" s="59">
        <f t="shared" si="170"/>
        <v>9</v>
      </c>
      <c r="F1565" s="65" t="s">
        <v>60</v>
      </c>
      <c r="G1565" s="65" t="s">
        <v>40</v>
      </c>
      <c r="H1565" s="65" t="s">
        <v>3246</v>
      </c>
      <c r="I1565" s="65" t="s">
        <v>68</v>
      </c>
      <c r="J1565" s="65" t="s">
        <v>143</v>
      </c>
      <c r="K1565" s="65" t="s">
        <v>74</v>
      </c>
      <c r="L1565" s="65" t="s">
        <v>113</v>
      </c>
      <c r="M1565" s="67">
        <v>390</v>
      </c>
      <c r="N1565" s="65" t="s">
        <v>140</v>
      </c>
      <c r="O1565" s="68">
        <v>1119.8499999999999</v>
      </c>
      <c r="P1565" s="68">
        <v>436741.5</v>
      </c>
      <c r="Q1565" s="68">
        <v>30385.43</v>
      </c>
      <c r="R1565" s="62">
        <f t="shared" si="171"/>
        <v>6.9573031186640155E-2</v>
      </c>
      <c r="S1565" s="67">
        <v>14</v>
      </c>
      <c r="T1565" s="66">
        <v>45002</v>
      </c>
      <c r="U1565" s="66">
        <v>45005</v>
      </c>
      <c r="V1565" s="63">
        <f t="shared" si="172"/>
        <v>3</v>
      </c>
      <c r="W1565" s="65" t="s">
        <v>128</v>
      </c>
      <c r="X1565" s="64" t="b">
        <f t="shared" si="173"/>
        <v>0</v>
      </c>
      <c r="Y1565" s="67">
        <v>314</v>
      </c>
      <c r="Z1565" s="67">
        <v>150</v>
      </c>
      <c r="AA1565" s="65" t="s">
        <v>82</v>
      </c>
      <c r="AB1565" s="64" t="b">
        <f t="shared" si="174"/>
        <v>1</v>
      </c>
    </row>
    <row r="1566" spans="1:28" ht="15" customHeight="1" x14ac:dyDescent="0.3">
      <c r="A1566" s="57" t="s">
        <v>3247</v>
      </c>
      <c r="B1566" s="82">
        <v>45527</v>
      </c>
      <c r="C1566" s="59">
        <f t="shared" si="168"/>
        <v>2024</v>
      </c>
      <c r="D1566" s="59">
        <f t="shared" si="169"/>
        <v>8</v>
      </c>
      <c r="E1566" s="59">
        <f t="shared" si="170"/>
        <v>34</v>
      </c>
      <c r="F1566" s="57" t="s">
        <v>58</v>
      </c>
      <c r="G1566" s="57" t="s">
        <v>45</v>
      </c>
      <c r="H1566" s="57" t="s">
        <v>3248</v>
      </c>
      <c r="I1566" s="57" t="s">
        <v>68</v>
      </c>
      <c r="J1566" s="57" t="s">
        <v>139</v>
      </c>
      <c r="K1566" s="57" t="s">
        <v>74</v>
      </c>
      <c r="L1566" s="57" t="s">
        <v>124</v>
      </c>
      <c r="M1566" s="60">
        <v>127</v>
      </c>
      <c r="N1566" s="57" t="s">
        <v>140</v>
      </c>
      <c r="O1566" s="61">
        <v>160.62</v>
      </c>
      <c r="P1566" s="61">
        <v>20398.740000000002</v>
      </c>
      <c r="Q1566" s="61">
        <v>686.58</v>
      </c>
      <c r="R1566" s="62">
        <f t="shared" si="171"/>
        <v>3.3657961227016961E-2</v>
      </c>
      <c r="S1566" s="60">
        <v>2</v>
      </c>
      <c r="T1566" s="58">
        <v>45529</v>
      </c>
      <c r="U1566" s="58">
        <v>45529</v>
      </c>
      <c r="V1566" s="63">
        <f t="shared" si="172"/>
        <v>0</v>
      </c>
      <c r="W1566" s="57" t="s">
        <v>115</v>
      </c>
      <c r="X1566" s="64" t="b">
        <f t="shared" si="173"/>
        <v>1</v>
      </c>
      <c r="Y1566" s="60">
        <v>155</v>
      </c>
      <c r="Z1566" s="60">
        <v>345</v>
      </c>
      <c r="AA1566" s="57" t="s">
        <v>116</v>
      </c>
      <c r="AB1566" s="64" t="b">
        <f t="shared" si="174"/>
        <v>0</v>
      </c>
    </row>
    <row r="1567" spans="1:28" ht="15" customHeight="1" x14ac:dyDescent="0.3">
      <c r="A1567" s="65" t="s">
        <v>3249</v>
      </c>
      <c r="B1567" s="81">
        <v>45502</v>
      </c>
      <c r="C1567" s="59">
        <f t="shared" si="168"/>
        <v>2024</v>
      </c>
      <c r="D1567" s="59">
        <f t="shared" si="169"/>
        <v>7</v>
      </c>
      <c r="E1567" s="59">
        <f t="shared" si="170"/>
        <v>31</v>
      </c>
      <c r="F1567" s="65" t="s">
        <v>59</v>
      </c>
      <c r="G1567" s="65" t="s">
        <v>40</v>
      </c>
      <c r="H1567" s="65" t="s">
        <v>3250</v>
      </c>
      <c r="I1567" s="65" t="s">
        <v>69</v>
      </c>
      <c r="J1567" s="65" t="s">
        <v>143</v>
      </c>
      <c r="K1567" s="65" t="s">
        <v>75</v>
      </c>
      <c r="L1567" s="65" t="s">
        <v>135</v>
      </c>
      <c r="M1567" s="67">
        <v>575</v>
      </c>
      <c r="N1567" s="65" t="s">
        <v>114</v>
      </c>
      <c r="O1567" s="68">
        <v>1020.8</v>
      </c>
      <c r="P1567" s="68">
        <v>586960</v>
      </c>
      <c r="Q1567" s="68">
        <v>30208.59</v>
      </c>
      <c r="R1567" s="62">
        <f t="shared" si="171"/>
        <v>5.1466181681886332E-2</v>
      </c>
      <c r="S1567" s="67">
        <v>28</v>
      </c>
      <c r="T1567" s="66">
        <v>45530</v>
      </c>
      <c r="U1567" s="66">
        <v>45532</v>
      </c>
      <c r="V1567" s="63">
        <f t="shared" si="172"/>
        <v>2</v>
      </c>
      <c r="W1567" s="65" t="s">
        <v>128</v>
      </c>
      <c r="X1567" s="64" t="b">
        <f t="shared" si="173"/>
        <v>0</v>
      </c>
      <c r="Y1567" s="67">
        <v>215</v>
      </c>
      <c r="Z1567" s="67">
        <v>363</v>
      </c>
      <c r="AA1567" s="65" t="s">
        <v>116</v>
      </c>
      <c r="AB1567" s="64" t="b">
        <f t="shared" si="174"/>
        <v>0</v>
      </c>
    </row>
    <row r="1568" spans="1:28" ht="15" customHeight="1" x14ac:dyDescent="0.3">
      <c r="A1568" s="57" t="s">
        <v>3251</v>
      </c>
      <c r="B1568" s="82">
        <v>45502</v>
      </c>
      <c r="C1568" s="59">
        <f t="shared" si="168"/>
        <v>2024</v>
      </c>
      <c r="D1568" s="59">
        <f t="shared" si="169"/>
        <v>7</v>
      </c>
      <c r="E1568" s="59">
        <f t="shared" si="170"/>
        <v>31</v>
      </c>
      <c r="F1568" s="57" t="s">
        <v>55</v>
      </c>
      <c r="G1568" s="57" t="s">
        <v>39</v>
      </c>
      <c r="H1568" s="57" t="s">
        <v>3252</v>
      </c>
      <c r="I1568" s="57" t="s">
        <v>68</v>
      </c>
      <c r="J1568" s="57" t="s">
        <v>112</v>
      </c>
      <c r="K1568" s="57" t="s">
        <v>73</v>
      </c>
      <c r="L1568" s="57" t="s">
        <v>113</v>
      </c>
      <c r="M1568" s="60">
        <v>962</v>
      </c>
      <c r="N1568" s="57" t="s">
        <v>120</v>
      </c>
      <c r="O1568" s="61">
        <v>1171.4000000000001</v>
      </c>
      <c r="P1568" s="61">
        <v>1126886.8</v>
      </c>
      <c r="Q1568" s="61">
        <v>77040.52</v>
      </c>
      <c r="R1568" s="62">
        <f t="shared" si="171"/>
        <v>6.8365802137357545E-2</v>
      </c>
      <c r="S1568" s="60">
        <v>1</v>
      </c>
      <c r="T1568" s="58">
        <v>45503</v>
      </c>
      <c r="U1568" s="58">
        <v>45503</v>
      </c>
      <c r="V1568" s="63">
        <f t="shared" si="172"/>
        <v>0</v>
      </c>
      <c r="W1568" s="57" t="s">
        <v>115</v>
      </c>
      <c r="X1568" s="64" t="b">
        <f t="shared" si="173"/>
        <v>1</v>
      </c>
      <c r="Y1568" s="60">
        <v>334</v>
      </c>
      <c r="Z1568" s="60">
        <v>246</v>
      </c>
      <c r="AA1568" s="57" t="s">
        <v>116</v>
      </c>
      <c r="AB1568" s="64" t="b">
        <f t="shared" si="174"/>
        <v>0</v>
      </c>
    </row>
    <row r="1569" spans="1:28" ht="15" customHeight="1" x14ac:dyDescent="0.3">
      <c r="A1569" s="65" t="s">
        <v>3253</v>
      </c>
      <c r="B1569" s="81">
        <v>45264</v>
      </c>
      <c r="C1569" s="59">
        <f t="shared" si="168"/>
        <v>2023</v>
      </c>
      <c r="D1569" s="59">
        <f t="shared" si="169"/>
        <v>12</v>
      </c>
      <c r="E1569" s="59">
        <f t="shared" si="170"/>
        <v>49</v>
      </c>
      <c r="F1569" s="65" t="s">
        <v>54</v>
      </c>
      <c r="G1569" s="65" t="s">
        <v>41</v>
      </c>
      <c r="H1569" s="65" t="s">
        <v>3254</v>
      </c>
      <c r="I1569" s="65" t="s">
        <v>65</v>
      </c>
      <c r="J1569" s="65" t="s">
        <v>112</v>
      </c>
      <c r="K1569" s="65" t="s">
        <v>72</v>
      </c>
      <c r="L1569" s="65" t="s">
        <v>119</v>
      </c>
      <c r="M1569" s="67">
        <v>125</v>
      </c>
      <c r="N1569" s="65" t="s">
        <v>140</v>
      </c>
      <c r="O1569" s="68">
        <v>599.26</v>
      </c>
      <c r="P1569" s="68">
        <v>74907.5</v>
      </c>
      <c r="Q1569" s="68">
        <v>3086.84</v>
      </c>
      <c r="R1569" s="62">
        <f t="shared" si="171"/>
        <v>4.1208690718552883E-2</v>
      </c>
      <c r="S1569" s="67">
        <v>23</v>
      </c>
      <c r="T1569" s="66">
        <v>45287</v>
      </c>
      <c r="U1569" s="66">
        <v>45287</v>
      </c>
      <c r="V1569" s="63">
        <f t="shared" si="172"/>
        <v>0</v>
      </c>
      <c r="W1569" s="65" t="s">
        <v>115</v>
      </c>
      <c r="X1569" s="64" t="b">
        <f t="shared" si="173"/>
        <v>1</v>
      </c>
      <c r="Y1569" s="67">
        <v>358</v>
      </c>
      <c r="Z1569" s="67">
        <v>218</v>
      </c>
      <c r="AA1569" s="65" t="s">
        <v>82</v>
      </c>
      <c r="AB1569" s="64" t="b">
        <f t="shared" si="174"/>
        <v>1</v>
      </c>
    </row>
    <row r="1570" spans="1:28" ht="15" customHeight="1" x14ac:dyDescent="0.3">
      <c r="A1570" s="57" t="s">
        <v>3255</v>
      </c>
      <c r="B1570" s="82">
        <v>45613</v>
      </c>
      <c r="C1570" s="59">
        <f t="shared" si="168"/>
        <v>2024</v>
      </c>
      <c r="D1570" s="59">
        <f t="shared" si="169"/>
        <v>11</v>
      </c>
      <c r="E1570" s="59">
        <f t="shared" si="170"/>
        <v>47</v>
      </c>
      <c r="F1570" s="57" t="s">
        <v>61</v>
      </c>
      <c r="G1570" s="57" t="s">
        <v>40</v>
      </c>
      <c r="H1570" s="57" t="s">
        <v>3256</v>
      </c>
      <c r="I1570" s="57" t="s">
        <v>66</v>
      </c>
      <c r="J1570" s="57" t="s">
        <v>143</v>
      </c>
      <c r="K1570" s="57" t="s">
        <v>72</v>
      </c>
      <c r="L1570" s="57" t="s">
        <v>119</v>
      </c>
      <c r="M1570" s="60">
        <v>639</v>
      </c>
      <c r="N1570" s="57" t="s">
        <v>132</v>
      </c>
      <c r="O1570" s="61">
        <v>787.88</v>
      </c>
      <c r="P1570" s="61">
        <v>503455.32</v>
      </c>
      <c r="Q1570" s="61">
        <v>29468.54</v>
      </c>
      <c r="R1570" s="62">
        <f t="shared" si="171"/>
        <v>5.8532582394799207E-2</v>
      </c>
      <c r="S1570" s="60">
        <v>23</v>
      </c>
      <c r="T1570" s="58">
        <v>45636</v>
      </c>
      <c r="U1570" s="58">
        <v>45635</v>
      </c>
      <c r="V1570" s="63">
        <f t="shared" si="172"/>
        <v>-1</v>
      </c>
      <c r="W1570" s="57" t="s">
        <v>115</v>
      </c>
      <c r="X1570" s="64" t="b">
        <f t="shared" si="173"/>
        <v>1</v>
      </c>
      <c r="Y1570" s="60">
        <v>113</v>
      </c>
      <c r="Z1570" s="60">
        <v>8</v>
      </c>
      <c r="AA1570" s="57" t="s">
        <v>82</v>
      </c>
      <c r="AB1570" s="64" t="b">
        <f t="shared" si="174"/>
        <v>1</v>
      </c>
    </row>
    <row r="1571" spans="1:28" ht="15" customHeight="1" x14ac:dyDescent="0.3">
      <c r="A1571" s="65" t="s">
        <v>3257</v>
      </c>
      <c r="B1571" s="81">
        <v>45052</v>
      </c>
      <c r="C1571" s="59">
        <f t="shared" si="168"/>
        <v>2023</v>
      </c>
      <c r="D1571" s="59">
        <f t="shared" si="169"/>
        <v>5</v>
      </c>
      <c r="E1571" s="59">
        <f t="shared" si="170"/>
        <v>18</v>
      </c>
      <c r="F1571" s="65" t="s">
        <v>58</v>
      </c>
      <c r="G1571" s="65" t="s">
        <v>45</v>
      </c>
      <c r="H1571" s="65" t="s">
        <v>3258</v>
      </c>
      <c r="I1571" s="65" t="s">
        <v>66</v>
      </c>
      <c r="J1571" s="65" t="s">
        <v>131</v>
      </c>
      <c r="K1571" s="65" t="s">
        <v>72</v>
      </c>
      <c r="L1571" s="65" t="s">
        <v>119</v>
      </c>
      <c r="M1571" s="67">
        <v>269</v>
      </c>
      <c r="N1571" s="65" t="s">
        <v>120</v>
      </c>
      <c r="O1571" s="68">
        <v>266.23</v>
      </c>
      <c r="P1571" s="68">
        <v>71615.87</v>
      </c>
      <c r="Q1571" s="68">
        <v>2487.7800000000002</v>
      </c>
      <c r="R1571" s="62">
        <f t="shared" si="171"/>
        <v>3.4737831153904858E-2</v>
      </c>
      <c r="S1571" s="67">
        <v>28</v>
      </c>
      <c r="T1571" s="66">
        <v>45080</v>
      </c>
      <c r="U1571" s="66">
        <v>45092</v>
      </c>
      <c r="V1571" s="63">
        <f t="shared" si="172"/>
        <v>12</v>
      </c>
      <c r="W1571" s="65" t="s">
        <v>128</v>
      </c>
      <c r="X1571" s="64" t="b">
        <f t="shared" si="173"/>
        <v>0</v>
      </c>
      <c r="Y1571" s="67">
        <v>160</v>
      </c>
      <c r="Z1571" s="67">
        <v>429</v>
      </c>
      <c r="AA1571" s="65" t="s">
        <v>116</v>
      </c>
      <c r="AB1571" s="64" t="b">
        <f t="shared" si="174"/>
        <v>0</v>
      </c>
    </row>
    <row r="1572" spans="1:28" ht="15" customHeight="1" x14ac:dyDescent="0.3">
      <c r="A1572" s="57" t="s">
        <v>3259</v>
      </c>
      <c r="B1572" s="82">
        <v>45347</v>
      </c>
      <c r="C1572" s="59">
        <f t="shared" si="168"/>
        <v>2024</v>
      </c>
      <c r="D1572" s="59">
        <f t="shared" si="169"/>
        <v>2</v>
      </c>
      <c r="E1572" s="59">
        <f t="shared" si="170"/>
        <v>9</v>
      </c>
      <c r="F1572" s="57" t="s">
        <v>56</v>
      </c>
      <c r="G1572" s="57" t="s">
        <v>39</v>
      </c>
      <c r="H1572" s="57" t="s">
        <v>3260</v>
      </c>
      <c r="I1572" s="57" t="s">
        <v>65</v>
      </c>
      <c r="J1572" s="57" t="s">
        <v>112</v>
      </c>
      <c r="K1572" s="57" t="s">
        <v>74</v>
      </c>
      <c r="L1572" s="57" t="s">
        <v>119</v>
      </c>
      <c r="M1572" s="60">
        <v>84</v>
      </c>
      <c r="N1572" s="57" t="s">
        <v>132</v>
      </c>
      <c r="O1572" s="61">
        <v>1330.43</v>
      </c>
      <c r="P1572" s="61">
        <v>111756.12</v>
      </c>
      <c r="Q1572" s="61">
        <v>2967.88</v>
      </c>
      <c r="R1572" s="62">
        <f t="shared" si="171"/>
        <v>2.6556755907416973E-2</v>
      </c>
      <c r="S1572" s="60">
        <v>18</v>
      </c>
      <c r="T1572" s="58">
        <v>45365</v>
      </c>
      <c r="U1572" s="58">
        <v>45377</v>
      </c>
      <c r="V1572" s="63">
        <f t="shared" si="172"/>
        <v>12</v>
      </c>
      <c r="W1572" s="57" t="s">
        <v>128</v>
      </c>
      <c r="X1572" s="64" t="b">
        <f t="shared" si="173"/>
        <v>0</v>
      </c>
      <c r="Y1572" s="60">
        <v>302</v>
      </c>
      <c r="Z1572" s="60">
        <v>293</v>
      </c>
      <c r="AA1572" s="57" t="s">
        <v>81</v>
      </c>
      <c r="AB1572" s="64" t="b">
        <f t="shared" si="174"/>
        <v>1</v>
      </c>
    </row>
    <row r="1573" spans="1:28" ht="15" customHeight="1" x14ac:dyDescent="0.3">
      <c r="A1573" s="65" t="s">
        <v>3261</v>
      </c>
      <c r="B1573" s="81">
        <v>45289</v>
      </c>
      <c r="C1573" s="59">
        <f t="shared" si="168"/>
        <v>2023</v>
      </c>
      <c r="D1573" s="59">
        <f t="shared" si="169"/>
        <v>12</v>
      </c>
      <c r="E1573" s="59">
        <f t="shared" si="170"/>
        <v>52</v>
      </c>
      <c r="F1573" s="65" t="s">
        <v>60</v>
      </c>
      <c r="G1573" s="65" t="s">
        <v>42</v>
      </c>
      <c r="H1573" s="65" t="s">
        <v>3262</v>
      </c>
      <c r="I1573" s="65" t="s">
        <v>68</v>
      </c>
      <c r="J1573" s="65" t="s">
        <v>131</v>
      </c>
      <c r="K1573" s="65" t="s">
        <v>73</v>
      </c>
      <c r="L1573" s="65" t="s">
        <v>146</v>
      </c>
      <c r="M1573" s="67">
        <v>489</v>
      </c>
      <c r="N1573" s="65" t="s">
        <v>136</v>
      </c>
      <c r="O1573" s="68">
        <v>96.91</v>
      </c>
      <c r="P1573" s="68">
        <v>47388.99</v>
      </c>
      <c r="Q1573" s="68">
        <v>3206.48</v>
      </c>
      <c r="R1573" s="62">
        <f t="shared" si="171"/>
        <v>6.7662974036796317E-2</v>
      </c>
      <c r="S1573" s="67">
        <v>7</v>
      </c>
      <c r="T1573" s="66">
        <v>45296</v>
      </c>
      <c r="U1573" s="66">
        <v>45301</v>
      </c>
      <c r="V1573" s="63">
        <f t="shared" si="172"/>
        <v>5</v>
      </c>
      <c r="W1573" s="65" t="s">
        <v>128</v>
      </c>
      <c r="X1573" s="64" t="b">
        <f t="shared" si="173"/>
        <v>0</v>
      </c>
      <c r="Y1573" s="67">
        <v>97</v>
      </c>
      <c r="Z1573" s="67">
        <v>366</v>
      </c>
      <c r="AA1573" s="65" t="s">
        <v>116</v>
      </c>
      <c r="AB1573" s="64" t="b">
        <f t="shared" si="174"/>
        <v>0</v>
      </c>
    </row>
    <row r="1574" spans="1:28" ht="15" customHeight="1" x14ac:dyDescent="0.3">
      <c r="A1574" s="57" t="s">
        <v>3263</v>
      </c>
      <c r="B1574" s="82">
        <v>45608</v>
      </c>
      <c r="C1574" s="59">
        <f t="shared" si="168"/>
        <v>2024</v>
      </c>
      <c r="D1574" s="59">
        <f t="shared" si="169"/>
        <v>11</v>
      </c>
      <c r="E1574" s="59">
        <f t="shared" si="170"/>
        <v>46</v>
      </c>
      <c r="F1574" s="57" t="s">
        <v>57</v>
      </c>
      <c r="G1574" s="57" t="s">
        <v>39</v>
      </c>
      <c r="H1574" s="57" t="s">
        <v>3264</v>
      </c>
      <c r="I1574" s="57" t="s">
        <v>68</v>
      </c>
      <c r="J1574" s="57" t="s">
        <v>131</v>
      </c>
      <c r="K1574" s="57" t="s">
        <v>72</v>
      </c>
      <c r="L1574" s="57" t="s">
        <v>156</v>
      </c>
      <c r="M1574" s="60">
        <v>314</v>
      </c>
      <c r="N1574" s="57" t="s">
        <v>114</v>
      </c>
      <c r="O1574" s="61">
        <v>1332.82</v>
      </c>
      <c r="P1574" s="61">
        <v>418505.48</v>
      </c>
      <c r="Q1574" s="61">
        <v>10855.24</v>
      </c>
      <c r="R1574" s="62">
        <f t="shared" si="171"/>
        <v>2.5938107190376578E-2</v>
      </c>
      <c r="S1574" s="60">
        <v>29</v>
      </c>
      <c r="T1574" s="58">
        <v>45637</v>
      </c>
      <c r="U1574" s="58">
        <v>45637</v>
      </c>
      <c r="V1574" s="63">
        <f t="shared" si="172"/>
        <v>0</v>
      </c>
      <c r="W1574" s="57" t="s">
        <v>115</v>
      </c>
      <c r="X1574" s="64" t="b">
        <f t="shared" si="173"/>
        <v>1</v>
      </c>
      <c r="Y1574" s="60">
        <v>405</v>
      </c>
      <c r="Z1574" s="60">
        <v>12</v>
      </c>
      <c r="AA1574" s="57" t="s">
        <v>116</v>
      </c>
      <c r="AB1574" s="64" t="b">
        <f t="shared" si="174"/>
        <v>0</v>
      </c>
    </row>
    <row r="1575" spans="1:28" ht="15" customHeight="1" x14ac:dyDescent="0.3">
      <c r="A1575" s="65" t="s">
        <v>3265</v>
      </c>
      <c r="B1575" s="81">
        <v>45360</v>
      </c>
      <c r="C1575" s="59">
        <f t="shared" si="168"/>
        <v>2024</v>
      </c>
      <c r="D1575" s="59">
        <f t="shared" si="169"/>
        <v>3</v>
      </c>
      <c r="E1575" s="59">
        <f t="shared" si="170"/>
        <v>10</v>
      </c>
      <c r="F1575" s="65" t="s">
        <v>61</v>
      </c>
      <c r="G1575" s="65" t="s">
        <v>44</v>
      </c>
      <c r="H1575" s="65" t="s">
        <v>3266</v>
      </c>
      <c r="I1575" s="65" t="s">
        <v>68</v>
      </c>
      <c r="J1575" s="65" t="s">
        <v>143</v>
      </c>
      <c r="K1575" s="65" t="s">
        <v>71</v>
      </c>
      <c r="L1575" s="65" t="s">
        <v>156</v>
      </c>
      <c r="M1575" s="67">
        <v>16</v>
      </c>
      <c r="N1575" s="65" t="s">
        <v>120</v>
      </c>
      <c r="O1575" s="68">
        <v>152.51</v>
      </c>
      <c r="P1575" s="68">
        <v>3302.8089</v>
      </c>
      <c r="Q1575" s="68">
        <v>142.36009999999999</v>
      </c>
      <c r="R1575" s="62">
        <f t="shared" si="171"/>
        <v>4.3102735977246516E-2</v>
      </c>
      <c r="S1575" s="67">
        <v>8</v>
      </c>
      <c r="T1575" s="66">
        <v>45368</v>
      </c>
      <c r="U1575" s="66">
        <v>45380</v>
      </c>
      <c r="V1575" s="63">
        <f t="shared" si="172"/>
        <v>12</v>
      </c>
      <c r="W1575" s="65" t="s">
        <v>128</v>
      </c>
      <c r="X1575" s="64" t="b">
        <f t="shared" si="173"/>
        <v>0</v>
      </c>
      <c r="Y1575" s="67">
        <v>156</v>
      </c>
      <c r="Z1575" s="67">
        <v>262</v>
      </c>
      <c r="AA1575" s="65" t="s">
        <v>116</v>
      </c>
      <c r="AB1575" s="64" t="b">
        <f t="shared" si="174"/>
        <v>0</v>
      </c>
    </row>
    <row r="1576" spans="1:28" ht="15" customHeight="1" x14ac:dyDescent="0.3">
      <c r="A1576" s="57" t="s">
        <v>3267</v>
      </c>
      <c r="B1576" s="82">
        <v>44979</v>
      </c>
      <c r="C1576" s="59">
        <f t="shared" si="168"/>
        <v>2023</v>
      </c>
      <c r="D1576" s="59">
        <f t="shared" si="169"/>
        <v>2</v>
      </c>
      <c r="E1576" s="59">
        <f t="shared" si="170"/>
        <v>8</v>
      </c>
      <c r="F1576" s="57" t="s">
        <v>54</v>
      </c>
      <c r="G1576" s="57" t="s">
        <v>46</v>
      </c>
      <c r="H1576" s="57" t="s">
        <v>3268</v>
      </c>
      <c r="I1576" s="57" t="s">
        <v>64</v>
      </c>
      <c r="J1576" s="57" t="s">
        <v>131</v>
      </c>
      <c r="K1576" s="57" t="s">
        <v>75</v>
      </c>
      <c r="L1576" s="57" t="s">
        <v>124</v>
      </c>
      <c r="M1576" s="60">
        <v>375</v>
      </c>
      <c r="N1576" s="57" t="s">
        <v>120</v>
      </c>
      <c r="O1576" s="61">
        <v>83.94</v>
      </c>
      <c r="P1576" s="61">
        <v>31477.5</v>
      </c>
      <c r="Q1576" s="61">
        <v>2244.5500000000002</v>
      </c>
      <c r="R1576" s="62">
        <f t="shared" si="171"/>
        <v>7.1306488761814002E-2</v>
      </c>
      <c r="S1576" s="60">
        <v>1</v>
      </c>
      <c r="T1576" s="58">
        <v>44980</v>
      </c>
      <c r="U1576" s="58">
        <v>44982</v>
      </c>
      <c r="V1576" s="63">
        <f t="shared" si="172"/>
        <v>2</v>
      </c>
      <c r="W1576" s="57" t="s">
        <v>128</v>
      </c>
      <c r="X1576" s="64" t="b">
        <f t="shared" si="173"/>
        <v>0</v>
      </c>
      <c r="Y1576" s="60">
        <v>161</v>
      </c>
      <c r="Z1576" s="60">
        <v>394</v>
      </c>
      <c r="AA1576" s="57" t="s">
        <v>81</v>
      </c>
      <c r="AB1576" s="64" t="b">
        <f t="shared" si="174"/>
        <v>1</v>
      </c>
    </row>
    <row r="1577" spans="1:28" ht="15" customHeight="1" x14ac:dyDescent="0.3">
      <c r="A1577" s="65" t="s">
        <v>3269</v>
      </c>
      <c r="B1577" s="81">
        <v>45221</v>
      </c>
      <c r="C1577" s="59">
        <f t="shared" si="168"/>
        <v>2023</v>
      </c>
      <c r="D1577" s="59">
        <f t="shared" si="169"/>
        <v>10</v>
      </c>
      <c r="E1577" s="59">
        <f t="shared" si="170"/>
        <v>43</v>
      </c>
      <c r="F1577" s="65" t="s">
        <v>52</v>
      </c>
      <c r="G1577" s="65" t="s">
        <v>42</v>
      </c>
      <c r="H1577" s="65" t="s">
        <v>3270</v>
      </c>
      <c r="I1577" s="65" t="s">
        <v>67</v>
      </c>
      <c r="J1577" s="65" t="s">
        <v>131</v>
      </c>
      <c r="K1577" s="65" t="s">
        <v>75</v>
      </c>
      <c r="L1577" s="65" t="s">
        <v>146</v>
      </c>
      <c r="M1577" s="67">
        <v>643</v>
      </c>
      <c r="N1577" s="65" t="s">
        <v>163</v>
      </c>
      <c r="O1577" s="68">
        <v>64.12</v>
      </c>
      <c r="P1577" s="68">
        <v>41229.160000000003</v>
      </c>
      <c r="Q1577" s="68">
        <v>1681.66</v>
      </c>
      <c r="R1577" s="62">
        <f t="shared" si="171"/>
        <v>4.0788121805052542E-2</v>
      </c>
      <c r="S1577" s="67">
        <v>25</v>
      </c>
      <c r="T1577" s="66">
        <v>45246</v>
      </c>
      <c r="U1577" s="66">
        <v>45251</v>
      </c>
      <c r="V1577" s="63">
        <f t="shared" si="172"/>
        <v>5</v>
      </c>
      <c r="W1577" s="65" t="s">
        <v>125</v>
      </c>
      <c r="X1577" s="64" t="b">
        <f t="shared" si="173"/>
        <v>0</v>
      </c>
      <c r="Y1577" s="67">
        <v>41</v>
      </c>
      <c r="Z1577" s="67">
        <v>457</v>
      </c>
      <c r="AA1577" s="65" t="s">
        <v>116</v>
      </c>
      <c r="AB1577" s="64" t="b">
        <f t="shared" si="174"/>
        <v>0</v>
      </c>
    </row>
    <row r="1578" spans="1:28" ht="15" customHeight="1" x14ac:dyDescent="0.3">
      <c r="A1578" s="57" t="s">
        <v>3271</v>
      </c>
      <c r="B1578" s="82">
        <v>45541</v>
      </c>
      <c r="C1578" s="59">
        <f t="shared" si="168"/>
        <v>2024</v>
      </c>
      <c r="D1578" s="59">
        <f t="shared" si="169"/>
        <v>9</v>
      </c>
      <c r="E1578" s="59">
        <f t="shared" si="170"/>
        <v>36</v>
      </c>
      <c r="F1578" s="57" t="s">
        <v>60</v>
      </c>
      <c r="G1578" s="57" t="s">
        <v>44</v>
      </c>
      <c r="H1578" s="57" t="s">
        <v>3272</v>
      </c>
      <c r="I1578" s="57" t="s">
        <v>65</v>
      </c>
      <c r="J1578" s="57" t="s">
        <v>151</v>
      </c>
      <c r="K1578" s="57" t="s">
        <v>72</v>
      </c>
      <c r="L1578" s="57" t="s">
        <v>156</v>
      </c>
      <c r="M1578" s="60">
        <v>532</v>
      </c>
      <c r="N1578" s="57" t="s">
        <v>163</v>
      </c>
      <c r="O1578" s="61">
        <v>167.19</v>
      </c>
      <c r="P1578" s="61">
        <v>88945.08</v>
      </c>
      <c r="Q1578" s="61">
        <v>6971.76</v>
      </c>
      <c r="R1578" s="62">
        <f t="shared" si="171"/>
        <v>7.8382750344369811E-2</v>
      </c>
      <c r="S1578" s="60">
        <v>23</v>
      </c>
      <c r="T1578" s="58">
        <v>45564</v>
      </c>
      <c r="U1578" s="58">
        <v>45559</v>
      </c>
      <c r="V1578" s="63">
        <f t="shared" si="172"/>
        <v>-5</v>
      </c>
      <c r="W1578" s="57" t="s">
        <v>115</v>
      </c>
      <c r="X1578" s="64" t="b">
        <f t="shared" si="173"/>
        <v>1</v>
      </c>
      <c r="Y1578" s="60">
        <v>179</v>
      </c>
      <c r="Z1578" s="60">
        <v>224</v>
      </c>
      <c r="AA1578" s="57" t="s">
        <v>83</v>
      </c>
      <c r="AB1578" s="64" t="b">
        <f t="shared" si="174"/>
        <v>1</v>
      </c>
    </row>
    <row r="1579" spans="1:28" ht="15" customHeight="1" x14ac:dyDescent="0.3">
      <c r="A1579" s="65" t="s">
        <v>3273</v>
      </c>
      <c r="B1579" s="81">
        <v>45246</v>
      </c>
      <c r="C1579" s="59">
        <f t="shared" si="168"/>
        <v>2023</v>
      </c>
      <c r="D1579" s="59">
        <f t="shared" si="169"/>
        <v>11</v>
      </c>
      <c r="E1579" s="59">
        <f t="shared" si="170"/>
        <v>46</v>
      </c>
      <c r="F1579" s="65" t="s">
        <v>61</v>
      </c>
      <c r="G1579" s="65" t="s">
        <v>44</v>
      </c>
      <c r="H1579" s="65" t="s">
        <v>3274</v>
      </c>
      <c r="I1579" s="65" t="s">
        <v>65</v>
      </c>
      <c r="J1579" s="65" t="s">
        <v>139</v>
      </c>
      <c r="K1579" s="65" t="s">
        <v>74</v>
      </c>
      <c r="L1579" s="65" t="s">
        <v>119</v>
      </c>
      <c r="M1579" s="67">
        <v>357</v>
      </c>
      <c r="N1579" s="65" t="s">
        <v>114</v>
      </c>
      <c r="O1579" s="68">
        <v>140.97999999999999</v>
      </c>
      <c r="P1579" s="68">
        <v>50329.86</v>
      </c>
      <c r="Q1579" s="68">
        <v>3965.19</v>
      </c>
      <c r="R1579" s="62">
        <f t="shared" si="171"/>
        <v>7.8784045892438412E-2</v>
      </c>
      <c r="S1579" s="67">
        <v>3</v>
      </c>
      <c r="T1579" s="66">
        <v>45249</v>
      </c>
      <c r="U1579" s="66">
        <v>45249</v>
      </c>
      <c r="V1579" s="63">
        <f t="shared" si="172"/>
        <v>0</v>
      </c>
      <c r="W1579" s="65" t="s">
        <v>115</v>
      </c>
      <c r="X1579" s="64" t="b">
        <f t="shared" si="173"/>
        <v>1</v>
      </c>
      <c r="Y1579" s="67">
        <v>302</v>
      </c>
      <c r="Z1579" s="67">
        <v>230</v>
      </c>
      <c r="AA1579" s="65" t="s">
        <v>116</v>
      </c>
      <c r="AB1579" s="64" t="b">
        <f t="shared" si="174"/>
        <v>0</v>
      </c>
    </row>
    <row r="1580" spans="1:28" ht="15" customHeight="1" x14ac:dyDescent="0.3">
      <c r="A1580" s="57" t="s">
        <v>3275</v>
      </c>
      <c r="B1580" s="82">
        <v>45287</v>
      </c>
      <c r="C1580" s="59">
        <f t="shared" si="168"/>
        <v>2023</v>
      </c>
      <c r="D1580" s="59">
        <f t="shared" si="169"/>
        <v>12</v>
      </c>
      <c r="E1580" s="59">
        <f t="shared" si="170"/>
        <v>52</v>
      </c>
      <c r="F1580" s="57" t="s">
        <v>55</v>
      </c>
      <c r="G1580" s="57" t="s">
        <v>44</v>
      </c>
      <c r="H1580" s="57" t="s">
        <v>3276</v>
      </c>
      <c r="I1580" s="57" t="s">
        <v>65</v>
      </c>
      <c r="J1580" s="57" t="s">
        <v>131</v>
      </c>
      <c r="K1580" s="57" t="s">
        <v>75</v>
      </c>
      <c r="L1580" s="57" t="s">
        <v>156</v>
      </c>
      <c r="M1580" s="60">
        <v>447</v>
      </c>
      <c r="N1580" s="57" t="s">
        <v>120</v>
      </c>
      <c r="O1580" s="61">
        <v>96.2</v>
      </c>
      <c r="P1580" s="61">
        <v>43001.4</v>
      </c>
      <c r="Q1580" s="61">
        <v>1552.2</v>
      </c>
      <c r="R1580" s="62">
        <f t="shared" si="171"/>
        <v>3.6096499183747507E-2</v>
      </c>
      <c r="S1580" s="60">
        <v>24</v>
      </c>
      <c r="T1580" s="58">
        <v>45311</v>
      </c>
      <c r="U1580" s="58">
        <v>45310</v>
      </c>
      <c r="V1580" s="63">
        <f t="shared" si="172"/>
        <v>-1</v>
      </c>
      <c r="W1580" s="57" t="s">
        <v>115</v>
      </c>
      <c r="X1580" s="64" t="b">
        <f t="shared" si="173"/>
        <v>1</v>
      </c>
      <c r="Y1580" s="60">
        <v>329</v>
      </c>
      <c r="Z1580" s="60">
        <v>177</v>
      </c>
      <c r="AA1580" s="57" t="s">
        <v>82</v>
      </c>
      <c r="AB1580" s="64" t="b">
        <f t="shared" si="174"/>
        <v>1</v>
      </c>
    </row>
    <row r="1581" spans="1:28" ht="15" customHeight="1" x14ac:dyDescent="0.3">
      <c r="A1581" s="65" t="s">
        <v>3277</v>
      </c>
      <c r="B1581" s="81">
        <v>45033</v>
      </c>
      <c r="C1581" s="59">
        <f t="shared" si="168"/>
        <v>2023</v>
      </c>
      <c r="D1581" s="59">
        <f t="shared" si="169"/>
        <v>4</v>
      </c>
      <c r="E1581" s="59">
        <f t="shared" si="170"/>
        <v>16</v>
      </c>
      <c r="F1581" s="65" t="s">
        <v>54</v>
      </c>
      <c r="G1581" s="65" t="s">
        <v>41</v>
      </c>
      <c r="H1581" s="65" t="s">
        <v>3278</v>
      </c>
      <c r="I1581" s="65" t="s">
        <v>65</v>
      </c>
      <c r="J1581" s="65" t="s">
        <v>139</v>
      </c>
      <c r="K1581" s="65" t="s">
        <v>75</v>
      </c>
      <c r="L1581" s="65" t="s">
        <v>113</v>
      </c>
      <c r="M1581" s="67">
        <v>224</v>
      </c>
      <c r="N1581" s="65" t="s">
        <v>136</v>
      </c>
      <c r="O1581" s="68">
        <v>521.02</v>
      </c>
      <c r="P1581" s="68">
        <v>116708.48</v>
      </c>
      <c r="Q1581" s="68">
        <v>2621.12</v>
      </c>
      <c r="R1581" s="62">
        <f t="shared" si="171"/>
        <v>2.2458693661334635E-2</v>
      </c>
      <c r="S1581" s="67">
        <v>23</v>
      </c>
      <c r="T1581" s="66">
        <v>45056</v>
      </c>
      <c r="U1581" s="66">
        <v>45056</v>
      </c>
      <c r="V1581" s="63">
        <f t="shared" si="172"/>
        <v>0</v>
      </c>
      <c r="W1581" s="65" t="s">
        <v>115</v>
      </c>
      <c r="X1581" s="64" t="b">
        <f t="shared" si="173"/>
        <v>1</v>
      </c>
      <c r="Y1581" s="67">
        <v>50</v>
      </c>
      <c r="Z1581" s="67">
        <v>246</v>
      </c>
      <c r="AA1581" s="65" t="s">
        <v>81</v>
      </c>
      <c r="AB1581" s="64" t="b">
        <f t="shared" si="174"/>
        <v>1</v>
      </c>
    </row>
    <row r="1582" spans="1:28" ht="15" customHeight="1" x14ac:dyDescent="0.3">
      <c r="A1582" s="57" t="s">
        <v>3279</v>
      </c>
      <c r="B1582" s="82">
        <v>45518</v>
      </c>
      <c r="C1582" s="59">
        <f t="shared" si="168"/>
        <v>2024</v>
      </c>
      <c r="D1582" s="59">
        <f t="shared" si="169"/>
        <v>8</v>
      </c>
      <c r="E1582" s="59">
        <f t="shared" si="170"/>
        <v>33</v>
      </c>
      <c r="F1582" s="57" t="s">
        <v>59</v>
      </c>
      <c r="G1582" s="57" t="s">
        <v>44</v>
      </c>
      <c r="H1582" s="57" t="s">
        <v>3280</v>
      </c>
      <c r="I1582" s="57" t="s">
        <v>65</v>
      </c>
      <c r="J1582" s="57" t="s">
        <v>131</v>
      </c>
      <c r="K1582" s="57" t="s">
        <v>75</v>
      </c>
      <c r="L1582" s="57" t="s">
        <v>124</v>
      </c>
      <c r="M1582" s="60">
        <v>438</v>
      </c>
      <c r="N1582" s="57" t="s">
        <v>140</v>
      </c>
      <c r="O1582" s="61">
        <v>99.44</v>
      </c>
      <c r="P1582" s="61">
        <v>43554.720000000001</v>
      </c>
      <c r="Q1582" s="61">
        <v>2713.62</v>
      </c>
      <c r="R1582" s="62">
        <f t="shared" si="171"/>
        <v>6.230369521374491E-2</v>
      </c>
      <c r="S1582" s="60">
        <v>27</v>
      </c>
      <c r="T1582" s="58">
        <v>45545</v>
      </c>
      <c r="U1582" s="58">
        <v>45542</v>
      </c>
      <c r="V1582" s="63">
        <f t="shared" si="172"/>
        <v>-3</v>
      </c>
      <c r="W1582" s="57" t="s">
        <v>115</v>
      </c>
      <c r="X1582" s="64" t="b">
        <f t="shared" si="173"/>
        <v>1</v>
      </c>
      <c r="Y1582" s="60">
        <v>251</v>
      </c>
      <c r="Z1582" s="60">
        <v>66</v>
      </c>
      <c r="AA1582" s="57" t="s">
        <v>116</v>
      </c>
      <c r="AB1582" s="64" t="b">
        <f t="shared" si="174"/>
        <v>0</v>
      </c>
    </row>
    <row r="1583" spans="1:28" ht="15" customHeight="1" x14ac:dyDescent="0.3">
      <c r="A1583" s="65" t="s">
        <v>3281</v>
      </c>
      <c r="B1583" s="81">
        <v>45446</v>
      </c>
      <c r="C1583" s="59">
        <f t="shared" si="168"/>
        <v>2024</v>
      </c>
      <c r="D1583" s="59">
        <f t="shared" si="169"/>
        <v>6</v>
      </c>
      <c r="E1583" s="59">
        <f t="shared" si="170"/>
        <v>23</v>
      </c>
      <c r="F1583" s="65" t="s">
        <v>57</v>
      </c>
      <c r="G1583" s="65" t="s">
        <v>41</v>
      </c>
      <c r="H1583" s="65" t="s">
        <v>3282</v>
      </c>
      <c r="I1583" s="65" t="s">
        <v>68</v>
      </c>
      <c r="J1583" s="65" t="s">
        <v>139</v>
      </c>
      <c r="K1583" s="65" t="s">
        <v>75</v>
      </c>
      <c r="L1583" s="65" t="s">
        <v>156</v>
      </c>
      <c r="M1583" s="67">
        <v>800</v>
      </c>
      <c r="N1583" s="65" t="s">
        <v>114</v>
      </c>
      <c r="O1583" s="68">
        <v>630.14</v>
      </c>
      <c r="P1583" s="68">
        <v>504112</v>
      </c>
      <c r="Q1583" s="68">
        <v>23723.1</v>
      </c>
      <c r="R1583" s="62">
        <f t="shared" si="171"/>
        <v>4.7059185260418315E-2</v>
      </c>
      <c r="S1583" s="67">
        <v>29</v>
      </c>
      <c r="T1583" s="66">
        <v>45475</v>
      </c>
      <c r="U1583" s="66">
        <v>45478</v>
      </c>
      <c r="V1583" s="63">
        <f t="shared" si="172"/>
        <v>3</v>
      </c>
      <c r="W1583" s="65" t="s">
        <v>128</v>
      </c>
      <c r="X1583" s="64" t="b">
        <f t="shared" si="173"/>
        <v>0</v>
      </c>
      <c r="Y1583" s="67">
        <v>428</v>
      </c>
      <c r="Z1583" s="67">
        <v>296</v>
      </c>
      <c r="AA1583" s="65" t="s">
        <v>116</v>
      </c>
      <c r="AB1583" s="64" t="b">
        <f t="shared" si="174"/>
        <v>0</v>
      </c>
    </row>
    <row r="1584" spans="1:28" ht="15" customHeight="1" x14ac:dyDescent="0.3">
      <c r="A1584" s="57" t="s">
        <v>3283</v>
      </c>
      <c r="B1584" s="82">
        <v>45144</v>
      </c>
      <c r="C1584" s="59">
        <f t="shared" si="168"/>
        <v>2023</v>
      </c>
      <c r="D1584" s="59">
        <f t="shared" si="169"/>
        <v>8</v>
      </c>
      <c r="E1584" s="59">
        <f t="shared" si="170"/>
        <v>32</v>
      </c>
      <c r="F1584" s="57" t="s">
        <v>59</v>
      </c>
      <c r="G1584" s="57" t="s">
        <v>44</v>
      </c>
      <c r="H1584" s="57" t="s">
        <v>3284</v>
      </c>
      <c r="I1584" s="57" t="s">
        <v>64</v>
      </c>
      <c r="J1584" s="57" t="s">
        <v>112</v>
      </c>
      <c r="K1584" s="57" t="s">
        <v>72</v>
      </c>
      <c r="L1584" s="57" t="s">
        <v>113</v>
      </c>
      <c r="M1584" s="60">
        <v>507</v>
      </c>
      <c r="N1584" s="57" t="s">
        <v>114</v>
      </c>
      <c r="O1584" s="61">
        <v>156.85</v>
      </c>
      <c r="P1584" s="61">
        <v>79522.95</v>
      </c>
      <c r="Q1584" s="61">
        <v>2071.19</v>
      </c>
      <c r="R1584" s="62">
        <f t="shared" si="171"/>
        <v>2.6045185697965181E-2</v>
      </c>
      <c r="S1584" s="60">
        <v>8</v>
      </c>
      <c r="T1584" s="58">
        <v>45152</v>
      </c>
      <c r="U1584" s="58">
        <v>45151</v>
      </c>
      <c r="V1584" s="63">
        <f t="shared" si="172"/>
        <v>-1</v>
      </c>
      <c r="W1584" s="57" t="s">
        <v>115</v>
      </c>
      <c r="X1584" s="64" t="b">
        <f t="shared" si="173"/>
        <v>1</v>
      </c>
      <c r="Y1584" s="60">
        <v>349</v>
      </c>
      <c r="Z1584" s="60">
        <v>156</v>
      </c>
      <c r="AA1584" s="57" t="s">
        <v>82</v>
      </c>
      <c r="AB1584" s="64" t="b">
        <f t="shared" si="174"/>
        <v>1</v>
      </c>
    </row>
    <row r="1585" spans="1:28" ht="15" customHeight="1" x14ac:dyDescent="0.3">
      <c r="A1585" s="65" t="s">
        <v>3285</v>
      </c>
      <c r="B1585" s="81">
        <v>45085</v>
      </c>
      <c r="C1585" s="59">
        <f t="shared" si="168"/>
        <v>2023</v>
      </c>
      <c r="D1585" s="59">
        <f t="shared" si="169"/>
        <v>6</v>
      </c>
      <c r="E1585" s="59">
        <f t="shared" si="170"/>
        <v>23</v>
      </c>
      <c r="F1585" s="65" t="s">
        <v>58</v>
      </c>
      <c r="G1585" s="65" t="s">
        <v>43</v>
      </c>
      <c r="H1585" s="65" t="s">
        <v>3286</v>
      </c>
      <c r="I1585" s="65" t="s">
        <v>69</v>
      </c>
      <c r="J1585" s="65" t="s">
        <v>112</v>
      </c>
      <c r="K1585" s="65" t="s">
        <v>73</v>
      </c>
      <c r="L1585" s="65" t="s">
        <v>135</v>
      </c>
      <c r="M1585" s="67">
        <v>549</v>
      </c>
      <c r="N1585" s="65" t="s">
        <v>163</v>
      </c>
      <c r="O1585" s="68">
        <v>156.93</v>
      </c>
      <c r="P1585" s="68">
        <v>86154.57</v>
      </c>
      <c r="Q1585" s="68">
        <v>5380.47</v>
      </c>
      <c r="R1585" s="62">
        <f t="shared" si="171"/>
        <v>6.2451359225633649E-2</v>
      </c>
      <c r="S1585" s="67">
        <v>22</v>
      </c>
      <c r="T1585" s="66">
        <v>45107</v>
      </c>
      <c r="U1585" s="66">
        <v>45104</v>
      </c>
      <c r="V1585" s="63">
        <f t="shared" si="172"/>
        <v>-3</v>
      </c>
      <c r="W1585" s="65" t="s">
        <v>115</v>
      </c>
      <c r="X1585" s="64" t="b">
        <f t="shared" si="173"/>
        <v>1</v>
      </c>
      <c r="Y1585" s="67">
        <v>119</v>
      </c>
      <c r="Z1585" s="67">
        <v>164</v>
      </c>
      <c r="AA1585" s="65" t="s">
        <v>84</v>
      </c>
      <c r="AB1585" s="64" t="b">
        <f t="shared" si="174"/>
        <v>1</v>
      </c>
    </row>
    <row r="1586" spans="1:28" ht="15" customHeight="1" x14ac:dyDescent="0.3">
      <c r="A1586" s="57" t="s">
        <v>3287</v>
      </c>
      <c r="B1586" s="82">
        <v>45599</v>
      </c>
      <c r="C1586" s="59">
        <f t="shared" si="168"/>
        <v>2024</v>
      </c>
      <c r="D1586" s="59">
        <f t="shared" si="169"/>
        <v>11</v>
      </c>
      <c r="E1586" s="59">
        <f t="shared" si="170"/>
        <v>45</v>
      </c>
      <c r="F1586" s="57" t="s">
        <v>52</v>
      </c>
      <c r="G1586" s="57" t="s">
        <v>45</v>
      </c>
      <c r="H1586" s="57" t="s">
        <v>3288</v>
      </c>
      <c r="I1586" s="57" t="s">
        <v>68</v>
      </c>
      <c r="J1586" s="57" t="s">
        <v>139</v>
      </c>
      <c r="K1586" s="57" t="s">
        <v>73</v>
      </c>
      <c r="L1586" s="57" t="s">
        <v>113</v>
      </c>
      <c r="M1586" s="60">
        <v>756</v>
      </c>
      <c r="N1586" s="57" t="s">
        <v>136</v>
      </c>
      <c r="O1586" s="61">
        <v>220.98</v>
      </c>
      <c r="P1586" s="61">
        <v>167060.88</v>
      </c>
      <c r="Q1586" s="61">
        <v>3653.7</v>
      </c>
      <c r="R1586" s="62">
        <f t="shared" si="171"/>
        <v>2.1870470214211728E-2</v>
      </c>
      <c r="S1586" s="60">
        <v>25</v>
      </c>
      <c r="T1586" s="58">
        <v>45624</v>
      </c>
      <c r="U1586" s="58">
        <v>45629</v>
      </c>
      <c r="V1586" s="63">
        <f t="shared" si="172"/>
        <v>5</v>
      </c>
      <c r="W1586" s="57" t="s">
        <v>128</v>
      </c>
      <c r="X1586" s="64" t="b">
        <f t="shared" si="173"/>
        <v>0</v>
      </c>
      <c r="Y1586" s="60">
        <v>74</v>
      </c>
      <c r="Z1586" s="60">
        <v>183</v>
      </c>
      <c r="AA1586" s="57" t="s">
        <v>81</v>
      </c>
      <c r="AB1586" s="64" t="b">
        <f t="shared" si="174"/>
        <v>1</v>
      </c>
    </row>
    <row r="1587" spans="1:28" ht="15" customHeight="1" x14ac:dyDescent="0.3">
      <c r="A1587" s="65" t="s">
        <v>3289</v>
      </c>
      <c r="B1587" s="81">
        <v>45420</v>
      </c>
      <c r="C1587" s="59">
        <f t="shared" si="168"/>
        <v>2024</v>
      </c>
      <c r="D1587" s="59">
        <f t="shared" si="169"/>
        <v>5</v>
      </c>
      <c r="E1587" s="59">
        <f t="shared" si="170"/>
        <v>19</v>
      </c>
      <c r="F1587" s="65" t="s">
        <v>58</v>
      </c>
      <c r="G1587" s="65" t="s">
        <v>42</v>
      </c>
      <c r="H1587" s="65" t="s">
        <v>3290</v>
      </c>
      <c r="I1587" s="65" t="s">
        <v>68</v>
      </c>
      <c r="J1587" s="65" t="s">
        <v>131</v>
      </c>
      <c r="K1587" s="65" t="s">
        <v>74</v>
      </c>
      <c r="L1587" s="65" t="s">
        <v>113</v>
      </c>
      <c r="M1587" s="67">
        <v>376</v>
      </c>
      <c r="N1587" s="65" t="s">
        <v>114</v>
      </c>
      <c r="O1587" s="68">
        <v>108.14</v>
      </c>
      <c r="P1587" s="68">
        <v>40660.639999999999</v>
      </c>
      <c r="Q1587" s="68">
        <v>2936.18</v>
      </c>
      <c r="R1587" s="62">
        <f t="shared" si="171"/>
        <v>7.22118491002601E-2</v>
      </c>
      <c r="S1587" s="67">
        <v>15</v>
      </c>
      <c r="T1587" s="66">
        <v>45435</v>
      </c>
      <c r="U1587" s="66">
        <v>45443</v>
      </c>
      <c r="V1587" s="63">
        <f t="shared" si="172"/>
        <v>8</v>
      </c>
      <c r="W1587" s="65" t="s">
        <v>128</v>
      </c>
      <c r="X1587" s="64" t="b">
        <f t="shared" si="173"/>
        <v>0</v>
      </c>
      <c r="Y1587" s="67">
        <v>161</v>
      </c>
      <c r="Z1587" s="67">
        <v>492</v>
      </c>
      <c r="AA1587" s="65" t="s">
        <v>116</v>
      </c>
      <c r="AB1587" s="64" t="b">
        <f t="shared" si="174"/>
        <v>0</v>
      </c>
    </row>
    <row r="1588" spans="1:28" ht="15" customHeight="1" x14ac:dyDescent="0.3">
      <c r="A1588" s="57" t="s">
        <v>3291</v>
      </c>
      <c r="B1588" s="82">
        <v>45156</v>
      </c>
      <c r="C1588" s="59">
        <f t="shared" si="168"/>
        <v>2023</v>
      </c>
      <c r="D1588" s="59">
        <f t="shared" si="169"/>
        <v>8</v>
      </c>
      <c r="E1588" s="59">
        <f t="shared" si="170"/>
        <v>33</v>
      </c>
      <c r="F1588" s="57" t="s">
        <v>57</v>
      </c>
      <c r="G1588" s="57" t="s">
        <v>43</v>
      </c>
      <c r="H1588" s="57" t="s">
        <v>3292</v>
      </c>
      <c r="I1588" s="57" t="s">
        <v>67</v>
      </c>
      <c r="J1588" s="57" t="s">
        <v>151</v>
      </c>
      <c r="K1588" s="57" t="s">
        <v>71</v>
      </c>
      <c r="L1588" s="57" t="s">
        <v>119</v>
      </c>
      <c r="M1588" s="60">
        <v>322</v>
      </c>
      <c r="N1588" s="57" t="s">
        <v>136</v>
      </c>
      <c r="O1588" s="61">
        <v>289.79000000000002</v>
      </c>
      <c r="P1588" s="61">
        <v>93312.38</v>
      </c>
      <c r="Q1588" s="61">
        <v>2642.53</v>
      </c>
      <c r="R1588" s="62">
        <f t="shared" si="171"/>
        <v>2.831917908427585E-2</v>
      </c>
      <c r="S1588" s="60">
        <v>5</v>
      </c>
      <c r="T1588" s="58">
        <v>45161</v>
      </c>
      <c r="U1588" s="58">
        <v>45164</v>
      </c>
      <c r="V1588" s="63">
        <f t="shared" si="172"/>
        <v>3</v>
      </c>
      <c r="W1588" s="57" t="s">
        <v>125</v>
      </c>
      <c r="X1588" s="64" t="b">
        <f t="shared" si="173"/>
        <v>0</v>
      </c>
      <c r="Y1588" s="60">
        <v>148</v>
      </c>
      <c r="Z1588" s="60">
        <v>207</v>
      </c>
      <c r="AA1588" s="57" t="s">
        <v>116</v>
      </c>
      <c r="AB1588" s="64" t="b">
        <f t="shared" si="174"/>
        <v>0</v>
      </c>
    </row>
    <row r="1589" spans="1:28" ht="15" customHeight="1" x14ac:dyDescent="0.3">
      <c r="A1589" s="65" t="s">
        <v>3293</v>
      </c>
      <c r="B1589" s="81">
        <v>45037</v>
      </c>
      <c r="C1589" s="59">
        <f t="shared" si="168"/>
        <v>2023</v>
      </c>
      <c r="D1589" s="59">
        <f t="shared" si="169"/>
        <v>4</v>
      </c>
      <c r="E1589" s="59">
        <f t="shared" si="170"/>
        <v>16</v>
      </c>
      <c r="F1589" s="65" t="s">
        <v>60</v>
      </c>
      <c r="G1589" s="65" t="s">
        <v>44</v>
      </c>
      <c r="H1589" s="65" t="s">
        <v>3294</v>
      </c>
      <c r="I1589" s="65" t="s">
        <v>69</v>
      </c>
      <c r="J1589" s="65" t="s">
        <v>139</v>
      </c>
      <c r="K1589" s="65" t="s">
        <v>73</v>
      </c>
      <c r="L1589" s="65" t="s">
        <v>119</v>
      </c>
      <c r="M1589" s="67">
        <v>547</v>
      </c>
      <c r="N1589" s="65" t="s">
        <v>114</v>
      </c>
      <c r="O1589" s="68">
        <v>133.30000000000001</v>
      </c>
      <c r="P1589" s="68">
        <v>72915.100000000006</v>
      </c>
      <c r="Q1589" s="68">
        <v>2015.28</v>
      </c>
      <c r="R1589" s="62">
        <f t="shared" si="171"/>
        <v>2.7638719551917226E-2</v>
      </c>
      <c r="S1589" s="67">
        <v>3</v>
      </c>
      <c r="T1589" s="66">
        <v>45040</v>
      </c>
      <c r="U1589" s="66">
        <v>45041</v>
      </c>
      <c r="V1589" s="63">
        <f t="shared" si="172"/>
        <v>1</v>
      </c>
      <c r="W1589" s="65" t="s">
        <v>125</v>
      </c>
      <c r="X1589" s="64" t="b">
        <f t="shared" si="173"/>
        <v>0</v>
      </c>
      <c r="Y1589" s="67">
        <v>122</v>
      </c>
      <c r="Z1589" s="67">
        <v>15</v>
      </c>
      <c r="AA1589" s="65" t="s">
        <v>116</v>
      </c>
      <c r="AB1589" s="64" t="b">
        <f t="shared" si="174"/>
        <v>0</v>
      </c>
    </row>
    <row r="1590" spans="1:28" ht="15" customHeight="1" x14ac:dyDescent="0.3">
      <c r="A1590" s="57" t="s">
        <v>3295</v>
      </c>
      <c r="B1590" s="82">
        <v>45285</v>
      </c>
      <c r="C1590" s="59">
        <f t="shared" si="168"/>
        <v>2023</v>
      </c>
      <c r="D1590" s="59">
        <f t="shared" si="169"/>
        <v>12</v>
      </c>
      <c r="E1590" s="59">
        <f t="shared" si="170"/>
        <v>52</v>
      </c>
      <c r="F1590" s="57" t="s">
        <v>58</v>
      </c>
      <c r="G1590" s="57" t="s">
        <v>42</v>
      </c>
      <c r="H1590" s="57" t="s">
        <v>3296</v>
      </c>
      <c r="I1590" s="57" t="s">
        <v>65</v>
      </c>
      <c r="J1590" s="57" t="s">
        <v>123</v>
      </c>
      <c r="K1590" s="57" t="s">
        <v>71</v>
      </c>
      <c r="L1590" s="57" t="s">
        <v>124</v>
      </c>
      <c r="M1590" s="60">
        <v>930</v>
      </c>
      <c r="N1590" s="57" t="s">
        <v>163</v>
      </c>
      <c r="O1590" s="61">
        <v>116.82</v>
      </c>
      <c r="P1590" s="61">
        <v>108642.6</v>
      </c>
      <c r="Q1590" s="61">
        <v>3317.98</v>
      </c>
      <c r="R1590" s="62">
        <f t="shared" si="171"/>
        <v>3.0540322120420533E-2</v>
      </c>
      <c r="S1590" s="60">
        <v>19</v>
      </c>
      <c r="T1590" s="58">
        <v>45304</v>
      </c>
      <c r="U1590" s="58">
        <v>45304</v>
      </c>
      <c r="V1590" s="63">
        <f t="shared" si="172"/>
        <v>0</v>
      </c>
      <c r="W1590" s="57" t="s">
        <v>115</v>
      </c>
      <c r="X1590" s="64" t="b">
        <f t="shared" si="173"/>
        <v>1</v>
      </c>
      <c r="Y1590" s="60">
        <v>140</v>
      </c>
      <c r="Z1590" s="60">
        <v>299</v>
      </c>
      <c r="AA1590" s="57" t="s">
        <v>84</v>
      </c>
      <c r="AB1590" s="64" t="b">
        <f t="shared" si="174"/>
        <v>1</v>
      </c>
    </row>
    <row r="1591" spans="1:28" ht="15" customHeight="1" x14ac:dyDescent="0.3">
      <c r="A1591" s="65" t="s">
        <v>3297</v>
      </c>
      <c r="B1591" s="81">
        <v>45496</v>
      </c>
      <c r="C1591" s="59">
        <f t="shared" si="168"/>
        <v>2024</v>
      </c>
      <c r="D1591" s="59">
        <f t="shared" si="169"/>
        <v>7</v>
      </c>
      <c r="E1591" s="59">
        <f t="shared" si="170"/>
        <v>30</v>
      </c>
      <c r="F1591" s="65" t="s">
        <v>52</v>
      </c>
      <c r="G1591" s="65" t="s">
        <v>42</v>
      </c>
      <c r="H1591" s="65" t="s">
        <v>3298</v>
      </c>
      <c r="I1591" s="65" t="s">
        <v>69</v>
      </c>
      <c r="J1591" s="65" t="s">
        <v>151</v>
      </c>
      <c r="K1591" s="65" t="s">
        <v>73</v>
      </c>
      <c r="L1591" s="65" t="s">
        <v>119</v>
      </c>
      <c r="M1591" s="67">
        <v>63</v>
      </c>
      <c r="N1591" s="65" t="s">
        <v>140</v>
      </c>
      <c r="O1591" s="68">
        <v>90.28</v>
      </c>
      <c r="P1591" s="68">
        <v>5687.64</v>
      </c>
      <c r="Q1591" s="68">
        <v>441.45</v>
      </c>
      <c r="R1591" s="62">
        <f t="shared" si="171"/>
        <v>7.761567187796696E-2</v>
      </c>
      <c r="S1591" s="67">
        <v>1</v>
      </c>
      <c r="T1591" s="66">
        <v>45497</v>
      </c>
      <c r="U1591" s="66">
        <v>45497</v>
      </c>
      <c r="V1591" s="63">
        <f t="shared" si="172"/>
        <v>0</v>
      </c>
      <c r="W1591" s="65" t="s">
        <v>115</v>
      </c>
      <c r="X1591" s="64" t="b">
        <f t="shared" si="173"/>
        <v>1</v>
      </c>
      <c r="Y1591" s="67">
        <v>181</v>
      </c>
      <c r="Z1591" s="67">
        <v>305</v>
      </c>
      <c r="AA1591" s="65" t="s">
        <v>84</v>
      </c>
      <c r="AB1591" s="64" t="b">
        <f t="shared" si="174"/>
        <v>1</v>
      </c>
    </row>
    <row r="1592" spans="1:28" ht="15" customHeight="1" x14ac:dyDescent="0.3">
      <c r="A1592" s="57" t="s">
        <v>3299</v>
      </c>
      <c r="B1592" s="82">
        <v>45303</v>
      </c>
      <c r="C1592" s="59">
        <f t="shared" si="168"/>
        <v>2024</v>
      </c>
      <c r="D1592" s="59">
        <f t="shared" si="169"/>
        <v>1</v>
      </c>
      <c r="E1592" s="59">
        <f t="shared" si="170"/>
        <v>2</v>
      </c>
      <c r="F1592" s="57" t="s">
        <v>53</v>
      </c>
      <c r="G1592" s="57" t="s">
        <v>40</v>
      </c>
      <c r="H1592" s="57" t="s">
        <v>3300</v>
      </c>
      <c r="I1592" s="57" t="s">
        <v>64</v>
      </c>
      <c r="J1592" s="57" t="s">
        <v>123</v>
      </c>
      <c r="K1592" s="57" t="s">
        <v>73</v>
      </c>
      <c r="L1592" s="57" t="s">
        <v>113</v>
      </c>
      <c r="M1592" s="60">
        <v>550</v>
      </c>
      <c r="N1592" s="57" t="s">
        <v>163</v>
      </c>
      <c r="O1592" s="61">
        <v>812.28</v>
      </c>
      <c r="P1592" s="61">
        <v>446754</v>
      </c>
      <c r="Q1592" s="61">
        <v>27515.65</v>
      </c>
      <c r="R1592" s="62">
        <f t="shared" si="171"/>
        <v>6.1590159237522216E-2</v>
      </c>
      <c r="S1592" s="60">
        <v>28</v>
      </c>
      <c r="T1592" s="58">
        <v>45331</v>
      </c>
      <c r="U1592" s="58">
        <v>45331</v>
      </c>
      <c r="V1592" s="63">
        <f t="shared" si="172"/>
        <v>0</v>
      </c>
      <c r="W1592" s="57" t="s">
        <v>115</v>
      </c>
      <c r="X1592" s="64" t="b">
        <f t="shared" si="173"/>
        <v>1</v>
      </c>
      <c r="Y1592" s="60">
        <v>408</v>
      </c>
      <c r="Z1592" s="60">
        <v>490</v>
      </c>
      <c r="AA1592" s="57" t="s">
        <v>116</v>
      </c>
      <c r="AB1592" s="64" t="b">
        <f t="shared" si="174"/>
        <v>0</v>
      </c>
    </row>
    <row r="1593" spans="1:28" ht="15" customHeight="1" x14ac:dyDescent="0.3">
      <c r="A1593" s="65" t="s">
        <v>3301</v>
      </c>
      <c r="B1593" s="81">
        <v>45044</v>
      </c>
      <c r="C1593" s="59">
        <f t="shared" si="168"/>
        <v>2023</v>
      </c>
      <c r="D1593" s="59">
        <f t="shared" si="169"/>
        <v>4</v>
      </c>
      <c r="E1593" s="59">
        <f t="shared" si="170"/>
        <v>17</v>
      </c>
      <c r="F1593" s="65" t="s">
        <v>53</v>
      </c>
      <c r="G1593" s="65" t="s">
        <v>46</v>
      </c>
      <c r="H1593" s="65" t="s">
        <v>3302</v>
      </c>
      <c r="I1593" s="65" t="s">
        <v>66</v>
      </c>
      <c r="J1593" s="65" t="s">
        <v>139</v>
      </c>
      <c r="K1593" s="65" t="s">
        <v>74</v>
      </c>
      <c r="L1593" s="65" t="s">
        <v>146</v>
      </c>
      <c r="M1593" s="67">
        <v>476</v>
      </c>
      <c r="N1593" s="65" t="s">
        <v>114</v>
      </c>
      <c r="O1593" s="68">
        <v>82.71</v>
      </c>
      <c r="P1593" s="68">
        <v>39369.96</v>
      </c>
      <c r="Q1593" s="68">
        <v>2680.4</v>
      </c>
      <c r="R1593" s="62">
        <f t="shared" si="171"/>
        <v>6.8082365336413861E-2</v>
      </c>
      <c r="S1593" s="67">
        <v>15</v>
      </c>
      <c r="T1593" s="66">
        <v>45059</v>
      </c>
      <c r="U1593" s="66">
        <v>45071</v>
      </c>
      <c r="V1593" s="63">
        <f t="shared" si="172"/>
        <v>12</v>
      </c>
      <c r="W1593" s="65" t="s">
        <v>128</v>
      </c>
      <c r="X1593" s="64" t="b">
        <f t="shared" si="173"/>
        <v>0</v>
      </c>
      <c r="Y1593" s="67">
        <v>377</v>
      </c>
      <c r="Z1593" s="67">
        <v>240</v>
      </c>
      <c r="AA1593" s="65" t="s">
        <v>83</v>
      </c>
      <c r="AB1593" s="64" t="b">
        <f t="shared" si="174"/>
        <v>1</v>
      </c>
    </row>
    <row r="1594" spans="1:28" ht="15" customHeight="1" x14ac:dyDescent="0.3">
      <c r="A1594" s="57" t="s">
        <v>3303</v>
      </c>
      <c r="B1594" s="82">
        <v>45212</v>
      </c>
      <c r="C1594" s="59">
        <f t="shared" si="168"/>
        <v>2023</v>
      </c>
      <c r="D1594" s="59">
        <f t="shared" si="169"/>
        <v>10</v>
      </c>
      <c r="E1594" s="59">
        <f t="shared" si="170"/>
        <v>41</v>
      </c>
      <c r="F1594" s="57" t="s">
        <v>61</v>
      </c>
      <c r="G1594" s="57" t="s">
        <v>43</v>
      </c>
      <c r="H1594" s="57" t="s">
        <v>3304</v>
      </c>
      <c r="I1594" s="57" t="s">
        <v>68</v>
      </c>
      <c r="J1594" s="57" t="s">
        <v>131</v>
      </c>
      <c r="K1594" s="57" t="s">
        <v>75</v>
      </c>
      <c r="L1594" s="57" t="s">
        <v>119</v>
      </c>
      <c r="M1594" s="60">
        <v>874</v>
      </c>
      <c r="N1594" s="57" t="s">
        <v>136</v>
      </c>
      <c r="O1594" s="61">
        <v>218.88</v>
      </c>
      <c r="P1594" s="61">
        <v>191301.12</v>
      </c>
      <c r="Q1594" s="61">
        <v>8390.1</v>
      </c>
      <c r="R1594" s="62">
        <f t="shared" si="171"/>
        <v>4.3858080914528891E-2</v>
      </c>
      <c r="S1594" s="60">
        <v>8</v>
      </c>
      <c r="T1594" s="58">
        <v>45220</v>
      </c>
      <c r="U1594" s="58">
        <v>45228</v>
      </c>
      <c r="V1594" s="63">
        <f t="shared" si="172"/>
        <v>8</v>
      </c>
      <c r="W1594" s="57" t="s">
        <v>128</v>
      </c>
      <c r="X1594" s="64" t="b">
        <f t="shared" si="173"/>
        <v>0</v>
      </c>
      <c r="Y1594" s="60">
        <v>276</v>
      </c>
      <c r="Z1594" s="60">
        <v>454</v>
      </c>
      <c r="AA1594" s="57" t="s">
        <v>116</v>
      </c>
      <c r="AB1594" s="64" t="b">
        <f t="shared" si="174"/>
        <v>0</v>
      </c>
    </row>
    <row r="1595" spans="1:28" ht="15" customHeight="1" x14ac:dyDescent="0.3">
      <c r="A1595" s="65" t="s">
        <v>3305</v>
      </c>
      <c r="B1595" s="81">
        <v>45514</v>
      </c>
      <c r="C1595" s="59">
        <f t="shared" si="168"/>
        <v>2024</v>
      </c>
      <c r="D1595" s="59">
        <f t="shared" si="169"/>
        <v>8</v>
      </c>
      <c r="E1595" s="59">
        <f t="shared" si="170"/>
        <v>32</v>
      </c>
      <c r="F1595" s="65" t="s">
        <v>61</v>
      </c>
      <c r="G1595" s="65" t="s">
        <v>46</v>
      </c>
      <c r="H1595" s="65" t="s">
        <v>3306</v>
      </c>
      <c r="I1595" s="65" t="s">
        <v>69</v>
      </c>
      <c r="J1595" s="65" t="s">
        <v>123</v>
      </c>
      <c r="K1595" s="65" t="s">
        <v>74</v>
      </c>
      <c r="L1595" s="65" t="s">
        <v>119</v>
      </c>
      <c r="M1595" s="67">
        <v>173</v>
      </c>
      <c r="N1595" s="65" t="s">
        <v>132</v>
      </c>
      <c r="O1595" s="68">
        <v>64.650000000000006</v>
      </c>
      <c r="P1595" s="68">
        <v>11184.45</v>
      </c>
      <c r="Q1595" s="68">
        <v>449.38</v>
      </c>
      <c r="R1595" s="62">
        <f t="shared" si="171"/>
        <v>4.0178998520266976E-2</v>
      </c>
      <c r="S1595" s="67">
        <v>2</v>
      </c>
      <c r="T1595" s="66">
        <v>45516</v>
      </c>
      <c r="U1595" s="66">
        <v>45524</v>
      </c>
      <c r="V1595" s="63">
        <f t="shared" si="172"/>
        <v>8</v>
      </c>
      <c r="W1595" s="65" t="s">
        <v>128</v>
      </c>
      <c r="X1595" s="64" t="b">
        <f t="shared" si="173"/>
        <v>0</v>
      </c>
      <c r="Y1595" s="67">
        <v>256</v>
      </c>
      <c r="Z1595" s="67">
        <v>462</v>
      </c>
      <c r="AA1595" s="65" t="s">
        <v>81</v>
      </c>
      <c r="AB1595" s="64" t="b">
        <f t="shared" si="174"/>
        <v>1</v>
      </c>
    </row>
    <row r="1596" spans="1:28" ht="15" customHeight="1" x14ac:dyDescent="0.3">
      <c r="A1596" s="57" t="s">
        <v>3307</v>
      </c>
      <c r="B1596" s="82">
        <v>45158</v>
      </c>
      <c r="C1596" s="59">
        <f t="shared" si="168"/>
        <v>2023</v>
      </c>
      <c r="D1596" s="59">
        <f t="shared" si="169"/>
        <v>8</v>
      </c>
      <c r="E1596" s="59">
        <f t="shared" si="170"/>
        <v>34</v>
      </c>
      <c r="F1596" s="57" t="s">
        <v>54</v>
      </c>
      <c r="G1596" s="57" t="s">
        <v>42</v>
      </c>
      <c r="H1596" s="57" t="s">
        <v>3308</v>
      </c>
      <c r="I1596" s="57" t="s">
        <v>67</v>
      </c>
      <c r="J1596" s="57" t="s">
        <v>139</v>
      </c>
      <c r="K1596" s="57" t="s">
        <v>73</v>
      </c>
      <c r="L1596" s="57" t="s">
        <v>113</v>
      </c>
      <c r="M1596" s="60">
        <v>791</v>
      </c>
      <c r="N1596" s="57" t="s">
        <v>163</v>
      </c>
      <c r="O1596" s="61">
        <v>87.38</v>
      </c>
      <c r="P1596" s="61">
        <v>69117.58</v>
      </c>
      <c r="Q1596" s="61">
        <v>2354.77</v>
      </c>
      <c r="R1596" s="62">
        <f t="shared" si="171"/>
        <v>3.4069045820180624E-2</v>
      </c>
      <c r="S1596" s="60">
        <v>3</v>
      </c>
      <c r="T1596" s="58">
        <v>45161</v>
      </c>
      <c r="U1596" s="58">
        <v>45160</v>
      </c>
      <c r="V1596" s="63">
        <f t="shared" si="172"/>
        <v>-1</v>
      </c>
      <c r="W1596" s="57" t="s">
        <v>115</v>
      </c>
      <c r="X1596" s="64" t="b">
        <f t="shared" si="173"/>
        <v>1</v>
      </c>
      <c r="Y1596" s="60">
        <v>441</v>
      </c>
      <c r="Z1596" s="60">
        <v>229</v>
      </c>
      <c r="AA1596" s="57" t="s">
        <v>83</v>
      </c>
      <c r="AB1596" s="64" t="b">
        <f t="shared" si="174"/>
        <v>1</v>
      </c>
    </row>
    <row r="1597" spans="1:28" ht="15" customHeight="1" x14ac:dyDescent="0.3">
      <c r="A1597" s="65" t="s">
        <v>3309</v>
      </c>
      <c r="B1597" s="81">
        <v>45366</v>
      </c>
      <c r="C1597" s="59">
        <f t="shared" si="168"/>
        <v>2024</v>
      </c>
      <c r="D1597" s="59">
        <f t="shared" si="169"/>
        <v>3</v>
      </c>
      <c r="E1597" s="59">
        <f t="shared" si="170"/>
        <v>11</v>
      </c>
      <c r="F1597" s="65" t="s">
        <v>61</v>
      </c>
      <c r="G1597" s="65" t="s">
        <v>41</v>
      </c>
      <c r="H1597" s="65" t="s">
        <v>3310</v>
      </c>
      <c r="I1597" s="65" t="s">
        <v>64</v>
      </c>
      <c r="J1597" s="65" t="s">
        <v>151</v>
      </c>
      <c r="K1597" s="65" t="s">
        <v>75</v>
      </c>
      <c r="L1597" s="65" t="s">
        <v>135</v>
      </c>
      <c r="M1597" s="67">
        <v>343</v>
      </c>
      <c r="N1597" s="65" t="s">
        <v>136</v>
      </c>
      <c r="O1597" s="68">
        <v>688.71</v>
      </c>
      <c r="P1597" s="68">
        <v>236227.53</v>
      </c>
      <c r="Q1597" s="68">
        <v>11537.09</v>
      </c>
      <c r="R1597" s="62">
        <f t="shared" si="171"/>
        <v>4.8838888507194742E-2</v>
      </c>
      <c r="S1597" s="67">
        <v>24</v>
      </c>
      <c r="T1597" s="66">
        <v>45390</v>
      </c>
      <c r="U1597" s="66">
        <v>45385</v>
      </c>
      <c r="V1597" s="63">
        <f t="shared" si="172"/>
        <v>-5</v>
      </c>
      <c r="W1597" s="65" t="s">
        <v>115</v>
      </c>
      <c r="X1597" s="64" t="b">
        <f t="shared" si="173"/>
        <v>1</v>
      </c>
      <c r="Y1597" s="67">
        <v>324</v>
      </c>
      <c r="Z1597" s="67">
        <v>389</v>
      </c>
      <c r="AA1597" s="65" t="s">
        <v>84</v>
      </c>
      <c r="AB1597" s="64" t="b">
        <f t="shared" si="174"/>
        <v>1</v>
      </c>
    </row>
    <row r="1598" spans="1:28" ht="15" customHeight="1" x14ac:dyDescent="0.3">
      <c r="A1598" s="57" t="s">
        <v>3311</v>
      </c>
      <c r="B1598" s="82">
        <v>45501</v>
      </c>
      <c r="C1598" s="59">
        <f t="shared" si="168"/>
        <v>2024</v>
      </c>
      <c r="D1598" s="59">
        <f t="shared" si="169"/>
        <v>7</v>
      </c>
      <c r="E1598" s="59">
        <f t="shared" si="170"/>
        <v>31</v>
      </c>
      <c r="F1598" s="57" t="s">
        <v>55</v>
      </c>
      <c r="G1598" s="57" t="s">
        <v>42</v>
      </c>
      <c r="H1598" s="57" t="s">
        <v>3312</v>
      </c>
      <c r="I1598" s="57" t="s">
        <v>66</v>
      </c>
      <c r="J1598" s="57" t="s">
        <v>131</v>
      </c>
      <c r="K1598" s="57" t="s">
        <v>75</v>
      </c>
      <c r="L1598" s="57" t="s">
        <v>135</v>
      </c>
      <c r="M1598" s="60">
        <v>556</v>
      </c>
      <c r="N1598" s="57" t="s">
        <v>163</v>
      </c>
      <c r="O1598" s="61">
        <v>109.24</v>
      </c>
      <c r="P1598" s="61">
        <v>60737.440000000002</v>
      </c>
      <c r="Q1598" s="61">
        <v>3225.75</v>
      </c>
      <c r="R1598" s="62">
        <f t="shared" si="171"/>
        <v>5.3109745817406857E-2</v>
      </c>
      <c r="S1598" s="60">
        <v>14</v>
      </c>
      <c r="T1598" s="58">
        <v>45515</v>
      </c>
      <c r="U1598" s="58">
        <v>45515</v>
      </c>
      <c r="V1598" s="63">
        <f t="shared" si="172"/>
        <v>0</v>
      </c>
      <c r="W1598" s="57" t="s">
        <v>115</v>
      </c>
      <c r="X1598" s="64" t="b">
        <f t="shared" si="173"/>
        <v>1</v>
      </c>
      <c r="Y1598" s="60">
        <v>244</v>
      </c>
      <c r="Z1598" s="60">
        <v>17</v>
      </c>
      <c r="AA1598" s="57" t="s">
        <v>83</v>
      </c>
      <c r="AB1598" s="64" t="b">
        <f t="shared" si="174"/>
        <v>1</v>
      </c>
    </row>
    <row r="1599" spans="1:28" ht="15" customHeight="1" x14ac:dyDescent="0.3">
      <c r="A1599" s="65" t="s">
        <v>3313</v>
      </c>
      <c r="B1599" s="81">
        <v>45563</v>
      </c>
      <c r="C1599" s="59">
        <f t="shared" si="168"/>
        <v>2024</v>
      </c>
      <c r="D1599" s="59">
        <f t="shared" si="169"/>
        <v>9</v>
      </c>
      <c r="E1599" s="59">
        <f t="shared" si="170"/>
        <v>39</v>
      </c>
      <c r="F1599" s="65" t="s">
        <v>61</v>
      </c>
      <c r="G1599" s="65" t="s">
        <v>46</v>
      </c>
      <c r="H1599" s="65" t="s">
        <v>3314</v>
      </c>
      <c r="I1599" s="65" t="s">
        <v>64</v>
      </c>
      <c r="J1599" s="65" t="s">
        <v>123</v>
      </c>
      <c r="K1599" s="65" t="s">
        <v>75</v>
      </c>
      <c r="L1599" s="65" t="s">
        <v>156</v>
      </c>
      <c r="M1599" s="67">
        <v>807</v>
      </c>
      <c r="N1599" s="65" t="s">
        <v>114</v>
      </c>
      <c r="O1599" s="68">
        <v>61.37</v>
      </c>
      <c r="P1599" s="68">
        <v>49525.59</v>
      </c>
      <c r="Q1599" s="68">
        <v>2867.85</v>
      </c>
      <c r="R1599" s="62">
        <f t="shared" si="171"/>
        <v>5.7906427767947848E-2</v>
      </c>
      <c r="S1599" s="67">
        <v>24</v>
      </c>
      <c r="T1599" s="66">
        <v>45587</v>
      </c>
      <c r="U1599" s="66">
        <v>45584</v>
      </c>
      <c r="V1599" s="63">
        <f t="shared" si="172"/>
        <v>-3</v>
      </c>
      <c r="W1599" s="65" t="s">
        <v>115</v>
      </c>
      <c r="X1599" s="64" t="b">
        <f t="shared" si="173"/>
        <v>1</v>
      </c>
      <c r="Y1599" s="67">
        <v>85</v>
      </c>
      <c r="Z1599" s="67">
        <v>146</v>
      </c>
      <c r="AA1599" s="65" t="s">
        <v>82</v>
      </c>
      <c r="AB1599" s="64" t="b">
        <f t="shared" si="174"/>
        <v>1</v>
      </c>
    </row>
    <row r="1600" spans="1:28" ht="15" customHeight="1" x14ac:dyDescent="0.3">
      <c r="A1600" s="57" t="s">
        <v>3315</v>
      </c>
      <c r="B1600" s="82">
        <v>45555</v>
      </c>
      <c r="C1600" s="59">
        <f t="shared" si="168"/>
        <v>2024</v>
      </c>
      <c r="D1600" s="59">
        <f t="shared" si="169"/>
        <v>9</v>
      </c>
      <c r="E1600" s="59">
        <f t="shared" si="170"/>
        <v>38</v>
      </c>
      <c r="F1600" s="57" t="s">
        <v>55</v>
      </c>
      <c r="G1600" s="57" t="s">
        <v>43</v>
      </c>
      <c r="H1600" s="57" t="s">
        <v>3316</v>
      </c>
      <c r="I1600" s="57" t="s">
        <v>65</v>
      </c>
      <c r="J1600" s="57" t="s">
        <v>139</v>
      </c>
      <c r="K1600" s="57" t="s">
        <v>71</v>
      </c>
      <c r="L1600" s="57" t="s">
        <v>124</v>
      </c>
      <c r="M1600" s="60">
        <v>357</v>
      </c>
      <c r="N1600" s="57" t="s">
        <v>136</v>
      </c>
      <c r="O1600" s="61">
        <v>193.33</v>
      </c>
      <c r="P1600" s="61">
        <v>69018.81</v>
      </c>
      <c r="Q1600" s="61">
        <v>2445.14</v>
      </c>
      <c r="R1600" s="62">
        <f t="shared" si="171"/>
        <v>3.5427153844002815E-2</v>
      </c>
      <c r="S1600" s="60">
        <v>14</v>
      </c>
      <c r="T1600" s="58">
        <v>45569</v>
      </c>
      <c r="U1600" s="58">
        <v>45566</v>
      </c>
      <c r="V1600" s="63">
        <f t="shared" si="172"/>
        <v>-3</v>
      </c>
      <c r="W1600" s="57" t="s">
        <v>115</v>
      </c>
      <c r="X1600" s="64" t="b">
        <f t="shared" si="173"/>
        <v>1</v>
      </c>
      <c r="Y1600" s="60">
        <v>70</v>
      </c>
      <c r="Z1600" s="60">
        <v>243</v>
      </c>
      <c r="AA1600" s="57" t="s">
        <v>83</v>
      </c>
      <c r="AB1600" s="64" t="b">
        <f t="shared" si="174"/>
        <v>1</v>
      </c>
    </row>
    <row r="1601" spans="1:28" ht="15" customHeight="1" x14ac:dyDescent="0.3">
      <c r="A1601" s="65" t="s">
        <v>3317</v>
      </c>
      <c r="B1601" s="81">
        <v>45618</v>
      </c>
      <c r="C1601" s="59">
        <f t="shared" si="168"/>
        <v>2024</v>
      </c>
      <c r="D1601" s="59">
        <f t="shared" si="169"/>
        <v>11</v>
      </c>
      <c r="E1601" s="59">
        <f t="shared" si="170"/>
        <v>47</v>
      </c>
      <c r="F1601" s="65" t="s">
        <v>61</v>
      </c>
      <c r="G1601" s="65" t="s">
        <v>44</v>
      </c>
      <c r="H1601" s="65" t="s">
        <v>3318</v>
      </c>
      <c r="I1601" s="65" t="s">
        <v>66</v>
      </c>
      <c r="J1601" s="65" t="s">
        <v>131</v>
      </c>
      <c r="K1601" s="65" t="s">
        <v>73</v>
      </c>
      <c r="L1601" s="65" t="s">
        <v>135</v>
      </c>
      <c r="M1601" s="67">
        <v>282</v>
      </c>
      <c r="N1601" s="65" t="s">
        <v>140</v>
      </c>
      <c r="O1601" s="68">
        <v>131.22999999999999</v>
      </c>
      <c r="P1601" s="68">
        <v>37006.86</v>
      </c>
      <c r="Q1601" s="68">
        <v>2846.54</v>
      </c>
      <c r="R1601" s="62">
        <f t="shared" si="171"/>
        <v>7.6919252268363214E-2</v>
      </c>
      <c r="S1601" s="67">
        <v>11</v>
      </c>
      <c r="T1601" s="66">
        <v>45629</v>
      </c>
      <c r="U1601" s="66">
        <v>45628</v>
      </c>
      <c r="V1601" s="63">
        <f t="shared" si="172"/>
        <v>-1</v>
      </c>
      <c r="W1601" s="65" t="s">
        <v>115</v>
      </c>
      <c r="X1601" s="64" t="b">
        <f t="shared" si="173"/>
        <v>1</v>
      </c>
      <c r="Y1601" s="67">
        <v>268</v>
      </c>
      <c r="Z1601" s="67">
        <v>50</v>
      </c>
      <c r="AA1601" s="65" t="s">
        <v>82</v>
      </c>
      <c r="AB1601" s="64" t="b">
        <f t="shared" si="174"/>
        <v>1</v>
      </c>
    </row>
    <row r="1602" spans="1:28" ht="15" customHeight="1" x14ac:dyDescent="0.3">
      <c r="A1602" s="57" t="s">
        <v>3319</v>
      </c>
      <c r="B1602" s="82">
        <v>45585</v>
      </c>
      <c r="C1602" s="59">
        <f t="shared" ref="C1602:C1665" si="175">YEAR(B1602)</f>
        <v>2024</v>
      </c>
      <c r="D1602" s="59">
        <f t="shared" ref="D1602:D1665" si="176">MONTH(B1602)</f>
        <v>10</v>
      </c>
      <c r="E1602" s="59">
        <f t="shared" ref="E1602:E1665" si="177">WEEKNUM(B1602,1)</f>
        <v>43</v>
      </c>
      <c r="F1602" s="57" t="s">
        <v>59</v>
      </c>
      <c r="G1602" s="57" t="s">
        <v>40</v>
      </c>
      <c r="H1602" s="57" t="s">
        <v>3320</v>
      </c>
      <c r="I1602" s="57" t="s">
        <v>67</v>
      </c>
      <c r="J1602" s="57" t="s">
        <v>131</v>
      </c>
      <c r="K1602" s="57" t="s">
        <v>72</v>
      </c>
      <c r="L1602" s="57" t="s">
        <v>119</v>
      </c>
      <c r="M1602" s="60">
        <v>972</v>
      </c>
      <c r="N1602" s="57" t="s">
        <v>136</v>
      </c>
      <c r="O1602" s="61">
        <v>926.57</v>
      </c>
      <c r="P1602" s="61">
        <v>900626.04</v>
      </c>
      <c r="Q1602" s="61">
        <v>27185.86</v>
      </c>
      <c r="R1602" s="62">
        <f t="shared" ref="R1602:R1665" si="178">Q1602/P1602</f>
        <v>3.0185514067525739E-2</v>
      </c>
      <c r="S1602" s="60">
        <v>16</v>
      </c>
      <c r="T1602" s="58">
        <v>45601</v>
      </c>
      <c r="U1602" s="58">
        <v>45603</v>
      </c>
      <c r="V1602" s="63">
        <f t="shared" ref="V1602:V1665" si="179">U1602-T1602</f>
        <v>2</v>
      </c>
      <c r="W1602" s="57" t="s">
        <v>125</v>
      </c>
      <c r="X1602" s="64" t="b">
        <f t="shared" ref="X1602:X1665" si="180">IF(W1602="Entregado", TRUE(), FALSE())</f>
        <v>0</v>
      </c>
      <c r="Y1602" s="60">
        <v>492</v>
      </c>
      <c r="Z1602" s="60">
        <v>449</v>
      </c>
      <c r="AA1602" s="57" t="s">
        <v>116</v>
      </c>
      <c r="AB1602" s="64" t="b">
        <f t="shared" ref="AB1602:AB1665" si="181">IF(AA1602="Ninguna",FALSE(),TRUE())</f>
        <v>0</v>
      </c>
    </row>
    <row r="1603" spans="1:28" ht="15" customHeight="1" x14ac:dyDescent="0.3">
      <c r="A1603" s="65" t="s">
        <v>3321</v>
      </c>
      <c r="B1603" s="81">
        <v>45497</v>
      </c>
      <c r="C1603" s="59">
        <f t="shared" si="175"/>
        <v>2024</v>
      </c>
      <c r="D1603" s="59">
        <f t="shared" si="176"/>
        <v>7</v>
      </c>
      <c r="E1603" s="59">
        <f t="shared" si="177"/>
        <v>30</v>
      </c>
      <c r="F1603" s="65" t="s">
        <v>56</v>
      </c>
      <c r="G1603" s="65" t="s">
        <v>40</v>
      </c>
      <c r="H1603" s="65" t="s">
        <v>3322</v>
      </c>
      <c r="I1603" s="65" t="s">
        <v>66</v>
      </c>
      <c r="J1603" s="65" t="s">
        <v>112</v>
      </c>
      <c r="K1603" s="65" t="s">
        <v>74</v>
      </c>
      <c r="L1603" s="65" t="s">
        <v>146</v>
      </c>
      <c r="M1603" s="67">
        <v>729</v>
      </c>
      <c r="N1603" s="65" t="s">
        <v>120</v>
      </c>
      <c r="O1603" s="68">
        <v>712.54</v>
      </c>
      <c r="P1603" s="68">
        <v>519441.66</v>
      </c>
      <c r="Q1603" s="68">
        <v>40484.86</v>
      </c>
      <c r="R1603" s="62">
        <f t="shared" si="178"/>
        <v>7.7939185701816835E-2</v>
      </c>
      <c r="S1603" s="67">
        <v>4</v>
      </c>
      <c r="T1603" s="66">
        <v>45501</v>
      </c>
      <c r="U1603" s="66">
        <v>45503</v>
      </c>
      <c r="V1603" s="63">
        <f t="shared" si="179"/>
        <v>2</v>
      </c>
      <c r="W1603" s="65" t="s">
        <v>128</v>
      </c>
      <c r="X1603" s="64" t="b">
        <f t="shared" si="180"/>
        <v>0</v>
      </c>
      <c r="Y1603" s="67">
        <v>179</v>
      </c>
      <c r="Z1603" s="67">
        <v>258</v>
      </c>
      <c r="AA1603" s="65" t="s">
        <v>116</v>
      </c>
      <c r="AB1603" s="64" t="b">
        <f t="shared" si="181"/>
        <v>0</v>
      </c>
    </row>
    <row r="1604" spans="1:28" ht="15" customHeight="1" x14ac:dyDescent="0.3">
      <c r="A1604" s="57" t="s">
        <v>3323</v>
      </c>
      <c r="B1604" s="82">
        <v>44953</v>
      </c>
      <c r="C1604" s="59">
        <f t="shared" si="175"/>
        <v>2023</v>
      </c>
      <c r="D1604" s="59">
        <f t="shared" si="176"/>
        <v>1</v>
      </c>
      <c r="E1604" s="59">
        <f t="shared" si="177"/>
        <v>4</v>
      </c>
      <c r="F1604" s="57" t="s">
        <v>55</v>
      </c>
      <c r="G1604" s="57" t="s">
        <v>40</v>
      </c>
      <c r="H1604" s="57" t="s">
        <v>3324</v>
      </c>
      <c r="I1604" s="57" t="s">
        <v>67</v>
      </c>
      <c r="J1604" s="57" t="s">
        <v>131</v>
      </c>
      <c r="K1604" s="57" t="s">
        <v>71</v>
      </c>
      <c r="L1604" s="57" t="s">
        <v>156</v>
      </c>
      <c r="M1604" s="60">
        <v>759</v>
      </c>
      <c r="N1604" s="57" t="s">
        <v>132</v>
      </c>
      <c r="O1604" s="61">
        <v>1068.1300000000001</v>
      </c>
      <c r="P1604" s="61">
        <v>810710.67</v>
      </c>
      <c r="Q1604" s="61">
        <v>16936.849999999999</v>
      </c>
      <c r="R1604" s="62">
        <f t="shared" si="178"/>
        <v>2.0891361896100365E-2</v>
      </c>
      <c r="S1604" s="60">
        <v>20</v>
      </c>
      <c r="T1604" s="58">
        <v>44973</v>
      </c>
      <c r="U1604" s="58">
        <v>44985</v>
      </c>
      <c r="V1604" s="63">
        <f t="shared" si="179"/>
        <v>12</v>
      </c>
      <c r="W1604" s="57" t="s">
        <v>125</v>
      </c>
      <c r="X1604" s="64" t="b">
        <f t="shared" si="180"/>
        <v>0</v>
      </c>
      <c r="Y1604" s="60">
        <v>278</v>
      </c>
      <c r="Z1604" s="60">
        <v>237</v>
      </c>
      <c r="AA1604" s="57" t="s">
        <v>81</v>
      </c>
      <c r="AB1604" s="64" t="b">
        <f t="shared" si="181"/>
        <v>1</v>
      </c>
    </row>
    <row r="1605" spans="1:28" ht="15" customHeight="1" x14ac:dyDescent="0.3">
      <c r="A1605" s="65" t="s">
        <v>3325</v>
      </c>
      <c r="B1605" s="81">
        <v>45550</v>
      </c>
      <c r="C1605" s="59">
        <f t="shared" si="175"/>
        <v>2024</v>
      </c>
      <c r="D1605" s="59">
        <f t="shared" si="176"/>
        <v>9</v>
      </c>
      <c r="E1605" s="59">
        <f t="shared" si="177"/>
        <v>38</v>
      </c>
      <c r="F1605" s="65" t="s">
        <v>60</v>
      </c>
      <c r="G1605" s="65" t="s">
        <v>44</v>
      </c>
      <c r="H1605" s="65" t="s">
        <v>3326</v>
      </c>
      <c r="I1605" s="65" t="s">
        <v>65</v>
      </c>
      <c r="J1605" s="65" t="s">
        <v>139</v>
      </c>
      <c r="K1605" s="65" t="s">
        <v>74</v>
      </c>
      <c r="L1605" s="65" t="s">
        <v>124</v>
      </c>
      <c r="M1605" s="67">
        <v>423</v>
      </c>
      <c r="N1605" s="65" t="s">
        <v>114</v>
      </c>
      <c r="O1605" s="68">
        <v>130.69999999999999</v>
      </c>
      <c r="P1605" s="68">
        <v>55286.1</v>
      </c>
      <c r="Q1605" s="68">
        <v>2701.7</v>
      </c>
      <c r="R1605" s="62">
        <f t="shared" si="178"/>
        <v>4.8867617719462936E-2</v>
      </c>
      <c r="S1605" s="67">
        <v>5</v>
      </c>
      <c r="T1605" s="66">
        <v>45555</v>
      </c>
      <c r="U1605" s="66">
        <v>45556</v>
      </c>
      <c r="V1605" s="63">
        <f t="shared" si="179"/>
        <v>1</v>
      </c>
      <c r="W1605" s="65" t="s">
        <v>128</v>
      </c>
      <c r="X1605" s="64" t="b">
        <f t="shared" si="180"/>
        <v>0</v>
      </c>
      <c r="Y1605" s="67">
        <v>148</v>
      </c>
      <c r="Z1605" s="67">
        <v>245</v>
      </c>
      <c r="AA1605" s="65" t="s">
        <v>82</v>
      </c>
      <c r="AB1605" s="64" t="b">
        <f t="shared" si="181"/>
        <v>1</v>
      </c>
    </row>
    <row r="1606" spans="1:28" ht="15" customHeight="1" x14ac:dyDescent="0.3">
      <c r="A1606" s="57" t="s">
        <v>3327</v>
      </c>
      <c r="B1606" s="82">
        <v>45600</v>
      </c>
      <c r="C1606" s="59">
        <f t="shared" si="175"/>
        <v>2024</v>
      </c>
      <c r="D1606" s="59">
        <f t="shared" si="176"/>
        <v>11</v>
      </c>
      <c r="E1606" s="59">
        <f t="shared" si="177"/>
        <v>45</v>
      </c>
      <c r="F1606" s="57" t="s">
        <v>54</v>
      </c>
      <c r="G1606" s="57" t="s">
        <v>40</v>
      </c>
      <c r="H1606" s="57" t="s">
        <v>3328</v>
      </c>
      <c r="I1606" s="57" t="s">
        <v>67</v>
      </c>
      <c r="J1606" s="57" t="s">
        <v>151</v>
      </c>
      <c r="K1606" s="57" t="s">
        <v>72</v>
      </c>
      <c r="L1606" s="57" t="s">
        <v>146</v>
      </c>
      <c r="M1606" s="60">
        <v>509</v>
      </c>
      <c r="N1606" s="57" t="s">
        <v>136</v>
      </c>
      <c r="O1606" s="61">
        <v>773.79</v>
      </c>
      <c r="P1606" s="61">
        <v>393859.11</v>
      </c>
      <c r="Q1606" s="61">
        <v>15755.18</v>
      </c>
      <c r="R1606" s="62">
        <f t="shared" si="178"/>
        <v>4.0002070791253251E-2</v>
      </c>
      <c r="S1606" s="60">
        <v>22</v>
      </c>
      <c r="T1606" s="58">
        <v>45622</v>
      </c>
      <c r="U1606" s="58">
        <v>45622</v>
      </c>
      <c r="V1606" s="63">
        <f t="shared" si="179"/>
        <v>0</v>
      </c>
      <c r="W1606" s="57" t="s">
        <v>115</v>
      </c>
      <c r="X1606" s="64" t="b">
        <f t="shared" si="180"/>
        <v>1</v>
      </c>
      <c r="Y1606" s="60">
        <v>5</v>
      </c>
      <c r="Z1606" s="60">
        <v>344</v>
      </c>
      <c r="AA1606" s="57" t="s">
        <v>82</v>
      </c>
      <c r="AB1606" s="64" t="b">
        <f t="shared" si="181"/>
        <v>1</v>
      </c>
    </row>
    <row r="1607" spans="1:28" ht="15" customHeight="1" x14ac:dyDescent="0.3">
      <c r="A1607" s="65" t="s">
        <v>3329</v>
      </c>
      <c r="B1607" s="81">
        <v>45637</v>
      </c>
      <c r="C1607" s="59">
        <f t="shared" si="175"/>
        <v>2024</v>
      </c>
      <c r="D1607" s="59">
        <f t="shared" si="176"/>
        <v>12</v>
      </c>
      <c r="E1607" s="59">
        <f t="shared" si="177"/>
        <v>50</v>
      </c>
      <c r="F1607" s="65" t="s">
        <v>57</v>
      </c>
      <c r="G1607" s="65" t="s">
        <v>43</v>
      </c>
      <c r="H1607" s="65" t="s">
        <v>3330</v>
      </c>
      <c r="I1607" s="65" t="s">
        <v>64</v>
      </c>
      <c r="J1607" s="65" t="s">
        <v>143</v>
      </c>
      <c r="K1607" s="65" t="s">
        <v>75</v>
      </c>
      <c r="L1607" s="65" t="s">
        <v>146</v>
      </c>
      <c r="M1607" s="67">
        <v>102</v>
      </c>
      <c r="N1607" s="65" t="s">
        <v>114</v>
      </c>
      <c r="O1607" s="68">
        <v>157.09</v>
      </c>
      <c r="P1607" s="68">
        <v>16023.18</v>
      </c>
      <c r="Q1607" s="68">
        <v>752.25</v>
      </c>
      <c r="R1607" s="62">
        <f t="shared" si="178"/>
        <v>4.6947609650518807E-2</v>
      </c>
      <c r="S1607" s="67">
        <v>21</v>
      </c>
      <c r="T1607" s="66">
        <v>45658</v>
      </c>
      <c r="U1607" s="66">
        <v>45661</v>
      </c>
      <c r="V1607" s="63">
        <f t="shared" si="179"/>
        <v>3</v>
      </c>
      <c r="W1607" s="65" t="s">
        <v>128</v>
      </c>
      <c r="X1607" s="64" t="b">
        <f t="shared" si="180"/>
        <v>0</v>
      </c>
      <c r="Y1607" s="67">
        <v>147</v>
      </c>
      <c r="Z1607" s="67">
        <v>483</v>
      </c>
      <c r="AA1607" s="65" t="s">
        <v>84</v>
      </c>
      <c r="AB1607" s="64" t="b">
        <f t="shared" si="181"/>
        <v>1</v>
      </c>
    </row>
    <row r="1608" spans="1:28" ht="15" customHeight="1" x14ac:dyDescent="0.3">
      <c r="A1608" s="57" t="s">
        <v>3331</v>
      </c>
      <c r="B1608" s="82">
        <v>45200</v>
      </c>
      <c r="C1608" s="59">
        <f t="shared" si="175"/>
        <v>2023</v>
      </c>
      <c r="D1608" s="59">
        <f t="shared" si="176"/>
        <v>10</v>
      </c>
      <c r="E1608" s="59">
        <f t="shared" si="177"/>
        <v>40</v>
      </c>
      <c r="F1608" s="57" t="s">
        <v>55</v>
      </c>
      <c r="G1608" s="57" t="s">
        <v>44</v>
      </c>
      <c r="H1608" s="57" t="s">
        <v>3280</v>
      </c>
      <c r="I1608" s="57" t="s">
        <v>69</v>
      </c>
      <c r="J1608" s="57" t="s">
        <v>112</v>
      </c>
      <c r="K1608" s="57" t="s">
        <v>72</v>
      </c>
      <c r="L1608" s="57" t="s">
        <v>119</v>
      </c>
      <c r="M1608" s="60">
        <v>694</v>
      </c>
      <c r="N1608" s="57" t="s">
        <v>163</v>
      </c>
      <c r="O1608" s="61">
        <v>106.93</v>
      </c>
      <c r="P1608" s="61">
        <v>74209.42</v>
      </c>
      <c r="Q1608" s="61">
        <v>4025.11</v>
      </c>
      <c r="R1608" s="62">
        <f t="shared" si="178"/>
        <v>5.4239879519338653E-2</v>
      </c>
      <c r="S1608" s="60">
        <v>14</v>
      </c>
      <c r="T1608" s="58">
        <v>45214</v>
      </c>
      <c r="U1608" s="58">
        <v>45214</v>
      </c>
      <c r="V1608" s="63">
        <f t="shared" si="179"/>
        <v>0</v>
      </c>
      <c r="W1608" s="57" t="s">
        <v>115</v>
      </c>
      <c r="X1608" s="64" t="b">
        <f t="shared" si="180"/>
        <v>1</v>
      </c>
      <c r="Y1608" s="60">
        <v>331</v>
      </c>
      <c r="Z1608" s="60">
        <v>309</v>
      </c>
      <c r="AA1608" s="57" t="s">
        <v>116</v>
      </c>
      <c r="AB1608" s="64" t="b">
        <f t="shared" si="181"/>
        <v>0</v>
      </c>
    </row>
    <row r="1609" spans="1:28" ht="15" customHeight="1" x14ac:dyDescent="0.3">
      <c r="A1609" s="65" t="s">
        <v>3332</v>
      </c>
      <c r="B1609" s="81">
        <v>44956</v>
      </c>
      <c r="C1609" s="59">
        <f t="shared" si="175"/>
        <v>2023</v>
      </c>
      <c r="D1609" s="59">
        <f t="shared" si="176"/>
        <v>1</v>
      </c>
      <c r="E1609" s="59">
        <f t="shared" si="177"/>
        <v>5</v>
      </c>
      <c r="F1609" s="65" t="s">
        <v>58</v>
      </c>
      <c r="G1609" s="65" t="s">
        <v>40</v>
      </c>
      <c r="H1609" s="65" t="s">
        <v>3333</v>
      </c>
      <c r="I1609" s="65" t="s">
        <v>64</v>
      </c>
      <c r="J1609" s="65" t="s">
        <v>139</v>
      </c>
      <c r="K1609" s="65" t="s">
        <v>74</v>
      </c>
      <c r="L1609" s="65" t="s">
        <v>113</v>
      </c>
      <c r="M1609" s="67">
        <v>88</v>
      </c>
      <c r="N1609" s="65" t="s">
        <v>163</v>
      </c>
      <c r="O1609" s="68">
        <v>1167.54</v>
      </c>
      <c r="P1609" s="68">
        <v>102743.52</v>
      </c>
      <c r="Q1609" s="68">
        <v>4740.1099999999997</v>
      </c>
      <c r="R1609" s="62">
        <f t="shared" si="178"/>
        <v>4.6135366979834828E-2</v>
      </c>
      <c r="S1609" s="67">
        <v>23</v>
      </c>
      <c r="T1609" s="66">
        <v>44979</v>
      </c>
      <c r="U1609" s="66">
        <v>44991</v>
      </c>
      <c r="V1609" s="63">
        <f t="shared" si="179"/>
        <v>12</v>
      </c>
      <c r="W1609" s="65" t="s">
        <v>128</v>
      </c>
      <c r="X1609" s="64" t="b">
        <f t="shared" si="180"/>
        <v>0</v>
      </c>
      <c r="Y1609" s="67">
        <v>167</v>
      </c>
      <c r="Z1609" s="67">
        <v>48</v>
      </c>
      <c r="AA1609" s="65" t="s">
        <v>84</v>
      </c>
      <c r="AB1609" s="64" t="b">
        <f t="shared" si="181"/>
        <v>1</v>
      </c>
    </row>
    <row r="1610" spans="1:28" ht="15" customHeight="1" x14ac:dyDescent="0.3">
      <c r="A1610" s="57" t="s">
        <v>3334</v>
      </c>
      <c r="B1610" s="82">
        <v>45111</v>
      </c>
      <c r="C1610" s="59">
        <f t="shared" si="175"/>
        <v>2023</v>
      </c>
      <c r="D1610" s="59">
        <f t="shared" si="176"/>
        <v>7</v>
      </c>
      <c r="E1610" s="59">
        <f t="shared" si="177"/>
        <v>27</v>
      </c>
      <c r="F1610" s="57" t="s">
        <v>56</v>
      </c>
      <c r="G1610" s="57" t="s">
        <v>44</v>
      </c>
      <c r="H1610" s="57" t="s">
        <v>3335</v>
      </c>
      <c r="I1610" s="57" t="s">
        <v>68</v>
      </c>
      <c r="J1610" s="57" t="s">
        <v>139</v>
      </c>
      <c r="K1610" s="57" t="s">
        <v>72</v>
      </c>
      <c r="L1610" s="57" t="s">
        <v>113</v>
      </c>
      <c r="M1610" s="60">
        <v>631</v>
      </c>
      <c r="N1610" s="57" t="s">
        <v>136</v>
      </c>
      <c r="O1610" s="61">
        <v>113.29</v>
      </c>
      <c r="P1610" s="61">
        <v>71485.990000000005</v>
      </c>
      <c r="Q1610" s="61">
        <v>3209.06</v>
      </c>
      <c r="R1610" s="62">
        <f t="shared" si="178"/>
        <v>4.4890754118394383E-2</v>
      </c>
      <c r="S1610" s="60">
        <v>16</v>
      </c>
      <c r="T1610" s="58">
        <v>45127</v>
      </c>
      <c r="U1610" s="58">
        <v>45122</v>
      </c>
      <c r="V1610" s="63">
        <f t="shared" si="179"/>
        <v>-5</v>
      </c>
      <c r="W1610" s="57" t="s">
        <v>115</v>
      </c>
      <c r="X1610" s="64" t="b">
        <f t="shared" si="180"/>
        <v>1</v>
      </c>
      <c r="Y1610" s="60">
        <v>8</v>
      </c>
      <c r="Z1610" s="60">
        <v>283</v>
      </c>
      <c r="AA1610" s="57" t="s">
        <v>116</v>
      </c>
      <c r="AB1610" s="64" t="b">
        <f t="shared" si="181"/>
        <v>0</v>
      </c>
    </row>
    <row r="1611" spans="1:28" ht="15" customHeight="1" x14ac:dyDescent="0.3">
      <c r="A1611" s="65" t="s">
        <v>3336</v>
      </c>
      <c r="B1611" s="81">
        <v>45206</v>
      </c>
      <c r="C1611" s="59">
        <f t="shared" si="175"/>
        <v>2023</v>
      </c>
      <c r="D1611" s="59">
        <f t="shared" si="176"/>
        <v>10</v>
      </c>
      <c r="E1611" s="59">
        <f t="shared" si="177"/>
        <v>40</v>
      </c>
      <c r="F1611" s="65" t="s">
        <v>59</v>
      </c>
      <c r="G1611" s="65" t="s">
        <v>46</v>
      </c>
      <c r="H1611" s="65" t="s">
        <v>3337</v>
      </c>
      <c r="I1611" s="65" t="s">
        <v>64</v>
      </c>
      <c r="J1611" s="65" t="s">
        <v>139</v>
      </c>
      <c r="K1611" s="65" t="s">
        <v>73</v>
      </c>
      <c r="L1611" s="65" t="s">
        <v>113</v>
      </c>
      <c r="M1611" s="67">
        <v>226</v>
      </c>
      <c r="N1611" s="65" t="s">
        <v>120</v>
      </c>
      <c r="O1611" s="68">
        <v>50.11</v>
      </c>
      <c r="P1611" s="68">
        <v>11324.86</v>
      </c>
      <c r="Q1611" s="68">
        <v>724.38</v>
      </c>
      <c r="R1611" s="62">
        <f t="shared" si="178"/>
        <v>6.3963704628578186E-2</v>
      </c>
      <c r="S1611" s="67">
        <v>18</v>
      </c>
      <c r="T1611" s="66">
        <v>45224</v>
      </c>
      <c r="U1611" s="66">
        <v>45226</v>
      </c>
      <c r="V1611" s="63">
        <f t="shared" si="179"/>
        <v>2</v>
      </c>
      <c r="W1611" s="65" t="s">
        <v>128</v>
      </c>
      <c r="X1611" s="64" t="b">
        <f t="shared" si="180"/>
        <v>0</v>
      </c>
      <c r="Y1611" s="67">
        <v>177</v>
      </c>
      <c r="Z1611" s="67">
        <v>37</v>
      </c>
      <c r="AA1611" s="65" t="s">
        <v>83</v>
      </c>
      <c r="AB1611" s="64" t="b">
        <f t="shared" si="181"/>
        <v>1</v>
      </c>
    </row>
    <row r="1612" spans="1:28" ht="15" customHeight="1" x14ac:dyDescent="0.3">
      <c r="A1612" s="57" t="s">
        <v>3338</v>
      </c>
      <c r="B1612" s="82">
        <v>45646</v>
      </c>
      <c r="C1612" s="59">
        <f t="shared" si="175"/>
        <v>2024</v>
      </c>
      <c r="D1612" s="59">
        <f t="shared" si="176"/>
        <v>12</v>
      </c>
      <c r="E1612" s="59">
        <f t="shared" si="177"/>
        <v>51</v>
      </c>
      <c r="F1612" s="57" t="s">
        <v>53</v>
      </c>
      <c r="G1612" s="57" t="s">
        <v>45</v>
      </c>
      <c r="H1612" s="57" t="s">
        <v>3339</v>
      </c>
      <c r="I1612" s="57" t="s">
        <v>66</v>
      </c>
      <c r="J1612" s="57" t="s">
        <v>123</v>
      </c>
      <c r="K1612" s="57" t="s">
        <v>72</v>
      </c>
      <c r="L1612" s="57" t="s">
        <v>135</v>
      </c>
      <c r="M1612" s="60">
        <v>956</v>
      </c>
      <c r="N1612" s="57" t="s">
        <v>136</v>
      </c>
      <c r="O1612" s="61">
        <v>213.71</v>
      </c>
      <c r="P1612" s="61">
        <v>204306.76</v>
      </c>
      <c r="Q1612" s="61">
        <v>12493.88</v>
      </c>
      <c r="R1612" s="62">
        <f t="shared" si="178"/>
        <v>6.1152553150957897E-2</v>
      </c>
      <c r="S1612" s="60">
        <v>7</v>
      </c>
      <c r="T1612" s="58">
        <v>45653</v>
      </c>
      <c r="U1612" s="58">
        <v>45654</v>
      </c>
      <c r="V1612" s="63">
        <f t="shared" si="179"/>
        <v>1</v>
      </c>
      <c r="W1612" s="57" t="s">
        <v>128</v>
      </c>
      <c r="X1612" s="64" t="b">
        <f t="shared" si="180"/>
        <v>0</v>
      </c>
      <c r="Y1612" s="60">
        <v>283</v>
      </c>
      <c r="Z1612" s="60">
        <v>283</v>
      </c>
      <c r="AA1612" s="57" t="s">
        <v>83</v>
      </c>
      <c r="AB1612" s="64" t="b">
        <f t="shared" si="181"/>
        <v>1</v>
      </c>
    </row>
    <row r="1613" spans="1:28" ht="15" customHeight="1" x14ac:dyDescent="0.3">
      <c r="A1613" s="65" t="s">
        <v>3340</v>
      </c>
      <c r="B1613" s="81">
        <v>45243</v>
      </c>
      <c r="C1613" s="59">
        <f t="shared" si="175"/>
        <v>2023</v>
      </c>
      <c r="D1613" s="59">
        <f t="shared" si="176"/>
        <v>11</v>
      </c>
      <c r="E1613" s="59">
        <f t="shared" si="177"/>
        <v>46</v>
      </c>
      <c r="F1613" s="65" t="s">
        <v>59</v>
      </c>
      <c r="G1613" s="65" t="s">
        <v>45</v>
      </c>
      <c r="H1613" s="65" t="s">
        <v>3341</v>
      </c>
      <c r="I1613" s="65" t="s">
        <v>65</v>
      </c>
      <c r="J1613" s="65" t="s">
        <v>123</v>
      </c>
      <c r="K1613" s="65" t="s">
        <v>73</v>
      </c>
      <c r="L1613" s="65" t="s">
        <v>113</v>
      </c>
      <c r="M1613" s="67">
        <v>367</v>
      </c>
      <c r="N1613" s="65" t="s">
        <v>140</v>
      </c>
      <c r="O1613" s="68">
        <v>189.13</v>
      </c>
      <c r="P1613" s="68">
        <v>69410.710000000006</v>
      </c>
      <c r="Q1613" s="68">
        <v>4858.49</v>
      </c>
      <c r="R1613" s="62">
        <f t="shared" si="178"/>
        <v>6.9996258502470293E-2</v>
      </c>
      <c r="S1613" s="67">
        <v>10</v>
      </c>
      <c r="T1613" s="66">
        <v>45253</v>
      </c>
      <c r="U1613" s="66">
        <v>45254</v>
      </c>
      <c r="V1613" s="63">
        <f t="shared" si="179"/>
        <v>1</v>
      </c>
      <c r="W1613" s="65" t="s">
        <v>128</v>
      </c>
      <c r="X1613" s="64" t="b">
        <f t="shared" si="180"/>
        <v>0</v>
      </c>
      <c r="Y1613" s="67">
        <v>394</v>
      </c>
      <c r="Z1613" s="67">
        <v>31</v>
      </c>
      <c r="AA1613" s="65" t="s">
        <v>84</v>
      </c>
      <c r="AB1613" s="64" t="b">
        <f t="shared" si="181"/>
        <v>1</v>
      </c>
    </row>
    <row r="1614" spans="1:28" ht="15" customHeight="1" x14ac:dyDescent="0.3">
      <c r="A1614" s="57" t="s">
        <v>3342</v>
      </c>
      <c r="B1614" s="82">
        <v>45274</v>
      </c>
      <c r="C1614" s="59">
        <f t="shared" si="175"/>
        <v>2023</v>
      </c>
      <c r="D1614" s="59">
        <f t="shared" si="176"/>
        <v>12</v>
      </c>
      <c r="E1614" s="59">
        <f t="shared" si="177"/>
        <v>50</v>
      </c>
      <c r="F1614" s="57" t="s">
        <v>61</v>
      </c>
      <c r="G1614" s="57" t="s">
        <v>43</v>
      </c>
      <c r="H1614" s="57" t="s">
        <v>3343</v>
      </c>
      <c r="I1614" s="57" t="s">
        <v>68</v>
      </c>
      <c r="J1614" s="57" t="s">
        <v>151</v>
      </c>
      <c r="K1614" s="57" t="s">
        <v>72</v>
      </c>
      <c r="L1614" s="57" t="s">
        <v>124</v>
      </c>
      <c r="M1614" s="60">
        <v>627</v>
      </c>
      <c r="N1614" s="57" t="s">
        <v>120</v>
      </c>
      <c r="O1614" s="61">
        <v>145.63</v>
      </c>
      <c r="P1614" s="61">
        <v>91310.01</v>
      </c>
      <c r="Q1614" s="61">
        <v>3195.63</v>
      </c>
      <c r="R1614" s="62">
        <f t="shared" si="178"/>
        <v>3.4997586792510485E-2</v>
      </c>
      <c r="S1614" s="60">
        <v>7</v>
      </c>
      <c r="T1614" s="58">
        <v>45281</v>
      </c>
      <c r="U1614" s="58">
        <v>45280</v>
      </c>
      <c r="V1614" s="63">
        <f t="shared" si="179"/>
        <v>-1</v>
      </c>
      <c r="W1614" s="57" t="s">
        <v>115</v>
      </c>
      <c r="X1614" s="64" t="b">
        <f t="shared" si="180"/>
        <v>1</v>
      </c>
      <c r="Y1614" s="60">
        <v>115</v>
      </c>
      <c r="Z1614" s="60">
        <v>242</v>
      </c>
      <c r="AA1614" s="57" t="s">
        <v>84</v>
      </c>
      <c r="AB1614" s="64" t="b">
        <f t="shared" si="181"/>
        <v>1</v>
      </c>
    </row>
    <row r="1615" spans="1:28" ht="15" customHeight="1" x14ac:dyDescent="0.3">
      <c r="A1615" s="65" t="s">
        <v>3344</v>
      </c>
      <c r="B1615" s="81">
        <v>45286</v>
      </c>
      <c r="C1615" s="59">
        <f t="shared" si="175"/>
        <v>2023</v>
      </c>
      <c r="D1615" s="59">
        <f t="shared" si="176"/>
        <v>12</v>
      </c>
      <c r="E1615" s="59">
        <f t="shared" si="177"/>
        <v>52</v>
      </c>
      <c r="F1615" s="65" t="s">
        <v>54</v>
      </c>
      <c r="G1615" s="65" t="s">
        <v>39</v>
      </c>
      <c r="H1615" s="65" t="s">
        <v>3345</v>
      </c>
      <c r="I1615" s="65" t="s">
        <v>68</v>
      </c>
      <c r="J1615" s="65" t="s">
        <v>139</v>
      </c>
      <c r="K1615" s="65" t="s">
        <v>73</v>
      </c>
      <c r="L1615" s="65" t="s">
        <v>119</v>
      </c>
      <c r="M1615" s="67">
        <v>516</v>
      </c>
      <c r="N1615" s="65" t="s">
        <v>114</v>
      </c>
      <c r="O1615" s="68">
        <v>1437.77</v>
      </c>
      <c r="P1615" s="68">
        <v>741889.32</v>
      </c>
      <c r="Q1615" s="68">
        <v>41969.95</v>
      </c>
      <c r="R1615" s="62">
        <f t="shared" si="178"/>
        <v>5.657171341946262E-2</v>
      </c>
      <c r="S1615" s="67">
        <v>1</v>
      </c>
      <c r="T1615" s="66">
        <v>45287</v>
      </c>
      <c r="U1615" s="66">
        <v>45287</v>
      </c>
      <c r="V1615" s="63">
        <f t="shared" si="179"/>
        <v>0</v>
      </c>
      <c r="W1615" s="65" t="s">
        <v>115</v>
      </c>
      <c r="X1615" s="64" t="b">
        <f t="shared" si="180"/>
        <v>1</v>
      </c>
      <c r="Y1615" s="67">
        <v>95</v>
      </c>
      <c r="Z1615" s="67">
        <v>40</v>
      </c>
      <c r="AA1615" s="65" t="s">
        <v>116</v>
      </c>
      <c r="AB1615" s="64" t="b">
        <f t="shared" si="181"/>
        <v>0</v>
      </c>
    </row>
    <row r="1616" spans="1:28" ht="15" customHeight="1" x14ac:dyDescent="0.3">
      <c r="A1616" s="57" t="s">
        <v>3346</v>
      </c>
      <c r="B1616" s="82">
        <v>44933</v>
      </c>
      <c r="C1616" s="59">
        <f t="shared" si="175"/>
        <v>2023</v>
      </c>
      <c r="D1616" s="59">
        <f t="shared" si="176"/>
        <v>1</v>
      </c>
      <c r="E1616" s="59">
        <f t="shared" si="177"/>
        <v>1</v>
      </c>
      <c r="F1616" s="57" t="s">
        <v>56</v>
      </c>
      <c r="G1616" s="57" t="s">
        <v>41</v>
      </c>
      <c r="H1616" s="57" t="s">
        <v>3347</v>
      </c>
      <c r="I1616" s="57" t="s">
        <v>68</v>
      </c>
      <c r="J1616" s="57" t="s">
        <v>123</v>
      </c>
      <c r="K1616" s="57" t="s">
        <v>73</v>
      </c>
      <c r="L1616" s="57" t="s">
        <v>135</v>
      </c>
      <c r="M1616" s="60">
        <v>568</v>
      </c>
      <c r="N1616" s="57" t="s">
        <v>136</v>
      </c>
      <c r="O1616" s="61">
        <v>567.64</v>
      </c>
      <c r="P1616" s="61">
        <v>322419.52</v>
      </c>
      <c r="Q1616" s="61">
        <v>17769.080000000002</v>
      </c>
      <c r="R1616" s="62">
        <f t="shared" si="178"/>
        <v>5.5111675620632398E-2</v>
      </c>
      <c r="S1616" s="60">
        <v>23</v>
      </c>
      <c r="T1616" s="58">
        <v>44956</v>
      </c>
      <c r="U1616" s="58">
        <v>44961</v>
      </c>
      <c r="V1616" s="63">
        <f t="shared" si="179"/>
        <v>5</v>
      </c>
      <c r="W1616" s="57" t="s">
        <v>125</v>
      </c>
      <c r="X1616" s="64" t="b">
        <f t="shared" si="180"/>
        <v>0</v>
      </c>
      <c r="Y1616" s="60">
        <v>330</v>
      </c>
      <c r="Z1616" s="60">
        <v>291</v>
      </c>
      <c r="AA1616" s="57" t="s">
        <v>83</v>
      </c>
      <c r="AB1616" s="64" t="b">
        <f t="shared" si="181"/>
        <v>1</v>
      </c>
    </row>
    <row r="1617" spans="1:28" ht="15" customHeight="1" x14ac:dyDescent="0.3">
      <c r="A1617" s="65" t="s">
        <v>3348</v>
      </c>
      <c r="B1617" s="81">
        <v>45112</v>
      </c>
      <c r="C1617" s="59">
        <f t="shared" si="175"/>
        <v>2023</v>
      </c>
      <c r="D1617" s="59">
        <f t="shared" si="176"/>
        <v>7</v>
      </c>
      <c r="E1617" s="59">
        <f t="shared" si="177"/>
        <v>27</v>
      </c>
      <c r="F1617" s="65" t="s">
        <v>58</v>
      </c>
      <c r="G1617" s="65" t="s">
        <v>40</v>
      </c>
      <c r="H1617" s="65" t="s">
        <v>3349</v>
      </c>
      <c r="I1617" s="65" t="s">
        <v>69</v>
      </c>
      <c r="J1617" s="65" t="s">
        <v>123</v>
      </c>
      <c r="K1617" s="65" t="s">
        <v>72</v>
      </c>
      <c r="L1617" s="65" t="s">
        <v>124</v>
      </c>
      <c r="M1617" s="67">
        <v>190</v>
      </c>
      <c r="N1617" s="65" t="s">
        <v>114</v>
      </c>
      <c r="O1617" s="68">
        <v>913.1</v>
      </c>
      <c r="P1617" s="68">
        <v>173489</v>
      </c>
      <c r="Q1617" s="68">
        <v>7318.51</v>
      </c>
      <c r="R1617" s="62">
        <f t="shared" si="178"/>
        <v>4.2184288341047559E-2</v>
      </c>
      <c r="S1617" s="67">
        <v>21</v>
      </c>
      <c r="T1617" s="66">
        <v>45133</v>
      </c>
      <c r="U1617" s="66">
        <v>45136</v>
      </c>
      <c r="V1617" s="63">
        <f t="shared" si="179"/>
        <v>3</v>
      </c>
      <c r="W1617" s="65" t="s">
        <v>125</v>
      </c>
      <c r="X1617" s="64" t="b">
        <f t="shared" si="180"/>
        <v>0</v>
      </c>
      <c r="Y1617" s="67">
        <v>343</v>
      </c>
      <c r="Z1617" s="67">
        <v>102</v>
      </c>
      <c r="AA1617" s="65" t="s">
        <v>116</v>
      </c>
      <c r="AB1617" s="64" t="b">
        <f t="shared" si="181"/>
        <v>0</v>
      </c>
    </row>
    <row r="1618" spans="1:28" ht="15" customHeight="1" x14ac:dyDescent="0.3">
      <c r="A1618" s="57" t="s">
        <v>3350</v>
      </c>
      <c r="B1618" s="82">
        <v>45073</v>
      </c>
      <c r="C1618" s="59">
        <f t="shared" si="175"/>
        <v>2023</v>
      </c>
      <c r="D1618" s="59">
        <f t="shared" si="176"/>
        <v>5</v>
      </c>
      <c r="E1618" s="59">
        <f t="shared" si="177"/>
        <v>21</v>
      </c>
      <c r="F1618" s="57" t="s">
        <v>55</v>
      </c>
      <c r="G1618" s="57" t="s">
        <v>41</v>
      </c>
      <c r="H1618" s="57" t="s">
        <v>3351</v>
      </c>
      <c r="I1618" s="57" t="s">
        <v>67</v>
      </c>
      <c r="J1618" s="57" t="s">
        <v>123</v>
      </c>
      <c r="K1618" s="57" t="s">
        <v>71</v>
      </c>
      <c r="L1618" s="57" t="s">
        <v>113</v>
      </c>
      <c r="M1618" s="60">
        <v>585</v>
      </c>
      <c r="N1618" s="57" t="s">
        <v>132</v>
      </c>
      <c r="O1618" s="61">
        <v>492.62</v>
      </c>
      <c r="P1618" s="61">
        <v>288182.7</v>
      </c>
      <c r="Q1618" s="61">
        <v>14168.06</v>
      </c>
      <c r="R1618" s="62">
        <f t="shared" si="178"/>
        <v>4.9163464704855629E-2</v>
      </c>
      <c r="S1618" s="60">
        <v>19</v>
      </c>
      <c r="T1618" s="58">
        <v>45092</v>
      </c>
      <c r="U1618" s="58">
        <v>45092</v>
      </c>
      <c r="V1618" s="63">
        <f t="shared" si="179"/>
        <v>0</v>
      </c>
      <c r="W1618" s="57" t="s">
        <v>115</v>
      </c>
      <c r="X1618" s="64" t="b">
        <f t="shared" si="180"/>
        <v>1</v>
      </c>
      <c r="Y1618" s="60">
        <v>55</v>
      </c>
      <c r="Z1618" s="60">
        <v>291</v>
      </c>
      <c r="AA1618" s="57" t="s">
        <v>82</v>
      </c>
      <c r="AB1618" s="64" t="b">
        <f t="shared" si="181"/>
        <v>1</v>
      </c>
    </row>
    <row r="1619" spans="1:28" ht="15" customHeight="1" x14ac:dyDescent="0.3">
      <c r="A1619" s="65" t="s">
        <v>3352</v>
      </c>
      <c r="B1619" s="81">
        <v>45506</v>
      </c>
      <c r="C1619" s="59">
        <f t="shared" si="175"/>
        <v>2024</v>
      </c>
      <c r="D1619" s="59">
        <f t="shared" si="176"/>
        <v>8</v>
      </c>
      <c r="E1619" s="59">
        <f t="shared" si="177"/>
        <v>31</v>
      </c>
      <c r="F1619" s="65" t="s">
        <v>59</v>
      </c>
      <c r="G1619" s="65" t="s">
        <v>44</v>
      </c>
      <c r="H1619" s="65" t="s">
        <v>3353</v>
      </c>
      <c r="I1619" s="65" t="s">
        <v>66</v>
      </c>
      <c r="J1619" s="65" t="s">
        <v>151</v>
      </c>
      <c r="K1619" s="65" t="s">
        <v>75</v>
      </c>
      <c r="L1619" s="65" t="s">
        <v>124</v>
      </c>
      <c r="M1619" s="67">
        <v>255</v>
      </c>
      <c r="N1619" s="65" t="s">
        <v>120</v>
      </c>
      <c r="O1619" s="68">
        <v>126.94</v>
      </c>
      <c r="P1619" s="68">
        <v>32369.7</v>
      </c>
      <c r="Q1619" s="68">
        <v>1256.82</v>
      </c>
      <c r="R1619" s="62">
        <f t="shared" si="178"/>
        <v>3.8827051223829692E-2</v>
      </c>
      <c r="S1619" s="67">
        <v>16</v>
      </c>
      <c r="T1619" s="66">
        <v>45522</v>
      </c>
      <c r="U1619" s="66">
        <v>45522</v>
      </c>
      <c r="V1619" s="63">
        <f t="shared" si="179"/>
        <v>0</v>
      </c>
      <c r="W1619" s="65" t="s">
        <v>115</v>
      </c>
      <c r="X1619" s="64" t="b">
        <f t="shared" si="180"/>
        <v>1</v>
      </c>
      <c r="Y1619" s="67">
        <v>206</v>
      </c>
      <c r="Z1619" s="67">
        <v>106</v>
      </c>
      <c r="AA1619" s="65" t="s">
        <v>116</v>
      </c>
      <c r="AB1619" s="64" t="b">
        <f t="shared" si="181"/>
        <v>0</v>
      </c>
    </row>
    <row r="1620" spans="1:28" ht="15" customHeight="1" x14ac:dyDescent="0.3">
      <c r="A1620" s="57" t="s">
        <v>3354</v>
      </c>
      <c r="B1620" s="82">
        <v>45600</v>
      </c>
      <c r="C1620" s="59">
        <f t="shared" si="175"/>
        <v>2024</v>
      </c>
      <c r="D1620" s="59">
        <f t="shared" si="176"/>
        <v>11</v>
      </c>
      <c r="E1620" s="59">
        <f t="shared" si="177"/>
        <v>45</v>
      </c>
      <c r="F1620" s="57" t="s">
        <v>56</v>
      </c>
      <c r="G1620" s="57" t="s">
        <v>41</v>
      </c>
      <c r="H1620" s="57" t="s">
        <v>3355</v>
      </c>
      <c r="I1620" s="57" t="s">
        <v>65</v>
      </c>
      <c r="J1620" s="57" t="s">
        <v>151</v>
      </c>
      <c r="K1620" s="57" t="s">
        <v>75</v>
      </c>
      <c r="L1620" s="57" t="s">
        <v>146</v>
      </c>
      <c r="M1620" s="60">
        <v>253</v>
      </c>
      <c r="N1620" s="57" t="s">
        <v>136</v>
      </c>
      <c r="O1620" s="61">
        <v>736.21</v>
      </c>
      <c r="P1620" s="61">
        <v>186261.13</v>
      </c>
      <c r="Q1620" s="61">
        <v>5310.43</v>
      </c>
      <c r="R1620" s="62">
        <f t="shared" si="178"/>
        <v>2.8510672087085482E-2</v>
      </c>
      <c r="S1620" s="60">
        <v>29</v>
      </c>
      <c r="T1620" s="58">
        <v>45629</v>
      </c>
      <c r="U1620" s="58">
        <v>45628</v>
      </c>
      <c r="V1620" s="63">
        <f t="shared" si="179"/>
        <v>-1</v>
      </c>
      <c r="W1620" s="57" t="s">
        <v>115</v>
      </c>
      <c r="X1620" s="64" t="b">
        <f t="shared" si="180"/>
        <v>1</v>
      </c>
      <c r="Y1620" s="60">
        <v>104</v>
      </c>
      <c r="Z1620" s="60">
        <v>245</v>
      </c>
      <c r="AA1620" s="57" t="s">
        <v>82</v>
      </c>
      <c r="AB1620" s="64" t="b">
        <f t="shared" si="181"/>
        <v>1</v>
      </c>
    </row>
    <row r="1621" spans="1:28" ht="15" customHeight="1" x14ac:dyDescent="0.3">
      <c r="A1621" s="65" t="s">
        <v>3356</v>
      </c>
      <c r="B1621" s="81">
        <v>45337</v>
      </c>
      <c r="C1621" s="59">
        <f t="shared" si="175"/>
        <v>2024</v>
      </c>
      <c r="D1621" s="59">
        <f t="shared" si="176"/>
        <v>2</v>
      </c>
      <c r="E1621" s="59">
        <f t="shared" si="177"/>
        <v>7</v>
      </c>
      <c r="F1621" s="65" t="s">
        <v>55</v>
      </c>
      <c r="G1621" s="65" t="s">
        <v>43</v>
      </c>
      <c r="H1621" s="65" t="s">
        <v>3357</v>
      </c>
      <c r="I1621" s="65" t="s">
        <v>69</v>
      </c>
      <c r="J1621" s="65" t="s">
        <v>139</v>
      </c>
      <c r="K1621" s="65" t="s">
        <v>75</v>
      </c>
      <c r="L1621" s="65" t="s">
        <v>119</v>
      </c>
      <c r="M1621" s="67">
        <v>515</v>
      </c>
      <c r="N1621" s="65" t="s">
        <v>132</v>
      </c>
      <c r="O1621" s="68">
        <v>200.38</v>
      </c>
      <c r="P1621" s="68">
        <v>103195.7</v>
      </c>
      <c r="Q1621" s="68">
        <v>3387.72</v>
      </c>
      <c r="R1621" s="62">
        <f t="shared" si="178"/>
        <v>3.2828112024047514E-2</v>
      </c>
      <c r="S1621" s="67">
        <v>19</v>
      </c>
      <c r="T1621" s="66">
        <v>45356</v>
      </c>
      <c r="U1621" s="66">
        <v>45359</v>
      </c>
      <c r="V1621" s="63">
        <f t="shared" si="179"/>
        <v>3</v>
      </c>
      <c r="W1621" s="65" t="s">
        <v>125</v>
      </c>
      <c r="X1621" s="64" t="b">
        <f t="shared" si="180"/>
        <v>0</v>
      </c>
      <c r="Y1621" s="67">
        <v>34</v>
      </c>
      <c r="Z1621" s="67">
        <v>381</v>
      </c>
      <c r="AA1621" s="65" t="s">
        <v>82</v>
      </c>
      <c r="AB1621" s="64" t="b">
        <f t="shared" si="181"/>
        <v>1</v>
      </c>
    </row>
    <row r="1622" spans="1:28" ht="15" customHeight="1" x14ac:dyDescent="0.3">
      <c r="A1622" s="57" t="s">
        <v>3358</v>
      </c>
      <c r="B1622" s="82">
        <v>44998</v>
      </c>
      <c r="C1622" s="59">
        <f t="shared" si="175"/>
        <v>2023</v>
      </c>
      <c r="D1622" s="59">
        <f t="shared" si="176"/>
        <v>3</v>
      </c>
      <c r="E1622" s="59">
        <f t="shared" si="177"/>
        <v>11</v>
      </c>
      <c r="F1622" s="57" t="s">
        <v>54</v>
      </c>
      <c r="G1622" s="57" t="s">
        <v>43</v>
      </c>
      <c r="H1622" s="57" t="s">
        <v>3359</v>
      </c>
      <c r="I1622" s="57" t="s">
        <v>64</v>
      </c>
      <c r="J1622" s="57" t="s">
        <v>112</v>
      </c>
      <c r="K1622" s="57" t="s">
        <v>73</v>
      </c>
      <c r="L1622" s="57" t="s">
        <v>119</v>
      </c>
      <c r="M1622" s="60">
        <v>431</v>
      </c>
      <c r="N1622" s="57" t="s">
        <v>136</v>
      </c>
      <c r="O1622" s="61">
        <v>181.32</v>
      </c>
      <c r="P1622" s="61">
        <v>78148.92</v>
      </c>
      <c r="Q1622" s="61">
        <v>2057.73</v>
      </c>
      <c r="R1622" s="62">
        <f t="shared" si="178"/>
        <v>2.6330882115837301E-2</v>
      </c>
      <c r="S1622" s="60">
        <v>4</v>
      </c>
      <c r="T1622" s="58">
        <v>45002</v>
      </c>
      <c r="U1622" s="58">
        <v>45002</v>
      </c>
      <c r="V1622" s="63">
        <f t="shared" si="179"/>
        <v>0</v>
      </c>
      <c r="W1622" s="57" t="s">
        <v>115</v>
      </c>
      <c r="X1622" s="64" t="b">
        <f t="shared" si="180"/>
        <v>1</v>
      </c>
      <c r="Y1622" s="60">
        <v>208</v>
      </c>
      <c r="Z1622" s="60">
        <v>86</v>
      </c>
      <c r="AA1622" s="57" t="s">
        <v>116</v>
      </c>
      <c r="AB1622" s="64" t="b">
        <f t="shared" si="181"/>
        <v>0</v>
      </c>
    </row>
    <row r="1623" spans="1:28" ht="15" customHeight="1" x14ac:dyDescent="0.3">
      <c r="A1623" s="65" t="s">
        <v>3360</v>
      </c>
      <c r="B1623" s="81">
        <v>45072</v>
      </c>
      <c r="C1623" s="59">
        <f t="shared" si="175"/>
        <v>2023</v>
      </c>
      <c r="D1623" s="59">
        <f t="shared" si="176"/>
        <v>5</v>
      </c>
      <c r="E1623" s="59">
        <f t="shared" si="177"/>
        <v>21</v>
      </c>
      <c r="F1623" s="65" t="s">
        <v>57</v>
      </c>
      <c r="G1623" s="65" t="s">
        <v>42</v>
      </c>
      <c r="H1623" s="65" t="s">
        <v>3361</v>
      </c>
      <c r="I1623" s="65" t="s">
        <v>65</v>
      </c>
      <c r="J1623" s="65" t="s">
        <v>139</v>
      </c>
      <c r="K1623" s="65" t="s">
        <v>75</v>
      </c>
      <c r="L1623" s="65" t="s">
        <v>124</v>
      </c>
      <c r="M1623" s="67">
        <v>329</v>
      </c>
      <c r="N1623" s="65" t="s">
        <v>140</v>
      </c>
      <c r="O1623" s="68">
        <v>71.58</v>
      </c>
      <c r="P1623" s="68">
        <v>23549.82</v>
      </c>
      <c r="Q1623" s="68">
        <v>1436.17</v>
      </c>
      <c r="R1623" s="62">
        <f t="shared" si="178"/>
        <v>6.0984330241165327E-2</v>
      </c>
      <c r="S1623" s="67">
        <v>29</v>
      </c>
      <c r="T1623" s="66">
        <v>45101</v>
      </c>
      <c r="U1623" s="66">
        <v>45101</v>
      </c>
      <c r="V1623" s="63">
        <f t="shared" si="179"/>
        <v>0</v>
      </c>
      <c r="W1623" s="65" t="s">
        <v>115</v>
      </c>
      <c r="X1623" s="64" t="b">
        <f t="shared" si="180"/>
        <v>1</v>
      </c>
      <c r="Y1623" s="67">
        <v>280</v>
      </c>
      <c r="Z1623" s="67">
        <v>65</v>
      </c>
      <c r="AA1623" s="65" t="s">
        <v>83</v>
      </c>
      <c r="AB1623" s="64" t="b">
        <f t="shared" si="181"/>
        <v>1</v>
      </c>
    </row>
    <row r="1624" spans="1:28" ht="15" customHeight="1" x14ac:dyDescent="0.3">
      <c r="A1624" s="57" t="s">
        <v>3362</v>
      </c>
      <c r="B1624" s="82">
        <v>45575</v>
      </c>
      <c r="C1624" s="59">
        <f t="shared" si="175"/>
        <v>2024</v>
      </c>
      <c r="D1624" s="59">
        <f t="shared" si="176"/>
        <v>10</v>
      </c>
      <c r="E1624" s="59">
        <f t="shared" si="177"/>
        <v>41</v>
      </c>
      <c r="F1624" s="57" t="s">
        <v>53</v>
      </c>
      <c r="G1624" s="57" t="s">
        <v>45</v>
      </c>
      <c r="H1624" s="57" t="s">
        <v>3363</v>
      </c>
      <c r="I1624" s="57" t="s">
        <v>68</v>
      </c>
      <c r="J1624" s="57" t="s">
        <v>123</v>
      </c>
      <c r="K1624" s="57" t="s">
        <v>73</v>
      </c>
      <c r="L1624" s="57" t="s">
        <v>156</v>
      </c>
      <c r="M1624" s="60">
        <v>96</v>
      </c>
      <c r="N1624" s="57" t="s">
        <v>163</v>
      </c>
      <c r="O1624" s="61">
        <v>213.24</v>
      </c>
      <c r="P1624" s="61">
        <v>20471.04</v>
      </c>
      <c r="Q1624" s="61">
        <v>1220.97</v>
      </c>
      <c r="R1624" s="62">
        <f t="shared" si="178"/>
        <v>5.9643769930594635E-2</v>
      </c>
      <c r="S1624" s="60">
        <v>28</v>
      </c>
      <c r="T1624" s="58">
        <v>45603</v>
      </c>
      <c r="U1624" s="58">
        <v>45603</v>
      </c>
      <c r="V1624" s="63">
        <f t="shared" si="179"/>
        <v>0</v>
      </c>
      <c r="W1624" s="57" t="s">
        <v>115</v>
      </c>
      <c r="X1624" s="64" t="b">
        <f t="shared" si="180"/>
        <v>1</v>
      </c>
      <c r="Y1624" s="60">
        <v>368</v>
      </c>
      <c r="Z1624" s="60">
        <v>137</v>
      </c>
      <c r="AA1624" s="57" t="s">
        <v>82</v>
      </c>
      <c r="AB1624" s="64" t="b">
        <f t="shared" si="181"/>
        <v>1</v>
      </c>
    </row>
    <row r="1625" spans="1:28" ht="15" customHeight="1" x14ac:dyDescent="0.3">
      <c r="A1625" s="65" t="s">
        <v>3364</v>
      </c>
      <c r="B1625" s="81">
        <v>44958</v>
      </c>
      <c r="C1625" s="59">
        <f t="shared" si="175"/>
        <v>2023</v>
      </c>
      <c r="D1625" s="59">
        <f t="shared" si="176"/>
        <v>2</v>
      </c>
      <c r="E1625" s="59">
        <f t="shared" si="177"/>
        <v>5</v>
      </c>
      <c r="F1625" s="65" t="s">
        <v>54</v>
      </c>
      <c r="G1625" s="65" t="s">
        <v>40</v>
      </c>
      <c r="H1625" s="65" t="s">
        <v>3365</v>
      </c>
      <c r="I1625" s="65" t="s">
        <v>65</v>
      </c>
      <c r="J1625" s="65" t="s">
        <v>143</v>
      </c>
      <c r="K1625" s="65" t="s">
        <v>71</v>
      </c>
      <c r="L1625" s="65" t="s">
        <v>119</v>
      </c>
      <c r="M1625" s="67">
        <v>226</v>
      </c>
      <c r="N1625" s="65" t="s">
        <v>114</v>
      </c>
      <c r="O1625" s="68">
        <v>1046.0899999999999</v>
      </c>
      <c r="P1625" s="68">
        <v>236416.34</v>
      </c>
      <c r="Q1625" s="68">
        <v>18212.66</v>
      </c>
      <c r="R1625" s="62">
        <f t="shared" si="178"/>
        <v>7.703638420254709E-2</v>
      </c>
      <c r="S1625" s="67">
        <v>18</v>
      </c>
      <c r="T1625" s="66">
        <v>44976</v>
      </c>
      <c r="U1625" s="66">
        <v>44976</v>
      </c>
      <c r="V1625" s="63">
        <f t="shared" si="179"/>
        <v>0</v>
      </c>
      <c r="W1625" s="65" t="s">
        <v>115</v>
      </c>
      <c r="X1625" s="64" t="b">
        <f t="shared" si="180"/>
        <v>1</v>
      </c>
      <c r="Y1625" s="67">
        <v>354</v>
      </c>
      <c r="Z1625" s="67">
        <v>325</v>
      </c>
      <c r="AA1625" s="65" t="s">
        <v>82</v>
      </c>
      <c r="AB1625" s="64" t="b">
        <f t="shared" si="181"/>
        <v>1</v>
      </c>
    </row>
    <row r="1626" spans="1:28" ht="15" customHeight="1" x14ac:dyDescent="0.3">
      <c r="A1626" s="57" t="s">
        <v>3366</v>
      </c>
      <c r="B1626" s="82">
        <v>45020</v>
      </c>
      <c r="C1626" s="59">
        <f t="shared" si="175"/>
        <v>2023</v>
      </c>
      <c r="D1626" s="59">
        <f t="shared" si="176"/>
        <v>4</v>
      </c>
      <c r="E1626" s="59">
        <f t="shared" si="177"/>
        <v>14</v>
      </c>
      <c r="F1626" s="57" t="s">
        <v>61</v>
      </c>
      <c r="G1626" s="57" t="s">
        <v>42</v>
      </c>
      <c r="H1626" s="57" t="s">
        <v>3367</v>
      </c>
      <c r="I1626" s="57" t="s">
        <v>65</v>
      </c>
      <c r="J1626" s="57" t="s">
        <v>123</v>
      </c>
      <c r="K1626" s="57" t="s">
        <v>72</v>
      </c>
      <c r="L1626" s="57" t="s">
        <v>146</v>
      </c>
      <c r="M1626" s="60">
        <v>499</v>
      </c>
      <c r="N1626" s="57" t="s">
        <v>136</v>
      </c>
      <c r="O1626" s="61">
        <v>69.180000000000007</v>
      </c>
      <c r="P1626" s="61">
        <v>34520.82</v>
      </c>
      <c r="Q1626" s="61">
        <v>2201.7600000000002</v>
      </c>
      <c r="R1626" s="62">
        <f t="shared" si="178"/>
        <v>6.3780640204954581E-2</v>
      </c>
      <c r="S1626" s="60">
        <v>2</v>
      </c>
      <c r="T1626" s="58">
        <v>45022</v>
      </c>
      <c r="U1626" s="58">
        <v>45034</v>
      </c>
      <c r="V1626" s="63">
        <f t="shared" si="179"/>
        <v>12</v>
      </c>
      <c r="W1626" s="57" t="s">
        <v>125</v>
      </c>
      <c r="X1626" s="64" t="b">
        <f t="shared" si="180"/>
        <v>0</v>
      </c>
      <c r="Y1626" s="60">
        <v>146</v>
      </c>
      <c r="Z1626" s="60">
        <v>199</v>
      </c>
      <c r="AA1626" s="57" t="s">
        <v>82</v>
      </c>
      <c r="AB1626" s="64" t="b">
        <f t="shared" si="181"/>
        <v>1</v>
      </c>
    </row>
    <row r="1627" spans="1:28" ht="15" customHeight="1" x14ac:dyDescent="0.3">
      <c r="A1627" s="65" t="s">
        <v>3368</v>
      </c>
      <c r="B1627" s="81">
        <v>45470</v>
      </c>
      <c r="C1627" s="59">
        <f t="shared" si="175"/>
        <v>2024</v>
      </c>
      <c r="D1627" s="59">
        <f t="shared" si="176"/>
        <v>6</v>
      </c>
      <c r="E1627" s="59">
        <f t="shared" si="177"/>
        <v>26</v>
      </c>
      <c r="F1627" s="65" t="s">
        <v>52</v>
      </c>
      <c r="G1627" s="65" t="s">
        <v>41</v>
      </c>
      <c r="H1627" s="65" t="s">
        <v>3369</v>
      </c>
      <c r="I1627" s="65" t="s">
        <v>64</v>
      </c>
      <c r="J1627" s="65" t="s">
        <v>131</v>
      </c>
      <c r="K1627" s="65" t="s">
        <v>72</v>
      </c>
      <c r="L1627" s="65" t="s">
        <v>119</v>
      </c>
      <c r="M1627" s="67">
        <v>528</v>
      </c>
      <c r="N1627" s="65" t="s">
        <v>120</v>
      </c>
      <c r="O1627" s="68">
        <v>633.72</v>
      </c>
      <c r="P1627" s="68">
        <v>334604.15999999997</v>
      </c>
      <c r="Q1627" s="68">
        <v>7736.97</v>
      </c>
      <c r="R1627" s="62">
        <f t="shared" si="178"/>
        <v>2.3122754959173254E-2</v>
      </c>
      <c r="S1627" s="67">
        <v>1</v>
      </c>
      <c r="T1627" s="66">
        <v>45471</v>
      </c>
      <c r="U1627" s="66">
        <v>45471</v>
      </c>
      <c r="V1627" s="63">
        <f t="shared" si="179"/>
        <v>0</v>
      </c>
      <c r="W1627" s="65" t="s">
        <v>115</v>
      </c>
      <c r="X1627" s="64" t="b">
        <f t="shared" si="180"/>
        <v>1</v>
      </c>
      <c r="Y1627" s="67">
        <v>488</v>
      </c>
      <c r="Z1627" s="67">
        <v>334</v>
      </c>
      <c r="AA1627" s="65" t="s">
        <v>116</v>
      </c>
      <c r="AB1627" s="64" t="b">
        <f t="shared" si="181"/>
        <v>0</v>
      </c>
    </row>
    <row r="1628" spans="1:28" ht="15" customHeight="1" x14ac:dyDescent="0.3">
      <c r="A1628" s="57" t="s">
        <v>3370</v>
      </c>
      <c r="B1628" s="82">
        <v>45147</v>
      </c>
      <c r="C1628" s="59">
        <f t="shared" si="175"/>
        <v>2023</v>
      </c>
      <c r="D1628" s="59">
        <f t="shared" si="176"/>
        <v>8</v>
      </c>
      <c r="E1628" s="59">
        <f t="shared" si="177"/>
        <v>32</v>
      </c>
      <c r="F1628" s="57" t="s">
        <v>57</v>
      </c>
      <c r="G1628" s="57" t="s">
        <v>39</v>
      </c>
      <c r="H1628" s="57" t="s">
        <v>3371</v>
      </c>
      <c r="I1628" s="57" t="s">
        <v>67</v>
      </c>
      <c r="J1628" s="57" t="s">
        <v>143</v>
      </c>
      <c r="K1628" s="57" t="s">
        <v>73</v>
      </c>
      <c r="L1628" s="57" t="s">
        <v>156</v>
      </c>
      <c r="M1628" s="60">
        <v>287</v>
      </c>
      <c r="N1628" s="57" t="s">
        <v>136</v>
      </c>
      <c r="O1628" s="61">
        <v>1075.3800000000001</v>
      </c>
      <c r="P1628" s="61">
        <v>308634.06</v>
      </c>
      <c r="Q1628" s="61">
        <v>22547.17</v>
      </c>
      <c r="R1628" s="62">
        <f t="shared" si="178"/>
        <v>7.3054704331725409E-2</v>
      </c>
      <c r="S1628" s="60">
        <v>15</v>
      </c>
      <c r="T1628" s="58">
        <v>45162</v>
      </c>
      <c r="U1628" s="58">
        <v>45163</v>
      </c>
      <c r="V1628" s="63">
        <f t="shared" si="179"/>
        <v>1</v>
      </c>
      <c r="W1628" s="57" t="s">
        <v>128</v>
      </c>
      <c r="X1628" s="64" t="b">
        <f t="shared" si="180"/>
        <v>0</v>
      </c>
      <c r="Y1628" s="60">
        <v>286</v>
      </c>
      <c r="Z1628" s="60">
        <v>492</v>
      </c>
      <c r="AA1628" s="57" t="s">
        <v>116</v>
      </c>
      <c r="AB1628" s="64" t="b">
        <f t="shared" si="181"/>
        <v>0</v>
      </c>
    </row>
    <row r="1629" spans="1:28" ht="15" customHeight="1" x14ac:dyDescent="0.3">
      <c r="A1629" s="65" t="s">
        <v>3372</v>
      </c>
      <c r="B1629" s="81">
        <v>45312</v>
      </c>
      <c r="C1629" s="59">
        <f t="shared" si="175"/>
        <v>2024</v>
      </c>
      <c r="D1629" s="59">
        <f t="shared" si="176"/>
        <v>1</v>
      </c>
      <c r="E1629" s="59">
        <f t="shared" si="177"/>
        <v>4</v>
      </c>
      <c r="F1629" s="65" t="s">
        <v>61</v>
      </c>
      <c r="G1629" s="65" t="s">
        <v>42</v>
      </c>
      <c r="H1629" s="65" t="s">
        <v>3373</v>
      </c>
      <c r="I1629" s="65" t="s">
        <v>66</v>
      </c>
      <c r="J1629" s="65" t="s">
        <v>143</v>
      </c>
      <c r="K1629" s="65" t="s">
        <v>73</v>
      </c>
      <c r="L1629" s="65" t="s">
        <v>119</v>
      </c>
      <c r="M1629" s="67">
        <v>858</v>
      </c>
      <c r="N1629" s="65" t="s">
        <v>136</v>
      </c>
      <c r="O1629" s="68">
        <v>82.81</v>
      </c>
      <c r="P1629" s="68">
        <v>71050.98</v>
      </c>
      <c r="Q1629" s="68">
        <v>5098.6499999999996</v>
      </c>
      <c r="R1629" s="62">
        <f t="shared" si="178"/>
        <v>7.1760445809473702E-2</v>
      </c>
      <c r="S1629" s="67">
        <v>5</v>
      </c>
      <c r="T1629" s="66">
        <v>45317</v>
      </c>
      <c r="U1629" s="66">
        <v>45320</v>
      </c>
      <c r="V1629" s="63">
        <f t="shared" si="179"/>
        <v>3</v>
      </c>
      <c r="W1629" s="65" t="s">
        <v>128</v>
      </c>
      <c r="X1629" s="64" t="b">
        <f t="shared" si="180"/>
        <v>0</v>
      </c>
      <c r="Y1629" s="67">
        <v>80</v>
      </c>
      <c r="Z1629" s="67">
        <v>92</v>
      </c>
      <c r="AA1629" s="65" t="s">
        <v>116</v>
      </c>
      <c r="AB1629" s="64" t="b">
        <f t="shared" si="181"/>
        <v>0</v>
      </c>
    </row>
    <row r="1630" spans="1:28" ht="15" customHeight="1" x14ac:dyDescent="0.3">
      <c r="A1630" s="57" t="s">
        <v>3374</v>
      </c>
      <c r="B1630" s="82">
        <v>45356</v>
      </c>
      <c r="C1630" s="59">
        <f t="shared" si="175"/>
        <v>2024</v>
      </c>
      <c r="D1630" s="59">
        <f t="shared" si="176"/>
        <v>3</v>
      </c>
      <c r="E1630" s="59">
        <f t="shared" si="177"/>
        <v>10</v>
      </c>
      <c r="F1630" s="57" t="s">
        <v>59</v>
      </c>
      <c r="G1630" s="57" t="s">
        <v>42</v>
      </c>
      <c r="H1630" s="57" t="s">
        <v>3375</v>
      </c>
      <c r="I1630" s="57" t="s">
        <v>68</v>
      </c>
      <c r="J1630" s="57" t="s">
        <v>139</v>
      </c>
      <c r="K1630" s="57" t="s">
        <v>71</v>
      </c>
      <c r="L1630" s="57" t="s">
        <v>119</v>
      </c>
      <c r="M1630" s="60">
        <v>731</v>
      </c>
      <c r="N1630" s="57" t="s">
        <v>136</v>
      </c>
      <c r="O1630" s="61">
        <v>105.66</v>
      </c>
      <c r="P1630" s="61">
        <v>77237.460000000006</v>
      </c>
      <c r="Q1630" s="61">
        <v>3599.21</v>
      </c>
      <c r="R1630" s="62">
        <f t="shared" si="178"/>
        <v>4.6599279675949984E-2</v>
      </c>
      <c r="S1630" s="60">
        <v>20</v>
      </c>
      <c r="T1630" s="58">
        <v>45376</v>
      </c>
      <c r="U1630" s="58">
        <v>45375</v>
      </c>
      <c r="V1630" s="63">
        <f t="shared" si="179"/>
        <v>-1</v>
      </c>
      <c r="W1630" s="57" t="s">
        <v>115</v>
      </c>
      <c r="X1630" s="64" t="b">
        <f t="shared" si="180"/>
        <v>1</v>
      </c>
      <c r="Y1630" s="60">
        <v>49</v>
      </c>
      <c r="Z1630" s="60">
        <v>446</v>
      </c>
      <c r="AA1630" s="57" t="s">
        <v>84</v>
      </c>
      <c r="AB1630" s="64" t="b">
        <f t="shared" si="181"/>
        <v>1</v>
      </c>
    </row>
    <row r="1631" spans="1:28" ht="15" customHeight="1" x14ac:dyDescent="0.3">
      <c r="A1631" s="65" t="s">
        <v>3376</v>
      </c>
      <c r="B1631" s="81">
        <v>45391</v>
      </c>
      <c r="C1631" s="59">
        <f t="shared" si="175"/>
        <v>2024</v>
      </c>
      <c r="D1631" s="59">
        <f t="shared" si="176"/>
        <v>4</v>
      </c>
      <c r="E1631" s="59">
        <f t="shared" si="177"/>
        <v>15</v>
      </c>
      <c r="F1631" s="65" t="s">
        <v>57</v>
      </c>
      <c r="G1631" s="65" t="s">
        <v>43</v>
      </c>
      <c r="H1631" s="65" t="s">
        <v>3377</v>
      </c>
      <c r="I1631" s="65" t="s">
        <v>67</v>
      </c>
      <c r="J1631" s="65" t="s">
        <v>123</v>
      </c>
      <c r="K1631" s="65" t="s">
        <v>75</v>
      </c>
      <c r="L1631" s="65" t="s">
        <v>156</v>
      </c>
      <c r="M1631" s="67">
        <v>178</v>
      </c>
      <c r="N1631" s="65" t="s">
        <v>136</v>
      </c>
      <c r="O1631" s="68">
        <v>194.2</v>
      </c>
      <c r="P1631" s="68">
        <v>34567.599999999999</v>
      </c>
      <c r="Q1631" s="68">
        <v>1906.46</v>
      </c>
      <c r="R1631" s="62">
        <f t="shared" si="178"/>
        <v>5.5151644892905499E-2</v>
      </c>
      <c r="S1631" s="67">
        <v>11</v>
      </c>
      <c r="T1631" s="66">
        <v>45402</v>
      </c>
      <c r="U1631" s="66">
        <v>45414</v>
      </c>
      <c r="V1631" s="63">
        <f t="shared" si="179"/>
        <v>12</v>
      </c>
      <c r="W1631" s="65" t="s">
        <v>125</v>
      </c>
      <c r="X1631" s="64" t="b">
        <f t="shared" si="180"/>
        <v>0</v>
      </c>
      <c r="Y1631" s="67">
        <v>86</v>
      </c>
      <c r="Z1631" s="67">
        <v>347</v>
      </c>
      <c r="AA1631" s="65" t="s">
        <v>81</v>
      </c>
      <c r="AB1631" s="64" t="b">
        <f t="shared" si="181"/>
        <v>1</v>
      </c>
    </row>
    <row r="1632" spans="1:28" ht="15" customHeight="1" x14ac:dyDescent="0.3">
      <c r="A1632" s="57" t="s">
        <v>3378</v>
      </c>
      <c r="B1632" s="82">
        <v>45276</v>
      </c>
      <c r="C1632" s="59">
        <f t="shared" si="175"/>
        <v>2023</v>
      </c>
      <c r="D1632" s="59">
        <f t="shared" si="176"/>
        <v>12</v>
      </c>
      <c r="E1632" s="59">
        <f t="shared" si="177"/>
        <v>50</v>
      </c>
      <c r="F1632" s="57" t="s">
        <v>61</v>
      </c>
      <c r="G1632" s="57" t="s">
        <v>39</v>
      </c>
      <c r="H1632" s="57" t="s">
        <v>3379</v>
      </c>
      <c r="I1632" s="57" t="s">
        <v>69</v>
      </c>
      <c r="J1632" s="57" t="s">
        <v>123</v>
      </c>
      <c r="K1632" s="57" t="s">
        <v>71</v>
      </c>
      <c r="L1632" s="57" t="s">
        <v>119</v>
      </c>
      <c r="M1632" s="60">
        <v>339</v>
      </c>
      <c r="N1632" s="57" t="s">
        <v>120</v>
      </c>
      <c r="O1632" s="61">
        <v>1726.48</v>
      </c>
      <c r="P1632" s="61">
        <v>585276.72</v>
      </c>
      <c r="Q1632" s="61">
        <v>45982.09</v>
      </c>
      <c r="R1632" s="62">
        <f t="shared" si="178"/>
        <v>7.8564700130222154E-2</v>
      </c>
      <c r="S1632" s="60">
        <v>10</v>
      </c>
      <c r="T1632" s="58">
        <v>45286</v>
      </c>
      <c r="U1632" s="58">
        <v>45283</v>
      </c>
      <c r="V1632" s="63">
        <f t="shared" si="179"/>
        <v>-3</v>
      </c>
      <c r="W1632" s="57" t="s">
        <v>115</v>
      </c>
      <c r="X1632" s="64" t="b">
        <f t="shared" si="180"/>
        <v>1</v>
      </c>
      <c r="Y1632" s="60">
        <v>190</v>
      </c>
      <c r="Z1632" s="60">
        <v>277</v>
      </c>
      <c r="AA1632" s="57" t="s">
        <v>83</v>
      </c>
      <c r="AB1632" s="64" t="b">
        <f t="shared" si="181"/>
        <v>1</v>
      </c>
    </row>
    <row r="1633" spans="1:28" ht="15" customHeight="1" x14ac:dyDescent="0.3">
      <c r="A1633" s="65" t="s">
        <v>3380</v>
      </c>
      <c r="B1633" s="81">
        <v>45088</v>
      </c>
      <c r="C1633" s="59">
        <f t="shared" si="175"/>
        <v>2023</v>
      </c>
      <c r="D1633" s="59">
        <f t="shared" si="176"/>
        <v>6</v>
      </c>
      <c r="E1633" s="59">
        <f t="shared" si="177"/>
        <v>24</v>
      </c>
      <c r="F1633" s="65" t="s">
        <v>57</v>
      </c>
      <c r="G1633" s="65" t="s">
        <v>44</v>
      </c>
      <c r="H1633" s="65" t="s">
        <v>3381</v>
      </c>
      <c r="I1633" s="65" t="s">
        <v>68</v>
      </c>
      <c r="J1633" s="65" t="s">
        <v>112</v>
      </c>
      <c r="K1633" s="65" t="s">
        <v>72</v>
      </c>
      <c r="L1633" s="65" t="s">
        <v>124</v>
      </c>
      <c r="M1633" s="67">
        <v>659</v>
      </c>
      <c r="N1633" s="65" t="s">
        <v>120</v>
      </c>
      <c r="O1633" s="68">
        <v>103.68</v>
      </c>
      <c r="P1633" s="68">
        <v>68325.119999999995</v>
      </c>
      <c r="Q1633" s="68">
        <v>3548.69</v>
      </c>
      <c r="R1633" s="62">
        <f t="shared" si="178"/>
        <v>5.1938291509769766E-2</v>
      </c>
      <c r="S1633" s="67">
        <v>2</v>
      </c>
      <c r="T1633" s="66">
        <v>45090</v>
      </c>
      <c r="U1633" s="66">
        <v>45089</v>
      </c>
      <c r="V1633" s="63">
        <f t="shared" si="179"/>
        <v>-1</v>
      </c>
      <c r="W1633" s="65" t="s">
        <v>115</v>
      </c>
      <c r="X1633" s="64" t="b">
        <f t="shared" si="180"/>
        <v>1</v>
      </c>
      <c r="Y1633" s="67">
        <v>302</v>
      </c>
      <c r="Z1633" s="67">
        <v>481</v>
      </c>
      <c r="AA1633" s="65" t="s">
        <v>83</v>
      </c>
      <c r="AB1633" s="64" t="b">
        <f t="shared" si="181"/>
        <v>1</v>
      </c>
    </row>
    <row r="1634" spans="1:28" ht="15" customHeight="1" x14ac:dyDescent="0.3">
      <c r="A1634" s="57" t="s">
        <v>3382</v>
      </c>
      <c r="B1634" s="82">
        <v>45305</v>
      </c>
      <c r="C1634" s="59">
        <f t="shared" si="175"/>
        <v>2024</v>
      </c>
      <c r="D1634" s="59">
        <f t="shared" si="176"/>
        <v>1</v>
      </c>
      <c r="E1634" s="59">
        <f t="shared" si="177"/>
        <v>3</v>
      </c>
      <c r="F1634" s="57" t="s">
        <v>54</v>
      </c>
      <c r="G1634" s="57" t="s">
        <v>41</v>
      </c>
      <c r="H1634" s="57" t="s">
        <v>3383</v>
      </c>
      <c r="I1634" s="57" t="s">
        <v>66</v>
      </c>
      <c r="J1634" s="57" t="s">
        <v>131</v>
      </c>
      <c r="K1634" s="57" t="s">
        <v>72</v>
      </c>
      <c r="L1634" s="57" t="s">
        <v>135</v>
      </c>
      <c r="M1634" s="60">
        <v>450</v>
      </c>
      <c r="N1634" s="57" t="s">
        <v>136</v>
      </c>
      <c r="O1634" s="61">
        <v>646.79999999999995</v>
      </c>
      <c r="P1634" s="61">
        <v>291060</v>
      </c>
      <c r="Q1634" s="61">
        <v>21631.38</v>
      </c>
      <c r="R1634" s="62">
        <f t="shared" si="178"/>
        <v>7.4319315605029898E-2</v>
      </c>
      <c r="S1634" s="60">
        <v>3</v>
      </c>
      <c r="T1634" s="58">
        <v>45308</v>
      </c>
      <c r="U1634" s="58">
        <v>45308</v>
      </c>
      <c r="V1634" s="63">
        <f t="shared" si="179"/>
        <v>0</v>
      </c>
      <c r="W1634" s="57" t="s">
        <v>115</v>
      </c>
      <c r="X1634" s="64" t="b">
        <f t="shared" si="180"/>
        <v>1</v>
      </c>
      <c r="Y1634" s="60">
        <v>0</v>
      </c>
      <c r="Z1634" s="60">
        <v>19</v>
      </c>
      <c r="AA1634" s="57" t="s">
        <v>116</v>
      </c>
      <c r="AB1634" s="64" t="b">
        <f t="shared" si="181"/>
        <v>0</v>
      </c>
    </row>
    <row r="1635" spans="1:28" ht="15" customHeight="1" x14ac:dyDescent="0.3">
      <c r="A1635" s="65" t="s">
        <v>3384</v>
      </c>
      <c r="B1635" s="81">
        <v>45246</v>
      </c>
      <c r="C1635" s="59">
        <f t="shared" si="175"/>
        <v>2023</v>
      </c>
      <c r="D1635" s="59">
        <f t="shared" si="176"/>
        <v>11</v>
      </c>
      <c r="E1635" s="59">
        <f t="shared" si="177"/>
        <v>46</v>
      </c>
      <c r="F1635" s="65" t="s">
        <v>56</v>
      </c>
      <c r="G1635" s="65" t="s">
        <v>42</v>
      </c>
      <c r="H1635" s="65" t="s">
        <v>3385</v>
      </c>
      <c r="I1635" s="65" t="s">
        <v>69</v>
      </c>
      <c r="J1635" s="65" t="s">
        <v>139</v>
      </c>
      <c r="K1635" s="65" t="s">
        <v>75</v>
      </c>
      <c r="L1635" s="65" t="s">
        <v>124</v>
      </c>
      <c r="M1635" s="67">
        <v>400</v>
      </c>
      <c r="N1635" s="65" t="s">
        <v>163</v>
      </c>
      <c r="O1635" s="68">
        <v>59.35</v>
      </c>
      <c r="P1635" s="68">
        <v>23740</v>
      </c>
      <c r="Q1635" s="68">
        <v>593.08000000000004</v>
      </c>
      <c r="R1635" s="62">
        <f t="shared" si="178"/>
        <v>2.4982308340353834E-2</v>
      </c>
      <c r="S1635" s="67">
        <v>23</v>
      </c>
      <c r="T1635" s="66">
        <v>45269</v>
      </c>
      <c r="U1635" s="66">
        <v>45269</v>
      </c>
      <c r="V1635" s="63">
        <f t="shared" si="179"/>
        <v>0</v>
      </c>
      <c r="W1635" s="65" t="s">
        <v>115</v>
      </c>
      <c r="X1635" s="64" t="b">
        <f t="shared" si="180"/>
        <v>1</v>
      </c>
      <c r="Y1635" s="67">
        <v>380</v>
      </c>
      <c r="Z1635" s="67">
        <v>288</v>
      </c>
      <c r="AA1635" s="65" t="s">
        <v>81</v>
      </c>
      <c r="AB1635" s="64" t="b">
        <f t="shared" si="181"/>
        <v>1</v>
      </c>
    </row>
    <row r="1636" spans="1:28" ht="15" customHeight="1" x14ac:dyDescent="0.3">
      <c r="A1636" s="57" t="s">
        <v>3386</v>
      </c>
      <c r="B1636" s="82">
        <v>45259</v>
      </c>
      <c r="C1636" s="59">
        <f t="shared" si="175"/>
        <v>2023</v>
      </c>
      <c r="D1636" s="59">
        <f t="shared" si="176"/>
        <v>11</v>
      </c>
      <c r="E1636" s="59">
        <f t="shared" si="177"/>
        <v>48</v>
      </c>
      <c r="F1636" s="57" t="s">
        <v>53</v>
      </c>
      <c r="G1636" s="57" t="s">
        <v>39</v>
      </c>
      <c r="H1636" s="57" t="s">
        <v>3387</v>
      </c>
      <c r="I1636" s="57" t="s">
        <v>64</v>
      </c>
      <c r="J1636" s="57" t="s">
        <v>151</v>
      </c>
      <c r="K1636" s="57" t="s">
        <v>72</v>
      </c>
      <c r="L1636" s="57" t="s">
        <v>119</v>
      </c>
      <c r="M1636" s="60">
        <v>505</v>
      </c>
      <c r="N1636" s="57" t="s">
        <v>136</v>
      </c>
      <c r="O1636" s="61">
        <v>2073.0500000000002</v>
      </c>
      <c r="P1636" s="61">
        <v>1046890.25</v>
      </c>
      <c r="Q1636" s="61">
        <v>32938.43</v>
      </c>
      <c r="R1636" s="62">
        <f t="shared" si="178"/>
        <v>3.1463116596988083E-2</v>
      </c>
      <c r="S1636" s="60">
        <v>23</v>
      </c>
      <c r="T1636" s="58">
        <v>45282</v>
      </c>
      <c r="U1636" s="58">
        <v>45290</v>
      </c>
      <c r="V1636" s="63">
        <f t="shared" si="179"/>
        <v>8</v>
      </c>
      <c r="W1636" s="57" t="s">
        <v>125</v>
      </c>
      <c r="X1636" s="64" t="b">
        <f t="shared" si="180"/>
        <v>0</v>
      </c>
      <c r="Y1636" s="60">
        <v>441</v>
      </c>
      <c r="Z1636" s="60">
        <v>398</v>
      </c>
      <c r="AA1636" s="57" t="s">
        <v>116</v>
      </c>
      <c r="AB1636" s="64" t="b">
        <f t="shared" si="181"/>
        <v>0</v>
      </c>
    </row>
    <row r="1637" spans="1:28" ht="15" customHeight="1" x14ac:dyDescent="0.3">
      <c r="A1637" s="65" t="s">
        <v>3388</v>
      </c>
      <c r="B1637" s="81">
        <v>45508</v>
      </c>
      <c r="C1637" s="59">
        <f t="shared" si="175"/>
        <v>2024</v>
      </c>
      <c r="D1637" s="59">
        <f t="shared" si="176"/>
        <v>8</v>
      </c>
      <c r="E1637" s="59">
        <f t="shared" si="177"/>
        <v>32</v>
      </c>
      <c r="F1637" s="65" t="s">
        <v>53</v>
      </c>
      <c r="G1637" s="65" t="s">
        <v>45</v>
      </c>
      <c r="H1637" s="65" t="s">
        <v>3389</v>
      </c>
      <c r="I1637" s="65" t="s">
        <v>67</v>
      </c>
      <c r="J1637" s="65" t="s">
        <v>139</v>
      </c>
      <c r="K1637" s="65" t="s">
        <v>73</v>
      </c>
      <c r="L1637" s="65" t="s">
        <v>113</v>
      </c>
      <c r="M1637" s="67">
        <v>390</v>
      </c>
      <c r="N1637" s="65" t="s">
        <v>114</v>
      </c>
      <c r="O1637" s="68">
        <v>171.71</v>
      </c>
      <c r="P1637" s="68">
        <v>66966.899999999994</v>
      </c>
      <c r="Q1637" s="68">
        <v>3110.3</v>
      </c>
      <c r="R1637" s="62">
        <f t="shared" si="178"/>
        <v>4.644533344084914E-2</v>
      </c>
      <c r="S1637" s="67">
        <v>12</v>
      </c>
      <c r="T1637" s="66">
        <v>45520</v>
      </c>
      <c r="U1637" s="66">
        <v>45528</v>
      </c>
      <c r="V1637" s="63">
        <f t="shared" si="179"/>
        <v>8</v>
      </c>
      <c r="W1637" s="65" t="s">
        <v>128</v>
      </c>
      <c r="X1637" s="64" t="b">
        <f t="shared" si="180"/>
        <v>0</v>
      </c>
      <c r="Y1637" s="67">
        <v>137</v>
      </c>
      <c r="Z1637" s="67">
        <v>390</v>
      </c>
      <c r="AA1637" s="65" t="s">
        <v>82</v>
      </c>
      <c r="AB1637" s="64" t="b">
        <f t="shared" si="181"/>
        <v>1</v>
      </c>
    </row>
    <row r="1638" spans="1:28" ht="15" customHeight="1" x14ac:dyDescent="0.3">
      <c r="A1638" s="57" t="s">
        <v>3390</v>
      </c>
      <c r="B1638" s="82">
        <v>45537</v>
      </c>
      <c r="C1638" s="59">
        <f t="shared" si="175"/>
        <v>2024</v>
      </c>
      <c r="D1638" s="59">
        <f t="shared" si="176"/>
        <v>9</v>
      </c>
      <c r="E1638" s="59">
        <f t="shared" si="177"/>
        <v>36</v>
      </c>
      <c r="F1638" s="57" t="s">
        <v>61</v>
      </c>
      <c r="G1638" s="57" t="s">
        <v>40</v>
      </c>
      <c r="H1638" s="57" t="s">
        <v>3391</v>
      </c>
      <c r="I1638" s="57" t="s">
        <v>68</v>
      </c>
      <c r="J1638" s="57" t="s">
        <v>143</v>
      </c>
      <c r="K1638" s="57" t="s">
        <v>72</v>
      </c>
      <c r="L1638" s="57" t="s">
        <v>113</v>
      </c>
      <c r="M1638" s="60">
        <v>315</v>
      </c>
      <c r="N1638" s="57" t="s">
        <v>114</v>
      </c>
      <c r="O1638" s="61">
        <v>1119.6099999999999</v>
      </c>
      <c r="P1638" s="61">
        <v>352677.15</v>
      </c>
      <c r="Q1638" s="61">
        <v>19427.36</v>
      </c>
      <c r="R1638" s="62">
        <f t="shared" si="178"/>
        <v>5.508539467328688E-2</v>
      </c>
      <c r="S1638" s="60">
        <v>20</v>
      </c>
      <c r="T1638" s="58">
        <v>45557</v>
      </c>
      <c r="U1638" s="58">
        <v>45558</v>
      </c>
      <c r="V1638" s="63">
        <f t="shared" si="179"/>
        <v>1</v>
      </c>
      <c r="W1638" s="57" t="s">
        <v>128</v>
      </c>
      <c r="X1638" s="64" t="b">
        <f t="shared" si="180"/>
        <v>0</v>
      </c>
      <c r="Y1638" s="60">
        <v>135</v>
      </c>
      <c r="Z1638" s="60">
        <v>471</v>
      </c>
      <c r="AA1638" s="57" t="s">
        <v>82</v>
      </c>
      <c r="AB1638" s="64" t="b">
        <f t="shared" si="181"/>
        <v>1</v>
      </c>
    </row>
    <row r="1639" spans="1:28" ht="15" customHeight="1" x14ac:dyDescent="0.3">
      <c r="A1639" s="65" t="s">
        <v>3392</v>
      </c>
      <c r="B1639" s="81">
        <v>45013</v>
      </c>
      <c r="C1639" s="59">
        <f t="shared" si="175"/>
        <v>2023</v>
      </c>
      <c r="D1639" s="59">
        <f t="shared" si="176"/>
        <v>3</v>
      </c>
      <c r="E1639" s="59">
        <f t="shared" si="177"/>
        <v>13</v>
      </c>
      <c r="F1639" s="65" t="s">
        <v>61</v>
      </c>
      <c r="G1639" s="65" t="s">
        <v>39</v>
      </c>
      <c r="H1639" s="65" t="s">
        <v>3393</v>
      </c>
      <c r="I1639" s="65" t="s">
        <v>65</v>
      </c>
      <c r="J1639" s="65" t="s">
        <v>139</v>
      </c>
      <c r="K1639" s="65" t="s">
        <v>74</v>
      </c>
      <c r="L1639" s="65" t="s">
        <v>135</v>
      </c>
      <c r="M1639" s="67">
        <v>751</v>
      </c>
      <c r="N1639" s="65" t="s">
        <v>120</v>
      </c>
      <c r="O1639" s="68">
        <v>1473.04</v>
      </c>
      <c r="P1639" s="68">
        <v>1106253.04</v>
      </c>
      <c r="Q1639" s="68">
        <v>76302.33</v>
      </c>
      <c r="R1639" s="62">
        <f t="shared" si="178"/>
        <v>6.8973668085920023E-2</v>
      </c>
      <c r="S1639" s="67">
        <v>5</v>
      </c>
      <c r="T1639" s="66">
        <v>45018</v>
      </c>
      <c r="U1639" s="66">
        <v>45026</v>
      </c>
      <c r="V1639" s="63">
        <f t="shared" si="179"/>
        <v>8</v>
      </c>
      <c r="W1639" s="65" t="s">
        <v>128</v>
      </c>
      <c r="X1639" s="64" t="b">
        <f t="shared" si="180"/>
        <v>0</v>
      </c>
      <c r="Y1639" s="67">
        <v>361</v>
      </c>
      <c r="Z1639" s="67">
        <v>89</v>
      </c>
      <c r="AA1639" s="65" t="s">
        <v>116</v>
      </c>
      <c r="AB1639" s="64" t="b">
        <f t="shared" si="181"/>
        <v>0</v>
      </c>
    </row>
    <row r="1640" spans="1:28" ht="15" customHeight="1" x14ac:dyDescent="0.3">
      <c r="A1640" s="57" t="s">
        <v>3394</v>
      </c>
      <c r="B1640" s="82">
        <v>44980</v>
      </c>
      <c r="C1640" s="59">
        <f t="shared" si="175"/>
        <v>2023</v>
      </c>
      <c r="D1640" s="59">
        <f t="shared" si="176"/>
        <v>2</v>
      </c>
      <c r="E1640" s="59">
        <f t="shared" si="177"/>
        <v>8</v>
      </c>
      <c r="F1640" s="57" t="s">
        <v>57</v>
      </c>
      <c r="G1640" s="57" t="s">
        <v>45</v>
      </c>
      <c r="H1640" s="57" t="s">
        <v>3395</v>
      </c>
      <c r="I1640" s="57" t="s">
        <v>66</v>
      </c>
      <c r="J1640" s="57" t="s">
        <v>112</v>
      </c>
      <c r="K1640" s="57" t="s">
        <v>75</v>
      </c>
      <c r="L1640" s="57" t="s">
        <v>119</v>
      </c>
      <c r="M1640" s="60">
        <v>996</v>
      </c>
      <c r="N1640" s="57" t="s">
        <v>114</v>
      </c>
      <c r="O1640" s="61">
        <v>255.63</v>
      </c>
      <c r="P1640" s="61">
        <v>254607.48</v>
      </c>
      <c r="Q1640" s="61">
        <v>20189.29</v>
      </c>
      <c r="R1640" s="62">
        <f t="shared" si="178"/>
        <v>7.9295745749496438E-2</v>
      </c>
      <c r="S1640" s="60">
        <v>5</v>
      </c>
      <c r="T1640" s="58">
        <v>44985</v>
      </c>
      <c r="U1640" s="58">
        <v>44993</v>
      </c>
      <c r="V1640" s="63">
        <f t="shared" si="179"/>
        <v>8</v>
      </c>
      <c r="W1640" s="57" t="s">
        <v>128</v>
      </c>
      <c r="X1640" s="64" t="b">
        <f t="shared" si="180"/>
        <v>0</v>
      </c>
      <c r="Y1640" s="60">
        <v>380</v>
      </c>
      <c r="Z1640" s="60">
        <v>49</v>
      </c>
      <c r="AA1640" s="57" t="s">
        <v>116</v>
      </c>
      <c r="AB1640" s="64" t="b">
        <f t="shared" si="181"/>
        <v>0</v>
      </c>
    </row>
    <row r="1641" spans="1:28" ht="15" customHeight="1" x14ac:dyDescent="0.3">
      <c r="A1641" s="65" t="s">
        <v>3396</v>
      </c>
      <c r="B1641" s="81">
        <v>45086</v>
      </c>
      <c r="C1641" s="59">
        <f t="shared" si="175"/>
        <v>2023</v>
      </c>
      <c r="D1641" s="59">
        <f t="shared" si="176"/>
        <v>6</v>
      </c>
      <c r="E1641" s="59">
        <f t="shared" si="177"/>
        <v>23</v>
      </c>
      <c r="F1641" s="65" t="s">
        <v>59</v>
      </c>
      <c r="G1641" s="65" t="s">
        <v>41</v>
      </c>
      <c r="H1641" s="65" t="s">
        <v>3397</v>
      </c>
      <c r="I1641" s="65" t="s">
        <v>68</v>
      </c>
      <c r="J1641" s="65" t="s">
        <v>139</v>
      </c>
      <c r="K1641" s="65" t="s">
        <v>75</v>
      </c>
      <c r="L1641" s="65" t="s">
        <v>146</v>
      </c>
      <c r="M1641" s="67">
        <v>829</v>
      </c>
      <c r="N1641" s="65" t="s">
        <v>114</v>
      </c>
      <c r="O1641" s="68">
        <v>477.69</v>
      </c>
      <c r="P1641" s="68">
        <v>396005.01</v>
      </c>
      <c r="Q1641" s="68">
        <v>17159.330000000002</v>
      </c>
      <c r="R1641" s="62">
        <f t="shared" si="178"/>
        <v>4.3331093210159134E-2</v>
      </c>
      <c r="S1641" s="67">
        <v>6</v>
      </c>
      <c r="T1641" s="66">
        <v>45092</v>
      </c>
      <c r="U1641" s="66">
        <v>45089</v>
      </c>
      <c r="V1641" s="63">
        <f t="shared" si="179"/>
        <v>-3</v>
      </c>
      <c r="W1641" s="65" t="s">
        <v>115</v>
      </c>
      <c r="X1641" s="64" t="b">
        <f t="shared" si="180"/>
        <v>1</v>
      </c>
      <c r="Y1641" s="67">
        <v>153</v>
      </c>
      <c r="Z1641" s="67">
        <v>9</v>
      </c>
      <c r="AA1641" s="65" t="s">
        <v>81</v>
      </c>
      <c r="AB1641" s="64" t="b">
        <f t="shared" si="181"/>
        <v>1</v>
      </c>
    </row>
    <row r="1642" spans="1:28" ht="15" customHeight="1" x14ac:dyDescent="0.3">
      <c r="A1642" s="57" t="s">
        <v>3398</v>
      </c>
      <c r="B1642" s="82">
        <v>45088</v>
      </c>
      <c r="C1642" s="59">
        <f t="shared" si="175"/>
        <v>2023</v>
      </c>
      <c r="D1642" s="59">
        <f t="shared" si="176"/>
        <v>6</v>
      </c>
      <c r="E1642" s="59">
        <f t="shared" si="177"/>
        <v>24</v>
      </c>
      <c r="F1642" s="57" t="s">
        <v>61</v>
      </c>
      <c r="G1642" s="57" t="s">
        <v>39</v>
      </c>
      <c r="H1642" s="57" t="s">
        <v>3399</v>
      </c>
      <c r="I1642" s="57" t="s">
        <v>65</v>
      </c>
      <c r="J1642" s="57" t="s">
        <v>112</v>
      </c>
      <c r="K1642" s="57" t="s">
        <v>75</v>
      </c>
      <c r="L1642" s="57" t="s">
        <v>119</v>
      </c>
      <c r="M1642" s="60">
        <v>682</v>
      </c>
      <c r="N1642" s="57" t="s">
        <v>140</v>
      </c>
      <c r="O1642" s="61">
        <v>2137.09</v>
      </c>
      <c r="P1642" s="61">
        <v>1457495.38</v>
      </c>
      <c r="Q1642" s="61">
        <v>33296.39</v>
      </c>
      <c r="R1642" s="62">
        <f t="shared" si="178"/>
        <v>2.2844936908136205E-2</v>
      </c>
      <c r="S1642" s="60">
        <v>9</v>
      </c>
      <c r="T1642" s="58">
        <v>45097</v>
      </c>
      <c r="U1642" s="58">
        <v>45099</v>
      </c>
      <c r="V1642" s="63">
        <f t="shared" si="179"/>
        <v>2</v>
      </c>
      <c r="W1642" s="57" t="s">
        <v>128</v>
      </c>
      <c r="X1642" s="64" t="b">
        <f t="shared" si="180"/>
        <v>0</v>
      </c>
      <c r="Y1642" s="60">
        <v>161</v>
      </c>
      <c r="Z1642" s="60">
        <v>78</v>
      </c>
      <c r="AA1642" s="57" t="s">
        <v>82</v>
      </c>
      <c r="AB1642" s="64" t="b">
        <f t="shared" si="181"/>
        <v>1</v>
      </c>
    </row>
    <row r="1643" spans="1:28" ht="15" customHeight="1" x14ac:dyDescent="0.3">
      <c r="A1643" s="65" t="s">
        <v>3400</v>
      </c>
      <c r="B1643" s="81">
        <v>45559</v>
      </c>
      <c r="C1643" s="59">
        <f t="shared" si="175"/>
        <v>2024</v>
      </c>
      <c r="D1643" s="59">
        <f t="shared" si="176"/>
        <v>9</v>
      </c>
      <c r="E1643" s="59">
        <f t="shared" si="177"/>
        <v>39</v>
      </c>
      <c r="F1643" s="65" t="s">
        <v>57</v>
      </c>
      <c r="G1643" s="65" t="s">
        <v>45</v>
      </c>
      <c r="H1643" s="65" t="s">
        <v>3401</v>
      </c>
      <c r="I1643" s="65" t="s">
        <v>68</v>
      </c>
      <c r="J1643" s="65" t="s">
        <v>143</v>
      </c>
      <c r="K1643" s="65" t="s">
        <v>74</v>
      </c>
      <c r="L1643" s="65" t="s">
        <v>113</v>
      </c>
      <c r="M1643" s="67">
        <v>522</v>
      </c>
      <c r="N1643" s="65" t="s">
        <v>136</v>
      </c>
      <c r="O1643" s="68">
        <v>160.26</v>
      </c>
      <c r="P1643" s="68">
        <v>83655.72</v>
      </c>
      <c r="Q1643" s="68">
        <v>5694.47</v>
      </c>
      <c r="R1643" s="62">
        <f t="shared" si="178"/>
        <v>6.8070300512624846E-2</v>
      </c>
      <c r="S1643" s="67">
        <v>2</v>
      </c>
      <c r="T1643" s="66">
        <v>45561</v>
      </c>
      <c r="U1643" s="66">
        <v>45561</v>
      </c>
      <c r="V1643" s="63">
        <f t="shared" si="179"/>
        <v>0</v>
      </c>
      <c r="W1643" s="65" t="s">
        <v>115</v>
      </c>
      <c r="X1643" s="64" t="b">
        <f t="shared" si="180"/>
        <v>1</v>
      </c>
      <c r="Y1643" s="67">
        <v>18</v>
      </c>
      <c r="Z1643" s="67">
        <v>36</v>
      </c>
      <c r="AA1643" s="65" t="s">
        <v>82</v>
      </c>
      <c r="AB1643" s="64" t="b">
        <f t="shared" si="181"/>
        <v>1</v>
      </c>
    </row>
    <row r="1644" spans="1:28" ht="15" customHeight="1" x14ac:dyDescent="0.3">
      <c r="A1644" s="57" t="s">
        <v>3402</v>
      </c>
      <c r="B1644" s="82">
        <v>44977</v>
      </c>
      <c r="C1644" s="59">
        <f t="shared" si="175"/>
        <v>2023</v>
      </c>
      <c r="D1644" s="59">
        <f t="shared" si="176"/>
        <v>2</v>
      </c>
      <c r="E1644" s="59">
        <f t="shared" si="177"/>
        <v>8</v>
      </c>
      <c r="F1644" s="57" t="s">
        <v>60</v>
      </c>
      <c r="G1644" s="57" t="s">
        <v>39</v>
      </c>
      <c r="H1644" s="57" t="s">
        <v>3403</v>
      </c>
      <c r="I1644" s="57" t="s">
        <v>69</v>
      </c>
      <c r="J1644" s="57" t="s">
        <v>112</v>
      </c>
      <c r="K1644" s="57" t="s">
        <v>71</v>
      </c>
      <c r="L1644" s="57" t="s">
        <v>156</v>
      </c>
      <c r="M1644" s="60">
        <v>757</v>
      </c>
      <c r="N1644" s="57" t="s">
        <v>136</v>
      </c>
      <c r="O1644" s="61">
        <v>1264.22</v>
      </c>
      <c r="P1644" s="61">
        <v>957014.54</v>
      </c>
      <c r="Q1644" s="61">
        <v>53844.36</v>
      </c>
      <c r="R1644" s="62">
        <f t="shared" si="178"/>
        <v>5.6262844240590117E-2</v>
      </c>
      <c r="S1644" s="60">
        <v>21</v>
      </c>
      <c r="T1644" s="58">
        <v>44998</v>
      </c>
      <c r="U1644" s="58">
        <v>44998</v>
      </c>
      <c r="V1644" s="63">
        <f t="shared" si="179"/>
        <v>0</v>
      </c>
      <c r="W1644" s="57" t="s">
        <v>115</v>
      </c>
      <c r="X1644" s="64" t="b">
        <f t="shared" si="180"/>
        <v>1</v>
      </c>
      <c r="Y1644" s="60">
        <v>461</v>
      </c>
      <c r="Z1644" s="60">
        <v>58</v>
      </c>
      <c r="AA1644" s="57" t="s">
        <v>83</v>
      </c>
      <c r="AB1644" s="64" t="b">
        <f t="shared" si="181"/>
        <v>1</v>
      </c>
    </row>
    <row r="1645" spans="1:28" ht="15" customHeight="1" x14ac:dyDescent="0.3">
      <c r="A1645" s="65" t="s">
        <v>3404</v>
      </c>
      <c r="B1645" s="81">
        <v>45617</v>
      </c>
      <c r="C1645" s="59">
        <f t="shared" si="175"/>
        <v>2024</v>
      </c>
      <c r="D1645" s="59">
        <f t="shared" si="176"/>
        <v>11</v>
      </c>
      <c r="E1645" s="59">
        <f t="shared" si="177"/>
        <v>47</v>
      </c>
      <c r="F1645" s="65" t="s">
        <v>53</v>
      </c>
      <c r="G1645" s="65" t="s">
        <v>39</v>
      </c>
      <c r="H1645" s="65" t="s">
        <v>3405</v>
      </c>
      <c r="I1645" s="65" t="s">
        <v>65</v>
      </c>
      <c r="J1645" s="65" t="s">
        <v>123</v>
      </c>
      <c r="K1645" s="65" t="s">
        <v>73</v>
      </c>
      <c r="L1645" s="65" t="s">
        <v>135</v>
      </c>
      <c r="M1645" s="67">
        <v>958</v>
      </c>
      <c r="N1645" s="65" t="s">
        <v>136</v>
      </c>
      <c r="O1645" s="68">
        <v>1641.64</v>
      </c>
      <c r="P1645" s="68">
        <v>1572691.12</v>
      </c>
      <c r="Q1645" s="68">
        <v>50188.62</v>
      </c>
      <c r="R1645" s="62">
        <f t="shared" si="178"/>
        <v>3.1912572889710215E-2</v>
      </c>
      <c r="S1645" s="67">
        <v>12</v>
      </c>
      <c r="T1645" s="66">
        <v>45629</v>
      </c>
      <c r="U1645" s="66">
        <v>45629</v>
      </c>
      <c r="V1645" s="63">
        <f t="shared" si="179"/>
        <v>0</v>
      </c>
      <c r="W1645" s="65" t="s">
        <v>115</v>
      </c>
      <c r="X1645" s="64" t="b">
        <f t="shared" si="180"/>
        <v>1</v>
      </c>
      <c r="Y1645" s="67">
        <v>327</v>
      </c>
      <c r="Z1645" s="67">
        <v>87</v>
      </c>
      <c r="AA1645" s="65" t="s">
        <v>116</v>
      </c>
      <c r="AB1645" s="64" t="b">
        <f t="shared" si="181"/>
        <v>0</v>
      </c>
    </row>
    <row r="1646" spans="1:28" ht="15" customHeight="1" x14ac:dyDescent="0.3">
      <c r="A1646" s="57" t="s">
        <v>3406</v>
      </c>
      <c r="B1646" s="82">
        <v>45010</v>
      </c>
      <c r="C1646" s="59">
        <f t="shared" si="175"/>
        <v>2023</v>
      </c>
      <c r="D1646" s="59">
        <f t="shared" si="176"/>
        <v>3</v>
      </c>
      <c r="E1646" s="59">
        <f t="shared" si="177"/>
        <v>12</v>
      </c>
      <c r="F1646" s="57" t="s">
        <v>61</v>
      </c>
      <c r="G1646" s="57" t="s">
        <v>40</v>
      </c>
      <c r="H1646" s="57" t="s">
        <v>3407</v>
      </c>
      <c r="I1646" s="57" t="s">
        <v>65</v>
      </c>
      <c r="J1646" s="57" t="s">
        <v>151</v>
      </c>
      <c r="K1646" s="57" t="s">
        <v>75</v>
      </c>
      <c r="L1646" s="57" t="s">
        <v>156</v>
      </c>
      <c r="M1646" s="60">
        <v>197</v>
      </c>
      <c r="N1646" s="57" t="s">
        <v>136</v>
      </c>
      <c r="O1646" s="61">
        <v>612.44000000000005</v>
      </c>
      <c r="P1646" s="61">
        <v>120650.68</v>
      </c>
      <c r="Q1646" s="61">
        <v>5995.1</v>
      </c>
      <c r="R1646" s="62">
        <f t="shared" si="178"/>
        <v>4.9689732374488073E-2</v>
      </c>
      <c r="S1646" s="60">
        <v>3</v>
      </c>
      <c r="T1646" s="58">
        <v>45013</v>
      </c>
      <c r="U1646" s="58">
        <v>45015</v>
      </c>
      <c r="V1646" s="63">
        <f t="shared" si="179"/>
        <v>2</v>
      </c>
      <c r="W1646" s="57" t="s">
        <v>128</v>
      </c>
      <c r="X1646" s="64" t="b">
        <f t="shared" si="180"/>
        <v>0</v>
      </c>
      <c r="Y1646" s="60">
        <v>242</v>
      </c>
      <c r="Z1646" s="60">
        <v>458</v>
      </c>
      <c r="AA1646" s="57" t="s">
        <v>84</v>
      </c>
      <c r="AB1646" s="64" t="b">
        <f t="shared" si="181"/>
        <v>1</v>
      </c>
    </row>
    <row r="1647" spans="1:28" ht="15" customHeight="1" x14ac:dyDescent="0.3">
      <c r="A1647" s="65" t="s">
        <v>3408</v>
      </c>
      <c r="B1647" s="81">
        <v>45205</v>
      </c>
      <c r="C1647" s="59">
        <f t="shared" si="175"/>
        <v>2023</v>
      </c>
      <c r="D1647" s="59">
        <f t="shared" si="176"/>
        <v>10</v>
      </c>
      <c r="E1647" s="59">
        <f t="shared" si="177"/>
        <v>40</v>
      </c>
      <c r="F1647" s="65" t="s">
        <v>54</v>
      </c>
      <c r="G1647" s="65" t="s">
        <v>45</v>
      </c>
      <c r="H1647" s="65" t="s">
        <v>3409</v>
      </c>
      <c r="I1647" s="65" t="s">
        <v>68</v>
      </c>
      <c r="J1647" s="65" t="s">
        <v>143</v>
      </c>
      <c r="K1647" s="65" t="s">
        <v>72</v>
      </c>
      <c r="L1647" s="65" t="s">
        <v>146</v>
      </c>
      <c r="M1647" s="67">
        <v>939</v>
      </c>
      <c r="N1647" s="65" t="s">
        <v>132</v>
      </c>
      <c r="O1647" s="68">
        <v>171.36</v>
      </c>
      <c r="P1647" s="68">
        <v>160907.04</v>
      </c>
      <c r="Q1647" s="68">
        <v>10384.719999999999</v>
      </c>
      <c r="R1647" s="62">
        <f t="shared" si="178"/>
        <v>6.4538630503674657E-2</v>
      </c>
      <c r="S1647" s="67">
        <v>20</v>
      </c>
      <c r="T1647" s="66">
        <v>45225</v>
      </c>
      <c r="U1647" s="66">
        <v>45224</v>
      </c>
      <c r="V1647" s="63">
        <f t="shared" si="179"/>
        <v>-1</v>
      </c>
      <c r="W1647" s="65" t="s">
        <v>115</v>
      </c>
      <c r="X1647" s="64" t="b">
        <f t="shared" si="180"/>
        <v>1</v>
      </c>
      <c r="Y1647" s="67">
        <v>128</v>
      </c>
      <c r="Z1647" s="67">
        <v>103</v>
      </c>
      <c r="AA1647" s="65" t="s">
        <v>81</v>
      </c>
      <c r="AB1647" s="64" t="b">
        <f t="shared" si="181"/>
        <v>1</v>
      </c>
    </row>
    <row r="1648" spans="1:28" ht="15" customHeight="1" x14ac:dyDescent="0.3">
      <c r="A1648" s="57" t="s">
        <v>3410</v>
      </c>
      <c r="B1648" s="82">
        <v>45380</v>
      </c>
      <c r="C1648" s="59">
        <f t="shared" si="175"/>
        <v>2024</v>
      </c>
      <c r="D1648" s="59">
        <f t="shared" si="176"/>
        <v>3</v>
      </c>
      <c r="E1648" s="59">
        <f t="shared" si="177"/>
        <v>13</v>
      </c>
      <c r="F1648" s="57" t="s">
        <v>58</v>
      </c>
      <c r="G1648" s="57" t="s">
        <v>45</v>
      </c>
      <c r="H1648" s="57" t="s">
        <v>3411</v>
      </c>
      <c r="I1648" s="57" t="s">
        <v>64</v>
      </c>
      <c r="J1648" s="57" t="s">
        <v>112</v>
      </c>
      <c r="K1648" s="57" t="s">
        <v>73</v>
      </c>
      <c r="L1648" s="57" t="s">
        <v>119</v>
      </c>
      <c r="M1648" s="60">
        <v>525</v>
      </c>
      <c r="N1648" s="57" t="s">
        <v>136</v>
      </c>
      <c r="O1648" s="61">
        <v>291</v>
      </c>
      <c r="P1648" s="61">
        <v>152775</v>
      </c>
      <c r="Q1648" s="61">
        <v>10117.48</v>
      </c>
      <c r="R1648" s="62">
        <f t="shared" si="178"/>
        <v>6.6224709540173454E-2</v>
      </c>
      <c r="S1648" s="60">
        <v>26</v>
      </c>
      <c r="T1648" s="58">
        <v>45406</v>
      </c>
      <c r="U1648" s="58">
        <v>45405</v>
      </c>
      <c r="V1648" s="63">
        <f t="shared" si="179"/>
        <v>-1</v>
      </c>
      <c r="W1648" s="57" t="s">
        <v>125</v>
      </c>
      <c r="X1648" s="64" t="b">
        <f t="shared" si="180"/>
        <v>0</v>
      </c>
      <c r="Y1648" s="60">
        <v>175</v>
      </c>
      <c r="Z1648" s="60">
        <v>318</v>
      </c>
      <c r="AA1648" s="57" t="s">
        <v>82</v>
      </c>
      <c r="AB1648" s="64" t="b">
        <f t="shared" si="181"/>
        <v>1</v>
      </c>
    </row>
    <row r="1649" spans="1:28" ht="15" customHeight="1" x14ac:dyDescent="0.3">
      <c r="A1649" s="65" t="s">
        <v>3412</v>
      </c>
      <c r="B1649" s="81">
        <v>45604</v>
      </c>
      <c r="C1649" s="59">
        <f t="shared" si="175"/>
        <v>2024</v>
      </c>
      <c r="D1649" s="59">
        <f t="shared" si="176"/>
        <v>11</v>
      </c>
      <c r="E1649" s="59">
        <f t="shared" si="177"/>
        <v>45</v>
      </c>
      <c r="F1649" s="65" t="s">
        <v>57</v>
      </c>
      <c r="G1649" s="65" t="s">
        <v>42</v>
      </c>
      <c r="H1649" s="65" t="s">
        <v>3413</v>
      </c>
      <c r="I1649" s="65" t="s">
        <v>64</v>
      </c>
      <c r="J1649" s="65" t="s">
        <v>131</v>
      </c>
      <c r="K1649" s="65" t="s">
        <v>72</v>
      </c>
      <c r="L1649" s="65" t="s">
        <v>146</v>
      </c>
      <c r="M1649" s="67">
        <v>922</v>
      </c>
      <c r="N1649" s="65" t="s">
        <v>120</v>
      </c>
      <c r="O1649" s="68">
        <v>118.5</v>
      </c>
      <c r="P1649" s="68">
        <v>109257</v>
      </c>
      <c r="Q1649" s="68">
        <v>5460.35</v>
      </c>
      <c r="R1649" s="62">
        <f t="shared" si="178"/>
        <v>4.9977118170918114E-2</v>
      </c>
      <c r="S1649" s="67">
        <v>22</v>
      </c>
      <c r="T1649" s="66">
        <v>45626</v>
      </c>
      <c r="U1649" s="66">
        <v>45634</v>
      </c>
      <c r="V1649" s="63">
        <f t="shared" si="179"/>
        <v>8</v>
      </c>
      <c r="W1649" s="65" t="s">
        <v>125</v>
      </c>
      <c r="X1649" s="64" t="b">
        <f t="shared" si="180"/>
        <v>0</v>
      </c>
      <c r="Y1649" s="67">
        <v>408</v>
      </c>
      <c r="Z1649" s="67">
        <v>276</v>
      </c>
      <c r="AA1649" s="65" t="s">
        <v>81</v>
      </c>
      <c r="AB1649" s="64" t="b">
        <f t="shared" si="181"/>
        <v>1</v>
      </c>
    </row>
    <row r="1650" spans="1:28" ht="15" customHeight="1" x14ac:dyDescent="0.3">
      <c r="A1650" s="57" t="s">
        <v>3414</v>
      </c>
      <c r="B1650" s="82">
        <v>45361</v>
      </c>
      <c r="C1650" s="59">
        <f t="shared" si="175"/>
        <v>2024</v>
      </c>
      <c r="D1650" s="59">
        <f t="shared" si="176"/>
        <v>3</v>
      </c>
      <c r="E1650" s="59">
        <f t="shared" si="177"/>
        <v>11</v>
      </c>
      <c r="F1650" s="57" t="s">
        <v>53</v>
      </c>
      <c r="G1650" s="57" t="s">
        <v>41</v>
      </c>
      <c r="H1650" s="57" t="s">
        <v>3415</v>
      </c>
      <c r="I1650" s="57" t="s">
        <v>67</v>
      </c>
      <c r="J1650" s="57" t="s">
        <v>143</v>
      </c>
      <c r="K1650" s="57" t="s">
        <v>73</v>
      </c>
      <c r="L1650" s="57" t="s">
        <v>156</v>
      </c>
      <c r="M1650" s="60">
        <v>653</v>
      </c>
      <c r="N1650" s="57" t="s">
        <v>120</v>
      </c>
      <c r="O1650" s="61">
        <v>500.5</v>
      </c>
      <c r="P1650" s="61">
        <v>326826.5</v>
      </c>
      <c r="Q1650" s="61">
        <v>12521.66</v>
      </c>
      <c r="R1650" s="62">
        <f t="shared" si="178"/>
        <v>3.8312866306740731E-2</v>
      </c>
      <c r="S1650" s="60">
        <v>12</v>
      </c>
      <c r="T1650" s="58">
        <v>45373</v>
      </c>
      <c r="U1650" s="58">
        <v>45373</v>
      </c>
      <c r="V1650" s="63">
        <f t="shared" si="179"/>
        <v>0</v>
      </c>
      <c r="W1650" s="57" t="s">
        <v>115</v>
      </c>
      <c r="X1650" s="64" t="b">
        <f t="shared" si="180"/>
        <v>1</v>
      </c>
      <c r="Y1650" s="60">
        <v>279</v>
      </c>
      <c r="Z1650" s="60">
        <v>103</v>
      </c>
      <c r="AA1650" s="57" t="s">
        <v>84</v>
      </c>
      <c r="AB1650" s="64" t="b">
        <f t="shared" si="181"/>
        <v>1</v>
      </c>
    </row>
    <row r="1651" spans="1:28" ht="15" customHeight="1" x14ac:dyDescent="0.3">
      <c r="A1651" s="65" t="s">
        <v>3416</v>
      </c>
      <c r="B1651" s="81">
        <v>45424</v>
      </c>
      <c r="C1651" s="59">
        <f t="shared" si="175"/>
        <v>2024</v>
      </c>
      <c r="D1651" s="59">
        <f t="shared" si="176"/>
        <v>5</v>
      </c>
      <c r="E1651" s="59">
        <f t="shared" si="177"/>
        <v>20</v>
      </c>
      <c r="F1651" s="65" t="s">
        <v>61</v>
      </c>
      <c r="G1651" s="65" t="s">
        <v>40</v>
      </c>
      <c r="H1651" s="65" t="s">
        <v>3417</v>
      </c>
      <c r="I1651" s="65" t="s">
        <v>69</v>
      </c>
      <c r="J1651" s="65" t="s">
        <v>131</v>
      </c>
      <c r="K1651" s="65" t="s">
        <v>73</v>
      </c>
      <c r="L1651" s="65" t="s">
        <v>119</v>
      </c>
      <c r="M1651" s="67">
        <v>436</v>
      </c>
      <c r="N1651" s="65" t="s">
        <v>132</v>
      </c>
      <c r="O1651" s="68">
        <v>1150.9000000000001</v>
      </c>
      <c r="P1651" s="68">
        <v>501792.4</v>
      </c>
      <c r="Q1651" s="68">
        <v>39352.85</v>
      </c>
      <c r="R1651" s="62">
        <f t="shared" si="178"/>
        <v>7.8424563624319529E-2</v>
      </c>
      <c r="S1651" s="67">
        <v>24</v>
      </c>
      <c r="T1651" s="66">
        <v>45448</v>
      </c>
      <c r="U1651" s="66">
        <v>45443</v>
      </c>
      <c r="V1651" s="63">
        <f t="shared" si="179"/>
        <v>-5</v>
      </c>
      <c r="W1651" s="65" t="s">
        <v>115</v>
      </c>
      <c r="X1651" s="64" t="b">
        <f t="shared" si="180"/>
        <v>1</v>
      </c>
      <c r="Y1651" s="67">
        <v>430</v>
      </c>
      <c r="Z1651" s="67">
        <v>253</v>
      </c>
      <c r="AA1651" s="65" t="s">
        <v>81</v>
      </c>
      <c r="AB1651" s="64" t="b">
        <f t="shared" si="181"/>
        <v>1</v>
      </c>
    </row>
    <row r="1652" spans="1:28" ht="15" customHeight="1" x14ac:dyDescent="0.3">
      <c r="A1652" s="57" t="s">
        <v>3418</v>
      </c>
      <c r="B1652" s="82">
        <v>45548</v>
      </c>
      <c r="C1652" s="59">
        <f t="shared" si="175"/>
        <v>2024</v>
      </c>
      <c r="D1652" s="59">
        <f t="shared" si="176"/>
        <v>9</v>
      </c>
      <c r="E1652" s="59">
        <f t="shared" si="177"/>
        <v>37</v>
      </c>
      <c r="F1652" s="57" t="s">
        <v>56</v>
      </c>
      <c r="G1652" s="57" t="s">
        <v>39</v>
      </c>
      <c r="H1652" s="57" t="s">
        <v>3419</v>
      </c>
      <c r="I1652" s="57" t="s">
        <v>64</v>
      </c>
      <c r="J1652" s="57" t="s">
        <v>151</v>
      </c>
      <c r="K1652" s="57" t="s">
        <v>72</v>
      </c>
      <c r="L1652" s="57" t="s">
        <v>124</v>
      </c>
      <c r="M1652" s="60">
        <v>511</v>
      </c>
      <c r="N1652" s="57" t="s">
        <v>136</v>
      </c>
      <c r="O1652" s="61">
        <v>1703.79</v>
      </c>
      <c r="P1652" s="61">
        <v>870636.69</v>
      </c>
      <c r="Q1652" s="61">
        <v>52065.599999999999</v>
      </c>
      <c r="R1652" s="62">
        <f t="shared" si="178"/>
        <v>5.9801752669072561E-2</v>
      </c>
      <c r="S1652" s="60">
        <v>17</v>
      </c>
      <c r="T1652" s="58">
        <v>45565</v>
      </c>
      <c r="U1652" s="58">
        <v>45568</v>
      </c>
      <c r="V1652" s="63">
        <f t="shared" si="179"/>
        <v>3</v>
      </c>
      <c r="W1652" s="57" t="s">
        <v>128</v>
      </c>
      <c r="X1652" s="64" t="b">
        <f t="shared" si="180"/>
        <v>0</v>
      </c>
      <c r="Y1652" s="60">
        <v>83</v>
      </c>
      <c r="Z1652" s="60">
        <v>229</v>
      </c>
      <c r="AA1652" s="57" t="s">
        <v>84</v>
      </c>
      <c r="AB1652" s="64" t="b">
        <f t="shared" si="181"/>
        <v>1</v>
      </c>
    </row>
    <row r="1653" spans="1:28" ht="15" customHeight="1" x14ac:dyDescent="0.3">
      <c r="A1653" s="65" t="s">
        <v>3420</v>
      </c>
      <c r="B1653" s="81">
        <v>45379</v>
      </c>
      <c r="C1653" s="59">
        <f t="shared" si="175"/>
        <v>2024</v>
      </c>
      <c r="D1653" s="59">
        <f t="shared" si="176"/>
        <v>3</v>
      </c>
      <c r="E1653" s="59">
        <f t="shared" si="177"/>
        <v>13</v>
      </c>
      <c r="F1653" s="65" t="s">
        <v>57</v>
      </c>
      <c r="G1653" s="65" t="s">
        <v>39</v>
      </c>
      <c r="H1653" s="65" t="s">
        <v>3421</v>
      </c>
      <c r="I1653" s="65" t="s">
        <v>68</v>
      </c>
      <c r="J1653" s="65" t="s">
        <v>112</v>
      </c>
      <c r="K1653" s="65" t="s">
        <v>72</v>
      </c>
      <c r="L1653" s="65" t="s">
        <v>124</v>
      </c>
      <c r="M1653" s="67">
        <v>739</v>
      </c>
      <c r="N1653" s="65" t="s">
        <v>163</v>
      </c>
      <c r="O1653" s="68">
        <v>1373.69</v>
      </c>
      <c r="P1653" s="68">
        <v>1015156.91</v>
      </c>
      <c r="Q1653" s="68">
        <v>45168.65</v>
      </c>
      <c r="R1653" s="62">
        <f t="shared" si="178"/>
        <v>4.4494254587697186E-2</v>
      </c>
      <c r="S1653" s="67">
        <v>10</v>
      </c>
      <c r="T1653" s="66">
        <v>45389</v>
      </c>
      <c r="U1653" s="66">
        <v>45391</v>
      </c>
      <c r="V1653" s="63">
        <f t="shared" si="179"/>
        <v>2</v>
      </c>
      <c r="W1653" s="65" t="s">
        <v>125</v>
      </c>
      <c r="X1653" s="64" t="b">
        <f t="shared" si="180"/>
        <v>0</v>
      </c>
      <c r="Y1653" s="67">
        <v>375</v>
      </c>
      <c r="Z1653" s="67">
        <v>334</v>
      </c>
      <c r="AA1653" s="65" t="s">
        <v>84</v>
      </c>
      <c r="AB1653" s="64" t="b">
        <f t="shared" si="181"/>
        <v>1</v>
      </c>
    </row>
    <row r="1654" spans="1:28" ht="15" customHeight="1" x14ac:dyDescent="0.3">
      <c r="A1654" s="57" t="s">
        <v>3422</v>
      </c>
      <c r="B1654" s="82">
        <v>45351</v>
      </c>
      <c r="C1654" s="59">
        <f t="shared" si="175"/>
        <v>2024</v>
      </c>
      <c r="D1654" s="59">
        <f t="shared" si="176"/>
        <v>2</v>
      </c>
      <c r="E1654" s="59">
        <f t="shared" si="177"/>
        <v>9</v>
      </c>
      <c r="F1654" s="57" t="s">
        <v>59</v>
      </c>
      <c r="G1654" s="57" t="s">
        <v>42</v>
      </c>
      <c r="H1654" s="57" t="s">
        <v>3423</v>
      </c>
      <c r="I1654" s="57" t="s">
        <v>64</v>
      </c>
      <c r="J1654" s="57" t="s">
        <v>143</v>
      </c>
      <c r="K1654" s="57" t="s">
        <v>73</v>
      </c>
      <c r="L1654" s="57" t="s">
        <v>146</v>
      </c>
      <c r="M1654" s="60">
        <v>269</v>
      </c>
      <c r="N1654" s="57" t="s">
        <v>136</v>
      </c>
      <c r="O1654" s="61">
        <v>100.95</v>
      </c>
      <c r="P1654" s="61">
        <v>27155.55</v>
      </c>
      <c r="Q1654" s="61">
        <v>1000.08</v>
      </c>
      <c r="R1654" s="62">
        <f t="shared" si="178"/>
        <v>3.6827830774924464E-2</v>
      </c>
      <c r="S1654" s="60">
        <v>24</v>
      </c>
      <c r="T1654" s="58">
        <v>45375</v>
      </c>
      <c r="U1654" s="58">
        <v>45377</v>
      </c>
      <c r="V1654" s="63">
        <f t="shared" si="179"/>
        <v>2</v>
      </c>
      <c r="W1654" s="57" t="s">
        <v>128</v>
      </c>
      <c r="X1654" s="64" t="b">
        <f t="shared" si="180"/>
        <v>0</v>
      </c>
      <c r="Y1654" s="60">
        <v>221</v>
      </c>
      <c r="Z1654" s="60">
        <v>462</v>
      </c>
      <c r="AA1654" s="57" t="s">
        <v>82</v>
      </c>
      <c r="AB1654" s="64" t="b">
        <f t="shared" si="181"/>
        <v>1</v>
      </c>
    </row>
    <row r="1655" spans="1:28" ht="15" customHeight="1" x14ac:dyDescent="0.3">
      <c r="A1655" s="65" t="s">
        <v>3424</v>
      </c>
      <c r="B1655" s="81">
        <v>45206</v>
      </c>
      <c r="C1655" s="59">
        <f t="shared" si="175"/>
        <v>2023</v>
      </c>
      <c r="D1655" s="59">
        <f t="shared" si="176"/>
        <v>10</v>
      </c>
      <c r="E1655" s="59">
        <f t="shared" si="177"/>
        <v>40</v>
      </c>
      <c r="F1655" s="65" t="s">
        <v>61</v>
      </c>
      <c r="G1655" s="65" t="s">
        <v>41</v>
      </c>
      <c r="H1655" s="65" t="s">
        <v>3425</v>
      </c>
      <c r="I1655" s="65" t="s">
        <v>67</v>
      </c>
      <c r="J1655" s="65" t="s">
        <v>143</v>
      </c>
      <c r="K1655" s="65" t="s">
        <v>75</v>
      </c>
      <c r="L1655" s="65" t="s">
        <v>124</v>
      </c>
      <c r="M1655" s="67">
        <v>522</v>
      </c>
      <c r="N1655" s="65" t="s">
        <v>120</v>
      </c>
      <c r="O1655" s="68">
        <v>613.55999999999995</v>
      </c>
      <c r="P1655" s="68">
        <v>320278.32</v>
      </c>
      <c r="Q1655" s="68">
        <v>20454.95</v>
      </c>
      <c r="R1655" s="62">
        <f t="shared" si="178"/>
        <v>6.3866171147644341E-2</v>
      </c>
      <c r="S1655" s="67">
        <v>27</v>
      </c>
      <c r="T1655" s="66">
        <v>45233</v>
      </c>
      <c r="U1655" s="66">
        <v>45238</v>
      </c>
      <c r="V1655" s="63">
        <f t="shared" si="179"/>
        <v>5</v>
      </c>
      <c r="W1655" s="65" t="s">
        <v>128</v>
      </c>
      <c r="X1655" s="64" t="b">
        <f t="shared" si="180"/>
        <v>0</v>
      </c>
      <c r="Y1655" s="67">
        <v>324</v>
      </c>
      <c r="Z1655" s="67">
        <v>36</v>
      </c>
      <c r="AA1655" s="65" t="s">
        <v>82</v>
      </c>
      <c r="AB1655" s="64" t="b">
        <f t="shared" si="181"/>
        <v>1</v>
      </c>
    </row>
    <row r="1656" spans="1:28" ht="15" customHeight="1" x14ac:dyDescent="0.3">
      <c r="A1656" s="57" t="s">
        <v>3426</v>
      </c>
      <c r="B1656" s="82">
        <v>45147</v>
      </c>
      <c r="C1656" s="59">
        <f t="shared" si="175"/>
        <v>2023</v>
      </c>
      <c r="D1656" s="59">
        <f t="shared" si="176"/>
        <v>8</v>
      </c>
      <c r="E1656" s="59">
        <f t="shared" si="177"/>
        <v>32</v>
      </c>
      <c r="F1656" s="57" t="s">
        <v>57</v>
      </c>
      <c r="G1656" s="57" t="s">
        <v>43</v>
      </c>
      <c r="H1656" s="57" t="s">
        <v>3427</v>
      </c>
      <c r="I1656" s="57" t="s">
        <v>66</v>
      </c>
      <c r="J1656" s="57" t="s">
        <v>151</v>
      </c>
      <c r="K1656" s="57" t="s">
        <v>72</v>
      </c>
      <c r="L1656" s="57" t="s">
        <v>124</v>
      </c>
      <c r="M1656" s="60">
        <v>80</v>
      </c>
      <c r="N1656" s="57" t="s">
        <v>140</v>
      </c>
      <c r="O1656" s="61">
        <v>298.26</v>
      </c>
      <c r="P1656" s="61">
        <v>23860.799999999999</v>
      </c>
      <c r="Q1656" s="61">
        <v>823.94</v>
      </c>
      <c r="R1656" s="62">
        <f t="shared" si="178"/>
        <v>3.4531113793334678E-2</v>
      </c>
      <c r="S1656" s="60">
        <v>14</v>
      </c>
      <c r="T1656" s="58">
        <v>45161</v>
      </c>
      <c r="U1656" s="58">
        <v>45161</v>
      </c>
      <c r="V1656" s="63">
        <f t="shared" si="179"/>
        <v>0</v>
      </c>
      <c r="W1656" s="57" t="s">
        <v>115</v>
      </c>
      <c r="X1656" s="64" t="b">
        <f t="shared" si="180"/>
        <v>1</v>
      </c>
      <c r="Y1656" s="60">
        <v>450</v>
      </c>
      <c r="Z1656" s="60">
        <v>300</v>
      </c>
      <c r="AA1656" s="57" t="s">
        <v>84</v>
      </c>
      <c r="AB1656" s="64" t="b">
        <f t="shared" si="181"/>
        <v>1</v>
      </c>
    </row>
    <row r="1657" spans="1:28" ht="15" customHeight="1" x14ac:dyDescent="0.3">
      <c r="A1657" s="65" t="s">
        <v>3428</v>
      </c>
      <c r="B1657" s="81">
        <v>45451</v>
      </c>
      <c r="C1657" s="59">
        <f t="shared" si="175"/>
        <v>2024</v>
      </c>
      <c r="D1657" s="59">
        <f t="shared" si="176"/>
        <v>6</v>
      </c>
      <c r="E1657" s="59">
        <f t="shared" si="177"/>
        <v>23</v>
      </c>
      <c r="F1657" s="65" t="s">
        <v>61</v>
      </c>
      <c r="G1657" s="65" t="s">
        <v>40</v>
      </c>
      <c r="H1657" s="65" t="s">
        <v>3429</v>
      </c>
      <c r="I1657" s="65" t="s">
        <v>67</v>
      </c>
      <c r="J1657" s="65" t="s">
        <v>123</v>
      </c>
      <c r="K1657" s="65" t="s">
        <v>74</v>
      </c>
      <c r="L1657" s="65" t="s">
        <v>113</v>
      </c>
      <c r="M1657" s="67">
        <v>487</v>
      </c>
      <c r="N1657" s="65" t="s">
        <v>114</v>
      </c>
      <c r="O1657" s="68">
        <v>729.63</v>
      </c>
      <c r="P1657" s="68">
        <v>355329.81</v>
      </c>
      <c r="Q1657" s="68">
        <v>10767.42</v>
      </c>
      <c r="R1657" s="62">
        <f t="shared" si="178"/>
        <v>3.0302608160007741E-2</v>
      </c>
      <c r="S1657" s="67">
        <v>23</v>
      </c>
      <c r="T1657" s="66">
        <v>45474</v>
      </c>
      <c r="U1657" s="66">
        <v>45475</v>
      </c>
      <c r="V1657" s="63">
        <f t="shared" si="179"/>
        <v>1</v>
      </c>
      <c r="W1657" s="65" t="s">
        <v>128</v>
      </c>
      <c r="X1657" s="64" t="b">
        <f t="shared" si="180"/>
        <v>0</v>
      </c>
      <c r="Y1657" s="67">
        <v>415</v>
      </c>
      <c r="Z1657" s="67">
        <v>141</v>
      </c>
      <c r="AA1657" s="65" t="s">
        <v>83</v>
      </c>
      <c r="AB1657" s="64" t="b">
        <f t="shared" si="181"/>
        <v>1</v>
      </c>
    </row>
    <row r="1658" spans="1:28" ht="15" customHeight="1" x14ac:dyDescent="0.3">
      <c r="A1658" s="57" t="s">
        <v>3430</v>
      </c>
      <c r="B1658" s="82">
        <v>45043</v>
      </c>
      <c r="C1658" s="59">
        <f t="shared" si="175"/>
        <v>2023</v>
      </c>
      <c r="D1658" s="59">
        <f t="shared" si="176"/>
        <v>4</v>
      </c>
      <c r="E1658" s="59">
        <f t="shared" si="177"/>
        <v>17</v>
      </c>
      <c r="F1658" s="57" t="s">
        <v>52</v>
      </c>
      <c r="G1658" s="57" t="s">
        <v>42</v>
      </c>
      <c r="H1658" s="57" t="s">
        <v>3431</v>
      </c>
      <c r="I1658" s="57" t="s">
        <v>65</v>
      </c>
      <c r="J1658" s="57" t="s">
        <v>131</v>
      </c>
      <c r="K1658" s="57" t="s">
        <v>74</v>
      </c>
      <c r="L1658" s="57" t="s">
        <v>124</v>
      </c>
      <c r="M1658" s="60">
        <v>187</v>
      </c>
      <c r="N1658" s="57" t="s">
        <v>140</v>
      </c>
      <c r="O1658" s="61">
        <v>99.01</v>
      </c>
      <c r="P1658" s="61">
        <v>18514.87</v>
      </c>
      <c r="Q1658" s="61">
        <v>958.89</v>
      </c>
      <c r="R1658" s="62">
        <f t="shared" si="178"/>
        <v>5.1790263717757676E-2</v>
      </c>
      <c r="S1658" s="60">
        <v>17</v>
      </c>
      <c r="T1658" s="58">
        <v>45060</v>
      </c>
      <c r="U1658" s="58">
        <v>45060</v>
      </c>
      <c r="V1658" s="63">
        <f t="shared" si="179"/>
        <v>0</v>
      </c>
      <c r="W1658" s="57" t="s">
        <v>115</v>
      </c>
      <c r="X1658" s="64" t="b">
        <f t="shared" si="180"/>
        <v>1</v>
      </c>
      <c r="Y1658" s="60">
        <v>144</v>
      </c>
      <c r="Z1658" s="60">
        <v>42</v>
      </c>
      <c r="AA1658" s="57" t="s">
        <v>116</v>
      </c>
      <c r="AB1658" s="64" t="b">
        <f t="shared" si="181"/>
        <v>0</v>
      </c>
    </row>
    <row r="1659" spans="1:28" ht="15" customHeight="1" x14ac:dyDescent="0.3">
      <c r="A1659" s="65" t="s">
        <v>3432</v>
      </c>
      <c r="B1659" s="81">
        <v>45280</v>
      </c>
      <c r="C1659" s="59">
        <f t="shared" si="175"/>
        <v>2023</v>
      </c>
      <c r="D1659" s="59">
        <f t="shared" si="176"/>
        <v>12</v>
      </c>
      <c r="E1659" s="59">
        <f t="shared" si="177"/>
        <v>51</v>
      </c>
      <c r="F1659" s="65" t="s">
        <v>58</v>
      </c>
      <c r="G1659" s="65" t="s">
        <v>41</v>
      </c>
      <c r="H1659" s="65" t="s">
        <v>3433</v>
      </c>
      <c r="I1659" s="65" t="s">
        <v>65</v>
      </c>
      <c r="J1659" s="65" t="s">
        <v>143</v>
      </c>
      <c r="K1659" s="65" t="s">
        <v>73</v>
      </c>
      <c r="L1659" s="65" t="s">
        <v>113</v>
      </c>
      <c r="M1659" s="67">
        <v>466</v>
      </c>
      <c r="N1659" s="65" t="s">
        <v>163</v>
      </c>
      <c r="O1659" s="68">
        <v>370.81</v>
      </c>
      <c r="P1659" s="68">
        <v>172797.46</v>
      </c>
      <c r="Q1659" s="68">
        <v>6462.49</v>
      </c>
      <c r="R1659" s="62">
        <f t="shared" si="178"/>
        <v>3.7399218715367694E-2</v>
      </c>
      <c r="S1659" s="67">
        <v>18</v>
      </c>
      <c r="T1659" s="66">
        <v>45298</v>
      </c>
      <c r="U1659" s="66">
        <v>45301</v>
      </c>
      <c r="V1659" s="63">
        <f t="shared" si="179"/>
        <v>3</v>
      </c>
      <c r="W1659" s="65" t="s">
        <v>125</v>
      </c>
      <c r="X1659" s="64" t="b">
        <f t="shared" si="180"/>
        <v>0</v>
      </c>
      <c r="Y1659" s="67">
        <v>444</v>
      </c>
      <c r="Z1659" s="67">
        <v>115</v>
      </c>
      <c r="AA1659" s="65" t="s">
        <v>84</v>
      </c>
      <c r="AB1659" s="64" t="b">
        <f t="shared" si="181"/>
        <v>1</v>
      </c>
    </row>
    <row r="1660" spans="1:28" ht="15" customHeight="1" x14ac:dyDescent="0.3">
      <c r="A1660" s="57" t="s">
        <v>3434</v>
      </c>
      <c r="B1660" s="82">
        <v>45367</v>
      </c>
      <c r="C1660" s="59">
        <f t="shared" si="175"/>
        <v>2024</v>
      </c>
      <c r="D1660" s="59">
        <f t="shared" si="176"/>
        <v>3</v>
      </c>
      <c r="E1660" s="59">
        <f t="shared" si="177"/>
        <v>11</v>
      </c>
      <c r="F1660" s="57" t="s">
        <v>55</v>
      </c>
      <c r="G1660" s="57" t="s">
        <v>40</v>
      </c>
      <c r="H1660" s="57" t="s">
        <v>3435</v>
      </c>
      <c r="I1660" s="57" t="s">
        <v>64</v>
      </c>
      <c r="J1660" s="57" t="s">
        <v>139</v>
      </c>
      <c r="K1660" s="57" t="s">
        <v>71</v>
      </c>
      <c r="L1660" s="57" t="s">
        <v>135</v>
      </c>
      <c r="M1660" s="60">
        <v>198</v>
      </c>
      <c r="N1660" s="57" t="s">
        <v>136</v>
      </c>
      <c r="O1660" s="61">
        <v>632.73</v>
      </c>
      <c r="P1660" s="61">
        <v>125280.54</v>
      </c>
      <c r="Q1660" s="61">
        <v>7232.99</v>
      </c>
      <c r="R1660" s="62">
        <f t="shared" si="178"/>
        <v>5.7734345653363245E-2</v>
      </c>
      <c r="S1660" s="60">
        <v>19</v>
      </c>
      <c r="T1660" s="58">
        <v>45386</v>
      </c>
      <c r="U1660" s="58">
        <v>45385</v>
      </c>
      <c r="V1660" s="63">
        <f t="shared" si="179"/>
        <v>-1</v>
      </c>
      <c r="W1660" s="57" t="s">
        <v>115</v>
      </c>
      <c r="X1660" s="64" t="b">
        <f t="shared" si="180"/>
        <v>1</v>
      </c>
      <c r="Y1660" s="60">
        <v>105</v>
      </c>
      <c r="Z1660" s="60">
        <v>340</v>
      </c>
      <c r="AA1660" s="57" t="s">
        <v>116</v>
      </c>
      <c r="AB1660" s="64" t="b">
        <f t="shared" si="181"/>
        <v>0</v>
      </c>
    </row>
    <row r="1661" spans="1:28" ht="15" customHeight="1" x14ac:dyDescent="0.3">
      <c r="A1661" s="65" t="s">
        <v>3436</v>
      </c>
      <c r="B1661" s="81">
        <v>45040</v>
      </c>
      <c r="C1661" s="59">
        <f t="shared" si="175"/>
        <v>2023</v>
      </c>
      <c r="D1661" s="59">
        <f t="shared" si="176"/>
        <v>4</v>
      </c>
      <c r="E1661" s="59">
        <f t="shared" si="177"/>
        <v>17</v>
      </c>
      <c r="F1661" s="65" t="s">
        <v>55</v>
      </c>
      <c r="G1661" s="65" t="s">
        <v>39</v>
      </c>
      <c r="H1661" s="65" t="s">
        <v>3437</v>
      </c>
      <c r="I1661" s="65" t="s">
        <v>64</v>
      </c>
      <c r="J1661" s="65" t="s">
        <v>131</v>
      </c>
      <c r="K1661" s="65" t="s">
        <v>73</v>
      </c>
      <c r="L1661" s="65" t="s">
        <v>113</v>
      </c>
      <c r="M1661" s="67">
        <v>300</v>
      </c>
      <c r="N1661" s="65" t="s">
        <v>132</v>
      </c>
      <c r="O1661" s="68">
        <v>1054.7</v>
      </c>
      <c r="P1661" s="68">
        <v>316410</v>
      </c>
      <c r="Q1661" s="68">
        <v>8567.2199999999993</v>
      </c>
      <c r="R1661" s="62">
        <f t="shared" si="178"/>
        <v>2.7076325021333079E-2</v>
      </c>
      <c r="S1661" s="67">
        <v>17</v>
      </c>
      <c r="T1661" s="66">
        <v>45057</v>
      </c>
      <c r="U1661" s="66">
        <v>45056</v>
      </c>
      <c r="V1661" s="63">
        <f t="shared" si="179"/>
        <v>-1</v>
      </c>
      <c r="W1661" s="65" t="s">
        <v>115</v>
      </c>
      <c r="X1661" s="64" t="b">
        <f t="shared" si="180"/>
        <v>1</v>
      </c>
      <c r="Y1661" s="67">
        <v>324</v>
      </c>
      <c r="Z1661" s="67">
        <v>491</v>
      </c>
      <c r="AA1661" s="65" t="s">
        <v>82</v>
      </c>
      <c r="AB1661" s="64" t="b">
        <f t="shared" si="181"/>
        <v>1</v>
      </c>
    </row>
    <row r="1662" spans="1:28" ht="15" customHeight="1" x14ac:dyDescent="0.3">
      <c r="A1662" s="57" t="s">
        <v>3438</v>
      </c>
      <c r="B1662" s="82">
        <v>45217</v>
      </c>
      <c r="C1662" s="59">
        <f t="shared" si="175"/>
        <v>2023</v>
      </c>
      <c r="D1662" s="59">
        <f t="shared" si="176"/>
        <v>10</v>
      </c>
      <c r="E1662" s="59">
        <f t="shared" si="177"/>
        <v>42</v>
      </c>
      <c r="F1662" s="57" t="s">
        <v>52</v>
      </c>
      <c r="G1662" s="57" t="s">
        <v>41</v>
      </c>
      <c r="H1662" s="57" t="s">
        <v>3439</v>
      </c>
      <c r="I1662" s="57" t="s">
        <v>67</v>
      </c>
      <c r="J1662" s="57" t="s">
        <v>112</v>
      </c>
      <c r="K1662" s="57" t="s">
        <v>73</v>
      </c>
      <c r="L1662" s="57" t="s">
        <v>113</v>
      </c>
      <c r="M1662" s="60">
        <v>529</v>
      </c>
      <c r="N1662" s="57" t="s">
        <v>136</v>
      </c>
      <c r="O1662" s="61">
        <v>749.78</v>
      </c>
      <c r="P1662" s="61">
        <v>396633.62</v>
      </c>
      <c r="Q1662" s="61">
        <v>23518.97</v>
      </c>
      <c r="R1662" s="62">
        <f t="shared" si="178"/>
        <v>5.9296461051385412E-2</v>
      </c>
      <c r="S1662" s="60">
        <v>14</v>
      </c>
      <c r="T1662" s="58">
        <v>45231</v>
      </c>
      <c r="U1662" s="58">
        <v>45230</v>
      </c>
      <c r="V1662" s="63">
        <f t="shared" si="179"/>
        <v>-1</v>
      </c>
      <c r="W1662" s="57" t="s">
        <v>115</v>
      </c>
      <c r="X1662" s="64" t="b">
        <f t="shared" si="180"/>
        <v>1</v>
      </c>
      <c r="Y1662" s="60">
        <v>10</v>
      </c>
      <c r="Z1662" s="60">
        <v>83</v>
      </c>
      <c r="AA1662" s="57" t="s">
        <v>116</v>
      </c>
      <c r="AB1662" s="64" t="b">
        <f t="shared" si="181"/>
        <v>0</v>
      </c>
    </row>
    <row r="1663" spans="1:28" ht="15" customHeight="1" x14ac:dyDescent="0.3">
      <c r="A1663" s="65" t="s">
        <v>3440</v>
      </c>
      <c r="B1663" s="81">
        <v>45621</v>
      </c>
      <c r="C1663" s="59">
        <f t="shared" si="175"/>
        <v>2024</v>
      </c>
      <c r="D1663" s="59">
        <f t="shared" si="176"/>
        <v>11</v>
      </c>
      <c r="E1663" s="59">
        <f t="shared" si="177"/>
        <v>48</v>
      </c>
      <c r="F1663" s="65" t="s">
        <v>57</v>
      </c>
      <c r="G1663" s="65" t="s">
        <v>41</v>
      </c>
      <c r="H1663" s="65" t="s">
        <v>3441</v>
      </c>
      <c r="I1663" s="65" t="s">
        <v>67</v>
      </c>
      <c r="J1663" s="65" t="s">
        <v>151</v>
      </c>
      <c r="K1663" s="65" t="s">
        <v>75</v>
      </c>
      <c r="L1663" s="65" t="s">
        <v>156</v>
      </c>
      <c r="M1663" s="67">
        <v>774</v>
      </c>
      <c r="N1663" s="65" t="s">
        <v>163</v>
      </c>
      <c r="O1663" s="68">
        <v>670.91</v>
      </c>
      <c r="P1663" s="68">
        <v>519284.34</v>
      </c>
      <c r="Q1663" s="68">
        <v>19212.37</v>
      </c>
      <c r="R1663" s="62">
        <f t="shared" si="178"/>
        <v>3.6997784296749638E-2</v>
      </c>
      <c r="S1663" s="67">
        <v>9</v>
      </c>
      <c r="T1663" s="66">
        <v>45630</v>
      </c>
      <c r="U1663" s="66">
        <v>45635</v>
      </c>
      <c r="V1663" s="63">
        <f t="shared" si="179"/>
        <v>5</v>
      </c>
      <c r="W1663" s="65" t="s">
        <v>125</v>
      </c>
      <c r="X1663" s="64" t="b">
        <f t="shared" si="180"/>
        <v>0</v>
      </c>
      <c r="Y1663" s="67">
        <v>165</v>
      </c>
      <c r="Z1663" s="67">
        <v>416</v>
      </c>
      <c r="AA1663" s="65" t="s">
        <v>82</v>
      </c>
      <c r="AB1663" s="64" t="b">
        <f t="shared" si="181"/>
        <v>1</v>
      </c>
    </row>
    <row r="1664" spans="1:28" ht="15" customHeight="1" x14ac:dyDescent="0.3">
      <c r="A1664" s="57" t="s">
        <v>3442</v>
      </c>
      <c r="B1664" s="82">
        <v>45621</v>
      </c>
      <c r="C1664" s="59">
        <f t="shared" si="175"/>
        <v>2024</v>
      </c>
      <c r="D1664" s="59">
        <f t="shared" si="176"/>
        <v>11</v>
      </c>
      <c r="E1664" s="59">
        <f t="shared" si="177"/>
        <v>48</v>
      </c>
      <c r="F1664" s="57" t="s">
        <v>59</v>
      </c>
      <c r="G1664" s="57" t="s">
        <v>44</v>
      </c>
      <c r="H1664" s="57" t="s">
        <v>3443</v>
      </c>
      <c r="I1664" s="57" t="s">
        <v>68</v>
      </c>
      <c r="J1664" s="57" t="s">
        <v>131</v>
      </c>
      <c r="K1664" s="57" t="s">
        <v>75</v>
      </c>
      <c r="L1664" s="57" t="s">
        <v>113</v>
      </c>
      <c r="M1664" s="60">
        <v>929</v>
      </c>
      <c r="N1664" s="57" t="s">
        <v>163</v>
      </c>
      <c r="O1664" s="61">
        <v>159.53</v>
      </c>
      <c r="P1664" s="61">
        <v>148203.37</v>
      </c>
      <c r="Q1664" s="61">
        <v>2966.23</v>
      </c>
      <c r="R1664" s="62">
        <f t="shared" si="178"/>
        <v>2.0014592110827172E-2</v>
      </c>
      <c r="S1664" s="60">
        <v>8</v>
      </c>
      <c r="T1664" s="58">
        <v>45629</v>
      </c>
      <c r="U1664" s="58">
        <v>45628</v>
      </c>
      <c r="V1664" s="63">
        <f t="shared" si="179"/>
        <v>-1</v>
      </c>
      <c r="W1664" s="57" t="s">
        <v>115</v>
      </c>
      <c r="X1664" s="64" t="b">
        <f t="shared" si="180"/>
        <v>1</v>
      </c>
      <c r="Y1664" s="60">
        <v>195</v>
      </c>
      <c r="Z1664" s="60">
        <v>258</v>
      </c>
      <c r="AA1664" s="57" t="s">
        <v>84</v>
      </c>
      <c r="AB1664" s="64" t="b">
        <f t="shared" si="181"/>
        <v>1</v>
      </c>
    </row>
    <row r="1665" spans="1:28" ht="15" customHeight="1" x14ac:dyDescent="0.3">
      <c r="A1665" s="65" t="s">
        <v>3444</v>
      </c>
      <c r="B1665" s="81">
        <v>45534</v>
      </c>
      <c r="C1665" s="59">
        <f t="shared" si="175"/>
        <v>2024</v>
      </c>
      <c r="D1665" s="59">
        <f t="shared" si="176"/>
        <v>8</v>
      </c>
      <c r="E1665" s="59">
        <f t="shared" si="177"/>
        <v>35</v>
      </c>
      <c r="F1665" s="65" t="s">
        <v>61</v>
      </c>
      <c r="G1665" s="65" t="s">
        <v>41</v>
      </c>
      <c r="H1665" s="65" t="s">
        <v>3445</v>
      </c>
      <c r="I1665" s="65" t="s">
        <v>69</v>
      </c>
      <c r="J1665" s="65" t="s">
        <v>139</v>
      </c>
      <c r="K1665" s="65" t="s">
        <v>71</v>
      </c>
      <c r="L1665" s="65" t="s">
        <v>113</v>
      </c>
      <c r="M1665" s="67">
        <v>988</v>
      </c>
      <c r="N1665" s="65" t="s">
        <v>114</v>
      </c>
      <c r="O1665" s="68">
        <v>553.89</v>
      </c>
      <c r="P1665" s="68">
        <v>547243.31999999995</v>
      </c>
      <c r="Q1665" s="68">
        <v>15112.76</v>
      </c>
      <c r="R1665" s="62">
        <f t="shared" si="178"/>
        <v>2.7616161673750538E-2</v>
      </c>
      <c r="S1665" s="67">
        <v>2</v>
      </c>
      <c r="T1665" s="66">
        <v>45536</v>
      </c>
      <c r="U1665" s="66">
        <v>45539</v>
      </c>
      <c r="V1665" s="63">
        <f t="shared" si="179"/>
        <v>3</v>
      </c>
      <c r="W1665" s="65" t="s">
        <v>128</v>
      </c>
      <c r="X1665" s="64" t="b">
        <f t="shared" si="180"/>
        <v>0</v>
      </c>
      <c r="Y1665" s="67">
        <v>230</v>
      </c>
      <c r="Z1665" s="67">
        <v>359</v>
      </c>
      <c r="AA1665" s="65" t="s">
        <v>82</v>
      </c>
      <c r="AB1665" s="64" t="b">
        <f t="shared" si="181"/>
        <v>1</v>
      </c>
    </row>
    <row r="1666" spans="1:28" ht="15" customHeight="1" x14ac:dyDescent="0.3">
      <c r="A1666" s="57" t="s">
        <v>3446</v>
      </c>
      <c r="B1666" s="82">
        <v>45425</v>
      </c>
      <c r="C1666" s="59">
        <f t="shared" ref="C1666:C1729" si="182">YEAR(B1666)</f>
        <v>2024</v>
      </c>
      <c r="D1666" s="59">
        <f t="shared" ref="D1666:D1729" si="183">MONTH(B1666)</f>
        <v>5</v>
      </c>
      <c r="E1666" s="59">
        <f t="shared" ref="E1666:E1729" si="184">WEEKNUM(B1666,1)</f>
        <v>20</v>
      </c>
      <c r="F1666" s="57" t="s">
        <v>57</v>
      </c>
      <c r="G1666" s="57" t="s">
        <v>43</v>
      </c>
      <c r="H1666" s="57" t="s">
        <v>3447</v>
      </c>
      <c r="I1666" s="57" t="s">
        <v>68</v>
      </c>
      <c r="J1666" s="57" t="s">
        <v>139</v>
      </c>
      <c r="K1666" s="57" t="s">
        <v>71</v>
      </c>
      <c r="L1666" s="57" t="s">
        <v>156</v>
      </c>
      <c r="M1666" s="60">
        <v>301</v>
      </c>
      <c r="N1666" s="57" t="s">
        <v>163</v>
      </c>
      <c r="O1666" s="61">
        <v>188.01</v>
      </c>
      <c r="P1666" s="61">
        <v>56591.01</v>
      </c>
      <c r="Q1666" s="61">
        <v>4301.87</v>
      </c>
      <c r="R1666" s="62">
        <f t="shared" ref="R1666:R1729" si="185">Q1666/P1666</f>
        <v>7.6016844371570677E-2</v>
      </c>
      <c r="S1666" s="60">
        <v>13</v>
      </c>
      <c r="T1666" s="58">
        <v>45438</v>
      </c>
      <c r="U1666" s="58">
        <v>45450</v>
      </c>
      <c r="V1666" s="63">
        <f t="shared" ref="V1666:V1729" si="186">U1666-T1666</f>
        <v>12</v>
      </c>
      <c r="W1666" s="57" t="s">
        <v>125</v>
      </c>
      <c r="X1666" s="64" t="b">
        <f t="shared" ref="X1666:X1729" si="187">IF(W1666="Entregado", TRUE(), FALSE())</f>
        <v>0</v>
      </c>
      <c r="Y1666" s="60">
        <v>146</v>
      </c>
      <c r="Z1666" s="60">
        <v>86</v>
      </c>
      <c r="AA1666" s="57" t="s">
        <v>84</v>
      </c>
      <c r="AB1666" s="64" t="b">
        <f t="shared" ref="AB1666:AB1729" si="188">IF(AA1666="Ninguna",FALSE(),TRUE())</f>
        <v>1</v>
      </c>
    </row>
    <row r="1667" spans="1:28" ht="15" customHeight="1" x14ac:dyDescent="0.3">
      <c r="A1667" s="65" t="s">
        <v>3448</v>
      </c>
      <c r="B1667" s="81">
        <v>45466</v>
      </c>
      <c r="C1667" s="59">
        <f t="shared" si="182"/>
        <v>2024</v>
      </c>
      <c r="D1667" s="59">
        <f t="shared" si="183"/>
        <v>6</v>
      </c>
      <c r="E1667" s="59">
        <f t="shared" si="184"/>
        <v>26</v>
      </c>
      <c r="F1667" s="65" t="s">
        <v>56</v>
      </c>
      <c r="G1667" s="65" t="s">
        <v>41</v>
      </c>
      <c r="H1667" s="65" t="s">
        <v>3449</v>
      </c>
      <c r="I1667" s="65" t="s">
        <v>65</v>
      </c>
      <c r="J1667" s="65" t="s">
        <v>151</v>
      </c>
      <c r="K1667" s="65" t="s">
        <v>71</v>
      </c>
      <c r="L1667" s="65" t="s">
        <v>113</v>
      </c>
      <c r="M1667" s="67">
        <v>955</v>
      </c>
      <c r="N1667" s="65" t="s">
        <v>140</v>
      </c>
      <c r="O1667" s="68">
        <v>410.51</v>
      </c>
      <c r="P1667" s="68">
        <v>392037.05</v>
      </c>
      <c r="Q1667" s="68">
        <v>28242.85</v>
      </c>
      <c r="R1667" s="62">
        <f t="shared" si="185"/>
        <v>7.2041277731275652E-2</v>
      </c>
      <c r="S1667" s="67">
        <v>25</v>
      </c>
      <c r="T1667" s="66">
        <v>45491</v>
      </c>
      <c r="U1667" s="66">
        <v>45491</v>
      </c>
      <c r="V1667" s="63">
        <f t="shared" si="186"/>
        <v>0</v>
      </c>
      <c r="W1667" s="65" t="s">
        <v>115</v>
      </c>
      <c r="X1667" s="64" t="b">
        <f t="shared" si="187"/>
        <v>1</v>
      </c>
      <c r="Y1667" s="67">
        <v>358</v>
      </c>
      <c r="Z1667" s="67">
        <v>427</v>
      </c>
      <c r="AA1667" s="65" t="s">
        <v>81</v>
      </c>
      <c r="AB1667" s="64" t="b">
        <f t="shared" si="188"/>
        <v>1</v>
      </c>
    </row>
    <row r="1668" spans="1:28" ht="15" customHeight="1" x14ac:dyDescent="0.3">
      <c r="A1668" s="57" t="s">
        <v>3450</v>
      </c>
      <c r="B1668" s="82">
        <v>45610</v>
      </c>
      <c r="C1668" s="59">
        <f t="shared" si="182"/>
        <v>2024</v>
      </c>
      <c r="D1668" s="59">
        <f t="shared" si="183"/>
        <v>11</v>
      </c>
      <c r="E1668" s="59">
        <f t="shared" si="184"/>
        <v>46</v>
      </c>
      <c r="F1668" s="57" t="s">
        <v>59</v>
      </c>
      <c r="G1668" s="57" t="s">
        <v>43</v>
      </c>
      <c r="H1668" s="57" t="s">
        <v>3451</v>
      </c>
      <c r="I1668" s="57" t="s">
        <v>68</v>
      </c>
      <c r="J1668" s="57" t="s">
        <v>151</v>
      </c>
      <c r="K1668" s="57" t="s">
        <v>71</v>
      </c>
      <c r="L1668" s="57" t="s">
        <v>124</v>
      </c>
      <c r="M1668" s="60">
        <v>765</v>
      </c>
      <c r="N1668" s="57" t="s">
        <v>114</v>
      </c>
      <c r="O1668" s="61">
        <v>185.55</v>
      </c>
      <c r="P1668" s="61">
        <v>141945.75</v>
      </c>
      <c r="Q1668" s="61">
        <v>4828.5</v>
      </c>
      <c r="R1668" s="62">
        <f t="shared" si="185"/>
        <v>3.4016516873523861E-2</v>
      </c>
      <c r="S1668" s="60">
        <v>7</v>
      </c>
      <c r="T1668" s="58">
        <v>45617</v>
      </c>
      <c r="U1668" s="58">
        <v>45618</v>
      </c>
      <c r="V1668" s="63">
        <f t="shared" si="186"/>
        <v>1</v>
      </c>
      <c r="W1668" s="57" t="s">
        <v>128</v>
      </c>
      <c r="X1668" s="64" t="b">
        <f t="shared" si="187"/>
        <v>0</v>
      </c>
      <c r="Y1668" s="60">
        <v>237</v>
      </c>
      <c r="Z1668" s="60">
        <v>366</v>
      </c>
      <c r="AA1668" s="57" t="s">
        <v>116</v>
      </c>
      <c r="AB1668" s="64" t="b">
        <f t="shared" si="188"/>
        <v>0</v>
      </c>
    </row>
    <row r="1669" spans="1:28" ht="15" customHeight="1" x14ac:dyDescent="0.3">
      <c r="A1669" s="65" t="s">
        <v>3452</v>
      </c>
      <c r="B1669" s="81">
        <v>45242</v>
      </c>
      <c r="C1669" s="59">
        <f t="shared" si="182"/>
        <v>2023</v>
      </c>
      <c r="D1669" s="59">
        <f t="shared" si="183"/>
        <v>11</v>
      </c>
      <c r="E1669" s="59">
        <f t="shared" si="184"/>
        <v>46</v>
      </c>
      <c r="F1669" s="65" t="s">
        <v>56</v>
      </c>
      <c r="G1669" s="65" t="s">
        <v>39</v>
      </c>
      <c r="H1669" s="65" t="s">
        <v>3453</v>
      </c>
      <c r="I1669" s="65" t="s">
        <v>67</v>
      </c>
      <c r="J1669" s="65" t="s">
        <v>131</v>
      </c>
      <c r="K1669" s="65" t="s">
        <v>71</v>
      </c>
      <c r="L1669" s="65" t="s">
        <v>113</v>
      </c>
      <c r="M1669" s="67">
        <v>644</v>
      </c>
      <c r="N1669" s="65" t="s">
        <v>136</v>
      </c>
      <c r="O1669" s="68">
        <v>1501.17</v>
      </c>
      <c r="P1669" s="68">
        <v>966753.48</v>
      </c>
      <c r="Q1669" s="68">
        <v>64484.69</v>
      </c>
      <c r="R1669" s="62">
        <f t="shared" si="185"/>
        <v>6.6702309672575483E-2</v>
      </c>
      <c r="S1669" s="67">
        <v>9</v>
      </c>
      <c r="T1669" s="66">
        <v>45251</v>
      </c>
      <c r="U1669" s="66">
        <v>45254</v>
      </c>
      <c r="V1669" s="63">
        <f t="shared" si="186"/>
        <v>3</v>
      </c>
      <c r="W1669" s="65" t="s">
        <v>125</v>
      </c>
      <c r="X1669" s="64" t="b">
        <f t="shared" si="187"/>
        <v>0</v>
      </c>
      <c r="Y1669" s="67">
        <v>496</v>
      </c>
      <c r="Z1669" s="67">
        <v>342</v>
      </c>
      <c r="AA1669" s="65" t="s">
        <v>83</v>
      </c>
      <c r="AB1669" s="64" t="b">
        <f t="shared" si="188"/>
        <v>1</v>
      </c>
    </row>
    <row r="1670" spans="1:28" ht="15" customHeight="1" x14ac:dyDescent="0.3">
      <c r="A1670" s="57" t="s">
        <v>3454</v>
      </c>
      <c r="B1670" s="82">
        <v>44973</v>
      </c>
      <c r="C1670" s="59">
        <f t="shared" si="182"/>
        <v>2023</v>
      </c>
      <c r="D1670" s="59">
        <f t="shared" si="183"/>
        <v>2</v>
      </c>
      <c r="E1670" s="59">
        <f t="shared" si="184"/>
        <v>7</v>
      </c>
      <c r="F1670" s="57" t="s">
        <v>52</v>
      </c>
      <c r="G1670" s="57" t="s">
        <v>43</v>
      </c>
      <c r="H1670" s="57" t="s">
        <v>3455</v>
      </c>
      <c r="I1670" s="57" t="s">
        <v>68</v>
      </c>
      <c r="J1670" s="57" t="s">
        <v>112</v>
      </c>
      <c r="K1670" s="57" t="s">
        <v>73</v>
      </c>
      <c r="L1670" s="57" t="s">
        <v>135</v>
      </c>
      <c r="M1670" s="60">
        <v>820</v>
      </c>
      <c r="N1670" s="57" t="s">
        <v>136</v>
      </c>
      <c r="O1670" s="61">
        <v>261.01</v>
      </c>
      <c r="P1670" s="61">
        <v>214028.2</v>
      </c>
      <c r="Q1670" s="61">
        <v>12095.65</v>
      </c>
      <c r="R1670" s="62">
        <f t="shared" si="185"/>
        <v>5.6514281762870495E-2</v>
      </c>
      <c r="S1670" s="60">
        <v>22</v>
      </c>
      <c r="T1670" s="58">
        <v>44995</v>
      </c>
      <c r="U1670" s="58">
        <v>45003</v>
      </c>
      <c r="V1670" s="63">
        <f t="shared" si="186"/>
        <v>8</v>
      </c>
      <c r="W1670" s="57" t="s">
        <v>128</v>
      </c>
      <c r="X1670" s="64" t="b">
        <f t="shared" si="187"/>
        <v>0</v>
      </c>
      <c r="Y1670" s="60">
        <v>470</v>
      </c>
      <c r="Z1670" s="60">
        <v>346</v>
      </c>
      <c r="AA1670" s="57" t="s">
        <v>116</v>
      </c>
      <c r="AB1670" s="64" t="b">
        <f t="shared" si="188"/>
        <v>0</v>
      </c>
    </row>
    <row r="1671" spans="1:28" ht="15" customHeight="1" x14ac:dyDescent="0.3">
      <c r="A1671" s="65" t="s">
        <v>3456</v>
      </c>
      <c r="B1671" s="81">
        <v>45152</v>
      </c>
      <c r="C1671" s="59">
        <f t="shared" si="182"/>
        <v>2023</v>
      </c>
      <c r="D1671" s="59">
        <f t="shared" si="183"/>
        <v>8</v>
      </c>
      <c r="E1671" s="59">
        <f t="shared" si="184"/>
        <v>33</v>
      </c>
      <c r="F1671" s="65" t="s">
        <v>54</v>
      </c>
      <c r="G1671" s="65" t="s">
        <v>40</v>
      </c>
      <c r="H1671" s="65" t="s">
        <v>3457</v>
      </c>
      <c r="I1671" s="65" t="s">
        <v>66</v>
      </c>
      <c r="J1671" s="65" t="s">
        <v>123</v>
      </c>
      <c r="K1671" s="65" t="s">
        <v>73</v>
      </c>
      <c r="L1671" s="65" t="s">
        <v>113</v>
      </c>
      <c r="M1671" s="67">
        <v>292</v>
      </c>
      <c r="N1671" s="65" t="s">
        <v>132</v>
      </c>
      <c r="O1671" s="68">
        <v>905.38</v>
      </c>
      <c r="P1671" s="68">
        <v>264370.96000000002</v>
      </c>
      <c r="Q1671" s="68">
        <v>20688.16</v>
      </c>
      <c r="R1671" s="62">
        <f t="shared" si="185"/>
        <v>7.8254283299497032E-2</v>
      </c>
      <c r="S1671" s="67">
        <v>22</v>
      </c>
      <c r="T1671" s="66">
        <v>45174</v>
      </c>
      <c r="U1671" s="66">
        <v>45186</v>
      </c>
      <c r="V1671" s="63">
        <f t="shared" si="186"/>
        <v>12</v>
      </c>
      <c r="W1671" s="65" t="s">
        <v>125</v>
      </c>
      <c r="X1671" s="64" t="b">
        <f t="shared" si="187"/>
        <v>0</v>
      </c>
      <c r="Y1671" s="67">
        <v>400</v>
      </c>
      <c r="Z1671" s="67">
        <v>290</v>
      </c>
      <c r="AA1671" s="65" t="s">
        <v>116</v>
      </c>
      <c r="AB1671" s="64" t="b">
        <f t="shared" si="188"/>
        <v>0</v>
      </c>
    </row>
    <row r="1672" spans="1:28" ht="15" customHeight="1" x14ac:dyDescent="0.3">
      <c r="A1672" s="57" t="s">
        <v>3458</v>
      </c>
      <c r="B1672" s="82">
        <v>45331</v>
      </c>
      <c r="C1672" s="59">
        <f t="shared" si="182"/>
        <v>2024</v>
      </c>
      <c r="D1672" s="59">
        <f t="shared" si="183"/>
        <v>2</v>
      </c>
      <c r="E1672" s="59">
        <f t="shared" si="184"/>
        <v>6</v>
      </c>
      <c r="F1672" s="57" t="s">
        <v>55</v>
      </c>
      <c r="G1672" s="57" t="s">
        <v>39</v>
      </c>
      <c r="H1672" s="57" t="s">
        <v>3459</v>
      </c>
      <c r="I1672" s="57" t="s">
        <v>69</v>
      </c>
      <c r="J1672" s="57" t="s">
        <v>139</v>
      </c>
      <c r="K1672" s="57" t="s">
        <v>74</v>
      </c>
      <c r="L1672" s="57" t="s">
        <v>113</v>
      </c>
      <c r="M1672" s="60">
        <v>553</v>
      </c>
      <c r="N1672" s="57" t="s">
        <v>163</v>
      </c>
      <c r="O1672" s="61">
        <v>1142.98</v>
      </c>
      <c r="P1672" s="61">
        <v>632067.93999999994</v>
      </c>
      <c r="Q1672" s="61">
        <v>26810.01</v>
      </c>
      <c r="R1672" s="62">
        <f t="shared" si="185"/>
        <v>4.2416342141953917E-2</v>
      </c>
      <c r="S1672" s="60">
        <v>11</v>
      </c>
      <c r="T1672" s="58">
        <v>45342</v>
      </c>
      <c r="U1672" s="58">
        <v>45343</v>
      </c>
      <c r="V1672" s="63">
        <f t="shared" si="186"/>
        <v>1</v>
      </c>
      <c r="W1672" s="57" t="s">
        <v>128</v>
      </c>
      <c r="X1672" s="64" t="b">
        <f t="shared" si="187"/>
        <v>0</v>
      </c>
      <c r="Y1672" s="60">
        <v>12</v>
      </c>
      <c r="Z1672" s="60">
        <v>408</v>
      </c>
      <c r="AA1672" s="57" t="s">
        <v>116</v>
      </c>
      <c r="AB1672" s="64" t="b">
        <f t="shared" si="188"/>
        <v>0</v>
      </c>
    </row>
    <row r="1673" spans="1:28" ht="15" customHeight="1" x14ac:dyDescent="0.3">
      <c r="A1673" s="65" t="s">
        <v>3460</v>
      </c>
      <c r="B1673" s="81">
        <v>45540</v>
      </c>
      <c r="C1673" s="59">
        <f t="shared" si="182"/>
        <v>2024</v>
      </c>
      <c r="D1673" s="59">
        <f t="shared" si="183"/>
        <v>9</v>
      </c>
      <c r="E1673" s="59">
        <f t="shared" si="184"/>
        <v>36</v>
      </c>
      <c r="F1673" s="65" t="s">
        <v>55</v>
      </c>
      <c r="G1673" s="65" t="s">
        <v>39</v>
      </c>
      <c r="H1673" s="65" t="s">
        <v>3461</v>
      </c>
      <c r="I1673" s="65" t="s">
        <v>67</v>
      </c>
      <c r="J1673" s="65" t="s">
        <v>151</v>
      </c>
      <c r="K1673" s="65" t="s">
        <v>74</v>
      </c>
      <c r="L1673" s="65" t="s">
        <v>135</v>
      </c>
      <c r="M1673" s="67">
        <v>855</v>
      </c>
      <c r="N1673" s="65" t="s">
        <v>163</v>
      </c>
      <c r="O1673" s="68">
        <v>1071.6300000000001</v>
      </c>
      <c r="P1673" s="68">
        <v>916243.65</v>
      </c>
      <c r="Q1673" s="68">
        <v>55787.91</v>
      </c>
      <c r="R1673" s="62">
        <f t="shared" si="185"/>
        <v>6.0887636165336594E-2</v>
      </c>
      <c r="S1673" s="67">
        <v>14</v>
      </c>
      <c r="T1673" s="66">
        <v>45554</v>
      </c>
      <c r="U1673" s="66">
        <v>45557</v>
      </c>
      <c r="V1673" s="63">
        <f t="shared" si="186"/>
        <v>3</v>
      </c>
      <c r="W1673" s="65" t="s">
        <v>125</v>
      </c>
      <c r="X1673" s="64" t="b">
        <f t="shared" si="187"/>
        <v>0</v>
      </c>
      <c r="Y1673" s="67">
        <v>218</v>
      </c>
      <c r="Z1673" s="67">
        <v>95</v>
      </c>
      <c r="AA1673" s="65" t="s">
        <v>116</v>
      </c>
      <c r="AB1673" s="64" t="b">
        <f t="shared" si="188"/>
        <v>0</v>
      </c>
    </row>
    <row r="1674" spans="1:28" ht="15" customHeight="1" x14ac:dyDescent="0.3">
      <c r="A1674" s="57" t="s">
        <v>3462</v>
      </c>
      <c r="B1674" s="82">
        <v>44983</v>
      </c>
      <c r="C1674" s="59">
        <f t="shared" si="182"/>
        <v>2023</v>
      </c>
      <c r="D1674" s="59">
        <f t="shared" si="183"/>
        <v>2</v>
      </c>
      <c r="E1674" s="59">
        <f t="shared" si="184"/>
        <v>9</v>
      </c>
      <c r="F1674" s="57" t="s">
        <v>61</v>
      </c>
      <c r="G1674" s="57" t="s">
        <v>43</v>
      </c>
      <c r="H1674" s="57" t="s">
        <v>3463</v>
      </c>
      <c r="I1674" s="57" t="s">
        <v>64</v>
      </c>
      <c r="J1674" s="57" t="s">
        <v>123</v>
      </c>
      <c r="K1674" s="57" t="s">
        <v>72</v>
      </c>
      <c r="L1674" s="57" t="s">
        <v>156</v>
      </c>
      <c r="M1674" s="60">
        <v>386</v>
      </c>
      <c r="N1674" s="57" t="s">
        <v>120</v>
      </c>
      <c r="O1674" s="61">
        <v>156.37</v>
      </c>
      <c r="P1674" s="61">
        <v>60358.82</v>
      </c>
      <c r="Q1674" s="61">
        <v>1437.27</v>
      </c>
      <c r="R1674" s="62">
        <f t="shared" si="185"/>
        <v>2.3812095730168351E-2</v>
      </c>
      <c r="S1674" s="60">
        <v>4</v>
      </c>
      <c r="T1674" s="58">
        <v>44987</v>
      </c>
      <c r="U1674" s="58">
        <v>44999</v>
      </c>
      <c r="V1674" s="63">
        <f t="shared" si="186"/>
        <v>12</v>
      </c>
      <c r="W1674" s="57" t="s">
        <v>125</v>
      </c>
      <c r="X1674" s="64" t="b">
        <f t="shared" si="187"/>
        <v>0</v>
      </c>
      <c r="Y1674" s="60">
        <v>256</v>
      </c>
      <c r="Z1674" s="60">
        <v>254</v>
      </c>
      <c r="AA1674" s="57" t="s">
        <v>84</v>
      </c>
      <c r="AB1674" s="64" t="b">
        <f t="shared" si="188"/>
        <v>1</v>
      </c>
    </row>
    <row r="1675" spans="1:28" ht="15" customHeight="1" x14ac:dyDescent="0.3">
      <c r="A1675" s="65" t="s">
        <v>3464</v>
      </c>
      <c r="B1675" s="81">
        <v>44934</v>
      </c>
      <c r="C1675" s="59">
        <f t="shared" si="182"/>
        <v>2023</v>
      </c>
      <c r="D1675" s="59">
        <f t="shared" si="183"/>
        <v>1</v>
      </c>
      <c r="E1675" s="59">
        <f t="shared" si="184"/>
        <v>2</v>
      </c>
      <c r="F1675" s="65" t="s">
        <v>58</v>
      </c>
      <c r="G1675" s="65" t="s">
        <v>45</v>
      </c>
      <c r="H1675" s="65" t="s">
        <v>3465</v>
      </c>
      <c r="I1675" s="65" t="s">
        <v>68</v>
      </c>
      <c r="J1675" s="65" t="s">
        <v>123</v>
      </c>
      <c r="K1675" s="65" t="s">
        <v>73</v>
      </c>
      <c r="L1675" s="65" t="s">
        <v>124</v>
      </c>
      <c r="M1675" s="67">
        <v>667</v>
      </c>
      <c r="N1675" s="65" t="s">
        <v>114</v>
      </c>
      <c r="O1675" s="68">
        <v>205.68</v>
      </c>
      <c r="P1675" s="68">
        <v>137188.56</v>
      </c>
      <c r="Q1675" s="68">
        <v>6005.41</v>
      </c>
      <c r="R1675" s="62">
        <f t="shared" si="185"/>
        <v>4.3774859944590135E-2</v>
      </c>
      <c r="S1675" s="67">
        <v>26</v>
      </c>
      <c r="T1675" s="66">
        <v>44960</v>
      </c>
      <c r="U1675" s="66">
        <v>44959</v>
      </c>
      <c r="V1675" s="63">
        <f t="shared" si="186"/>
        <v>-1</v>
      </c>
      <c r="W1675" s="65" t="s">
        <v>115</v>
      </c>
      <c r="X1675" s="64" t="b">
        <f t="shared" si="187"/>
        <v>1</v>
      </c>
      <c r="Y1675" s="67">
        <v>1</v>
      </c>
      <c r="Z1675" s="67">
        <v>341</v>
      </c>
      <c r="AA1675" s="65" t="s">
        <v>116</v>
      </c>
      <c r="AB1675" s="64" t="b">
        <f t="shared" si="188"/>
        <v>0</v>
      </c>
    </row>
    <row r="1676" spans="1:28" ht="15" customHeight="1" x14ac:dyDescent="0.3">
      <c r="A1676" s="57" t="s">
        <v>3466</v>
      </c>
      <c r="B1676" s="82">
        <v>45136</v>
      </c>
      <c r="C1676" s="59">
        <f t="shared" si="182"/>
        <v>2023</v>
      </c>
      <c r="D1676" s="59">
        <f t="shared" si="183"/>
        <v>7</v>
      </c>
      <c r="E1676" s="59">
        <f t="shared" si="184"/>
        <v>30</v>
      </c>
      <c r="F1676" s="57" t="s">
        <v>52</v>
      </c>
      <c r="G1676" s="57" t="s">
        <v>42</v>
      </c>
      <c r="H1676" s="57" t="s">
        <v>3467</v>
      </c>
      <c r="I1676" s="57" t="s">
        <v>67</v>
      </c>
      <c r="J1676" s="57" t="s">
        <v>123</v>
      </c>
      <c r="K1676" s="57" t="s">
        <v>71</v>
      </c>
      <c r="L1676" s="57" t="s">
        <v>113</v>
      </c>
      <c r="M1676" s="60">
        <v>165</v>
      </c>
      <c r="N1676" s="57" t="s">
        <v>120</v>
      </c>
      <c r="O1676" s="61">
        <v>115.72</v>
      </c>
      <c r="P1676" s="61">
        <v>19093.8</v>
      </c>
      <c r="Q1676" s="61">
        <v>1486.05</v>
      </c>
      <c r="R1676" s="62">
        <f t="shared" si="185"/>
        <v>7.7828928762216004E-2</v>
      </c>
      <c r="S1676" s="60">
        <v>26</v>
      </c>
      <c r="T1676" s="58">
        <v>45162</v>
      </c>
      <c r="U1676" s="58">
        <v>45162</v>
      </c>
      <c r="V1676" s="63">
        <f t="shared" si="186"/>
        <v>0</v>
      </c>
      <c r="W1676" s="57" t="s">
        <v>115</v>
      </c>
      <c r="X1676" s="64" t="b">
        <f t="shared" si="187"/>
        <v>1</v>
      </c>
      <c r="Y1676" s="60">
        <v>209</v>
      </c>
      <c r="Z1676" s="60">
        <v>135</v>
      </c>
      <c r="AA1676" s="57" t="s">
        <v>116</v>
      </c>
      <c r="AB1676" s="64" t="b">
        <f t="shared" si="188"/>
        <v>0</v>
      </c>
    </row>
    <row r="1677" spans="1:28" ht="15" customHeight="1" x14ac:dyDescent="0.3">
      <c r="A1677" s="65" t="s">
        <v>3468</v>
      </c>
      <c r="B1677" s="81">
        <v>45235</v>
      </c>
      <c r="C1677" s="59">
        <f t="shared" si="182"/>
        <v>2023</v>
      </c>
      <c r="D1677" s="59">
        <f t="shared" si="183"/>
        <v>11</v>
      </c>
      <c r="E1677" s="59">
        <f t="shared" si="184"/>
        <v>45</v>
      </c>
      <c r="F1677" s="65" t="s">
        <v>57</v>
      </c>
      <c r="G1677" s="65" t="s">
        <v>46</v>
      </c>
      <c r="H1677" s="65" t="s">
        <v>3469</v>
      </c>
      <c r="I1677" s="65" t="s">
        <v>64</v>
      </c>
      <c r="J1677" s="65" t="s">
        <v>112</v>
      </c>
      <c r="K1677" s="65" t="s">
        <v>72</v>
      </c>
      <c r="L1677" s="65" t="s">
        <v>124</v>
      </c>
      <c r="M1677" s="67">
        <v>517</v>
      </c>
      <c r="N1677" s="65" t="s">
        <v>114</v>
      </c>
      <c r="O1677" s="68">
        <v>72.599999999999994</v>
      </c>
      <c r="P1677" s="68">
        <v>37534.199999999997</v>
      </c>
      <c r="Q1677" s="68">
        <v>1964.5</v>
      </c>
      <c r="R1677" s="62">
        <f t="shared" si="185"/>
        <v>5.2338933559260628E-2</v>
      </c>
      <c r="S1677" s="67">
        <v>29</v>
      </c>
      <c r="T1677" s="66">
        <v>45264</v>
      </c>
      <c r="U1677" s="66">
        <v>45266</v>
      </c>
      <c r="V1677" s="63">
        <f t="shared" si="186"/>
        <v>2</v>
      </c>
      <c r="W1677" s="65" t="s">
        <v>128</v>
      </c>
      <c r="X1677" s="64" t="b">
        <f t="shared" si="187"/>
        <v>0</v>
      </c>
      <c r="Y1677" s="67">
        <v>483</v>
      </c>
      <c r="Z1677" s="67">
        <v>247</v>
      </c>
      <c r="AA1677" s="65" t="s">
        <v>83</v>
      </c>
      <c r="AB1677" s="64" t="b">
        <f t="shared" si="188"/>
        <v>1</v>
      </c>
    </row>
    <row r="1678" spans="1:28" ht="15" customHeight="1" x14ac:dyDescent="0.3">
      <c r="A1678" s="57" t="s">
        <v>3470</v>
      </c>
      <c r="B1678" s="82">
        <v>45143</v>
      </c>
      <c r="C1678" s="59">
        <f t="shared" si="182"/>
        <v>2023</v>
      </c>
      <c r="D1678" s="59">
        <f t="shared" si="183"/>
        <v>8</v>
      </c>
      <c r="E1678" s="59">
        <f t="shared" si="184"/>
        <v>31</v>
      </c>
      <c r="F1678" s="57" t="s">
        <v>52</v>
      </c>
      <c r="G1678" s="57" t="s">
        <v>45</v>
      </c>
      <c r="H1678" s="57" t="s">
        <v>3471</v>
      </c>
      <c r="I1678" s="57" t="s">
        <v>64</v>
      </c>
      <c r="J1678" s="57" t="s">
        <v>151</v>
      </c>
      <c r="K1678" s="57" t="s">
        <v>75</v>
      </c>
      <c r="L1678" s="57" t="s">
        <v>146</v>
      </c>
      <c r="M1678" s="60">
        <v>422</v>
      </c>
      <c r="N1678" s="57" t="s">
        <v>140</v>
      </c>
      <c r="O1678" s="61">
        <v>268.29000000000002</v>
      </c>
      <c r="P1678" s="61">
        <v>113218.38</v>
      </c>
      <c r="Q1678" s="61">
        <v>4219.96</v>
      </c>
      <c r="R1678" s="62">
        <f t="shared" si="185"/>
        <v>3.7272746704201207E-2</v>
      </c>
      <c r="S1678" s="60">
        <v>13</v>
      </c>
      <c r="T1678" s="58">
        <v>45156</v>
      </c>
      <c r="U1678" s="58">
        <v>45156</v>
      </c>
      <c r="V1678" s="63">
        <f t="shared" si="186"/>
        <v>0</v>
      </c>
      <c r="W1678" s="57" t="s">
        <v>115</v>
      </c>
      <c r="X1678" s="64" t="b">
        <f t="shared" si="187"/>
        <v>1</v>
      </c>
      <c r="Y1678" s="60">
        <v>364</v>
      </c>
      <c r="Z1678" s="60">
        <v>498</v>
      </c>
      <c r="AA1678" s="57" t="s">
        <v>116</v>
      </c>
      <c r="AB1678" s="64" t="b">
        <f t="shared" si="188"/>
        <v>0</v>
      </c>
    </row>
    <row r="1679" spans="1:28" ht="15" customHeight="1" x14ac:dyDescent="0.3">
      <c r="A1679" s="65" t="s">
        <v>3472</v>
      </c>
      <c r="B1679" s="81">
        <v>45067</v>
      </c>
      <c r="C1679" s="59">
        <f t="shared" si="182"/>
        <v>2023</v>
      </c>
      <c r="D1679" s="59">
        <f t="shared" si="183"/>
        <v>5</v>
      </c>
      <c r="E1679" s="59">
        <f t="shared" si="184"/>
        <v>21</v>
      </c>
      <c r="F1679" s="65" t="s">
        <v>57</v>
      </c>
      <c r="G1679" s="65" t="s">
        <v>41</v>
      </c>
      <c r="H1679" s="65" t="s">
        <v>3473</v>
      </c>
      <c r="I1679" s="65" t="s">
        <v>65</v>
      </c>
      <c r="J1679" s="65" t="s">
        <v>139</v>
      </c>
      <c r="K1679" s="65" t="s">
        <v>73</v>
      </c>
      <c r="L1679" s="65" t="s">
        <v>124</v>
      </c>
      <c r="M1679" s="67">
        <v>537</v>
      </c>
      <c r="N1679" s="65" t="s">
        <v>114</v>
      </c>
      <c r="O1679" s="68">
        <v>536.54999999999995</v>
      </c>
      <c r="P1679" s="68">
        <v>288127.34999999998</v>
      </c>
      <c r="Q1679" s="68">
        <v>7841.75</v>
      </c>
      <c r="R1679" s="62">
        <f t="shared" si="185"/>
        <v>2.7216263919409251E-2</v>
      </c>
      <c r="S1679" s="67">
        <v>2</v>
      </c>
      <c r="T1679" s="66">
        <v>45069</v>
      </c>
      <c r="U1679" s="66">
        <v>45069</v>
      </c>
      <c r="V1679" s="63">
        <f t="shared" si="186"/>
        <v>0</v>
      </c>
      <c r="W1679" s="65" t="s">
        <v>115</v>
      </c>
      <c r="X1679" s="64" t="b">
        <f t="shared" si="187"/>
        <v>1</v>
      </c>
      <c r="Y1679" s="67">
        <v>224</v>
      </c>
      <c r="Z1679" s="67">
        <v>371</v>
      </c>
      <c r="AA1679" s="65" t="s">
        <v>116</v>
      </c>
      <c r="AB1679" s="64" t="b">
        <f t="shared" si="188"/>
        <v>0</v>
      </c>
    </row>
    <row r="1680" spans="1:28" ht="15" customHeight="1" x14ac:dyDescent="0.3">
      <c r="A1680" s="57" t="s">
        <v>3474</v>
      </c>
      <c r="B1680" s="82">
        <v>45188</v>
      </c>
      <c r="C1680" s="59">
        <f t="shared" si="182"/>
        <v>2023</v>
      </c>
      <c r="D1680" s="59">
        <f t="shared" si="183"/>
        <v>9</v>
      </c>
      <c r="E1680" s="59">
        <f t="shared" si="184"/>
        <v>38</v>
      </c>
      <c r="F1680" s="57" t="s">
        <v>52</v>
      </c>
      <c r="G1680" s="57" t="s">
        <v>44</v>
      </c>
      <c r="H1680" s="57" t="s">
        <v>3475</v>
      </c>
      <c r="I1680" s="57" t="s">
        <v>65</v>
      </c>
      <c r="J1680" s="57" t="s">
        <v>151</v>
      </c>
      <c r="K1680" s="57" t="s">
        <v>74</v>
      </c>
      <c r="L1680" s="57" t="s">
        <v>156</v>
      </c>
      <c r="M1680" s="60">
        <v>364</v>
      </c>
      <c r="N1680" s="57" t="s">
        <v>136</v>
      </c>
      <c r="O1680" s="61">
        <v>118.72</v>
      </c>
      <c r="P1680" s="61">
        <v>43214.080000000002</v>
      </c>
      <c r="Q1680" s="61">
        <v>2688.42</v>
      </c>
      <c r="R1680" s="62">
        <f t="shared" si="185"/>
        <v>6.2211668048932196E-2</v>
      </c>
      <c r="S1680" s="60">
        <v>23</v>
      </c>
      <c r="T1680" s="58">
        <v>45211</v>
      </c>
      <c r="U1680" s="58">
        <v>45211</v>
      </c>
      <c r="V1680" s="63">
        <f t="shared" si="186"/>
        <v>0</v>
      </c>
      <c r="W1680" s="57" t="s">
        <v>115</v>
      </c>
      <c r="X1680" s="64" t="b">
        <f t="shared" si="187"/>
        <v>1</v>
      </c>
      <c r="Y1680" s="60">
        <v>483</v>
      </c>
      <c r="Z1680" s="60">
        <v>445</v>
      </c>
      <c r="AA1680" s="57" t="s">
        <v>83</v>
      </c>
      <c r="AB1680" s="64" t="b">
        <f t="shared" si="188"/>
        <v>1</v>
      </c>
    </row>
    <row r="1681" spans="1:28" ht="15" customHeight="1" x14ac:dyDescent="0.3">
      <c r="A1681" s="65" t="s">
        <v>3476</v>
      </c>
      <c r="B1681" s="81">
        <v>45223</v>
      </c>
      <c r="C1681" s="59">
        <f t="shared" si="182"/>
        <v>2023</v>
      </c>
      <c r="D1681" s="59">
        <f t="shared" si="183"/>
        <v>10</v>
      </c>
      <c r="E1681" s="59">
        <f t="shared" si="184"/>
        <v>43</v>
      </c>
      <c r="F1681" s="65" t="s">
        <v>54</v>
      </c>
      <c r="G1681" s="65" t="s">
        <v>46</v>
      </c>
      <c r="H1681" s="65" t="s">
        <v>3477</v>
      </c>
      <c r="I1681" s="65" t="s">
        <v>67</v>
      </c>
      <c r="J1681" s="65" t="s">
        <v>131</v>
      </c>
      <c r="K1681" s="65" t="s">
        <v>73</v>
      </c>
      <c r="L1681" s="65" t="s">
        <v>156</v>
      </c>
      <c r="M1681" s="67">
        <v>568</v>
      </c>
      <c r="N1681" s="65" t="s">
        <v>132</v>
      </c>
      <c r="O1681" s="68">
        <v>47.2</v>
      </c>
      <c r="P1681" s="68">
        <v>26809.599999999999</v>
      </c>
      <c r="Q1681" s="68">
        <v>1573.49</v>
      </c>
      <c r="R1681" s="62">
        <f t="shared" si="185"/>
        <v>5.8691289687276202E-2</v>
      </c>
      <c r="S1681" s="67">
        <v>5</v>
      </c>
      <c r="T1681" s="66">
        <v>45228</v>
      </c>
      <c r="U1681" s="66">
        <v>45230</v>
      </c>
      <c r="V1681" s="63">
        <f t="shared" si="186"/>
        <v>2</v>
      </c>
      <c r="W1681" s="65" t="s">
        <v>125</v>
      </c>
      <c r="X1681" s="64" t="b">
        <f t="shared" si="187"/>
        <v>0</v>
      </c>
      <c r="Y1681" s="67">
        <v>193</v>
      </c>
      <c r="Z1681" s="67">
        <v>485</v>
      </c>
      <c r="AA1681" s="65" t="s">
        <v>81</v>
      </c>
      <c r="AB1681" s="64" t="b">
        <f t="shared" si="188"/>
        <v>1</v>
      </c>
    </row>
    <row r="1682" spans="1:28" ht="15" customHeight="1" x14ac:dyDescent="0.3">
      <c r="A1682" s="57" t="s">
        <v>3478</v>
      </c>
      <c r="B1682" s="82">
        <v>45262</v>
      </c>
      <c r="C1682" s="59">
        <f t="shared" si="182"/>
        <v>2023</v>
      </c>
      <c r="D1682" s="59">
        <f t="shared" si="183"/>
        <v>12</v>
      </c>
      <c r="E1682" s="59">
        <f t="shared" si="184"/>
        <v>48</v>
      </c>
      <c r="F1682" s="57" t="s">
        <v>60</v>
      </c>
      <c r="G1682" s="57" t="s">
        <v>41</v>
      </c>
      <c r="H1682" s="57" t="s">
        <v>3479</v>
      </c>
      <c r="I1682" s="57" t="s">
        <v>67</v>
      </c>
      <c r="J1682" s="57" t="s">
        <v>139</v>
      </c>
      <c r="K1682" s="57" t="s">
        <v>73</v>
      </c>
      <c r="L1682" s="57" t="s">
        <v>113</v>
      </c>
      <c r="M1682" s="60">
        <v>772</v>
      </c>
      <c r="N1682" s="57" t="s">
        <v>114</v>
      </c>
      <c r="O1682" s="61">
        <v>700.37</v>
      </c>
      <c r="P1682" s="61">
        <v>540685.64</v>
      </c>
      <c r="Q1682" s="61">
        <v>22944.71</v>
      </c>
      <c r="R1682" s="62">
        <f t="shared" si="185"/>
        <v>4.243632214830044E-2</v>
      </c>
      <c r="S1682" s="60">
        <v>11</v>
      </c>
      <c r="T1682" s="58">
        <v>45273</v>
      </c>
      <c r="U1682" s="58">
        <v>45268</v>
      </c>
      <c r="V1682" s="63">
        <f t="shared" si="186"/>
        <v>-5</v>
      </c>
      <c r="W1682" s="57" t="s">
        <v>115</v>
      </c>
      <c r="X1682" s="64" t="b">
        <f t="shared" si="187"/>
        <v>1</v>
      </c>
      <c r="Y1682" s="60">
        <v>195</v>
      </c>
      <c r="Z1682" s="60">
        <v>401</v>
      </c>
      <c r="AA1682" s="57" t="s">
        <v>84</v>
      </c>
      <c r="AB1682" s="64" t="b">
        <f t="shared" si="188"/>
        <v>1</v>
      </c>
    </row>
    <row r="1683" spans="1:28" ht="15" customHeight="1" x14ac:dyDescent="0.3">
      <c r="A1683" s="65" t="s">
        <v>3480</v>
      </c>
      <c r="B1683" s="81">
        <v>45049</v>
      </c>
      <c r="C1683" s="59">
        <f t="shared" si="182"/>
        <v>2023</v>
      </c>
      <c r="D1683" s="59">
        <f t="shared" si="183"/>
        <v>5</v>
      </c>
      <c r="E1683" s="59">
        <f t="shared" si="184"/>
        <v>18</v>
      </c>
      <c r="F1683" s="65" t="s">
        <v>58</v>
      </c>
      <c r="G1683" s="65" t="s">
        <v>45</v>
      </c>
      <c r="H1683" s="65" t="s">
        <v>3481</v>
      </c>
      <c r="I1683" s="65" t="s">
        <v>66</v>
      </c>
      <c r="J1683" s="65" t="s">
        <v>151</v>
      </c>
      <c r="K1683" s="65" t="s">
        <v>73</v>
      </c>
      <c r="L1683" s="65" t="s">
        <v>135</v>
      </c>
      <c r="M1683" s="67">
        <v>196</v>
      </c>
      <c r="N1683" s="65" t="s">
        <v>114</v>
      </c>
      <c r="O1683" s="68">
        <v>265.31</v>
      </c>
      <c r="P1683" s="68">
        <v>52000.76</v>
      </c>
      <c r="Q1683" s="68">
        <v>4007</v>
      </c>
      <c r="R1683" s="62">
        <f t="shared" si="185"/>
        <v>7.7056566096341664E-2</v>
      </c>
      <c r="S1683" s="67">
        <v>6</v>
      </c>
      <c r="T1683" s="66">
        <v>45055</v>
      </c>
      <c r="U1683" s="66">
        <v>45058</v>
      </c>
      <c r="V1683" s="63">
        <f t="shared" si="186"/>
        <v>3</v>
      </c>
      <c r="W1683" s="65" t="s">
        <v>128</v>
      </c>
      <c r="X1683" s="64" t="b">
        <f t="shared" si="187"/>
        <v>0</v>
      </c>
      <c r="Y1683" s="67">
        <v>399</v>
      </c>
      <c r="Z1683" s="67">
        <v>91</v>
      </c>
      <c r="AA1683" s="65" t="s">
        <v>116</v>
      </c>
      <c r="AB1683" s="64" t="b">
        <f t="shared" si="188"/>
        <v>0</v>
      </c>
    </row>
    <row r="1684" spans="1:28" ht="15" customHeight="1" x14ac:dyDescent="0.3">
      <c r="A1684" s="57" t="s">
        <v>3482</v>
      </c>
      <c r="B1684" s="82">
        <v>44934</v>
      </c>
      <c r="C1684" s="59">
        <f t="shared" si="182"/>
        <v>2023</v>
      </c>
      <c r="D1684" s="59">
        <f t="shared" si="183"/>
        <v>1</v>
      </c>
      <c r="E1684" s="59">
        <f t="shared" si="184"/>
        <v>2</v>
      </c>
      <c r="F1684" s="57" t="s">
        <v>57</v>
      </c>
      <c r="G1684" s="57" t="s">
        <v>45</v>
      </c>
      <c r="H1684" s="57" t="s">
        <v>3483</v>
      </c>
      <c r="I1684" s="57" t="s">
        <v>69</v>
      </c>
      <c r="J1684" s="57" t="s">
        <v>139</v>
      </c>
      <c r="K1684" s="57" t="s">
        <v>73</v>
      </c>
      <c r="L1684" s="57" t="s">
        <v>156</v>
      </c>
      <c r="M1684" s="60">
        <v>40</v>
      </c>
      <c r="N1684" s="57" t="s">
        <v>114</v>
      </c>
      <c r="O1684" s="61">
        <v>166.9</v>
      </c>
      <c r="P1684" s="61">
        <v>6676</v>
      </c>
      <c r="Q1684" s="61">
        <v>142.41</v>
      </c>
      <c r="R1684" s="62">
        <f t="shared" si="185"/>
        <v>2.133163571000599E-2</v>
      </c>
      <c r="S1684" s="60">
        <v>18</v>
      </c>
      <c r="T1684" s="58">
        <v>44952</v>
      </c>
      <c r="U1684" s="58">
        <v>44947</v>
      </c>
      <c r="V1684" s="63">
        <f t="shared" si="186"/>
        <v>-5</v>
      </c>
      <c r="W1684" s="57" t="s">
        <v>115</v>
      </c>
      <c r="X1684" s="64" t="b">
        <f t="shared" si="187"/>
        <v>1</v>
      </c>
      <c r="Y1684" s="60">
        <v>259</v>
      </c>
      <c r="Z1684" s="60">
        <v>411</v>
      </c>
      <c r="AA1684" s="57" t="s">
        <v>83</v>
      </c>
      <c r="AB1684" s="64" t="b">
        <f t="shared" si="188"/>
        <v>1</v>
      </c>
    </row>
    <row r="1685" spans="1:28" ht="15" customHeight="1" x14ac:dyDescent="0.3">
      <c r="A1685" s="65" t="s">
        <v>3484</v>
      </c>
      <c r="B1685" s="81">
        <v>45436</v>
      </c>
      <c r="C1685" s="59">
        <f t="shared" si="182"/>
        <v>2024</v>
      </c>
      <c r="D1685" s="59">
        <f t="shared" si="183"/>
        <v>5</v>
      </c>
      <c r="E1685" s="59">
        <f t="shared" si="184"/>
        <v>21</v>
      </c>
      <c r="F1685" s="65" t="s">
        <v>58</v>
      </c>
      <c r="G1685" s="65" t="s">
        <v>41</v>
      </c>
      <c r="H1685" s="65" t="s">
        <v>3485</v>
      </c>
      <c r="I1685" s="65" t="s">
        <v>69</v>
      </c>
      <c r="J1685" s="65" t="s">
        <v>131</v>
      </c>
      <c r="K1685" s="65" t="s">
        <v>75</v>
      </c>
      <c r="L1685" s="65" t="s">
        <v>135</v>
      </c>
      <c r="M1685" s="67">
        <v>269</v>
      </c>
      <c r="N1685" s="65" t="s">
        <v>132</v>
      </c>
      <c r="O1685" s="68">
        <v>554.9</v>
      </c>
      <c r="P1685" s="68">
        <v>149268.1</v>
      </c>
      <c r="Q1685" s="68">
        <v>5705.54</v>
      </c>
      <c r="R1685" s="62">
        <f t="shared" si="185"/>
        <v>3.8223438229601635E-2</v>
      </c>
      <c r="S1685" s="67">
        <v>21</v>
      </c>
      <c r="T1685" s="66">
        <v>45457</v>
      </c>
      <c r="U1685" s="66">
        <v>45459</v>
      </c>
      <c r="V1685" s="63">
        <f t="shared" si="186"/>
        <v>2</v>
      </c>
      <c r="W1685" s="65" t="s">
        <v>128</v>
      </c>
      <c r="X1685" s="64" t="b">
        <f t="shared" si="187"/>
        <v>0</v>
      </c>
      <c r="Y1685" s="67">
        <v>56</v>
      </c>
      <c r="Z1685" s="67">
        <v>458</v>
      </c>
      <c r="AA1685" s="65" t="s">
        <v>81</v>
      </c>
      <c r="AB1685" s="64" t="b">
        <f t="shared" si="188"/>
        <v>1</v>
      </c>
    </row>
    <row r="1686" spans="1:28" ht="15" customHeight="1" x14ac:dyDescent="0.3">
      <c r="A1686" s="57" t="s">
        <v>3486</v>
      </c>
      <c r="B1686" s="82">
        <v>45367</v>
      </c>
      <c r="C1686" s="59">
        <f t="shared" si="182"/>
        <v>2024</v>
      </c>
      <c r="D1686" s="59">
        <f t="shared" si="183"/>
        <v>3</v>
      </c>
      <c r="E1686" s="59">
        <f t="shared" si="184"/>
        <v>11</v>
      </c>
      <c r="F1686" s="57" t="s">
        <v>59</v>
      </c>
      <c r="G1686" s="57" t="s">
        <v>39</v>
      </c>
      <c r="H1686" s="57" t="s">
        <v>3487</v>
      </c>
      <c r="I1686" s="57" t="s">
        <v>67</v>
      </c>
      <c r="J1686" s="57" t="s">
        <v>143</v>
      </c>
      <c r="K1686" s="57" t="s">
        <v>74</v>
      </c>
      <c r="L1686" s="57" t="s">
        <v>146</v>
      </c>
      <c r="M1686" s="60">
        <v>430</v>
      </c>
      <c r="N1686" s="57" t="s">
        <v>163</v>
      </c>
      <c r="O1686" s="61">
        <v>1634.85</v>
      </c>
      <c r="P1686" s="61">
        <v>702985.5</v>
      </c>
      <c r="Q1686" s="61">
        <v>52909.62</v>
      </c>
      <c r="R1686" s="62">
        <f t="shared" si="185"/>
        <v>7.5264169744610671E-2</v>
      </c>
      <c r="S1686" s="60">
        <v>10</v>
      </c>
      <c r="T1686" s="58">
        <v>45377</v>
      </c>
      <c r="U1686" s="58">
        <v>45377</v>
      </c>
      <c r="V1686" s="63">
        <f t="shared" si="186"/>
        <v>0</v>
      </c>
      <c r="W1686" s="57" t="s">
        <v>115</v>
      </c>
      <c r="X1686" s="64" t="b">
        <f t="shared" si="187"/>
        <v>1</v>
      </c>
      <c r="Y1686" s="60">
        <v>456</v>
      </c>
      <c r="Z1686" s="60">
        <v>395</v>
      </c>
      <c r="AA1686" s="57" t="s">
        <v>116</v>
      </c>
      <c r="AB1686" s="64" t="b">
        <f t="shared" si="188"/>
        <v>0</v>
      </c>
    </row>
    <row r="1687" spans="1:28" ht="15" customHeight="1" x14ac:dyDescent="0.3">
      <c r="A1687" s="65" t="s">
        <v>3488</v>
      </c>
      <c r="B1687" s="81">
        <v>45106</v>
      </c>
      <c r="C1687" s="59">
        <f t="shared" si="182"/>
        <v>2023</v>
      </c>
      <c r="D1687" s="59">
        <f t="shared" si="183"/>
        <v>6</v>
      </c>
      <c r="E1687" s="59">
        <f t="shared" si="184"/>
        <v>26</v>
      </c>
      <c r="F1687" s="65" t="s">
        <v>52</v>
      </c>
      <c r="G1687" s="65" t="s">
        <v>41</v>
      </c>
      <c r="H1687" s="65" t="s">
        <v>3489</v>
      </c>
      <c r="I1687" s="65" t="s">
        <v>65</v>
      </c>
      <c r="J1687" s="65" t="s">
        <v>139</v>
      </c>
      <c r="K1687" s="65" t="s">
        <v>73</v>
      </c>
      <c r="L1687" s="65" t="s">
        <v>135</v>
      </c>
      <c r="M1687" s="67">
        <v>538</v>
      </c>
      <c r="N1687" s="65" t="s">
        <v>132</v>
      </c>
      <c r="O1687" s="68">
        <v>600.04</v>
      </c>
      <c r="P1687" s="68">
        <v>322821.52</v>
      </c>
      <c r="Q1687" s="68">
        <v>12672.72</v>
      </c>
      <c r="R1687" s="62">
        <f t="shared" si="185"/>
        <v>3.9256118984880559E-2</v>
      </c>
      <c r="S1687" s="67">
        <v>4</v>
      </c>
      <c r="T1687" s="66">
        <v>45110</v>
      </c>
      <c r="U1687" s="66">
        <v>45113</v>
      </c>
      <c r="V1687" s="63">
        <f t="shared" si="186"/>
        <v>3</v>
      </c>
      <c r="W1687" s="65" t="s">
        <v>128</v>
      </c>
      <c r="X1687" s="64" t="b">
        <f t="shared" si="187"/>
        <v>0</v>
      </c>
      <c r="Y1687" s="67">
        <v>112</v>
      </c>
      <c r="Z1687" s="67">
        <v>447</v>
      </c>
      <c r="AA1687" s="65" t="s">
        <v>82</v>
      </c>
      <c r="AB1687" s="64" t="b">
        <f t="shared" si="188"/>
        <v>1</v>
      </c>
    </row>
    <row r="1688" spans="1:28" ht="15" customHeight="1" x14ac:dyDescent="0.3">
      <c r="A1688" s="57" t="s">
        <v>3490</v>
      </c>
      <c r="B1688" s="82">
        <v>45059</v>
      </c>
      <c r="C1688" s="59">
        <f t="shared" si="182"/>
        <v>2023</v>
      </c>
      <c r="D1688" s="59">
        <f t="shared" si="183"/>
        <v>5</v>
      </c>
      <c r="E1688" s="59">
        <f t="shared" si="184"/>
        <v>19</v>
      </c>
      <c r="F1688" s="57" t="s">
        <v>61</v>
      </c>
      <c r="G1688" s="57" t="s">
        <v>44</v>
      </c>
      <c r="H1688" s="57" t="s">
        <v>3491</v>
      </c>
      <c r="I1688" s="57" t="s">
        <v>68</v>
      </c>
      <c r="J1688" s="57" t="s">
        <v>143</v>
      </c>
      <c r="K1688" s="57" t="s">
        <v>75</v>
      </c>
      <c r="L1688" s="57" t="s">
        <v>119</v>
      </c>
      <c r="M1688" s="60">
        <v>560</v>
      </c>
      <c r="N1688" s="57" t="s">
        <v>163</v>
      </c>
      <c r="O1688" s="61">
        <v>174.83</v>
      </c>
      <c r="P1688" s="61">
        <v>97904.8</v>
      </c>
      <c r="Q1688" s="61">
        <v>3439.9</v>
      </c>
      <c r="R1688" s="62">
        <f t="shared" si="185"/>
        <v>3.5135151698384555E-2</v>
      </c>
      <c r="S1688" s="60">
        <v>9</v>
      </c>
      <c r="T1688" s="58">
        <v>45068</v>
      </c>
      <c r="U1688" s="58">
        <v>45076</v>
      </c>
      <c r="V1688" s="63">
        <f t="shared" si="186"/>
        <v>8</v>
      </c>
      <c r="W1688" s="57" t="s">
        <v>128</v>
      </c>
      <c r="X1688" s="64" t="b">
        <f t="shared" si="187"/>
        <v>0</v>
      </c>
      <c r="Y1688" s="60">
        <v>212</v>
      </c>
      <c r="Z1688" s="60">
        <v>246</v>
      </c>
      <c r="AA1688" s="57" t="s">
        <v>116</v>
      </c>
      <c r="AB1688" s="64" t="b">
        <f t="shared" si="188"/>
        <v>0</v>
      </c>
    </row>
    <row r="1689" spans="1:28" ht="15" customHeight="1" x14ac:dyDescent="0.3">
      <c r="A1689" s="65" t="s">
        <v>3492</v>
      </c>
      <c r="B1689" s="81">
        <v>45316</v>
      </c>
      <c r="C1689" s="59">
        <f t="shared" si="182"/>
        <v>2024</v>
      </c>
      <c r="D1689" s="59">
        <f t="shared" si="183"/>
        <v>1</v>
      </c>
      <c r="E1689" s="59">
        <f t="shared" si="184"/>
        <v>4</v>
      </c>
      <c r="F1689" s="65" t="s">
        <v>53</v>
      </c>
      <c r="G1689" s="65" t="s">
        <v>45</v>
      </c>
      <c r="H1689" s="65" t="s">
        <v>3493</v>
      </c>
      <c r="I1689" s="65" t="s">
        <v>66</v>
      </c>
      <c r="J1689" s="65" t="s">
        <v>123</v>
      </c>
      <c r="K1689" s="65" t="s">
        <v>72</v>
      </c>
      <c r="L1689" s="65" t="s">
        <v>135</v>
      </c>
      <c r="M1689" s="67">
        <v>313</v>
      </c>
      <c r="N1689" s="65" t="s">
        <v>136</v>
      </c>
      <c r="O1689" s="68">
        <v>232.76</v>
      </c>
      <c r="P1689" s="68">
        <v>72853.88</v>
      </c>
      <c r="Q1689" s="68">
        <v>3792.28</v>
      </c>
      <c r="R1689" s="62">
        <f t="shared" si="185"/>
        <v>5.2053233129107195E-2</v>
      </c>
      <c r="S1689" s="67">
        <v>6</v>
      </c>
      <c r="T1689" s="66">
        <v>45322</v>
      </c>
      <c r="U1689" s="66">
        <v>45322</v>
      </c>
      <c r="V1689" s="63">
        <f t="shared" si="186"/>
        <v>0</v>
      </c>
      <c r="W1689" s="65" t="s">
        <v>115</v>
      </c>
      <c r="X1689" s="64" t="b">
        <f t="shared" si="187"/>
        <v>1</v>
      </c>
      <c r="Y1689" s="67">
        <v>278</v>
      </c>
      <c r="Z1689" s="67">
        <v>257</v>
      </c>
      <c r="AA1689" s="65" t="s">
        <v>82</v>
      </c>
      <c r="AB1689" s="64" t="b">
        <f t="shared" si="188"/>
        <v>1</v>
      </c>
    </row>
    <row r="1690" spans="1:28" ht="15" customHeight="1" x14ac:dyDescent="0.3">
      <c r="A1690" s="57" t="s">
        <v>3494</v>
      </c>
      <c r="B1690" s="82">
        <v>45472</v>
      </c>
      <c r="C1690" s="59">
        <f t="shared" si="182"/>
        <v>2024</v>
      </c>
      <c r="D1690" s="59">
        <f t="shared" si="183"/>
        <v>6</v>
      </c>
      <c r="E1690" s="59">
        <f t="shared" si="184"/>
        <v>26</v>
      </c>
      <c r="F1690" s="57" t="s">
        <v>59</v>
      </c>
      <c r="G1690" s="57" t="s">
        <v>41</v>
      </c>
      <c r="H1690" s="57" t="s">
        <v>3495</v>
      </c>
      <c r="I1690" s="57" t="s">
        <v>69</v>
      </c>
      <c r="J1690" s="57" t="s">
        <v>112</v>
      </c>
      <c r="K1690" s="57" t="s">
        <v>73</v>
      </c>
      <c r="L1690" s="57" t="s">
        <v>156</v>
      </c>
      <c r="M1690" s="60">
        <v>951</v>
      </c>
      <c r="N1690" s="57" t="s">
        <v>132</v>
      </c>
      <c r="O1690" s="61">
        <v>566.09</v>
      </c>
      <c r="P1690" s="61">
        <v>538351.59</v>
      </c>
      <c r="Q1690" s="61">
        <v>37376.730000000003</v>
      </c>
      <c r="R1690" s="62">
        <f t="shared" si="185"/>
        <v>6.942810366734499E-2</v>
      </c>
      <c r="S1690" s="60">
        <v>2</v>
      </c>
      <c r="T1690" s="58">
        <v>45474</v>
      </c>
      <c r="U1690" s="58">
        <v>45473</v>
      </c>
      <c r="V1690" s="63">
        <f t="shared" si="186"/>
        <v>-1</v>
      </c>
      <c r="W1690" s="57" t="s">
        <v>115</v>
      </c>
      <c r="X1690" s="64" t="b">
        <f t="shared" si="187"/>
        <v>1</v>
      </c>
      <c r="Y1690" s="60">
        <v>243</v>
      </c>
      <c r="Z1690" s="60">
        <v>186</v>
      </c>
      <c r="AA1690" s="57" t="s">
        <v>116</v>
      </c>
      <c r="AB1690" s="64" t="b">
        <f t="shared" si="188"/>
        <v>0</v>
      </c>
    </row>
    <row r="1691" spans="1:28" ht="15" customHeight="1" x14ac:dyDescent="0.3">
      <c r="A1691" s="65" t="s">
        <v>3496</v>
      </c>
      <c r="B1691" s="81">
        <v>45647</v>
      </c>
      <c r="C1691" s="59">
        <f t="shared" si="182"/>
        <v>2024</v>
      </c>
      <c r="D1691" s="59">
        <f t="shared" si="183"/>
        <v>12</v>
      </c>
      <c r="E1691" s="59">
        <f t="shared" si="184"/>
        <v>51</v>
      </c>
      <c r="F1691" s="65" t="s">
        <v>56</v>
      </c>
      <c r="G1691" s="65" t="s">
        <v>43</v>
      </c>
      <c r="H1691" s="65" t="s">
        <v>3497</v>
      </c>
      <c r="I1691" s="65" t="s">
        <v>67</v>
      </c>
      <c r="J1691" s="65" t="s">
        <v>131</v>
      </c>
      <c r="K1691" s="65" t="s">
        <v>75</v>
      </c>
      <c r="L1691" s="65" t="s">
        <v>135</v>
      </c>
      <c r="M1691" s="67">
        <v>995</v>
      </c>
      <c r="N1691" s="65" t="s">
        <v>163</v>
      </c>
      <c r="O1691" s="68">
        <v>148.05000000000001</v>
      </c>
      <c r="P1691" s="68">
        <v>147309.75</v>
      </c>
      <c r="Q1691" s="68">
        <v>3857.87</v>
      </c>
      <c r="R1691" s="62">
        <f t="shared" si="185"/>
        <v>2.6188829999372071E-2</v>
      </c>
      <c r="S1691" s="67">
        <v>17</v>
      </c>
      <c r="T1691" s="66">
        <v>45664</v>
      </c>
      <c r="U1691" s="66">
        <v>45667</v>
      </c>
      <c r="V1691" s="63">
        <f t="shared" si="186"/>
        <v>3</v>
      </c>
      <c r="W1691" s="65" t="s">
        <v>128</v>
      </c>
      <c r="X1691" s="64" t="b">
        <f t="shared" si="187"/>
        <v>0</v>
      </c>
      <c r="Y1691" s="67">
        <v>379</v>
      </c>
      <c r="Z1691" s="67">
        <v>420</v>
      </c>
      <c r="AA1691" s="65" t="s">
        <v>116</v>
      </c>
      <c r="AB1691" s="64" t="b">
        <f t="shared" si="188"/>
        <v>0</v>
      </c>
    </row>
    <row r="1692" spans="1:28" ht="15" customHeight="1" x14ac:dyDescent="0.3">
      <c r="A1692" s="57" t="s">
        <v>3498</v>
      </c>
      <c r="B1692" s="82">
        <v>45162</v>
      </c>
      <c r="C1692" s="59">
        <f t="shared" si="182"/>
        <v>2023</v>
      </c>
      <c r="D1692" s="59">
        <f t="shared" si="183"/>
        <v>8</v>
      </c>
      <c r="E1692" s="59">
        <f t="shared" si="184"/>
        <v>34</v>
      </c>
      <c r="F1692" s="57" t="s">
        <v>55</v>
      </c>
      <c r="G1692" s="57" t="s">
        <v>46</v>
      </c>
      <c r="H1692" s="57" t="s">
        <v>3499</v>
      </c>
      <c r="I1692" s="57" t="s">
        <v>65</v>
      </c>
      <c r="J1692" s="57" t="s">
        <v>139</v>
      </c>
      <c r="K1692" s="57" t="s">
        <v>71</v>
      </c>
      <c r="L1692" s="57" t="s">
        <v>135</v>
      </c>
      <c r="M1692" s="60">
        <v>953</v>
      </c>
      <c r="N1692" s="57" t="s">
        <v>136</v>
      </c>
      <c r="O1692" s="61">
        <v>45.02</v>
      </c>
      <c r="P1692" s="61">
        <v>42904.06</v>
      </c>
      <c r="Q1692" s="61">
        <v>3285.65</v>
      </c>
      <c r="R1692" s="62">
        <f t="shared" si="185"/>
        <v>7.6581330531422909E-2</v>
      </c>
      <c r="S1692" s="60">
        <v>5</v>
      </c>
      <c r="T1692" s="58">
        <v>45167</v>
      </c>
      <c r="U1692" s="58">
        <v>45175</v>
      </c>
      <c r="V1692" s="63">
        <f t="shared" si="186"/>
        <v>8</v>
      </c>
      <c r="W1692" s="57" t="s">
        <v>128</v>
      </c>
      <c r="X1692" s="64" t="b">
        <f t="shared" si="187"/>
        <v>0</v>
      </c>
      <c r="Y1692" s="60">
        <v>116</v>
      </c>
      <c r="Z1692" s="60">
        <v>123</v>
      </c>
      <c r="AA1692" s="57" t="s">
        <v>82</v>
      </c>
      <c r="AB1692" s="64" t="b">
        <f t="shared" si="188"/>
        <v>1</v>
      </c>
    </row>
    <row r="1693" spans="1:28" ht="15" customHeight="1" x14ac:dyDescent="0.3">
      <c r="A1693" s="65" t="s">
        <v>3500</v>
      </c>
      <c r="B1693" s="81">
        <v>45439</v>
      </c>
      <c r="C1693" s="59">
        <f t="shared" si="182"/>
        <v>2024</v>
      </c>
      <c r="D1693" s="59">
        <f t="shared" si="183"/>
        <v>5</v>
      </c>
      <c r="E1693" s="59">
        <f t="shared" si="184"/>
        <v>22</v>
      </c>
      <c r="F1693" s="65" t="s">
        <v>53</v>
      </c>
      <c r="G1693" s="65" t="s">
        <v>43</v>
      </c>
      <c r="H1693" s="65" t="s">
        <v>3501</v>
      </c>
      <c r="I1693" s="65" t="s">
        <v>65</v>
      </c>
      <c r="J1693" s="65" t="s">
        <v>131</v>
      </c>
      <c r="K1693" s="65" t="s">
        <v>72</v>
      </c>
      <c r="L1693" s="65" t="s">
        <v>119</v>
      </c>
      <c r="M1693" s="67">
        <v>48</v>
      </c>
      <c r="N1693" s="65" t="s">
        <v>136</v>
      </c>
      <c r="O1693" s="68">
        <v>169.98</v>
      </c>
      <c r="P1693" s="68">
        <v>8159.04</v>
      </c>
      <c r="Q1693" s="68">
        <v>552.4</v>
      </c>
      <c r="R1693" s="62">
        <f t="shared" si="185"/>
        <v>6.770404361297408E-2</v>
      </c>
      <c r="S1693" s="67">
        <v>25</v>
      </c>
      <c r="T1693" s="66">
        <v>45464</v>
      </c>
      <c r="U1693" s="66">
        <v>45467</v>
      </c>
      <c r="V1693" s="63">
        <f t="shared" si="186"/>
        <v>3</v>
      </c>
      <c r="W1693" s="65" t="s">
        <v>128</v>
      </c>
      <c r="X1693" s="64" t="b">
        <f t="shared" si="187"/>
        <v>0</v>
      </c>
      <c r="Y1693" s="67">
        <v>385</v>
      </c>
      <c r="Z1693" s="67">
        <v>259</v>
      </c>
      <c r="AA1693" s="65" t="s">
        <v>116</v>
      </c>
      <c r="AB1693" s="64" t="b">
        <f t="shared" si="188"/>
        <v>0</v>
      </c>
    </row>
    <row r="1694" spans="1:28" ht="15" customHeight="1" x14ac:dyDescent="0.3">
      <c r="A1694" s="57" t="s">
        <v>3502</v>
      </c>
      <c r="B1694" s="82">
        <v>45499</v>
      </c>
      <c r="C1694" s="59">
        <f t="shared" si="182"/>
        <v>2024</v>
      </c>
      <c r="D1694" s="59">
        <f t="shared" si="183"/>
        <v>7</v>
      </c>
      <c r="E1694" s="59">
        <f t="shared" si="184"/>
        <v>30</v>
      </c>
      <c r="F1694" s="57" t="s">
        <v>54</v>
      </c>
      <c r="G1694" s="57" t="s">
        <v>44</v>
      </c>
      <c r="H1694" s="57" t="s">
        <v>3503</v>
      </c>
      <c r="I1694" s="57" t="s">
        <v>65</v>
      </c>
      <c r="J1694" s="57" t="s">
        <v>123</v>
      </c>
      <c r="K1694" s="57" t="s">
        <v>74</v>
      </c>
      <c r="L1694" s="57" t="s">
        <v>119</v>
      </c>
      <c r="M1694" s="60">
        <v>498</v>
      </c>
      <c r="N1694" s="57" t="s">
        <v>163</v>
      </c>
      <c r="O1694" s="61">
        <v>87.12</v>
      </c>
      <c r="P1694" s="61">
        <v>43385.760000000002</v>
      </c>
      <c r="Q1694" s="61">
        <v>1339.54</v>
      </c>
      <c r="R1694" s="62">
        <f t="shared" si="185"/>
        <v>3.087510740851376E-2</v>
      </c>
      <c r="S1694" s="60">
        <v>6</v>
      </c>
      <c r="T1694" s="58">
        <v>45505</v>
      </c>
      <c r="U1694" s="58">
        <v>45505</v>
      </c>
      <c r="V1694" s="63">
        <f t="shared" si="186"/>
        <v>0</v>
      </c>
      <c r="W1694" s="57" t="s">
        <v>115</v>
      </c>
      <c r="X1694" s="64" t="b">
        <f t="shared" si="187"/>
        <v>1</v>
      </c>
      <c r="Y1694" s="60">
        <v>450</v>
      </c>
      <c r="Z1694" s="60">
        <v>168</v>
      </c>
      <c r="AA1694" s="57" t="s">
        <v>116</v>
      </c>
      <c r="AB1694" s="64" t="b">
        <f t="shared" si="188"/>
        <v>0</v>
      </c>
    </row>
    <row r="1695" spans="1:28" ht="15" customHeight="1" x14ac:dyDescent="0.3">
      <c r="A1695" s="65" t="s">
        <v>3504</v>
      </c>
      <c r="B1695" s="81">
        <v>45611</v>
      </c>
      <c r="C1695" s="59">
        <f t="shared" si="182"/>
        <v>2024</v>
      </c>
      <c r="D1695" s="59">
        <f t="shared" si="183"/>
        <v>11</v>
      </c>
      <c r="E1695" s="59">
        <f t="shared" si="184"/>
        <v>46</v>
      </c>
      <c r="F1695" s="65" t="s">
        <v>52</v>
      </c>
      <c r="G1695" s="65" t="s">
        <v>41</v>
      </c>
      <c r="H1695" s="65" t="s">
        <v>3505</v>
      </c>
      <c r="I1695" s="65" t="s">
        <v>68</v>
      </c>
      <c r="J1695" s="65" t="s">
        <v>143</v>
      </c>
      <c r="K1695" s="65" t="s">
        <v>73</v>
      </c>
      <c r="L1695" s="65" t="s">
        <v>113</v>
      </c>
      <c r="M1695" s="67">
        <v>653</v>
      </c>
      <c r="N1695" s="65" t="s">
        <v>163</v>
      </c>
      <c r="O1695" s="68">
        <v>647.34</v>
      </c>
      <c r="P1695" s="68">
        <v>422713.02</v>
      </c>
      <c r="Q1695" s="68">
        <v>26512.76</v>
      </c>
      <c r="R1695" s="62">
        <f t="shared" si="185"/>
        <v>6.2720471680763459E-2</v>
      </c>
      <c r="S1695" s="67">
        <v>26</v>
      </c>
      <c r="T1695" s="66">
        <v>45637</v>
      </c>
      <c r="U1695" s="66">
        <v>45645</v>
      </c>
      <c r="V1695" s="63">
        <f t="shared" si="186"/>
        <v>8</v>
      </c>
      <c r="W1695" s="65" t="s">
        <v>125</v>
      </c>
      <c r="X1695" s="64" t="b">
        <f t="shared" si="187"/>
        <v>0</v>
      </c>
      <c r="Y1695" s="67">
        <v>86</v>
      </c>
      <c r="Z1695" s="67">
        <v>428</v>
      </c>
      <c r="AA1695" s="65" t="s">
        <v>81</v>
      </c>
      <c r="AB1695" s="64" t="b">
        <f t="shared" si="188"/>
        <v>1</v>
      </c>
    </row>
    <row r="1696" spans="1:28" ht="15" customHeight="1" x14ac:dyDescent="0.3">
      <c r="A1696" s="57" t="s">
        <v>3506</v>
      </c>
      <c r="B1696" s="82">
        <v>45289</v>
      </c>
      <c r="C1696" s="59">
        <f t="shared" si="182"/>
        <v>2023</v>
      </c>
      <c r="D1696" s="59">
        <f t="shared" si="183"/>
        <v>12</v>
      </c>
      <c r="E1696" s="59">
        <f t="shared" si="184"/>
        <v>52</v>
      </c>
      <c r="F1696" s="57" t="s">
        <v>60</v>
      </c>
      <c r="G1696" s="57" t="s">
        <v>40</v>
      </c>
      <c r="H1696" s="57" t="s">
        <v>3507</v>
      </c>
      <c r="I1696" s="57" t="s">
        <v>64</v>
      </c>
      <c r="J1696" s="57" t="s">
        <v>112</v>
      </c>
      <c r="K1696" s="57" t="s">
        <v>73</v>
      </c>
      <c r="L1696" s="57" t="s">
        <v>156</v>
      </c>
      <c r="M1696" s="60">
        <v>551</v>
      </c>
      <c r="N1696" s="57" t="s">
        <v>140</v>
      </c>
      <c r="O1696" s="61">
        <v>1022.93</v>
      </c>
      <c r="P1696" s="61">
        <v>563634.43000000005</v>
      </c>
      <c r="Q1696" s="61">
        <v>24291.25</v>
      </c>
      <c r="R1696" s="62">
        <f t="shared" si="185"/>
        <v>4.3097526884580128E-2</v>
      </c>
      <c r="S1696" s="60">
        <v>12</v>
      </c>
      <c r="T1696" s="58">
        <v>45301</v>
      </c>
      <c r="U1696" s="58">
        <v>45301</v>
      </c>
      <c r="V1696" s="63">
        <f t="shared" si="186"/>
        <v>0</v>
      </c>
      <c r="W1696" s="57" t="s">
        <v>115</v>
      </c>
      <c r="X1696" s="64" t="b">
        <f t="shared" si="187"/>
        <v>1</v>
      </c>
      <c r="Y1696" s="60">
        <v>409</v>
      </c>
      <c r="Z1696" s="60">
        <v>364</v>
      </c>
      <c r="AA1696" s="57" t="s">
        <v>116</v>
      </c>
      <c r="AB1696" s="64" t="b">
        <f t="shared" si="188"/>
        <v>0</v>
      </c>
    </row>
    <row r="1697" spans="1:28" ht="15" customHeight="1" x14ac:dyDescent="0.3">
      <c r="A1697" s="65" t="s">
        <v>3508</v>
      </c>
      <c r="B1697" s="81">
        <v>45000</v>
      </c>
      <c r="C1697" s="59">
        <f t="shared" si="182"/>
        <v>2023</v>
      </c>
      <c r="D1697" s="59">
        <f t="shared" si="183"/>
        <v>3</v>
      </c>
      <c r="E1697" s="59">
        <f t="shared" si="184"/>
        <v>11</v>
      </c>
      <c r="F1697" s="65" t="s">
        <v>54</v>
      </c>
      <c r="G1697" s="65" t="s">
        <v>44</v>
      </c>
      <c r="H1697" s="65" t="s">
        <v>3509</v>
      </c>
      <c r="I1697" s="65" t="s">
        <v>68</v>
      </c>
      <c r="J1697" s="65" t="s">
        <v>131</v>
      </c>
      <c r="K1697" s="65" t="s">
        <v>75</v>
      </c>
      <c r="L1697" s="65" t="s">
        <v>113</v>
      </c>
      <c r="M1697" s="67">
        <v>679</v>
      </c>
      <c r="N1697" s="65" t="s">
        <v>136</v>
      </c>
      <c r="O1697" s="68">
        <v>97.06</v>
      </c>
      <c r="P1697" s="68">
        <v>65903.740000000005</v>
      </c>
      <c r="Q1697" s="68">
        <v>2908.84</v>
      </c>
      <c r="R1697" s="62">
        <f t="shared" si="185"/>
        <v>4.4137707510984961E-2</v>
      </c>
      <c r="S1697" s="67">
        <v>23</v>
      </c>
      <c r="T1697" s="66">
        <v>45023</v>
      </c>
      <c r="U1697" s="66">
        <v>45035</v>
      </c>
      <c r="V1697" s="63">
        <f t="shared" si="186"/>
        <v>12</v>
      </c>
      <c r="W1697" s="65" t="s">
        <v>128</v>
      </c>
      <c r="X1697" s="64" t="b">
        <f t="shared" si="187"/>
        <v>0</v>
      </c>
      <c r="Y1697" s="67">
        <v>380</v>
      </c>
      <c r="Z1697" s="67">
        <v>110</v>
      </c>
      <c r="AA1697" s="65" t="s">
        <v>116</v>
      </c>
      <c r="AB1697" s="64" t="b">
        <f t="shared" si="188"/>
        <v>0</v>
      </c>
    </row>
    <row r="1698" spans="1:28" ht="15" customHeight="1" x14ac:dyDescent="0.3">
      <c r="A1698" s="57" t="s">
        <v>3510</v>
      </c>
      <c r="B1698" s="82">
        <v>45333</v>
      </c>
      <c r="C1698" s="59">
        <f t="shared" si="182"/>
        <v>2024</v>
      </c>
      <c r="D1698" s="59">
        <f t="shared" si="183"/>
        <v>2</v>
      </c>
      <c r="E1698" s="59">
        <f t="shared" si="184"/>
        <v>7</v>
      </c>
      <c r="F1698" s="57" t="s">
        <v>57</v>
      </c>
      <c r="G1698" s="57" t="s">
        <v>39</v>
      </c>
      <c r="H1698" s="57" t="s">
        <v>3511</v>
      </c>
      <c r="I1698" s="57" t="s">
        <v>65</v>
      </c>
      <c r="J1698" s="57" t="s">
        <v>143</v>
      </c>
      <c r="K1698" s="57" t="s">
        <v>74</v>
      </c>
      <c r="L1698" s="57" t="s">
        <v>119</v>
      </c>
      <c r="M1698" s="60">
        <v>287</v>
      </c>
      <c r="N1698" s="57" t="s">
        <v>163</v>
      </c>
      <c r="O1698" s="61">
        <v>2053.29</v>
      </c>
      <c r="P1698" s="61">
        <v>589294.23</v>
      </c>
      <c r="Q1698" s="61">
        <v>39481.18</v>
      </c>
      <c r="R1698" s="62">
        <f t="shared" si="185"/>
        <v>6.6997397887299873E-2</v>
      </c>
      <c r="S1698" s="60">
        <v>21</v>
      </c>
      <c r="T1698" s="58">
        <v>45354</v>
      </c>
      <c r="U1698" s="58">
        <v>45356</v>
      </c>
      <c r="V1698" s="63">
        <f t="shared" si="186"/>
        <v>2</v>
      </c>
      <c r="W1698" s="57" t="s">
        <v>125</v>
      </c>
      <c r="X1698" s="64" t="b">
        <f t="shared" si="187"/>
        <v>0</v>
      </c>
      <c r="Y1698" s="60">
        <v>366</v>
      </c>
      <c r="Z1698" s="60">
        <v>289</v>
      </c>
      <c r="AA1698" s="57" t="s">
        <v>116</v>
      </c>
      <c r="AB1698" s="64" t="b">
        <f t="shared" si="188"/>
        <v>0</v>
      </c>
    </row>
    <row r="1699" spans="1:28" ht="15" customHeight="1" x14ac:dyDescent="0.3">
      <c r="A1699" s="65" t="s">
        <v>3512</v>
      </c>
      <c r="B1699" s="81">
        <v>44970</v>
      </c>
      <c r="C1699" s="59">
        <f t="shared" si="182"/>
        <v>2023</v>
      </c>
      <c r="D1699" s="59">
        <f t="shared" si="183"/>
        <v>2</v>
      </c>
      <c r="E1699" s="59">
        <f t="shared" si="184"/>
        <v>7</v>
      </c>
      <c r="F1699" s="65" t="s">
        <v>53</v>
      </c>
      <c r="G1699" s="65" t="s">
        <v>43</v>
      </c>
      <c r="H1699" s="65" t="s">
        <v>3513</v>
      </c>
      <c r="I1699" s="65" t="s">
        <v>67</v>
      </c>
      <c r="J1699" s="65" t="s">
        <v>123</v>
      </c>
      <c r="K1699" s="65" t="s">
        <v>71</v>
      </c>
      <c r="L1699" s="65" t="s">
        <v>135</v>
      </c>
      <c r="M1699" s="67">
        <v>212</v>
      </c>
      <c r="N1699" s="65" t="s">
        <v>136</v>
      </c>
      <c r="O1699" s="68">
        <v>164.77</v>
      </c>
      <c r="P1699" s="68">
        <v>34931.24</v>
      </c>
      <c r="Q1699" s="68">
        <v>2716.5</v>
      </c>
      <c r="R1699" s="62">
        <f t="shared" si="185"/>
        <v>7.7767064667615585E-2</v>
      </c>
      <c r="S1699" s="67">
        <v>10</v>
      </c>
      <c r="T1699" s="66">
        <v>44980</v>
      </c>
      <c r="U1699" s="66">
        <v>44977</v>
      </c>
      <c r="V1699" s="63">
        <f t="shared" si="186"/>
        <v>-3</v>
      </c>
      <c r="W1699" s="65" t="s">
        <v>115</v>
      </c>
      <c r="X1699" s="64" t="b">
        <f t="shared" si="187"/>
        <v>1</v>
      </c>
      <c r="Y1699" s="67">
        <v>262</v>
      </c>
      <c r="Z1699" s="67">
        <v>86</v>
      </c>
      <c r="AA1699" s="65" t="s">
        <v>81</v>
      </c>
      <c r="AB1699" s="64" t="b">
        <f t="shared" si="188"/>
        <v>1</v>
      </c>
    </row>
    <row r="1700" spans="1:28" ht="15" customHeight="1" x14ac:dyDescent="0.3">
      <c r="A1700" s="57" t="s">
        <v>3514</v>
      </c>
      <c r="B1700" s="82">
        <v>45373</v>
      </c>
      <c r="C1700" s="59">
        <f t="shared" si="182"/>
        <v>2024</v>
      </c>
      <c r="D1700" s="59">
        <f t="shared" si="183"/>
        <v>3</v>
      </c>
      <c r="E1700" s="59">
        <f t="shared" si="184"/>
        <v>12</v>
      </c>
      <c r="F1700" s="57" t="s">
        <v>55</v>
      </c>
      <c r="G1700" s="57" t="s">
        <v>43</v>
      </c>
      <c r="H1700" s="57" t="s">
        <v>3515</v>
      </c>
      <c r="I1700" s="57" t="s">
        <v>66</v>
      </c>
      <c r="J1700" s="57" t="s">
        <v>123</v>
      </c>
      <c r="K1700" s="57" t="s">
        <v>72</v>
      </c>
      <c r="L1700" s="57" t="s">
        <v>119</v>
      </c>
      <c r="M1700" s="60">
        <v>75</v>
      </c>
      <c r="N1700" s="57" t="s">
        <v>132</v>
      </c>
      <c r="O1700" s="61">
        <v>188.19</v>
      </c>
      <c r="P1700" s="61">
        <v>14114.25</v>
      </c>
      <c r="Q1700" s="61">
        <v>389.54</v>
      </c>
      <c r="R1700" s="62">
        <f t="shared" si="185"/>
        <v>2.7599057689923306E-2</v>
      </c>
      <c r="S1700" s="60">
        <v>22</v>
      </c>
      <c r="T1700" s="58">
        <v>45395</v>
      </c>
      <c r="U1700" s="58">
        <v>45398</v>
      </c>
      <c r="V1700" s="63">
        <f t="shared" si="186"/>
        <v>3</v>
      </c>
      <c r="W1700" s="57" t="s">
        <v>125</v>
      </c>
      <c r="X1700" s="64" t="b">
        <f t="shared" si="187"/>
        <v>0</v>
      </c>
      <c r="Y1700" s="60">
        <v>483</v>
      </c>
      <c r="Z1700" s="60">
        <v>12</v>
      </c>
      <c r="AA1700" s="57" t="s">
        <v>116</v>
      </c>
      <c r="AB1700" s="64" t="b">
        <f t="shared" si="188"/>
        <v>0</v>
      </c>
    </row>
    <row r="1701" spans="1:28" ht="15" customHeight="1" x14ac:dyDescent="0.3">
      <c r="A1701" s="65" t="s">
        <v>3516</v>
      </c>
      <c r="B1701" s="81">
        <v>44946</v>
      </c>
      <c r="C1701" s="59">
        <f t="shared" si="182"/>
        <v>2023</v>
      </c>
      <c r="D1701" s="59">
        <f t="shared" si="183"/>
        <v>1</v>
      </c>
      <c r="E1701" s="59">
        <f t="shared" si="184"/>
        <v>3</v>
      </c>
      <c r="F1701" s="65" t="s">
        <v>61</v>
      </c>
      <c r="G1701" s="65" t="s">
        <v>42</v>
      </c>
      <c r="H1701" s="65" t="s">
        <v>3517</v>
      </c>
      <c r="I1701" s="65" t="s">
        <v>68</v>
      </c>
      <c r="J1701" s="65" t="s">
        <v>123</v>
      </c>
      <c r="K1701" s="65" t="s">
        <v>74</v>
      </c>
      <c r="L1701" s="65" t="s">
        <v>146</v>
      </c>
      <c r="M1701" s="67">
        <v>117</v>
      </c>
      <c r="N1701" s="65" t="s">
        <v>120</v>
      </c>
      <c r="O1701" s="68">
        <v>71.930000000000007</v>
      </c>
      <c r="P1701" s="68">
        <v>8415.81</v>
      </c>
      <c r="Q1701" s="68">
        <v>380.71</v>
      </c>
      <c r="R1701" s="62">
        <f t="shared" si="185"/>
        <v>4.5237475655938053E-2</v>
      </c>
      <c r="S1701" s="67">
        <v>21</v>
      </c>
      <c r="T1701" s="66">
        <v>44967</v>
      </c>
      <c r="U1701" s="66">
        <v>44967</v>
      </c>
      <c r="V1701" s="63">
        <f t="shared" si="186"/>
        <v>0</v>
      </c>
      <c r="W1701" s="65" t="s">
        <v>115</v>
      </c>
      <c r="X1701" s="64" t="b">
        <f t="shared" si="187"/>
        <v>1</v>
      </c>
      <c r="Y1701" s="67">
        <v>299</v>
      </c>
      <c r="Z1701" s="67">
        <v>262</v>
      </c>
      <c r="AA1701" s="65" t="s">
        <v>84</v>
      </c>
      <c r="AB1701" s="64" t="b">
        <f t="shared" si="188"/>
        <v>1</v>
      </c>
    </row>
    <row r="1702" spans="1:28" ht="15" customHeight="1" x14ac:dyDescent="0.3">
      <c r="A1702" s="57" t="s">
        <v>3518</v>
      </c>
      <c r="B1702" s="82">
        <v>45397</v>
      </c>
      <c r="C1702" s="59">
        <f t="shared" si="182"/>
        <v>2024</v>
      </c>
      <c r="D1702" s="59">
        <f t="shared" si="183"/>
        <v>4</v>
      </c>
      <c r="E1702" s="59">
        <f t="shared" si="184"/>
        <v>16</v>
      </c>
      <c r="F1702" s="57" t="s">
        <v>60</v>
      </c>
      <c r="G1702" s="57" t="s">
        <v>41</v>
      </c>
      <c r="H1702" s="57" t="s">
        <v>3519</v>
      </c>
      <c r="I1702" s="57" t="s">
        <v>67</v>
      </c>
      <c r="J1702" s="57" t="s">
        <v>143</v>
      </c>
      <c r="K1702" s="57" t="s">
        <v>73</v>
      </c>
      <c r="L1702" s="57" t="s">
        <v>135</v>
      </c>
      <c r="M1702" s="60">
        <v>277</v>
      </c>
      <c r="N1702" s="57" t="s">
        <v>120</v>
      </c>
      <c r="O1702" s="61">
        <v>498.92</v>
      </c>
      <c r="P1702" s="61">
        <v>138200.84</v>
      </c>
      <c r="Q1702" s="61">
        <v>6752.01</v>
      </c>
      <c r="R1702" s="62">
        <f t="shared" si="185"/>
        <v>4.885650477956574E-2</v>
      </c>
      <c r="S1702" s="60">
        <v>27</v>
      </c>
      <c r="T1702" s="58">
        <v>45424</v>
      </c>
      <c r="U1702" s="58">
        <v>45427</v>
      </c>
      <c r="V1702" s="63">
        <f t="shared" si="186"/>
        <v>3</v>
      </c>
      <c r="W1702" s="57" t="s">
        <v>128</v>
      </c>
      <c r="X1702" s="64" t="b">
        <f t="shared" si="187"/>
        <v>0</v>
      </c>
      <c r="Y1702" s="60">
        <v>416</v>
      </c>
      <c r="Z1702" s="60">
        <v>287</v>
      </c>
      <c r="AA1702" s="57" t="s">
        <v>116</v>
      </c>
      <c r="AB1702" s="64" t="b">
        <f t="shared" si="188"/>
        <v>0</v>
      </c>
    </row>
    <row r="1703" spans="1:28" ht="15" customHeight="1" x14ac:dyDescent="0.3">
      <c r="A1703" s="65" t="s">
        <v>3520</v>
      </c>
      <c r="B1703" s="81">
        <v>45006</v>
      </c>
      <c r="C1703" s="59">
        <f t="shared" si="182"/>
        <v>2023</v>
      </c>
      <c r="D1703" s="59">
        <f t="shared" si="183"/>
        <v>3</v>
      </c>
      <c r="E1703" s="59">
        <f t="shared" si="184"/>
        <v>12</v>
      </c>
      <c r="F1703" s="65" t="s">
        <v>58</v>
      </c>
      <c r="G1703" s="65" t="s">
        <v>39</v>
      </c>
      <c r="H1703" s="65" t="s">
        <v>3521</v>
      </c>
      <c r="I1703" s="65" t="s">
        <v>65</v>
      </c>
      <c r="J1703" s="65" t="s">
        <v>139</v>
      </c>
      <c r="K1703" s="65" t="s">
        <v>75</v>
      </c>
      <c r="L1703" s="65" t="s">
        <v>113</v>
      </c>
      <c r="M1703" s="67">
        <v>231</v>
      </c>
      <c r="N1703" s="65" t="s">
        <v>114</v>
      </c>
      <c r="O1703" s="68">
        <v>1355.6</v>
      </c>
      <c r="P1703" s="68">
        <v>313143.59999999998</v>
      </c>
      <c r="Q1703" s="68">
        <v>13333.25</v>
      </c>
      <c r="R1703" s="62">
        <f t="shared" si="185"/>
        <v>4.2578708298684695E-2</v>
      </c>
      <c r="S1703" s="67">
        <v>25</v>
      </c>
      <c r="T1703" s="66">
        <v>45031</v>
      </c>
      <c r="U1703" s="66">
        <v>45033</v>
      </c>
      <c r="V1703" s="63">
        <f t="shared" si="186"/>
        <v>2</v>
      </c>
      <c r="W1703" s="65" t="s">
        <v>125</v>
      </c>
      <c r="X1703" s="64" t="b">
        <f t="shared" si="187"/>
        <v>0</v>
      </c>
      <c r="Y1703" s="67">
        <v>112</v>
      </c>
      <c r="Z1703" s="67">
        <v>22</v>
      </c>
      <c r="AA1703" s="65" t="s">
        <v>81</v>
      </c>
      <c r="AB1703" s="64" t="b">
        <f t="shared" si="188"/>
        <v>1</v>
      </c>
    </row>
    <row r="1704" spans="1:28" ht="15" customHeight="1" x14ac:dyDescent="0.3">
      <c r="A1704" s="57" t="s">
        <v>3522</v>
      </c>
      <c r="B1704" s="82">
        <v>45247</v>
      </c>
      <c r="C1704" s="59">
        <f t="shared" si="182"/>
        <v>2023</v>
      </c>
      <c r="D1704" s="59">
        <f t="shared" si="183"/>
        <v>11</v>
      </c>
      <c r="E1704" s="59">
        <f t="shared" si="184"/>
        <v>46</v>
      </c>
      <c r="F1704" s="57" t="s">
        <v>52</v>
      </c>
      <c r="G1704" s="57" t="s">
        <v>40</v>
      </c>
      <c r="H1704" s="57" t="s">
        <v>3523</v>
      </c>
      <c r="I1704" s="57" t="s">
        <v>66</v>
      </c>
      <c r="J1704" s="57" t="s">
        <v>151</v>
      </c>
      <c r="K1704" s="57" t="s">
        <v>71</v>
      </c>
      <c r="L1704" s="57" t="s">
        <v>135</v>
      </c>
      <c r="M1704" s="60">
        <v>813</v>
      </c>
      <c r="N1704" s="57" t="s">
        <v>163</v>
      </c>
      <c r="O1704" s="61">
        <v>872.93</v>
      </c>
      <c r="P1704" s="61">
        <v>709692.09</v>
      </c>
      <c r="Q1704" s="61">
        <v>29658.99</v>
      </c>
      <c r="R1704" s="62">
        <f t="shared" si="185"/>
        <v>4.1791349259648648E-2</v>
      </c>
      <c r="S1704" s="60">
        <v>6</v>
      </c>
      <c r="T1704" s="58">
        <v>45253</v>
      </c>
      <c r="U1704" s="58">
        <v>45254</v>
      </c>
      <c r="V1704" s="63">
        <f t="shared" si="186"/>
        <v>1</v>
      </c>
      <c r="W1704" s="57" t="s">
        <v>125</v>
      </c>
      <c r="X1704" s="64" t="b">
        <f t="shared" si="187"/>
        <v>0</v>
      </c>
      <c r="Y1704" s="60">
        <v>447</v>
      </c>
      <c r="Z1704" s="60">
        <v>432</v>
      </c>
      <c r="AA1704" s="57" t="s">
        <v>116</v>
      </c>
      <c r="AB1704" s="64" t="b">
        <f t="shared" si="188"/>
        <v>0</v>
      </c>
    </row>
    <row r="1705" spans="1:28" ht="15" customHeight="1" x14ac:dyDescent="0.3">
      <c r="A1705" s="65" t="s">
        <v>3524</v>
      </c>
      <c r="B1705" s="81">
        <v>45516</v>
      </c>
      <c r="C1705" s="59">
        <f t="shared" si="182"/>
        <v>2024</v>
      </c>
      <c r="D1705" s="59">
        <f t="shared" si="183"/>
        <v>8</v>
      </c>
      <c r="E1705" s="59">
        <f t="shared" si="184"/>
        <v>33</v>
      </c>
      <c r="F1705" s="65" t="s">
        <v>57</v>
      </c>
      <c r="G1705" s="65" t="s">
        <v>43</v>
      </c>
      <c r="H1705" s="65" t="s">
        <v>3525</v>
      </c>
      <c r="I1705" s="65" t="s">
        <v>69</v>
      </c>
      <c r="J1705" s="65" t="s">
        <v>131</v>
      </c>
      <c r="K1705" s="65" t="s">
        <v>75</v>
      </c>
      <c r="L1705" s="65" t="s">
        <v>146</v>
      </c>
      <c r="M1705" s="67">
        <v>539</v>
      </c>
      <c r="N1705" s="65" t="s">
        <v>163</v>
      </c>
      <c r="O1705" s="68">
        <v>205.19</v>
      </c>
      <c r="P1705" s="68">
        <v>110597.41</v>
      </c>
      <c r="Q1705" s="68">
        <v>2558.79</v>
      </c>
      <c r="R1705" s="62">
        <f t="shared" si="185"/>
        <v>2.3136075248055086E-2</v>
      </c>
      <c r="S1705" s="67">
        <v>27</v>
      </c>
      <c r="T1705" s="66">
        <v>45543</v>
      </c>
      <c r="U1705" s="66">
        <v>45538</v>
      </c>
      <c r="V1705" s="63">
        <f t="shared" si="186"/>
        <v>-5</v>
      </c>
      <c r="W1705" s="65" t="s">
        <v>128</v>
      </c>
      <c r="X1705" s="64" t="b">
        <f t="shared" si="187"/>
        <v>0</v>
      </c>
      <c r="Y1705" s="67">
        <v>163</v>
      </c>
      <c r="Z1705" s="67">
        <v>199</v>
      </c>
      <c r="AA1705" s="65" t="s">
        <v>83</v>
      </c>
      <c r="AB1705" s="64" t="b">
        <f t="shared" si="188"/>
        <v>1</v>
      </c>
    </row>
    <row r="1706" spans="1:28" ht="15" customHeight="1" x14ac:dyDescent="0.3">
      <c r="A1706" s="57" t="s">
        <v>3526</v>
      </c>
      <c r="B1706" s="82">
        <v>45366</v>
      </c>
      <c r="C1706" s="59">
        <f t="shared" si="182"/>
        <v>2024</v>
      </c>
      <c r="D1706" s="59">
        <f t="shared" si="183"/>
        <v>3</v>
      </c>
      <c r="E1706" s="59">
        <f t="shared" si="184"/>
        <v>11</v>
      </c>
      <c r="F1706" s="57" t="s">
        <v>52</v>
      </c>
      <c r="G1706" s="57" t="s">
        <v>43</v>
      </c>
      <c r="H1706" s="57" t="s">
        <v>3527</v>
      </c>
      <c r="I1706" s="57" t="s">
        <v>69</v>
      </c>
      <c r="J1706" s="57" t="s">
        <v>151</v>
      </c>
      <c r="K1706" s="57" t="s">
        <v>72</v>
      </c>
      <c r="L1706" s="57" t="s">
        <v>119</v>
      </c>
      <c r="M1706" s="60">
        <v>99</v>
      </c>
      <c r="N1706" s="57" t="s">
        <v>136</v>
      </c>
      <c r="O1706" s="61">
        <v>297.85000000000002</v>
      </c>
      <c r="P1706" s="61">
        <v>29487.15</v>
      </c>
      <c r="Q1706" s="61">
        <v>1802.62</v>
      </c>
      <c r="R1706" s="62">
        <f t="shared" si="185"/>
        <v>6.113239156717417E-2</v>
      </c>
      <c r="S1706" s="60">
        <v>8</v>
      </c>
      <c r="T1706" s="58">
        <v>45374</v>
      </c>
      <c r="U1706" s="58">
        <v>45386</v>
      </c>
      <c r="V1706" s="63">
        <f t="shared" si="186"/>
        <v>12</v>
      </c>
      <c r="W1706" s="57" t="s">
        <v>128</v>
      </c>
      <c r="X1706" s="64" t="b">
        <f t="shared" si="187"/>
        <v>0</v>
      </c>
      <c r="Y1706" s="60">
        <v>3</v>
      </c>
      <c r="Z1706" s="60">
        <v>241</v>
      </c>
      <c r="AA1706" s="57" t="s">
        <v>116</v>
      </c>
      <c r="AB1706" s="64" t="b">
        <f t="shared" si="188"/>
        <v>0</v>
      </c>
    </row>
    <row r="1707" spans="1:28" ht="15" customHeight="1" x14ac:dyDescent="0.3">
      <c r="A1707" s="65" t="s">
        <v>3528</v>
      </c>
      <c r="B1707" s="81">
        <v>45514</v>
      </c>
      <c r="C1707" s="59">
        <f t="shared" si="182"/>
        <v>2024</v>
      </c>
      <c r="D1707" s="59">
        <f t="shared" si="183"/>
        <v>8</v>
      </c>
      <c r="E1707" s="59">
        <f t="shared" si="184"/>
        <v>32</v>
      </c>
      <c r="F1707" s="65" t="s">
        <v>54</v>
      </c>
      <c r="G1707" s="65" t="s">
        <v>39</v>
      </c>
      <c r="H1707" s="65" t="s">
        <v>3529</v>
      </c>
      <c r="I1707" s="65" t="s">
        <v>67</v>
      </c>
      <c r="J1707" s="65" t="s">
        <v>123</v>
      </c>
      <c r="K1707" s="65" t="s">
        <v>74</v>
      </c>
      <c r="L1707" s="65" t="s">
        <v>156</v>
      </c>
      <c r="M1707" s="67">
        <v>702</v>
      </c>
      <c r="N1707" s="65" t="s">
        <v>114</v>
      </c>
      <c r="O1707" s="68">
        <v>1117.1099999999999</v>
      </c>
      <c r="P1707" s="68">
        <v>784211.22</v>
      </c>
      <c r="Q1707" s="68">
        <v>36209.279999999999</v>
      </c>
      <c r="R1707" s="62">
        <f t="shared" si="185"/>
        <v>4.6172866539705974E-2</v>
      </c>
      <c r="S1707" s="67">
        <v>2</v>
      </c>
      <c r="T1707" s="66">
        <v>45516</v>
      </c>
      <c r="U1707" s="66">
        <v>45515</v>
      </c>
      <c r="V1707" s="63">
        <f t="shared" si="186"/>
        <v>-1</v>
      </c>
      <c r="W1707" s="65" t="s">
        <v>115</v>
      </c>
      <c r="X1707" s="64" t="b">
        <f t="shared" si="187"/>
        <v>1</v>
      </c>
      <c r="Y1707" s="67">
        <v>117</v>
      </c>
      <c r="Z1707" s="67">
        <v>238</v>
      </c>
      <c r="AA1707" s="65" t="s">
        <v>116</v>
      </c>
      <c r="AB1707" s="64" t="b">
        <f t="shared" si="188"/>
        <v>0</v>
      </c>
    </row>
    <row r="1708" spans="1:28" ht="15" customHeight="1" x14ac:dyDescent="0.3">
      <c r="A1708" s="57" t="s">
        <v>3530</v>
      </c>
      <c r="B1708" s="82">
        <v>45341</v>
      </c>
      <c r="C1708" s="59">
        <f t="shared" si="182"/>
        <v>2024</v>
      </c>
      <c r="D1708" s="59">
        <f t="shared" si="183"/>
        <v>2</v>
      </c>
      <c r="E1708" s="59">
        <f t="shared" si="184"/>
        <v>8</v>
      </c>
      <c r="F1708" s="57" t="s">
        <v>53</v>
      </c>
      <c r="G1708" s="57" t="s">
        <v>44</v>
      </c>
      <c r="H1708" s="57" t="s">
        <v>3531</v>
      </c>
      <c r="I1708" s="57" t="s">
        <v>66</v>
      </c>
      <c r="J1708" s="57" t="s">
        <v>151</v>
      </c>
      <c r="K1708" s="57" t="s">
        <v>75</v>
      </c>
      <c r="L1708" s="57" t="s">
        <v>124</v>
      </c>
      <c r="M1708" s="60">
        <v>264</v>
      </c>
      <c r="N1708" s="57" t="s">
        <v>163</v>
      </c>
      <c r="O1708" s="61">
        <v>97.65</v>
      </c>
      <c r="P1708" s="61">
        <v>25779.599999999999</v>
      </c>
      <c r="Q1708" s="61">
        <v>816.89</v>
      </c>
      <c r="R1708" s="62">
        <f t="shared" si="185"/>
        <v>3.1687458300361529E-2</v>
      </c>
      <c r="S1708" s="60">
        <v>12</v>
      </c>
      <c r="T1708" s="58">
        <v>45353</v>
      </c>
      <c r="U1708" s="58">
        <v>45361</v>
      </c>
      <c r="V1708" s="63">
        <f t="shared" si="186"/>
        <v>8</v>
      </c>
      <c r="W1708" s="57" t="s">
        <v>128</v>
      </c>
      <c r="X1708" s="64" t="b">
        <f t="shared" si="187"/>
        <v>0</v>
      </c>
      <c r="Y1708" s="60">
        <v>22</v>
      </c>
      <c r="Z1708" s="60">
        <v>302</v>
      </c>
      <c r="AA1708" s="57" t="s">
        <v>116</v>
      </c>
      <c r="AB1708" s="64" t="b">
        <f t="shared" si="188"/>
        <v>0</v>
      </c>
    </row>
    <row r="1709" spans="1:28" ht="15" customHeight="1" x14ac:dyDescent="0.3">
      <c r="A1709" s="65" t="s">
        <v>3532</v>
      </c>
      <c r="B1709" s="81">
        <v>45653</v>
      </c>
      <c r="C1709" s="59">
        <f t="shared" si="182"/>
        <v>2024</v>
      </c>
      <c r="D1709" s="59">
        <f t="shared" si="183"/>
        <v>12</v>
      </c>
      <c r="E1709" s="59">
        <f t="shared" si="184"/>
        <v>52</v>
      </c>
      <c r="F1709" s="65" t="s">
        <v>54</v>
      </c>
      <c r="G1709" s="65" t="s">
        <v>44</v>
      </c>
      <c r="H1709" s="65" t="s">
        <v>3533</v>
      </c>
      <c r="I1709" s="65" t="s">
        <v>67</v>
      </c>
      <c r="J1709" s="65" t="s">
        <v>143</v>
      </c>
      <c r="K1709" s="65" t="s">
        <v>75</v>
      </c>
      <c r="L1709" s="65" t="s">
        <v>156</v>
      </c>
      <c r="M1709" s="67">
        <v>464</v>
      </c>
      <c r="N1709" s="65" t="s">
        <v>136</v>
      </c>
      <c r="O1709" s="68">
        <v>89.07</v>
      </c>
      <c r="P1709" s="68">
        <v>41328.480000000003</v>
      </c>
      <c r="Q1709" s="68">
        <v>2850.1</v>
      </c>
      <c r="R1709" s="62">
        <f t="shared" si="185"/>
        <v>6.8962129746847692E-2</v>
      </c>
      <c r="S1709" s="67">
        <v>13</v>
      </c>
      <c r="T1709" s="66">
        <v>45666</v>
      </c>
      <c r="U1709" s="66">
        <v>45663</v>
      </c>
      <c r="V1709" s="63">
        <f t="shared" si="186"/>
        <v>-3</v>
      </c>
      <c r="W1709" s="65" t="s">
        <v>115</v>
      </c>
      <c r="X1709" s="64" t="b">
        <f t="shared" si="187"/>
        <v>1</v>
      </c>
      <c r="Y1709" s="67">
        <v>408</v>
      </c>
      <c r="Z1709" s="67">
        <v>164</v>
      </c>
      <c r="AA1709" s="65" t="s">
        <v>116</v>
      </c>
      <c r="AB1709" s="64" t="b">
        <f t="shared" si="188"/>
        <v>0</v>
      </c>
    </row>
    <row r="1710" spans="1:28" ht="15" customHeight="1" x14ac:dyDescent="0.3">
      <c r="A1710" s="57" t="s">
        <v>3534</v>
      </c>
      <c r="B1710" s="82">
        <v>45582</v>
      </c>
      <c r="C1710" s="59">
        <f t="shared" si="182"/>
        <v>2024</v>
      </c>
      <c r="D1710" s="59">
        <f t="shared" si="183"/>
        <v>10</v>
      </c>
      <c r="E1710" s="59">
        <f t="shared" si="184"/>
        <v>42</v>
      </c>
      <c r="F1710" s="57" t="s">
        <v>53</v>
      </c>
      <c r="G1710" s="57" t="s">
        <v>41</v>
      </c>
      <c r="H1710" s="57" t="s">
        <v>3535</v>
      </c>
      <c r="I1710" s="57" t="s">
        <v>66</v>
      </c>
      <c r="J1710" s="57" t="s">
        <v>123</v>
      </c>
      <c r="K1710" s="57" t="s">
        <v>73</v>
      </c>
      <c r="L1710" s="57" t="s">
        <v>156</v>
      </c>
      <c r="M1710" s="60">
        <v>262</v>
      </c>
      <c r="N1710" s="57" t="s">
        <v>163</v>
      </c>
      <c r="O1710" s="61">
        <v>600.34</v>
      </c>
      <c r="P1710" s="61">
        <v>157289.07999999999</v>
      </c>
      <c r="Q1710" s="61">
        <v>10719.82</v>
      </c>
      <c r="R1710" s="62">
        <f t="shared" si="185"/>
        <v>6.8153618801762975E-2</v>
      </c>
      <c r="S1710" s="60">
        <v>25</v>
      </c>
      <c r="T1710" s="58">
        <v>45607</v>
      </c>
      <c r="U1710" s="58">
        <v>45607</v>
      </c>
      <c r="V1710" s="63">
        <f t="shared" si="186"/>
        <v>0</v>
      </c>
      <c r="W1710" s="57" t="s">
        <v>115</v>
      </c>
      <c r="X1710" s="64" t="b">
        <f t="shared" si="187"/>
        <v>1</v>
      </c>
      <c r="Y1710" s="60">
        <v>232</v>
      </c>
      <c r="Z1710" s="60">
        <v>225</v>
      </c>
      <c r="AA1710" s="57" t="s">
        <v>116</v>
      </c>
      <c r="AB1710" s="64" t="b">
        <f t="shared" si="188"/>
        <v>0</v>
      </c>
    </row>
    <row r="1711" spans="1:28" ht="15" customHeight="1" x14ac:dyDescent="0.3">
      <c r="A1711" s="65" t="s">
        <v>3536</v>
      </c>
      <c r="B1711" s="81">
        <v>45354</v>
      </c>
      <c r="C1711" s="59">
        <f t="shared" si="182"/>
        <v>2024</v>
      </c>
      <c r="D1711" s="59">
        <f t="shared" si="183"/>
        <v>3</v>
      </c>
      <c r="E1711" s="59">
        <f t="shared" si="184"/>
        <v>10</v>
      </c>
      <c r="F1711" s="65" t="s">
        <v>61</v>
      </c>
      <c r="G1711" s="65" t="s">
        <v>45</v>
      </c>
      <c r="H1711" s="65" t="s">
        <v>3537</v>
      </c>
      <c r="I1711" s="65" t="s">
        <v>66</v>
      </c>
      <c r="J1711" s="65" t="s">
        <v>123</v>
      </c>
      <c r="K1711" s="65" t="s">
        <v>75</v>
      </c>
      <c r="L1711" s="65" t="s">
        <v>119</v>
      </c>
      <c r="M1711" s="67">
        <v>266</v>
      </c>
      <c r="N1711" s="65" t="s">
        <v>136</v>
      </c>
      <c r="O1711" s="68">
        <v>148.72</v>
      </c>
      <c r="P1711" s="68">
        <v>39559.519999999997</v>
      </c>
      <c r="Q1711" s="68">
        <v>1945.68</v>
      </c>
      <c r="R1711" s="62">
        <f t="shared" si="185"/>
        <v>4.9183609912354855E-2</v>
      </c>
      <c r="S1711" s="67">
        <v>21</v>
      </c>
      <c r="T1711" s="66">
        <v>45375</v>
      </c>
      <c r="U1711" s="66">
        <v>45375</v>
      </c>
      <c r="V1711" s="63">
        <f t="shared" si="186"/>
        <v>0</v>
      </c>
      <c r="W1711" s="65" t="s">
        <v>115</v>
      </c>
      <c r="X1711" s="64" t="b">
        <f t="shared" si="187"/>
        <v>1</v>
      </c>
      <c r="Y1711" s="67">
        <v>89</v>
      </c>
      <c r="Z1711" s="67">
        <v>175</v>
      </c>
      <c r="AA1711" s="65" t="s">
        <v>84</v>
      </c>
      <c r="AB1711" s="64" t="b">
        <f t="shared" si="188"/>
        <v>1</v>
      </c>
    </row>
    <row r="1712" spans="1:28" ht="15" customHeight="1" x14ac:dyDescent="0.3">
      <c r="A1712" s="57" t="s">
        <v>3538</v>
      </c>
      <c r="B1712" s="82">
        <v>45223</v>
      </c>
      <c r="C1712" s="59">
        <f t="shared" si="182"/>
        <v>2023</v>
      </c>
      <c r="D1712" s="59">
        <f t="shared" si="183"/>
        <v>10</v>
      </c>
      <c r="E1712" s="59">
        <f t="shared" si="184"/>
        <v>43</v>
      </c>
      <c r="F1712" s="57" t="s">
        <v>55</v>
      </c>
      <c r="G1712" s="57" t="s">
        <v>42</v>
      </c>
      <c r="H1712" s="57" t="s">
        <v>3539</v>
      </c>
      <c r="I1712" s="57" t="s">
        <v>67</v>
      </c>
      <c r="J1712" s="57" t="s">
        <v>112</v>
      </c>
      <c r="K1712" s="57" t="s">
        <v>71</v>
      </c>
      <c r="L1712" s="57" t="s">
        <v>156</v>
      </c>
      <c r="M1712" s="60">
        <v>392</v>
      </c>
      <c r="N1712" s="57" t="s">
        <v>163</v>
      </c>
      <c r="O1712" s="61">
        <v>109.53</v>
      </c>
      <c r="P1712" s="61">
        <v>42935.76</v>
      </c>
      <c r="Q1712" s="61">
        <v>1627.57</v>
      </c>
      <c r="R1712" s="62">
        <f t="shared" si="185"/>
        <v>3.7907096555412079E-2</v>
      </c>
      <c r="S1712" s="60">
        <v>7</v>
      </c>
      <c r="T1712" s="58">
        <v>45230</v>
      </c>
      <c r="U1712" s="58">
        <v>45230</v>
      </c>
      <c r="V1712" s="63">
        <f t="shared" si="186"/>
        <v>0</v>
      </c>
      <c r="W1712" s="57" t="s">
        <v>115</v>
      </c>
      <c r="X1712" s="64" t="b">
        <f t="shared" si="187"/>
        <v>1</v>
      </c>
      <c r="Y1712" s="60">
        <v>475</v>
      </c>
      <c r="Z1712" s="60">
        <v>28</v>
      </c>
      <c r="AA1712" s="57" t="s">
        <v>116</v>
      </c>
      <c r="AB1712" s="64" t="b">
        <f t="shared" si="188"/>
        <v>0</v>
      </c>
    </row>
    <row r="1713" spans="1:28" ht="15" customHeight="1" x14ac:dyDescent="0.3">
      <c r="A1713" s="65" t="s">
        <v>3540</v>
      </c>
      <c r="B1713" s="81">
        <v>45044</v>
      </c>
      <c r="C1713" s="59">
        <f t="shared" si="182"/>
        <v>2023</v>
      </c>
      <c r="D1713" s="59">
        <f t="shared" si="183"/>
        <v>4</v>
      </c>
      <c r="E1713" s="59">
        <f t="shared" si="184"/>
        <v>17</v>
      </c>
      <c r="F1713" s="65" t="s">
        <v>58</v>
      </c>
      <c r="G1713" s="65" t="s">
        <v>43</v>
      </c>
      <c r="H1713" s="65" t="s">
        <v>3541</v>
      </c>
      <c r="I1713" s="65" t="s">
        <v>66</v>
      </c>
      <c r="J1713" s="65" t="s">
        <v>112</v>
      </c>
      <c r="K1713" s="65" t="s">
        <v>74</v>
      </c>
      <c r="L1713" s="65" t="s">
        <v>146</v>
      </c>
      <c r="M1713" s="67">
        <v>451</v>
      </c>
      <c r="N1713" s="65" t="s">
        <v>140</v>
      </c>
      <c r="O1713" s="68">
        <v>221.91</v>
      </c>
      <c r="P1713" s="68">
        <v>100081.41</v>
      </c>
      <c r="Q1713" s="68">
        <v>5833.3</v>
      </c>
      <c r="R1713" s="62">
        <f t="shared" si="185"/>
        <v>5.8285549733961585E-2</v>
      </c>
      <c r="S1713" s="67">
        <v>10</v>
      </c>
      <c r="T1713" s="66">
        <v>45054</v>
      </c>
      <c r="U1713" s="66">
        <v>45054</v>
      </c>
      <c r="V1713" s="63">
        <f t="shared" si="186"/>
        <v>0</v>
      </c>
      <c r="W1713" s="65" t="s">
        <v>115</v>
      </c>
      <c r="X1713" s="64" t="b">
        <f t="shared" si="187"/>
        <v>1</v>
      </c>
      <c r="Y1713" s="67">
        <v>254</v>
      </c>
      <c r="Z1713" s="67">
        <v>164</v>
      </c>
      <c r="AA1713" s="65" t="s">
        <v>116</v>
      </c>
      <c r="AB1713" s="64" t="b">
        <f t="shared" si="188"/>
        <v>0</v>
      </c>
    </row>
    <row r="1714" spans="1:28" ht="15" customHeight="1" x14ac:dyDescent="0.3">
      <c r="A1714" s="57" t="s">
        <v>3542</v>
      </c>
      <c r="B1714" s="82">
        <v>45341</v>
      </c>
      <c r="C1714" s="59">
        <f t="shared" si="182"/>
        <v>2024</v>
      </c>
      <c r="D1714" s="59">
        <f t="shared" si="183"/>
        <v>2</v>
      </c>
      <c r="E1714" s="59">
        <f t="shared" si="184"/>
        <v>8</v>
      </c>
      <c r="F1714" s="57" t="s">
        <v>61</v>
      </c>
      <c r="G1714" s="57" t="s">
        <v>45</v>
      </c>
      <c r="H1714" s="57" t="s">
        <v>3543</v>
      </c>
      <c r="I1714" s="57" t="s">
        <v>68</v>
      </c>
      <c r="J1714" s="57" t="s">
        <v>143</v>
      </c>
      <c r="K1714" s="57" t="s">
        <v>72</v>
      </c>
      <c r="L1714" s="57" t="s">
        <v>119</v>
      </c>
      <c r="M1714" s="60">
        <v>867</v>
      </c>
      <c r="N1714" s="57" t="s">
        <v>136</v>
      </c>
      <c r="O1714" s="61">
        <v>224.32</v>
      </c>
      <c r="P1714" s="61">
        <v>194485.44</v>
      </c>
      <c r="Q1714" s="61">
        <v>7252.19</v>
      </c>
      <c r="R1714" s="62">
        <f t="shared" si="185"/>
        <v>3.7289115318863968E-2</v>
      </c>
      <c r="S1714" s="60">
        <v>13</v>
      </c>
      <c r="T1714" s="58">
        <v>45354</v>
      </c>
      <c r="U1714" s="58">
        <v>45354</v>
      </c>
      <c r="V1714" s="63">
        <f t="shared" si="186"/>
        <v>0</v>
      </c>
      <c r="W1714" s="57" t="s">
        <v>115</v>
      </c>
      <c r="X1714" s="64" t="b">
        <f t="shared" si="187"/>
        <v>1</v>
      </c>
      <c r="Y1714" s="60">
        <v>91</v>
      </c>
      <c r="Z1714" s="60">
        <v>22</v>
      </c>
      <c r="AA1714" s="57" t="s">
        <v>82</v>
      </c>
      <c r="AB1714" s="64" t="b">
        <f t="shared" si="188"/>
        <v>1</v>
      </c>
    </row>
    <row r="1715" spans="1:28" ht="15" customHeight="1" x14ac:dyDescent="0.3">
      <c r="A1715" s="65" t="s">
        <v>3544</v>
      </c>
      <c r="B1715" s="81">
        <v>44948</v>
      </c>
      <c r="C1715" s="59">
        <f t="shared" si="182"/>
        <v>2023</v>
      </c>
      <c r="D1715" s="59">
        <f t="shared" si="183"/>
        <v>1</v>
      </c>
      <c r="E1715" s="59">
        <f t="shared" si="184"/>
        <v>4</v>
      </c>
      <c r="F1715" s="65" t="s">
        <v>59</v>
      </c>
      <c r="G1715" s="65" t="s">
        <v>45</v>
      </c>
      <c r="H1715" s="65" t="s">
        <v>3545</v>
      </c>
      <c r="I1715" s="65" t="s">
        <v>65</v>
      </c>
      <c r="J1715" s="65" t="s">
        <v>143</v>
      </c>
      <c r="K1715" s="65" t="s">
        <v>75</v>
      </c>
      <c r="L1715" s="65" t="s">
        <v>156</v>
      </c>
      <c r="M1715" s="67">
        <v>608</v>
      </c>
      <c r="N1715" s="65" t="s">
        <v>140</v>
      </c>
      <c r="O1715" s="68">
        <v>229.86</v>
      </c>
      <c r="P1715" s="68">
        <v>139754.88</v>
      </c>
      <c r="Q1715" s="68">
        <v>4774.09</v>
      </c>
      <c r="R1715" s="62">
        <f t="shared" si="185"/>
        <v>3.4160452930158861E-2</v>
      </c>
      <c r="S1715" s="67">
        <v>17</v>
      </c>
      <c r="T1715" s="66">
        <v>44965</v>
      </c>
      <c r="U1715" s="66">
        <v>44964</v>
      </c>
      <c r="V1715" s="63">
        <f t="shared" si="186"/>
        <v>-1</v>
      </c>
      <c r="W1715" s="65" t="s">
        <v>115</v>
      </c>
      <c r="X1715" s="64" t="b">
        <f t="shared" si="187"/>
        <v>1</v>
      </c>
      <c r="Y1715" s="67">
        <v>468</v>
      </c>
      <c r="Z1715" s="67">
        <v>293</v>
      </c>
      <c r="AA1715" s="65" t="s">
        <v>81</v>
      </c>
      <c r="AB1715" s="64" t="b">
        <f t="shared" si="188"/>
        <v>1</v>
      </c>
    </row>
    <row r="1716" spans="1:28" ht="15" customHeight="1" x14ac:dyDescent="0.3">
      <c r="A1716" s="57" t="s">
        <v>3546</v>
      </c>
      <c r="B1716" s="82">
        <v>45259</v>
      </c>
      <c r="C1716" s="59">
        <f t="shared" si="182"/>
        <v>2023</v>
      </c>
      <c r="D1716" s="59">
        <f t="shared" si="183"/>
        <v>11</v>
      </c>
      <c r="E1716" s="59">
        <f t="shared" si="184"/>
        <v>48</v>
      </c>
      <c r="F1716" s="57" t="s">
        <v>55</v>
      </c>
      <c r="G1716" s="57" t="s">
        <v>42</v>
      </c>
      <c r="H1716" s="57" t="s">
        <v>3547</v>
      </c>
      <c r="I1716" s="57" t="s">
        <v>66</v>
      </c>
      <c r="J1716" s="57" t="s">
        <v>151</v>
      </c>
      <c r="K1716" s="57" t="s">
        <v>71</v>
      </c>
      <c r="L1716" s="57" t="s">
        <v>124</v>
      </c>
      <c r="M1716" s="60">
        <v>99</v>
      </c>
      <c r="N1716" s="57" t="s">
        <v>140</v>
      </c>
      <c r="O1716" s="61">
        <v>66.930000000000007</v>
      </c>
      <c r="P1716" s="61">
        <v>6626.07</v>
      </c>
      <c r="Q1716" s="61">
        <v>422.95</v>
      </c>
      <c r="R1716" s="62">
        <f t="shared" si="185"/>
        <v>6.3831200092966112E-2</v>
      </c>
      <c r="S1716" s="60">
        <v>26</v>
      </c>
      <c r="T1716" s="58">
        <v>45285</v>
      </c>
      <c r="U1716" s="58">
        <v>45297</v>
      </c>
      <c r="V1716" s="63">
        <f t="shared" si="186"/>
        <v>12</v>
      </c>
      <c r="W1716" s="57" t="s">
        <v>125</v>
      </c>
      <c r="X1716" s="64" t="b">
        <f t="shared" si="187"/>
        <v>0</v>
      </c>
      <c r="Y1716" s="60">
        <v>457</v>
      </c>
      <c r="Z1716" s="60">
        <v>476</v>
      </c>
      <c r="AA1716" s="57" t="s">
        <v>83</v>
      </c>
      <c r="AB1716" s="64" t="b">
        <f t="shared" si="188"/>
        <v>1</v>
      </c>
    </row>
    <row r="1717" spans="1:28" ht="15" customHeight="1" x14ac:dyDescent="0.3">
      <c r="A1717" s="65" t="s">
        <v>3548</v>
      </c>
      <c r="B1717" s="81">
        <v>45102</v>
      </c>
      <c r="C1717" s="59">
        <f t="shared" si="182"/>
        <v>2023</v>
      </c>
      <c r="D1717" s="59">
        <f t="shared" si="183"/>
        <v>6</v>
      </c>
      <c r="E1717" s="59">
        <f t="shared" si="184"/>
        <v>26</v>
      </c>
      <c r="F1717" s="65" t="s">
        <v>61</v>
      </c>
      <c r="G1717" s="65" t="s">
        <v>45</v>
      </c>
      <c r="H1717" s="65" t="s">
        <v>3549</v>
      </c>
      <c r="I1717" s="65" t="s">
        <v>68</v>
      </c>
      <c r="J1717" s="65" t="s">
        <v>131</v>
      </c>
      <c r="K1717" s="65" t="s">
        <v>72</v>
      </c>
      <c r="L1717" s="65" t="s">
        <v>113</v>
      </c>
      <c r="M1717" s="67">
        <v>758</v>
      </c>
      <c r="N1717" s="65" t="s">
        <v>140</v>
      </c>
      <c r="O1717" s="68">
        <v>171.63</v>
      </c>
      <c r="P1717" s="68">
        <v>130095.54</v>
      </c>
      <c r="Q1717" s="68">
        <v>2916.68</v>
      </c>
      <c r="R1717" s="62">
        <f t="shared" si="185"/>
        <v>2.2419523374898172E-2</v>
      </c>
      <c r="S1717" s="67">
        <v>21</v>
      </c>
      <c r="T1717" s="66">
        <v>45123</v>
      </c>
      <c r="U1717" s="66">
        <v>45118</v>
      </c>
      <c r="V1717" s="63">
        <f t="shared" si="186"/>
        <v>-5</v>
      </c>
      <c r="W1717" s="65" t="s">
        <v>115</v>
      </c>
      <c r="X1717" s="64" t="b">
        <f t="shared" si="187"/>
        <v>1</v>
      </c>
      <c r="Y1717" s="67">
        <v>154</v>
      </c>
      <c r="Z1717" s="67">
        <v>382</v>
      </c>
      <c r="AA1717" s="65" t="s">
        <v>82</v>
      </c>
      <c r="AB1717" s="64" t="b">
        <f t="shared" si="188"/>
        <v>1</v>
      </c>
    </row>
    <row r="1718" spans="1:28" ht="15" customHeight="1" x14ac:dyDescent="0.3">
      <c r="A1718" s="57" t="s">
        <v>3550</v>
      </c>
      <c r="B1718" s="82">
        <v>45559</v>
      </c>
      <c r="C1718" s="59">
        <f t="shared" si="182"/>
        <v>2024</v>
      </c>
      <c r="D1718" s="59">
        <f t="shared" si="183"/>
        <v>9</v>
      </c>
      <c r="E1718" s="59">
        <f t="shared" si="184"/>
        <v>39</v>
      </c>
      <c r="F1718" s="57" t="s">
        <v>60</v>
      </c>
      <c r="G1718" s="57" t="s">
        <v>45</v>
      </c>
      <c r="H1718" s="57" t="s">
        <v>3551</v>
      </c>
      <c r="I1718" s="57" t="s">
        <v>66</v>
      </c>
      <c r="J1718" s="57" t="s">
        <v>151</v>
      </c>
      <c r="K1718" s="57" t="s">
        <v>71</v>
      </c>
      <c r="L1718" s="57" t="s">
        <v>119</v>
      </c>
      <c r="M1718" s="60">
        <v>399</v>
      </c>
      <c r="N1718" s="57" t="s">
        <v>140</v>
      </c>
      <c r="O1718" s="61">
        <v>191.01</v>
      </c>
      <c r="P1718" s="61">
        <v>76212.990000000005</v>
      </c>
      <c r="Q1718" s="61">
        <v>1957.62</v>
      </c>
      <c r="R1718" s="62">
        <f t="shared" si="185"/>
        <v>2.5686172396595382E-2</v>
      </c>
      <c r="S1718" s="60">
        <v>28</v>
      </c>
      <c r="T1718" s="58">
        <v>45587</v>
      </c>
      <c r="U1718" s="58">
        <v>45587</v>
      </c>
      <c r="V1718" s="63">
        <f t="shared" si="186"/>
        <v>0</v>
      </c>
      <c r="W1718" s="57" t="s">
        <v>115</v>
      </c>
      <c r="X1718" s="64" t="b">
        <f t="shared" si="187"/>
        <v>1</v>
      </c>
      <c r="Y1718" s="60">
        <v>306</v>
      </c>
      <c r="Z1718" s="60">
        <v>43</v>
      </c>
      <c r="AA1718" s="57" t="s">
        <v>84</v>
      </c>
      <c r="AB1718" s="64" t="b">
        <f t="shared" si="188"/>
        <v>1</v>
      </c>
    </row>
    <row r="1719" spans="1:28" ht="15" customHeight="1" x14ac:dyDescent="0.3">
      <c r="A1719" s="65" t="s">
        <v>3552</v>
      </c>
      <c r="B1719" s="81">
        <v>45398</v>
      </c>
      <c r="C1719" s="59">
        <f t="shared" si="182"/>
        <v>2024</v>
      </c>
      <c r="D1719" s="59">
        <f t="shared" si="183"/>
        <v>4</v>
      </c>
      <c r="E1719" s="59">
        <f t="shared" si="184"/>
        <v>16</v>
      </c>
      <c r="F1719" s="65" t="s">
        <v>52</v>
      </c>
      <c r="G1719" s="65" t="s">
        <v>44</v>
      </c>
      <c r="H1719" s="65" t="s">
        <v>3553</v>
      </c>
      <c r="I1719" s="65" t="s">
        <v>68</v>
      </c>
      <c r="J1719" s="65" t="s">
        <v>143</v>
      </c>
      <c r="K1719" s="65" t="s">
        <v>75</v>
      </c>
      <c r="L1719" s="65" t="s">
        <v>119</v>
      </c>
      <c r="M1719" s="67">
        <v>591</v>
      </c>
      <c r="N1719" s="65" t="s">
        <v>132</v>
      </c>
      <c r="O1719" s="68">
        <v>140.97999999999999</v>
      </c>
      <c r="P1719" s="68">
        <v>83319.179999999993</v>
      </c>
      <c r="Q1719" s="68">
        <v>1700.32</v>
      </c>
      <c r="R1719" s="62">
        <f t="shared" si="185"/>
        <v>2.0407305976847107E-2</v>
      </c>
      <c r="S1719" s="67">
        <v>26</v>
      </c>
      <c r="T1719" s="66">
        <v>45424</v>
      </c>
      <c r="U1719" s="66">
        <v>45427</v>
      </c>
      <c r="V1719" s="63">
        <f t="shared" si="186"/>
        <v>3</v>
      </c>
      <c r="W1719" s="65" t="s">
        <v>125</v>
      </c>
      <c r="X1719" s="64" t="b">
        <f t="shared" si="187"/>
        <v>0</v>
      </c>
      <c r="Y1719" s="67">
        <v>114</v>
      </c>
      <c r="Z1719" s="67">
        <v>260</v>
      </c>
      <c r="AA1719" s="65" t="s">
        <v>84</v>
      </c>
      <c r="AB1719" s="64" t="b">
        <f t="shared" si="188"/>
        <v>1</v>
      </c>
    </row>
    <row r="1720" spans="1:28" ht="15" customHeight="1" x14ac:dyDescent="0.3">
      <c r="A1720" s="57" t="s">
        <v>3554</v>
      </c>
      <c r="B1720" s="82">
        <v>45633</v>
      </c>
      <c r="C1720" s="59">
        <f t="shared" si="182"/>
        <v>2024</v>
      </c>
      <c r="D1720" s="59">
        <f t="shared" si="183"/>
        <v>12</v>
      </c>
      <c r="E1720" s="59">
        <f t="shared" si="184"/>
        <v>49</v>
      </c>
      <c r="F1720" s="57" t="s">
        <v>54</v>
      </c>
      <c r="G1720" s="57" t="s">
        <v>44</v>
      </c>
      <c r="H1720" s="57" t="s">
        <v>3555</v>
      </c>
      <c r="I1720" s="57" t="s">
        <v>67</v>
      </c>
      <c r="J1720" s="57" t="s">
        <v>131</v>
      </c>
      <c r="K1720" s="57" t="s">
        <v>75</v>
      </c>
      <c r="L1720" s="57" t="s">
        <v>135</v>
      </c>
      <c r="M1720" s="60">
        <v>53</v>
      </c>
      <c r="N1720" s="57" t="s">
        <v>114</v>
      </c>
      <c r="O1720" s="61">
        <v>104.17</v>
      </c>
      <c r="P1720" s="61">
        <v>5521.01</v>
      </c>
      <c r="Q1720" s="61">
        <v>161.08000000000001</v>
      </c>
      <c r="R1720" s="62">
        <f t="shared" si="185"/>
        <v>2.9175821090706232E-2</v>
      </c>
      <c r="S1720" s="60">
        <v>14</v>
      </c>
      <c r="T1720" s="58">
        <v>45647</v>
      </c>
      <c r="U1720" s="58">
        <v>45650</v>
      </c>
      <c r="V1720" s="63">
        <f t="shared" si="186"/>
        <v>3</v>
      </c>
      <c r="W1720" s="57" t="s">
        <v>125</v>
      </c>
      <c r="X1720" s="64" t="b">
        <f t="shared" si="187"/>
        <v>0</v>
      </c>
      <c r="Y1720" s="60">
        <v>206</v>
      </c>
      <c r="Z1720" s="60">
        <v>179</v>
      </c>
      <c r="AA1720" s="57" t="s">
        <v>82</v>
      </c>
      <c r="AB1720" s="64" t="b">
        <f t="shared" si="188"/>
        <v>1</v>
      </c>
    </row>
    <row r="1721" spans="1:28" ht="15" customHeight="1" x14ac:dyDescent="0.3">
      <c r="A1721" s="65" t="s">
        <v>3556</v>
      </c>
      <c r="B1721" s="81">
        <v>45297</v>
      </c>
      <c r="C1721" s="59">
        <f t="shared" si="182"/>
        <v>2024</v>
      </c>
      <c r="D1721" s="59">
        <f t="shared" si="183"/>
        <v>1</v>
      </c>
      <c r="E1721" s="59">
        <f t="shared" si="184"/>
        <v>1</v>
      </c>
      <c r="F1721" s="65" t="s">
        <v>55</v>
      </c>
      <c r="G1721" s="65" t="s">
        <v>46</v>
      </c>
      <c r="H1721" s="65" t="s">
        <v>3557</v>
      </c>
      <c r="I1721" s="65" t="s">
        <v>69</v>
      </c>
      <c r="J1721" s="65" t="s">
        <v>151</v>
      </c>
      <c r="K1721" s="65" t="s">
        <v>74</v>
      </c>
      <c r="L1721" s="65" t="s">
        <v>156</v>
      </c>
      <c r="M1721" s="67">
        <v>721</v>
      </c>
      <c r="N1721" s="65" t="s">
        <v>120</v>
      </c>
      <c r="O1721" s="68">
        <v>47.58</v>
      </c>
      <c r="P1721" s="68">
        <v>34305.18</v>
      </c>
      <c r="Q1721" s="68">
        <v>828.11</v>
      </c>
      <c r="R1721" s="62">
        <f t="shared" si="185"/>
        <v>2.413950313043103E-2</v>
      </c>
      <c r="S1721" s="67">
        <v>2</v>
      </c>
      <c r="T1721" s="66">
        <v>45299</v>
      </c>
      <c r="U1721" s="66">
        <v>45299</v>
      </c>
      <c r="V1721" s="63">
        <f t="shared" si="186"/>
        <v>0</v>
      </c>
      <c r="W1721" s="65" t="s">
        <v>115</v>
      </c>
      <c r="X1721" s="64" t="b">
        <f t="shared" si="187"/>
        <v>1</v>
      </c>
      <c r="Y1721" s="67">
        <v>80</v>
      </c>
      <c r="Z1721" s="67">
        <v>295</v>
      </c>
      <c r="AA1721" s="65" t="s">
        <v>116</v>
      </c>
      <c r="AB1721" s="64" t="b">
        <f t="shared" si="188"/>
        <v>0</v>
      </c>
    </row>
    <row r="1722" spans="1:28" ht="15" customHeight="1" x14ac:dyDescent="0.3">
      <c r="A1722" s="57" t="s">
        <v>3558</v>
      </c>
      <c r="B1722" s="82">
        <v>45017</v>
      </c>
      <c r="C1722" s="59">
        <f t="shared" si="182"/>
        <v>2023</v>
      </c>
      <c r="D1722" s="59">
        <f t="shared" si="183"/>
        <v>4</v>
      </c>
      <c r="E1722" s="59">
        <f t="shared" si="184"/>
        <v>13</v>
      </c>
      <c r="F1722" s="57" t="s">
        <v>60</v>
      </c>
      <c r="G1722" s="57" t="s">
        <v>40</v>
      </c>
      <c r="H1722" s="57" t="s">
        <v>3559</v>
      </c>
      <c r="I1722" s="57" t="s">
        <v>64</v>
      </c>
      <c r="J1722" s="57" t="s">
        <v>139</v>
      </c>
      <c r="K1722" s="57" t="s">
        <v>73</v>
      </c>
      <c r="L1722" s="57" t="s">
        <v>113</v>
      </c>
      <c r="M1722" s="60">
        <v>673</v>
      </c>
      <c r="N1722" s="57" t="s">
        <v>132</v>
      </c>
      <c r="O1722" s="61">
        <v>1180.8699999999999</v>
      </c>
      <c r="P1722" s="61">
        <v>794725.51</v>
      </c>
      <c r="Q1722" s="61">
        <v>63377.88</v>
      </c>
      <c r="R1722" s="62">
        <f t="shared" si="185"/>
        <v>7.9748138448456241E-2</v>
      </c>
      <c r="S1722" s="60">
        <v>28</v>
      </c>
      <c r="T1722" s="58">
        <v>45045</v>
      </c>
      <c r="U1722" s="58">
        <v>45044</v>
      </c>
      <c r="V1722" s="63">
        <f t="shared" si="186"/>
        <v>-1</v>
      </c>
      <c r="W1722" s="57" t="s">
        <v>115</v>
      </c>
      <c r="X1722" s="64" t="b">
        <f t="shared" si="187"/>
        <v>1</v>
      </c>
      <c r="Y1722" s="60">
        <v>102</v>
      </c>
      <c r="Z1722" s="60">
        <v>138</v>
      </c>
      <c r="AA1722" s="57" t="s">
        <v>116</v>
      </c>
      <c r="AB1722" s="64" t="b">
        <f t="shared" si="188"/>
        <v>0</v>
      </c>
    </row>
    <row r="1723" spans="1:28" ht="15" customHeight="1" x14ac:dyDescent="0.3">
      <c r="A1723" s="65" t="s">
        <v>3560</v>
      </c>
      <c r="B1723" s="81">
        <v>45374</v>
      </c>
      <c r="C1723" s="59">
        <f t="shared" si="182"/>
        <v>2024</v>
      </c>
      <c r="D1723" s="59">
        <f t="shared" si="183"/>
        <v>3</v>
      </c>
      <c r="E1723" s="59">
        <f t="shared" si="184"/>
        <v>12</v>
      </c>
      <c r="F1723" s="65" t="s">
        <v>54</v>
      </c>
      <c r="G1723" s="65" t="s">
        <v>41</v>
      </c>
      <c r="H1723" s="65" t="s">
        <v>3561</v>
      </c>
      <c r="I1723" s="65" t="s">
        <v>66</v>
      </c>
      <c r="J1723" s="65" t="s">
        <v>139</v>
      </c>
      <c r="K1723" s="65" t="s">
        <v>71</v>
      </c>
      <c r="L1723" s="65" t="s">
        <v>124</v>
      </c>
      <c r="M1723" s="67">
        <v>607</v>
      </c>
      <c r="N1723" s="65" t="s">
        <v>163</v>
      </c>
      <c r="O1723" s="68">
        <v>358.79</v>
      </c>
      <c r="P1723" s="68">
        <v>217785.53</v>
      </c>
      <c r="Q1723" s="68">
        <v>8129.63</v>
      </c>
      <c r="R1723" s="62">
        <f t="shared" si="185"/>
        <v>3.7328604889406564E-2</v>
      </c>
      <c r="S1723" s="67">
        <v>22</v>
      </c>
      <c r="T1723" s="66">
        <v>45396</v>
      </c>
      <c r="U1723" s="66">
        <v>45391</v>
      </c>
      <c r="V1723" s="63">
        <f t="shared" si="186"/>
        <v>-5</v>
      </c>
      <c r="W1723" s="65" t="s">
        <v>115</v>
      </c>
      <c r="X1723" s="64" t="b">
        <f t="shared" si="187"/>
        <v>1</v>
      </c>
      <c r="Y1723" s="67">
        <v>482</v>
      </c>
      <c r="Z1723" s="67">
        <v>333</v>
      </c>
      <c r="AA1723" s="65" t="s">
        <v>81</v>
      </c>
      <c r="AB1723" s="64" t="b">
        <f t="shared" si="188"/>
        <v>1</v>
      </c>
    </row>
    <row r="1724" spans="1:28" ht="15" customHeight="1" x14ac:dyDescent="0.3">
      <c r="A1724" s="57" t="s">
        <v>3562</v>
      </c>
      <c r="B1724" s="82">
        <v>45035</v>
      </c>
      <c r="C1724" s="59">
        <f t="shared" si="182"/>
        <v>2023</v>
      </c>
      <c r="D1724" s="59">
        <f t="shared" si="183"/>
        <v>4</v>
      </c>
      <c r="E1724" s="59">
        <f t="shared" si="184"/>
        <v>16</v>
      </c>
      <c r="F1724" s="57" t="s">
        <v>59</v>
      </c>
      <c r="G1724" s="57" t="s">
        <v>45</v>
      </c>
      <c r="H1724" s="57" t="s">
        <v>3563</v>
      </c>
      <c r="I1724" s="57" t="s">
        <v>64</v>
      </c>
      <c r="J1724" s="57" t="s">
        <v>131</v>
      </c>
      <c r="K1724" s="57" t="s">
        <v>73</v>
      </c>
      <c r="L1724" s="57" t="s">
        <v>146</v>
      </c>
      <c r="M1724" s="60">
        <v>28</v>
      </c>
      <c r="N1724" s="57" t="s">
        <v>163</v>
      </c>
      <c r="O1724" s="61">
        <v>268.43</v>
      </c>
      <c r="P1724" s="61">
        <v>7516.04</v>
      </c>
      <c r="Q1724" s="61">
        <v>217.64</v>
      </c>
      <c r="R1724" s="62">
        <f t="shared" si="185"/>
        <v>2.8956737856637271E-2</v>
      </c>
      <c r="S1724" s="60">
        <v>11</v>
      </c>
      <c r="T1724" s="58">
        <v>45046</v>
      </c>
      <c r="U1724" s="58">
        <v>45043</v>
      </c>
      <c r="V1724" s="63">
        <f t="shared" si="186"/>
        <v>-3</v>
      </c>
      <c r="W1724" s="57" t="s">
        <v>115</v>
      </c>
      <c r="X1724" s="64" t="b">
        <f t="shared" si="187"/>
        <v>1</v>
      </c>
      <c r="Y1724" s="60">
        <v>452</v>
      </c>
      <c r="Z1724" s="60">
        <v>247</v>
      </c>
      <c r="AA1724" s="57" t="s">
        <v>82</v>
      </c>
      <c r="AB1724" s="64" t="b">
        <f t="shared" si="188"/>
        <v>1</v>
      </c>
    </row>
    <row r="1725" spans="1:28" ht="15" customHeight="1" x14ac:dyDescent="0.3">
      <c r="A1725" s="65" t="s">
        <v>3564</v>
      </c>
      <c r="B1725" s="81">
        <v>45176</v>
      </c>
      <c r="C1725" s="59">
        <f t="shared" si="182"/>
        <v>2023</v>
      </c>
      <c r="D1725" s="59">
        <f t="shared" si="183"/>
        <v>9</v>
      </c>
      <c r="E1725" s="59">
        <f t="shared" si="184"/>
        <v>36</v>
      </c>
      <c r="F1725" s="65" t="s">
        <v>56</v>
      </c>
      <c r="G1725" s="65" t="s">
        <v>46</v>
      </c>
      <c r="H1725" s="65" t="s">
        <v>3565</v>
      </c>
      <c r="I1725" s="65" t="s">
        <v>66</v>
      </c>
      <c r="J1725" s="65" t="s">
        <v>112</v>
      </c>
      <c r="K1725" s="65" t="s">
        <v>73</v>
      </c>
      <c r="L1725" s="65" t="s">
        <v>119</v>
      </c>
      <c r="M1725" s="67">
        <v>110</v>
      </c>
      <c r="N1725" s="65" t="s">
        <v>114</v>
      </c>
      <c r="O1725" s="68">
        <v>79.83</v>
      </c>
      <c r="P1725" s="68">
        <v>8781.2999999999993</v>
      </c>
      <c r="Q1725" s="68">
        <v>302.60000000000002</v>
      </c>
      <c r="R1725" s="62">
        <f t="shared" si="185"/>
        <v>3.4459590265678207E-2</v>
      </c>
      <c r="S1725" s="67">
        <v>1</v>
      </c>
      <c r="T1725" s="66">
        <v>45177</v>
      </c>
      <c r="U1725" s="66">
        <v>45179</v>
      </c>
      <c r="V1725" s="63">
        <f t="shared" si="186"/>
        <v>2</v>
      </c>
      <c r="W1725" s="65" t="s">
        <v>125</v>
      </c>
      <c r="X1725" s="64" t="b">
        <f t="shared" si="187"/>
        <v>0</v>
      </c>
      <c r="Y1725" s="67">
        <v>79</v>
      </c>
      <c r="Z1725" s="67">
        <v>240</v>
      </c>
      <c r="AA1725" s="65" t="s">
        <v>84</v>
      </c>
      <c r="AB1725" s="64" t="b">
        <f t="shared" si="188"/>
        <v>1</v>
      </c>
    </row>
    <row r="1726" spans="1:28" ht="15" customHeight="1" x14ac:dyDescent="0.3">
      <c r="A1726" s="57" t="s">
        <v>3566</v>
      </c>
      <c r="B1726" s="82">
        <v>45373</v>
      </c>
      <c r="C1726" s="59">
        <f t="shared" si="182"/>
        <v>2024</v>
      </c>
      <c r="D1726" s="59">
        <f t="shared" si="183"/>
        <v>3</v>
      </c>
      <c r="E1726" s="59">
        <f t="shared" si="184"/>
        <v>12</v>
      </c>
      <c r="F1726" s="57" t="s">
        <v>55</v>
      </c>
      <c r="G1726" s="57" t="s">
        <v>40</v>
      </c>
      <c r="H1726" s="57" t="s">
        <v>3567</v>
      </c>
      <c r="I1726" s="57" t="s">
        <v>67</v>
      </c>
      <c r="J1726" s="57" t="s">
        <v>131</v>
      </c>
      <c r="K1726" s="57" t="s">
        <v>72</v>
      </c>
      <c r="L1726" s="57" t="s">
        <v>146</v>
      </c>
      <c r="M1726" s="60">
        <v>923</v>
      </c>
      <c r="N1726" s="57" t="s">
        <v>120</v>
      </c>
      <c r="O1726" s="61">
        <v>750.22</v>
      </c>
      <c r="P1726" s="61">
        <v>692453.06</v>
      </c>
      <c r="Q1726" s="61">
        <v>52742.44</v>
      </c>
      <c r="R1726" s="62">
        <f t="shared" si="185"/>
        <v>7.6167531124781224E-2</v>
      </c>
      <c r="S1726" s="60">
        <v>19</v>
      </c>
      <c r="T1726" s="58">
        <v>45392</v>
      </c>
      <c r="U1726" s="58">
        <v>45387</v>
      </c>
      <c r="V1726" s="63">
        <f t="shared" si="186"/>
        <v>-5</v>
      </c>
      <c r="W1726" s="57" t="s">
        <v>115</v>
      </c>
      <c r="X1726" s="64" t="b">
        <f t="shared" si="187"/>
        <v>1</v>
      </c>
      <c r="Y1726" s="60">
        <v>406</v>
      </c>
      <c r="Z1726" s="60">
        <v>105</v>
      </c>
      <c r="AA1726" s="57" t="s">
        <v>116</v>
      </c>
      <c r="AB1726" s="64" t="b">
        <f t="shared" si="188"/>
        <v>0</v>
      </c>
    </row>
    <row r="1727" spans="1:28" ht="15" customHeight="1" x14ac:dyDescent="0.3">
      <c r="A1727" s="65" t="s">
        <v>3568</v>
      </c>
      <c r="B1727" s="81">
        <v>45530</v>
      </c>
      <c r="C1727" s="59">
        <f t="shared" si="182"/>
        <v>2024</v>
      </c>
      <c r="D1727" s="59">
        <f t="shared" si="183"/>
        <v>8</v>
      </c>
      <c r="E1727" s="59">
        <f t="shared" si="184"/>
        <v>35</v>
      </c>
      <c r="F1727" s="65" t="s">
        <v>60</v>
      </c>
      <c r="G1727" s="65" t="s">
        <v>46</v>
      </c>
      <c r="H1727" s="65" t="s">
        <v>3569</v>
      </c>
      <c r="I1727" s="65" t="s">
        <v>67</v>
      </c>
      <c r="J1727" s="65" t="s">
        <v>151</v>
      </c>
      <c r="K1727" s="65" t="s">
        <v>72</v>
      </c>
      <c r="L1727" s="65" t="s">
        <v>146</v>
      </c>
      <c r="M1727" s="67">
        <v>616</v>
      </c>
      <c r="N1727" s="65" t="s">
        <v>120</v>
      </c>
      <c r="O1727" s="68">
        <v>48.51</v>
      </c>
      <c r="P1727" s="68">
        <v>29882.16</v>
      </c>
      <c r="Q1727" s="68">
        <v>1530.25</v>
      </c>
      <c r="R1727" s="62">
        <f t="shared" si="185"/>
        <v>5.1209484187220738E-2</v>
      </c>
      <c r="S1727" s="67">
        <v>21</v>
      </c>
      <c r="T1727" s="66">
        <v>45551</v>
      </c>
      <c r="U1727" s="66">
        <v>45553</v>
      </c>
      <c r="V1727" s="63">
        <f t="shared" si="186"/>
        <v>2</v>
      </c>
      <c r="W1727" s="65" t="s">
        <v>128</v>
      </c>
      <c r="X1727" s="64" t="b">
        <f t="shared" si="187"/>
        <v>0</v>
      </c>
      <c r="Y1727" s="67">
        <v>102</v>
      </c>
      <c r="Z1727" s="67">
        <v>385</v>
      </c>
      <c r="AA1727" s="65" t="s">
        <v>116</v>
      </c>
      <c r="AB1727" s="64" t="b">
        <f t="shared" si="188"/>
        <v>0</v>
      </c>
    </row>
    <row r="1728" spans="1:28" ht="15" customHeight="1" x14ac:dyDescent="0.3">
      <c r="A1728" s="57" t="s">
        <v>3570</v>
      </c>
      <c r="B1728" s="82">
        <v>45337</v>
      </c>
      <c r="C1728" s="59">
        <f t="shared" si="182"/>
        <v>2024</v>
      </c>
      <c r="D1728" s="59">
        <f t="shared" si="183"/>
        <v>2</v>
      </c>
      <c r="E1728" s="59">
        <f t="shared" si="184"/>
        <v>7</v>
      </c>
      <c r="F1728" s="57" t="s">
        <v>54</v>
      </c>
      <c r="G1728" s="57" t="s">
        <v>46</v>
      </c>
      <c r="H1728" s="57" t="s">
        <v>3571</v>
      </c>
      <c r="I1728" s="57" t="s">
        <v>68</v>
      </c>
      <c r="J1728" s="57" t="s">
        <v>123</v>
      </c>
      <c r="K1728" s="57" t="s">
        <v>71</v>
      </c>
      <c r="L1728" s="57" t="s">
        <v>146</v>
      </c>
      <c r="M1728" s="60">
        <v>775</v>
      </c>
      <c r="N1728" s="57" t="s">
        <v>120</v>
      </c>
      <c r="O1728" s="61">
        <v>48.99</v>
      </c>
      <c r="P1728" s="61">
        <v>37967.25</v>
      </c>
      <c r="Q1728" s="61">
        <v>1590.41</v>
      </c>
      <c r="R1728" s="62">
        <f t="shared" si="185"/>
        <v>4.1888996437719352E-2</v>
      </c>
      <c r="S1728" s="60">
        <v>4</v>
      </c>
      <c r="T1728" s="58">
        <v>45341</v>
      </c>
      <c r="U1728" s="58">
        <v>45342</v>
      </c>
      <c r="V1728" s="63">
        <f t="shared" si="186"/>
        <v>1</v>
      </c>
      <c r="W1728" s="57" t="s">
        <v>128</v>
      </c>
      <c r="X1728" s="64" t="b">
        <f t="shared" si="187"/>
        <v>0</v>
      </c>
      <c r="Y1728" s="60">
        <v>239</v>
      </c>
      <c r="Z1728" s="60">
        <v>418</v>
      </c>
      <c r="AA1728" s="57" t="s">
        <v>82</v>
      </c>
      <c r="AB1728" s="64" t="b">
        <f t="shared" si="188"/>
        <v>1</v>
      </c>
    </row>
    <row r="1729" spans="1:28" ht="15" customHeight="1" x14ac:dyDescent="0.3">
      <c r="A1729" s="65" t="s">
        <v>3572</v>
      </c>
      <c r="B1729" s="81">
        <v>45463</v>
      </c>
      <c r="C1729" s="59">
        <f t="shared" si="182"/>
        <v>2024</v>
      </c>
      <c r="D1729" s="59">
        <f t="shared" si="183"/>
        <v>6</v>
      </c>
      <c r="E1729" s="59">
        <f t="shared" si="184"/>
        <v>25</v>
      </c>
      <c r="F1729" s="65" t="s">
        <v>54</v>
      </c>
      <c r="G1729" s="65" t="s">
        <v>41</v>
      </c>
      <c r="H1729" s="65" t="s">
        <v>3573</v>
      </c>
      <c r="I1729" s="65" t="s">
        <v>66</v>
      </c>
      <c r="J1729" s="65" t="s">
        <v>139</v>
      </c>
      <c r="K1729" s="65" t="s">
        <v>73</v>
      </c>
      <c r="L1729" s="65" t="s">
        <v>135</v>
      </c>
      <c r="M1729" s="67">
        <v>366</v>
      </c>
      <c r="N1729" s="65" t="s">
        <v>140</v>
      </c>
      <c r="O1729" s="68">
        <v>628.97</v>
      </c>
      <c r="P1729" s="68">
        <v>230203.02</v>
      </c>
      <c r="Q1729" s="68">
        <v>16667.5</v>
      </c>
      <c r="R1729" s="62">
        <f t="shared" si="185"/>
        <v>7.240348106640826E-2</v>
      </c>
      <c r="S1729" s="67">
        <v>19</v>
      </c>
      <c r="T1729" s="66">
        <v>45482</v>
      </c>
      <c r="U1729" s="66">
        <v>45484</v>
      </c>
      <c r="V1729" s="63">
        <f t="shared" si="186"/>
        <v>2</v>
      </c>
      <c r="W1729" s="65" t="s">
        <v>128</v>
      </c>
      <c r="X1729" s="64" t="b">
        <f t="shared" si="187"/>
        <v>0</v>
      </c>
      <c r="Y1729" s="67">
        <v>264</v>
      </c>
      <c r="Z1729" s="67">
        <v>172</v>
      </c>
      <c r="AA1729" s="65" t="s">
        <v>84</v>
      </c>
      <c r="AB1729" s="64" t="b">
        <f t="shared" si="188"/>
        <v>1</v>
      </c>
    </row>
    <row r="1730" spans="1:28" ht="15" customHeight="1" x14ac:dyDescent="0.3">
      <c r="A1730" s="57" t="s">
        <v>3574</v>
      </c>
      <c r="B1730" s="82">
        <v>45007</v>
      </c>
      <c r="C1730" s="59">
        <f t="shared" ref="C1730:C1793" si="189">YEAR(B1730)</f>
        <v>2023</v>
      </c>
      <c r="D1730" s="59">
        <f t="shared" ref="D1730:D1793" si="190">MONTH(B1730)</f>
        <v>3</v>
      </c>
      <c r="E1730" s="59">
        <f t="shared" ref="E1730:E1793" si="191">WEEKNUM(B1730,1)</f>
        <v>12</v>
      </c>
      <c r="F1730" s="57" t="s">
        <v>61</v>
      </c>
      <c r="G1730" s="57" t="s">
        <v>41</v>
      </c>
      <c r="H1730" s="57" t="s">
        <v>3575</v>
      </c>
      <c r="I1730" s="57" t="s">
        <v>67</v>
      </c>
      <c r="J1730" s="57" t="s">
        <v>123</v>
      </c>
      <c r="K1730" s="57" t="s">
        <v>74</v>
      </c>
      <c r="L1730" s="57" t="s">
        <v>146</v>
      </c>
      <c r="M1730" s="60">
        <v>551</v>
      </c>
      <c r="N1730" s="57" t="s">
        <v>132</v>
      </c>
      <c r="O1730" s="61">
        <v>607.12</v>
      </c>
      <c r="P1730" s="61">
        <v>334523.12</v>
      </c>
      <c r="Q1730" s="61">
        <v>14618.47</v>
      </c>
      <c r="R1730" s="62">
        <f t="shared" ref="R1730:R1793" si="192">Q1730/P1730</f>
        <v>4.3699430998969516E-2</v>
      </c>
      <c r="S1730" s="60">
        <v>26</v>
      </c>
      <c r="T1730" s="58">
        <v>45033</v>
      </c>
      <c r="U1730" s="58">
        <v>45045</v>
      </c>
      <c r="V1730" s="63">
        <f t="shared" ref="V1730:V1793" si="193">U1730-T1730</f>
        <v>12</v>
      </c>
      <c r="W1730" s="57" t="s">
        <v>125</v>
      </c>
      <c r="X1730" s="64" t="b">
        <f t="shared" ref="X1730:X1793" si="194">IF(W1730="Entregado", TRUE(), FALSE())</f>
        <v>0</v>
      </c>
      <c r="Y1730" s="60">
        <v>32</v>
      </c>
      <c r="Z1730" s="60">
        <v>48</v>
      </c>
      <c r="AA1730" s="57" t="s">
        <v>82</v>
      </c>
      <c r="AB1730" s="64" t="b">
        <f t="shared" ref="AB1730:AB1793" si="195">IF(AA1730="Ninguna",FALSE(),TRUE())</f>
        <v>1</v>
      </c>
    </row>
    <row r="1731" spans="1:28" ht="15" customHeight="1" x14ac:dyDescent="0.3">
      <c r="A1731" s="65" t="s">
        <v>3576</v>
      </c>
      <c r="B1731" s="81">
        <v>45332</v>
      </c>
      <c r="C1731" s="59">
        <f t="shared" si="189"/>
        <v>2024</v>
      </c>
      <c r="D1731" s="59">
        <f t="shared" si="190"/>
        <v>2</v>
      </c>
      <c r="E1731" s="59">
        <f t="shared" si="191"/>
        <v>6</v>
      </c>
      <c r="F1731" s="65" t="s">
        <v>53</v>
      </c>
      <c r="G1731" s="65" t="s">
        <v>39</v>
      </c>
      <c r="H1731" s="65" t="s">
        <v>3577</v>
      </c>
      <c r="I1731" s="65" t="s">
        <v>67</v>
      </c>
      <c r="J1731" s="65" t="s">
        <v>139</v>
      </c>
      <c r="K1731" s="65" t="s">
        <v>73</v>
      </c>
      <c r="L1731" s="65" t="s">
        <v>156</v>
      </c>
      <c r="M1731" s="67">
        <v>770</v>
      </c>
      <c r="N1731" s="65" t="s">
        <v>163</v>
      </c>
      <c r="O1731" s="68">
        <v>1989.29</v>
      </c>
      <c r="P1731" s="68">
        <v>1531753.3</v>
      </c>
      <c r="Q1731" s="68">
        <v>61424.09</v>
      </c>
      <c r="R1731" s="62">
        <f t="shared" si="192"/>
        <v>4.0100510963482168E-2</v>
      </c>
      <c r="S1731" s="67">
        <v>29</v>
      </c>
      <c r="T1731" s="66">
        <v>45361</v>
      </c>
      <c r="U1731" s="66">
        <v>45361</v>
      </c>
      <c r="V1731" s="63">
        <f t="shared" si="193"/>
        <v>0</v>
      </c>
      <c r="W1731" s="65" t="s">
        <v>115</v>
      </c>
      <c r="X1731" s="64" t="b">
        <f t="shared" si="194"/>
        <v>1</v>
      </c>
      <c r="Y1731" s="67">
        <v>34</v>
      </c>
      <c r="Z1731" s="67">
        <v>122</v>
      </c>
      <c r="AA1731" s="65" t="s">
        <v>116</v>
      </c>
      <c r="AB1731" s="64" t="b">
        <f t="shared" si="195"/>
        <v>0</v>
      </c>
    </row>
    <row r="1732" spans="1:28" ht="15" customHeight="1" x14ac:dyDescent="0.3">
      <c r="A1732" s="57" t="s">
        <v>3578</v>
      </c>
      <c r="B1732" s="82">
        <v>45244</v>
      </c>
      <c r="C1732" s="59">
        <f t="shared" si="189"/>
        <v>2023</v>
      </c>
      <c r="D1732" s="59">
        <f t="shared" si="190"/>
        <v>11</v>
      </c>
      <c r="E1732" s="59">
        <f t="shared" si="191"/>
        <v>46</v>
      </c>
      <c r="F1732" s="57" t="s">
        <v>61</v>
      </c>
      <c r="G1732" s="57" t="s">
        <v>42</v>
      </c>
      <c r="H1732" s="57" t="s">
        <v>3579</v>
      </c>
      <c r="I1732" s="57" t="s">
        <v>66</v>
      </c>
      <c r="J1732" s="57" t="s">
        <v>151</v>
      </c>
      <c r="K1732" s="57" t="s">
        <v>72</v>
      </c>
      <c r="L1732" s="57" t="s">
        <v>156</v>
      </c>
      <c r="M1732" s="60">
        <v>947</v>
      </c>
      <c r="N1732" s="57" t="s">
        <v>132</v>
      </c>
      <c r="O1732" s="61">
        <v>116</v>
      </c>
      <c r="P1732" s="61">
        <v>109852</v>
      </c>
      <c r="Q1732" s="61">
        <v>3563.26</v>
      </c>
      <c r="R1732" s="62">
        <f t="shared" si="192"/>
        <v>3.2436915122164366E-2</v>
      </c>
      <c r="S1732" s="60">
        <v>21</v>
      </c>
      <c r="T1732" s="58">
        <v>45265</v>
      </c>
      <c r="U1732" s="58">
        <v>45277</v>
      </c>
      <c r="V1732" s="63">
        <f t="shared" si="193"/>
        <v>12</v>
      </c>
      <c r="W1732" s="57" t="s">
        <v>128</v>
      </c>
      <c r="X1732" s="64" t="b">
        <f t="shared" si="194"/>
        <v>0</v>
      </c>
      <c r="Y1732" s="60">
        <v>248</v>
      </c>
      <c r="Z1732" s="60">
        <v>34</v>
      </c>
      <c r="AA1732" s="57" t="s">
        <v>84</v>
      </c>
      <c r="AB1732" s="64" t="b">
        <f t="shared" si="195"/>
        <v>1</v>
      </c>
    </row>
    <row r="1733" spans="1:28" ht="15" customHeight="1" x14ac:dyDescent="0.3">
      <c r="A1733" s="65" t="s">
        <v>3580</v>
      </c>
      <c r="B1733" s="81">
        <v>45274</v>
      </c>
      <c r="C1733" s="59">
        <f t="shared" si="189"/>
        <v>2023</v>
      </c>
      <c r="D1733" s="59">
        <f t="shared" si="190"/>
        <v>12</v>
      </c>
      <c r="E1733" s="59">
        <f t="shared" si="191"/>
        <v>50</v>
      </c>
      <c r="F1733" s="65" t="s">
        <v>60</v>
      </c>
      <c r="G1733" s="65" t="s">
        <v>42</v>
      </c>
      <c r="H1733" s="65" t="s">
        <v>3581</v>
      </c>
      <c r="I1733" s="65" t="s">
        <v>68</v>
      </c>
      <c r="J1733" s="65" t="s">
        <v>139</v>
      </c>
      <c r="K1733" s="65" t="s">
        <v>73</v>
      </c>
      <c r="L1733" s="65" t="s">
        <v>113</v>
      </c>
      <c r="M1733" s="67">
        <v>42</v>
      </c>
      <c r="N1733" s="65" t="s">
        <v>132</v>
      </c>
      <c r="O1733" s="68">
        <v>100.28</v>
      </c>
      <c r="P1733" s="68">
        <v>4211.76</v>
      </c>
      <c r="Q1733" s="68">
        <v>179.71</v>
      </c>
      <c r="R1733" s="62">
        <f t="shared" si="192"/>
        <v>4.2668623093433625E-2</v>
      </c>
      <c r="S1733" s="67">
        <v>11</v>
      </c>
      <c r="T1733" s="66">
        <v>45285</v>
      </c>
      <c r="U1733" s="66">
        <v>45288</v>
      </c>
      <c r="V1733" s="63">
        <f t="shared" si="193"/>
        <v>3</v>
      </c>
      <c r="W1733" s="65" t="s">
        <v>125</v>
      </c>
      <c r="X1733" s="64" t="b">
        <f t="shared" si="194"/>
        <v>0</v>
      </c>
      <c r="Y1733" s="67">
        <v>487</v>
      </c>
      <c r="Z1733" s="67">
        <v>105</v>
      </c>
      <c r="AA1733" s="65" t="s">
        <v>116</v>
      </c>
      <c r="AB1733" s="64" t="b">
        <f t="shared" si="195"/>
        <v>0</v>
      </c>
    </row>
    <row r="1734" spans="1:28" ht="15" customHeight="1" x14ac:dyDescent="0.3">
      <c r="A1734" s="57" t="s">
        <v>3582</v>
      </c>
      <c r="B1734" s="82">
        <v>45153</v>
      </c>
      <c r="C1734" s="59">
        <f t="shared" si="189"/>
        <v>2023</v>
      </c>
      <c r="D1734" s="59">
        <f t="shared" si="190"/>
        <v>8</v>
      </c>
      <c r="E1734" s="59">
        <f t="shared" si="191"/>
        <v>33</v>
      </c>
      <c r="F1734" s="57" t="s">
        <v>57</v>
      </c>
      <c r="G1734" s="57" t="s">
        <v>39</v>
      </c>
      <c r="H1734" s="57" t="s">
        <v>3583</v>
      </c>
      <c r="I1734" s="57" t="s">
        <v>68</v>
      </c>
      <c r="J1734" s="57" t="s">
        <v>131</v>
      </c>
      <c r="K1734" s="57" t="s">
        <v>75</v>
      </c>
      <c r="L1734" s="57" t="s">
        <v>113</v>
      </c>
      <c r="M1734" s="60">
        <v>979</v>
      </c>
      <c r="N1734" s="57" t="s">
        <v>132</v>
      </c>
      <c r="O1734" s="61">
        <v>1237.02</v>
      </c>
      <c r="P1734" s="61">
        <v>1211042.58</v>
      </c>
      <c r="Q1734" s="61">
        <v>47231.95</v>
      </c>
      <c r="R1734" s="62">
        <f t="shared" si="192"/>
        <v>3.9001064685933666E-2</v>
      </c>
      <c r="S1734" s="60">
        <v>8</v>
      </c>
      <c r="T1734" s="58">
        <v>45161</v>
      </c>
      <c r="U1734" s="58">
        <v>45160</v>
      </c>
      <c r="V1734" s="63">
        <f t="shared" si="193"/>
        <v>-1</v>
      </c>
      <c r="W1734" s="57" t="s">
        <v>115</v>
      </c>
      <c r="X1734" s="64" t="b">
        <f t="shared" si="194"/>
        <v>1</v>
      </c>
      <c r="Y1734" s="60">
        <v>49</v>
      </c>
      <c r="Z1734" s="60">
        <v>475</v>
      </c>
      <c r="AA1734" s="57" t="s">
        <v>83</v>
      </c>
      <c r="AB1734" s="64" t="b">
        <f t="shared" si="195"/>
        <v>1</v>
      </c>
    </row>
    <row r="1735" spans="1:28" ht="15" customHeight="1" x14ac:dyDescent="0.3">
      <c r="A1735" s="65" t="s">
        <v>3584</v>
      </c>
      <c r="B1735" s="81">
        <v>45268</v>
      </c>
      <c r="C1735" s="59">
        <f t="shared" si="189"/>
        <v>2023</v>
      </c>
      <c r="D1735" s="59">
        <f t="shared" si="190"/>
        <v>12</v>
      </c>
      <c r="E1735" s="59">
        <f t="shared" si="191"/>
        <v>49</v>
      </c>
      <c r="F1735" s="65" t="s">
        <v>52</v>
      </c>
      <c r="G1735" s="65" t="s">
        <v>39</v>
      </c>
      <c r="H1735" s="65" t="s">
        <v>3585</v>
      </c>
      <c r="I1735" s="65" t="s">
        <v>68</v>
      </c>
      <c r="J1735" s="65" t="s">
        <v>123</v>
      </c>
      <c r="K1735" s="65" t="s">
        <v>75</v>
      </c>
      <c r="L1735" s="65" t="s">
        <v>124</v>
      </c>
      <c r="M1735" s="67">
        <v>238</v>
      </c>
      <c r="N1735" s="65" t="s">
        <v>120</v>
      </c>
      <c r="O1735" s="68">
        <v>1342.13</v>
      </c>
      <c r="P1735" s="68">
        <v>319426.94</v>
      </c>
      <c r="Q1735" s="68">
        <v>19369.490000000002</v>
      </c>
      <c r="R1735" s="62">
        <f t="shared" si="192"/>
        <v>6.0638247982465102E-2</v>
      </c>
      <c r="S1735" s="67">
        <v>11</v>
      </c>
      <c r="T1735" s="66">
        <v>45279</v>
      </c>
      <c r="U1735" s="66">
        <v>45284</v>
      </c>
      <c r="V1735" s="63">
        <f t="shared" si="193"/>
        <v>5</v>
      </c>
      <c r="W1735" s="65" t="s">
        <v>125</v>
      </c>
      <c r="X1735" s="64" t="b">
        <f t="shared" si="194"/>
        <v>0</v>
      </c>
      <c r="Y1735" s="67">
        <v>279</v>
      </c>
      <c r="Z1735" s="67">
        <v>327</v>
      </c>
      <c r="AA1735" s="65" t="s">
        <v>82</v>
      </c>
      <c r="AB1735" s="64" t="b">
        <f t="shared" si="195"/>
        <v>1</v>
      </c>
    </row>
    <row r="1736" spans="1:28" ht="15" customHeight="1" x14ac:dyDescent="0.3">
      <c r="A1736" s="57" t="s">
        <v>3586</v>
      </c>
      <c r="B1736" s="82">
        <v>45099</v>
      </c>
      <c r="C1736" s="59">
        <f t="shared" si="189"/>
        <v>2023</v>
      </c>
      <c r="D1736" s="59">
        <f t="shared" si="190"/>
        <v>6</v>
      </c>
      <c r="E1736" s="59">
        <f t="shared" si="191"/>
        <v>25</v>
      </c>
      <c r="F1736" s="57" t="s">
        <v>55</v>
      </c>
      <c r="G1736" s="57" t="s">
        <v>44</v>
      </c>
      <c r="H1736" s="57" t="s">
        <v>3587</v>
      </c>
      <c r="I1736" s="57" t="s">
        <v>68</v>
      </c>
      <c r="J1736" s="57" t="s">
        <v>143</v>
      </c>
      <c r="K1736" s="57" t="s">
        <v>74</v>
      </c>
      <c r="L1736" s="57" t="s">
        <v>146</v>
      </c>
      <c r="M1736" s="60">
        <v>533</v>
      </c>
      <c r="N1736" s="57" t="s">
        <v>114</v>
      </c>
      <c r="O1736" s="61">
        <v>164.85</v>
      </c>
      <c r="P1736" s="61">
        <v>87865.05</v>
      </c>
      <c r="Q1736" s="61">
        <v>3283.95</v>
      </c>
      <c r="R1736" s="62">
        <f t="shared" si="192"/>
        <v>3.7374928939322288E-2</v>
      </c>
      <c r="S1736" s="60">
        <v>4</v>
      </c>
      <c r="T1736" s="58">
        <v>45103</v>
      </c>
      <c r="U1736" s="58">
        <v>45103</v>
      </c>
      <c r="V1736" s="63">
        <f t="shared" si="193"/>
        <v>0</v>
      </c>
      <c r="W1736" s="57" t="s">
        <v>115</v>
      </c>
      <c r="X1736" s="64" t="b">
        <f t="shared" si="194"/>
        <v>1</v>
      </c>
      <c r="Y1736" s="60">
        <v>471</v>
      </c>
      <c r="Z1736" s="60">
        <v>415</v>
      </c>
      <c r="AA1736" s="57" t="s">
        <v>116</v>
      </c>
      <c r="AB1736" s="64" t="b">
        <f t="shared" si="195"/>
        <v>0</v>
      </c>
    </row>
    <row r="1737" spans="1:28" ht="15" customHeight="1" x14ac:dyDescent="0.3">
      <c r="A1737" s="65" t="s">
        <v>3588</v>
      </c>
      <c r="B1737" s="81">
        <v>45005</v>
      </c>
      <c r="C1737" s="59">
        <f t="shared" si="189"/>
        <v>2023</v>
      </c>
      <c r="D1737" s="59">
        <f t="shared" si="190"/>
        <v>3</v>
      </c>
      <c r="E1737" s="59">
        <f t="shared" si="191"/>
        <v>12</v>
      </c>
      <c r="F1737" s="65" t="s">
        <v>61</v>
      </c>
      <c r="G1737" s="65" t="s">
        <v>40</v>
      </c>
      <c r="H1737" s="65" t="s">
        <v>3589</v>
      </c>
      <c r="I1737" s="65" t="s">
        <v>69</v>
      </c>
      <c r="J1737" s="65" t="s">
        <v>123</v>
      </c>
      <c r="K1737" s="65" t="s">
        <v>71</v>
      </c>
      <c r="L1737" s="65" t="s">
        <v>146</v>
      </c>
      <c r="M1737" s="67">
        <v>639</v>
      </c>
      <c r="N1737" s="65" t="s">
        <v>114</v>
      </c>
      <c r="O1737" s="68">
        <v>693.96</v>
      </c>
      <c r="P1737" s="68">
        <v>443440.44</v>
      </c>
      <c r="Q1737" s="68">
        <v>24226.03</v>
      </c>
      <c r="R1737" s="62">
        <f t="shared" si="192"/>
        <v>5.4631981692964217E-2</v>
      </c>
      <c r="S1737" s="67">
        <v>17</v>
      </c>
      <c r="T1737" s="66">
        <v>45022</v>
      </c>
      <c r="U1737" s="66">
        <v>45022</v>
      </c>
      <c r="V1737" s="63">
        <f t="shared" si="193"/>
        <v>0</v>
      </c>
      <c r="W1737" s="65" t="s">
        <v>115</v>
      </c>
      <c r="X1737" s="64" t="b">
        <f t="shared" si="194"/>
        <v>1</v>
      </c>
      <c r="Y1737" s="67">
        <v>241</v>
      </c>
      <c r="Z1737" s="67">
        <v>195</v>
      </c>
      <c r="AA1737" s="65" t="s">
        <v>81</v>
      </c>
      <c r="AB1737" s="64" t="b">
        <f t="shared" si="195"/>
        <v>1</v>
      </c>
    </row>
    <row r="1738" spans="1:28" ht="15" customHeight="1" x14ac:dyDescent="0.3">
      <c r="A1738" s="57" t="s">
        <v>3590</v>
      </c>
      <c r="B1738" s="82">
        <v>45449</v>
      </c>
      <c r="C1738" s="59">
        <f t="shared" si="189"/>
        <v>2024</v>
      </c>
      <c r="D1738" s="59">
        <f t="shared" si="190"/>
        <v>6</v>
      </c>
      <c r="E1738" s="59">
        <f t="shared" si="191"/>
        <v>23</v>
      </c>
      <c r="F1738" s="57" t="s">
        <v>54</v>
      </c>
      <c r="G1738" s="57" t="s">
        <v>46</v>
      </c>
      <c r="H1738" s="57" t="s">
        <v>3591</v>
      </c>
      <c r="I1738" s="57" t="s">
        <v>66</v>
      </c>
      <c r="J1738" s="57" t="s">
        <v>151</v>
      </c>
      <c r="K1738" s="57" t="s">
        <v>73</v>
      </c>
      <c r="L1738" s="57" t="s">
        <v>135</v>
      </c>
      <c r="M1738" s="60">
        <v>871</v>
      </c>
      <c r="N1738" s="57" t="s">
        <v>120</v>
      </c>
      <c r="O1738" s="61">
        <v>45.48</v>
      </c>
      <c r="P1738" s="61">
        <v>39613.08</v>
      </c>
      <c r="Q1738" s="61">
        <v>948.87</v>
      </c>
      <c r="R1738" s="62">
        <f t="shared" si="192"/>
        <v>2.3953451738668138E-2</v>
      </c>
      <c r="S1738" s="60">
        <v>27</v>
      </c>
      <c r="T1738" s="58">
        <v>45476</v>
      </c>
      <c r="U1738" s="58">
        <v>45478</v>
      </c>
      <c r="V1738" s="63">
        <f t="shared" si="193"/>
        <v>2</v>
      </c>
      <c r="W1738" s="57" t="s">
        <v>128</v>
      </c>
      <c r="X1738" s="64" t="b">
        <f t="shared" si="194"/>
        <v>0</v>
      </c>
      <c r="Y1738" s="60">
        <v>151</v>
      </c>
      <c r="Z1738" s="60">
        <v>108</v>
      </c>
      <c r="AA1738" s="57" t="s">
        <v>81</v>
      </c>
      <c r="AB1738" s="64" t="b">
        <f t="shared" si="195"/>
        <v>1</v>
      </c>
    </row>
    <row r="1739" spans="1:28" ht="15" customHeight="1" x14ac:dyDescent="0.3">
      <c r="A1739" s="65" t="s">
        <v>3592</v>
      </c>
      <c r="B1739" s="81">
        <v>45575</v>
      </c>
      <c r="C1739" s="59">
        <f t="shared" si="189"/>
        <v>2024</v>
      </c>
      <c r="D1739" s="59">
        <f t="shared" si="190"/>
        <v>10</v>
      </c>
      <c r="E1739" s="59">
        <f t="shared" si="191"/>
        <v>41</v>
      </c>
      <c r="F1739" s="65" t="s">
        <v>54</v>
      </c>
      <c r="G1739" s="65" t="s">
        <v>45</v>
      </c>
      <c r="H1739" s="65" t="s">
        <v>3593</v>
      </c>
      <c r="I1739" s="65" t="s">
        <v>69</v>
      </c>
      <c r="J1739" s="65" t="s">
        <v>143</v>
      </c>
      <c r="K1739" s="65" t="s">
        <v>75</v>
      </c>
      <c r="L1739" s="65" t="s">
        <v>146</v>
      </c>
      <c r="M1739" s="67">
        <v>164</v>
      </c>
      <c r="N1739" s="65" t="s">
        <v>163</v>
      </c>
      <c r="O1739" s="68">
        <v>252.52</v>
      </c>
      <c r="P1739" s="68">
        <v>41413.279999999999</v>
      </c>
      <c r="Q1739" s="68">
        <v>1303.58</v>
      </c>
      <c r="R1739" s="62">
        <f t="shared" si="192"/>
        <v>3.1477342533602744E-2</v>
      </c>
      <c r="S1739" s="67">
        <v>7</v>
      </c>
      <c r="T1739" s="66">
        <v>45582</v>
      </c>
      <c r="U1739" s="66">
        <v>45582</v>
      </c>
      <c r="V1739" s="63">
        <f t="shared" si="193"/>
        <v>0</v>
      </c>
      <c r="W1739" s="65" t="s">
        <v>115</v>
      </c>
      <c r="X1739" s="64" t="b">
        <f t="shared" si="194"/>
        <v>1</v>
      </c>
      <c r="Y1739" s="67">
        <v>146</v>
      </c>
      <c r="Z1739" s="67">
        <v>124</v>
      </c>
      <c r="AA1739" s="65" t="s">
        <v>116</v>
      </c>
      <c r="AB1739" s="64" t="b">
        <f t="shared" si="195"/>
        <v>0</v>
      </c>
    </row>
    <row r="1740" spans="1:28" ht="15" customHeight="1" x14ac:dyDescent="0.3">
      <c r="A1740" s="57" t="s">
        <v>3594</v>
      </c>
      <c r="B1740" s="82">
        <v>45043</v>
      </c>
      <c r="C1740" s="59">
        <f t="shared" si="189"/>
        <v>2023</v>
      </c>
      <c r="D1740" s="59">
        <f t="shared" si="190"/>
        <v>4</v>
      </c>
      <c r="E1740" s="59">
        <f t="shared" si="191"/>
        <v>17</v>
      </c>
      <c r="F1740" s="57" t="s">
        <v>56</v>
      </c>
      <c r="G1740" s="57" t="s">
        <v>39</v>
      </c>
      <c r="H1740" s="57" t="s">
        <v>3595</v>
      </c>
      <c r="I1740" s="57" t="s">
        <v>67</v>
      </c>
      <c r="J1740" s="57" t="s">
        <v>123</v>
      </c>
      <c r="K1740" s="57" t="s">
        <v>71</v>
      </c>
      <c r="L1740" s="57" t="s">
        <v>146</v>
      </c>
      <c r="M1740" s="60">
        <v>432</v>
      </c>
      <c r="N1740" s="57" t="s">
        <v>163</v>
      </c>
      <c r="O1740" s="61">
        <v>1533.03</v>
      </c>
      <c r="P1740" s="61">
        <v>662268.96</v>
      </c>
      <c r="Q1740" s="61">
        <v>29434.09</v>
      </c>
      <c r="R1740" s="62">
        <f t="shared" si="192"/>
        <v>4.4444314587837548E-2</v>
      </c>
      <c r="S1740" s="60">
        <v>8</v>
      </c>
      <c r="T1740" s="58">
        <v>45051</v>
      </c>
      <c r="U1740" s="58">
        <v>45050</v>
      </c>
      <c r="V1740" s="63">
        <f t="shared" si="193"/>
        <v>-1</v>
      </c>
      <c r="W1740" s="57" t="s">
        <v>115</v>
      </c>
      <c r="X1740" s="64" t="b">
        <f t="shared" si="194"/>
        <v>1</v>
      </c>
      <c r="Y1740" s="60">
        <v>38</v>
      </c>
      <c r="Z1740" s="60">
        <v>326</v>
      </c>
      <c r="AA1740" s="57" t="s">
        <v>116</v>
      </c>
      <c r="AB1740" s="64" t="b">
        <f t="shared" si="195"/>
        <v>0</v>
      </c>
    </row>
    <row r="1741" spans="1:28" ht="15" customHeight="1" x14ac:dyDescent="0.3">
      <c r="A1741" s="65" t="s">
        <v>3596</v>
      </c>
      <c r="B1741" s="81">
        <v>45470</v>
      </c>
      <c r="C1741" s="59">
        <f t="shared" si="189"/>
        <v>2024</v>
      </c>
      <c r="D1741" s="59">
        <f t="shared" si="190"/>
        <v>6</v>
      </c>
      <c r="E1741" s="59">
        <f t="shared" si="191"/>
        <v>26</v>
      </c>
      <c r="F1741" s="65" t="s">
        <v>55</v>
      </c>
      <c r="G1741" s="65" t="s">
        <v>43</v>
      </c>
      <c r="H1741" s="65" t="s">
        <v>3597</v>
      </c>
      <c r="I1741" s="65" t="s">
        <v>69</v>
      </c>
      <c r="J1741" s="65" t="s">
        <v>151</v>
      </c>
      <c r="K1741" s="65" t="s">
        <v>75</v>
      </c>
      <c r="L1741" s="65" t="s">
        <v>146</v>
      </c>
      <c r="M1741" s="67">
        <v>914</v>
      </c>
      <c r="N1741" s="65" t="s">
        <v>163</v>
      </c>
      <c r="O1741" s="68">
        <v>287.20999999999998</v>
      </c>
      <c r="P1741" s="68">
        <v>262509.94</v>
      </c>
      <c r="Q1741" s="68">
        <v>20007.71</v>
      </c>
      <c r="R1741" s="62">
        <f t="shared" si="192"/>
        <v>7.6216961536770753E-2</v>
      </c>
      <c r="S1741" s="67">
        <v>3</v>
      </c>
      <c r="T1741" s="66">
        <v>45473</v>
      </c>
      <c r="U1741" s="66">
        <v>45473</v>
      </c>
      <c r="V1741" s="63">
        <f t="shared" si="193"/>
        <v>0</v>
      </c>
      <c r="W1741" s="65" t="s">
        <v>115</v>
      </c>
      <c r="X1741" s="64" t="b">
        <f t="shared" si="194"/>
        <v>1</v>
      </c>
      <c r="Y1741" s="67">
        <v>188</v>
      </c>
      <c r="Z1741" s="67">
        <v>294</v>
      </c>
      <c r="AA1741" s="65" t="s">
        <v>82</v>
      </c>
      <c r="AB1741" s="64" t="b">
        <f t="shared" si="195"/>
        <v>1</v>
      </c>
    </row>
    <row r="1742" spans="1:28" ht="15" customHeight="1" x14ac:dyDescent="0.3">
      <c r="A1742" s="57" t="s">
        <v>3598</v>
      </c>
      <c r="B1742" s="82">
        <v>45449</v>
      </c>
      <c r="C1742" s="59">
        <f t="shared" si="189"/>
        <v>2024</v>
      </c>
      <c r="D1742" s="59">
        <f t="shared" si="190"/>
        <v>6</v>
      </c>
      <c r="E1742" s="59">
        <f t="shared" si="191"/>
        <v>23</v>
      </c>
      <c r="F1742" s="57" t="s">
        <v>56</v>
      </c>
      <c r="G1742" s="57" t="s">
        <v>42</v>
      </c>
      <c r="H1742" s="57" t="s">
        <v>3599</v>
      </c>
      <c r="I1742" s="57" t="s">
        <v>68</v>
      </c>
      <c r="J1742" s="57" t="s">
        <v>112</v>
      </c>
      <c r="K1742" s="57" t="s">
        <v>71</v>
      </c>
      <c r="L1742" s="57" t="s">
        <v>119</v>
      </c>
      <c r="M1742" s="60">
        <v>255</v>
      </c>
      <c r="N1742" s="57" t="s">
        <v>114</v>
      </c>
      <c r="O1742" s="61">
        <v>97.62</v>
      </c>
      <c r="P1742" s="61">
        <v>24893.1</v>
      </c>
      <c r="Q1742" s="61">
        <v>1061.32</v>
      </c>
      <c r="R1742" s="62">
        <f t="shared" si="192"/>
        <v>4.2635107720613345E-2</v>
      </c>
      <c r="S1742" s="60">
        <v>22</v>
      </c>
      <c r="T1742" s="58">
        <v>45471</v>
      </c>
      <c r="U1742" s="58">
        <v>45471</v>
      </c>
      <c r="V1742" s="63">
        <f t="shared" si="193"/>
        <v>0</v>
      </c>
      <c r="W1742" s="57" t="s">
        <v>115</v>
      </c>
      <c r="X1742" s="64" t="b">
        <f t="shared" si="194"/>
        <v>1</v>
      </c>
      <c r="Y1742" s="60">
        <v>24</v>
      </c>
      <c r="Z1742" s="60">
        <v>431</v>
      </c>
      <c r="AA1742" s="57" t="s">
        <v>84</v>
      </c>
      <c r="AB1742" s="64" t="b">
        <f t="shared" si="195"/>
        <v>1</v>
      </c>
    </row>
    <row r="1743" spans="1:28" ht="15" customHeight="1" x14ac:dyDescent="0.3">
      <c r="A1743" s="65" t="s">
        <v>3600</v>
      </c>
      <c r="B1743" s="81">
        <v>45125</v>
      </c>
      <c r="C1743" s="59">
        <f t="shared" si="189"/>
        <v>2023</v>
      </c>
      <c r="D1743" s="59">
        <f t="shared" si="190"/>
        <v>7</v>
      </c>
      <c r="E1743" s="59">
        <f t="shared" si="191"/>
        <v>29</v>
      </c>
      <c r="F1743" s="65" t="s">
        <v>52</v>
      </c>
      <c r="G1743" s="65" t="s">
        <v>39</v>
      </c>
      <c r="H1743" s="65" t="s">
        <v>3601</v>
      </c>
      <c r="I1743" s="65" t="s">
        <v>67</v>
      </c>
      <c r="J1743" s="65" t="s">
        <v>131</v>
      </c>
      <c r="K1743" s="65" t="s">
        <v>71</v>
      </c>
      <c r="L1743" s="65" t="s">
        <v>119</v>
      </c>
      <c r="M1743" s="67">
        <v>414</v>
      </c>
      <c r="N1743" s="65" t="s">
        <v>114</v>
      </c>
      <c r="O1743" s="68">
        <v>1158.5</v>
      </c>
      <c r="P1743" s="68">
        <v>479619</v>
      </c>
      <c r="Q1743" s="68">
        <v>28702.53</v>
      </c>
      <c r="R1743" s="62">
        <f t="shared" si="192"/>
        <v>5.9844439023474881E-2</v>
      </c>
      <c r="S1743" s="67">
        <v>2</v>
      </c>
      <c r="T1743" s="66">
        <v>45127</v>
      </c>
      <c r="U1743" s="66">
        <v>45130</v>
      </c>
      <c r="V1743" s="63">
        <f t="shared" si="193"/>
        <v>3</v>
      </c>
      <c r="W1743" s="65" t="s">
        <v>128</v>
      </c>
      <c r="X1743" s="64" t="b">
        <f t="shared" si="194"/>
        <v>0</v>
      </c>
      <c r="Y1743" s="67">
        <v>243</v>
      </c>
      <c r="Z1743" s="67">
        <v>346</v>
      </c>
      <c r="AA1743" s="65" t="s">
        <v>83</v>
      </c>
      <c r="AB1743" s="64" t="b">
        <f t="shared" si="195"/>
        <v>1</v>
      </c>
    </row>
    <row r="1744" spans="1:28" ht="15" customHeight="1" x14ac:dyDescent="0.3">
      <c r="A1744" s="57" t="s">
        <v>3602</v>
      </c>
      <c r="B1744" s="82">
        <v>45284</v>
      </c>
      <c r="C1744" s="59">
        <f t="shared" si="189"/>
        <v>2023</v>
      </c>
      <c r="D1744" s="59">
        <f t="shared" si="190"/>
        <v>12</v>
      </c>
      <c r="E1744" s="59">
        <f t="shared" si="191"/>
        <v>52</v>
      </c>
      <c r="F1744" s="57" t="s">
        <v>59</v>
      </c>
      <c r="G1744" s="57" t="s">
        <v>43</v>
      </c>
      <c r="H1744" s="57" t="s">
        <v>3603</v>
      </c>
      <c r="I1744" s="57" t="s">
        <v>69</v>
      </c>
      <c r="J1744" s="57" t="s">
        <v>139</v>
      </c>
      <c r="K1744" s="57" t="s">
        <v>75</v>
      </c>
      <c r="L1744" s="57" t="s">
        <v>135</v>
      </c>
      <c r="M1744" s="60">
        <v>853</v>
      </c>
      <c r="N1744" s="57" t="s">
        <v>132</v>
      </c>
      <c r="O1744" s="61">
        <v>291.66000000000003</v>
      </c>
      <c r="P1744" s="61">
        <v>248785.98</v>
      </c>
      <c r="Q1744" s="61">
        <v>8783.4500000000007</v>
      </c>
      <c r="R1744" s="62">
        <f t="shared" si="192"/>
        <v>3.530524509459898E-2</v>
      </c>
      <c r="S1744" s="60">
        <v>23</v>
      </c>
      <c r="T1744" s="58">
        <v>45307</v>
      </c>
      <c r="U1744" s="58">
        <v>45306</v>
      </c>
      <c r="V1744" s="63">
        <f t="shared" si="193"/>
        <v>-1</v>
      </c>
      <c r="W1744" s="57" t="s">
        <v>115</v>
      </c>
      <c r="X1744" s="64" t="b">
        <f t="shared" si="194"/>
        <v>1</v>
      </c>
      <c r="Y1744" s="60">
        <v>222</v>
      </c>
      <c r="Z1744" s="60">
        <v>36</v>
      </c>
      <c r="AA1744" s="57" t="s">
        <v>83</v>
      </c>
      <c r="AB1744" s="64" t="b">
        <f t="shared" si="195"/>
        <v>1</v>
      </c>
    </row>
    <row r="1745" spans="1:28" ht="15" customHeight="1" x14ac:dyDescent="0.3">
      <c r="A1745" s="65" t="s">
        <v>3604</v>
      </c>
      <c r="B1745" s="81">
        <v>45286</v>
      </c>
      <c r="C1745" s="59">
        <f t="shared" si="189"/>
        <v>2023</v>
      </c>
      <c r="D1745" s="59">
        <f t="shared" si="190"/>
        <v>12</v>
      </c>
      <c r="E1745" s="59">
        <f t="shared" si="191"/>
        <v>52</v>
      </c>
      <c r="F1745" s="65" t="s">
        <v>61</v>
      </c>
      <c r="G1745" s="65" t="s">
        <v>43</v>
      </c>
      <c r="H1745" s="65" t="s">
        <v>3605</v>
      </c>
      <c r="I1745" s="65" t="s">
        <v>69</v>
      </c>
      <c r="J1745" s="65" t="s">
        <v>139</v>
      </c>
      <c r="K1745" s="65" t="s">
        <v>72</v>
      </c>
      <c r="L1745" s="65" t="s">
        <v>135</v>
      </c>
      <c r="M1745" s="67">
        <v>768</v>
      </c>
      <c r="N1745" s="65" t="s">
        <v>120</v>
      </c>
      <c r="O1745" s="68">
        <v>181.37</v>
      </c>
      <c r="P1745" s="68">
        <v>139292.16</v>
      </c>
      <c r="Q1745" s="68">
        <v>3847.53</v>
      </c>
      <c r="R1745" s="62">
        <f t="shared" si="192"/>
        <v>2.7622014045873076E-2</v>
      </c>
      <c r="S1745" s="67">
        <v>15</v>
      </c>
      <c r="T1745" s="66">
        <v>45301</v>
      </c>
      <c r="U1745" s="66">
        <v>45301</v>
      </c>
      <c r="V1745" s="63">
        <f t="shared" si="193"/>
        <v>0</v>
      </c>
      <c r="W1745" s="65" t="s">
        <v>115</v>
      </c>
      <c r="X1745" s="64" t="b">
        <f t="shared" si="194"/>
        <v>1</v>
      </c>
      <c r="Y1745" s="67">
        <v>229</v>
      </c>
      <c r="Z1745" s="67">
        <v>187</v>
      </c>
      <c r="AA1745" s="65" t="s">
        <v>81</v>
      </c>
      <c r="AB1745" s="64" t="b">
        <f t="shared" si="195"/>
        <v>1</v>
      </c>
    </row>
    <row r="1746" spans="1:28" ht="15" customHeight="1" x14ac:dyDescent="0.3">
      <c r="A1746" s="57" t="s">
        <v>3606</v>
      </c>
      <c r="B1746" s="82">
        <v>45587</v>
      </c>
      <c r="C1746" s="59">
        <f t="shared" si="189"/>
        <v>2024</v>
      </c>
      <c r="D1746" s="59">
        <f t="shared" si="190"/>
        <v>10</v>
      </c>
      <c r="E1746" s="59">
        <f t="shared" si="191"/>
        <v>43</v>
      </c>
      <c r="F1746" s="57" t="s">
        <v>58</v>
      </c>
      <c r="G1746" s="57" t="s">
        <v>43</v>
      </c>
      <c r="H1746" s="57" t="s">
        <v>3607</v>
      </c>
      <c r="I1746" s="57" t="s">
        <v>66</v>
      </c>
      <c r="J1746" s="57" t="s">
        <v>139</v>
      </c>
      <c r="K1746" s="57" t="s">
        <v>71</v>
      </c>
      <c r="L1746" s="57" t="s">
        <v>156</v>
      </c>
      <c r="M1746" s="60">
        <v>550</v>
      </c>
      <c r="N1746" s="57" t="s">
        <v>140</v>
      </c>
      <c r="O1746" s="61">
        <v>193.95</v>
      </c>
      <c r="P1746" s="61">
        <v>106672.5</v>
      </c>
      <c r="Q1746" s="61">
        <v>2508.1</v>
      </c>
      <c r="R1746" s="62">
        <f t="shared" si="192"/>
        <v>2.3512151679205041E-2</v>
      </c>
      <c r="S1746" s="60">
        <v>24</v>
      </c>
      <c r="T1746" s="58">
        <v>45611</v>
      </c>
      <c r="U1746" s="58">
        <v>45612</v>
      </c>
      <c r="V1746" s="63">
        <f t="shared" si="193"/>
        <v>1</v>
      </c>
      <c r="W1746" s="57" t="s">
        <v>125</v>
      </c>
      <c r="X1746" s="64" t="b">
        <f t="shared" si="194"/>
        <v>0</v>
      </c>
      <c r="Y1746" s="60">
        <v>152</v>
      </c>
      <c r="Z1746" s="60">
        <v>336</v>
      </c>
      <c r="AA1746" s="57" t="s">
        <v>116</v>
      </c>
      <c r="AB1746" s="64" t="b">
        <f t="shared" si="195"/>
        <v>0</v>
      </c>
    </row>
    <row r="1747" spans="1:28" ht="15" customHeight="1" x14ac:dyDescent="0.3">
      <c r="A1747" s="65" t="s">
        <v>3608</v>
      </c>
      <c r="B1747" s="81">
        <v>45078</v>
      </c>
      <c r="C1747" s="59">
        <f t="shared" si="189"/>
        <v>2023</v>
      </c>
      <c r="D1747" s="59">
        <f t="shared" si="190"/>
        <v>6</v>
      </c>
      <c r="E1747" s="59">
        <f t="shared" si="191"/>
        <v>22</v>
      </c>
      <c r="F1747" s="65" t="s">
        <v>60</v>
      </c>
      <c r="G1747" s="65" t="s">
        <v>44</v>
      </c>
      <c r="H1747" s="65" t="s">
        <v>3609</v>
      </c>
      <c r="I1747" s="65" t="s">
        <v>69</v>
      </c>
      <c r="J1747" s="65" t="s">
        <v>112</v>
      </c>
      <c r="K1747" s="65" t="s">
        <v>73</v>
      </c>
      <c r="L1747" s="65" t="s">
        <v>135</v>
      </c>
      <c r="M1747" s="67">
        <v>170</v>
      </c>
      <c r="N1747" s="65" t="s">
        <v>132</v>
      </c>
      <c r="O1747" s="68">
        <v>122.62</v>
      </c>
      <c r="P1747" s="68">
        <v>20845.400000000001</v>
      </c>
      <c r="Q1747" s="68">
        <v>798.9</v>
      </c>
      <c r="R1747" s="62">
        <f t="shared" si="192"/>
        <v>3.8325002158749649E-2</v>
      </c>
      <c r="S1747" s="67">
        <v>22</v>
      </c>
      <c r="T1747" s="66">
        <v>45100</v>
      </c>
      <c r="U1747" s="66">
        <v>45101</v>
      </c>
      <c r="V1747" s="63">
        <f t="shared" si="193"/>
        <v>1</v>
      </c>
      <c r="W1747" s="65" t="s">
        <v>128</v>
      </c>
      <c r="X1747" s="64" t="b">
        <f t="shared" si="194"/>
        <v>0</v>
      </c>
      <c r="Y1747" s="67">
        <v>410</v>
      </c>
      <c r="Z1747" s="67">
        <v>457</v>
      </c>
      <c r="AA1747" s="65" t="s">
        <v>116</v>
      </c>
      <c r="AB1747" s="64" t="b">
        <f t="shared" si="195"/>
        <v>0</v>
      </c>
    </row>
    <row r="1748" spans="1:28" ht="15" customHeight="1" x14ac:dyDescent="0.3">
      <c r="A1748" s="57" t="s">
        <v>3610</v>
      </c>
      <c r="B1748" s="82">
        <v>45168</v>
      </c>
      <c r="C1748" s="59">
        <f t="shared" si="189"/>
        <v>2023</v>
      </c>
      <c r="D1748" s="59">
        <f t="shared" si="190"/>
        <v>8</v>
      </c>
      <c r="E1748" s="59">
        <f t="shared" si="191"/>
        <v>35</v>
      </c>
      <c r="F1748" s="57" t="s">
        <v>60</v>
      </c>
      <c r="G1748" s="57" t="s">
        <v>44</v>
      </c>
      <c r="H1748" s="57" t="s">
        <v>3611</v>
      </c>
      <c r="I1748" s="57" t="s">
        <v>67</v>
      </c>
      <c r="J1748" s="57" t="s">
        <v>131</v>
      </c>
      <c r="K1748" s="57" t="s">
        <v>75</v>
      </c>
      <c r="L1748" s="57" t="s">
        <v>124</v>
      </c>
      <c r="M1748" s="60">
        <v>756</v>
      </c>
      <c r="N1748" s="57" t="s">
        <v>136</v>
      </c>
      <c r="O1748" s="61">
        <v>88.92</v>
      </c>
      <c r="P1748" s="61">
        <v>67223.520000000004</v>
      </c>
      <c r="Q1748" s="61">
        <v>1980.38</v>
      </c>
      <c r="R1748" s="62">
        <f t="shared" si="192"/>
        <v>2.9459629605828437E-2</v>
      </c>
      <c r="S1748" s="60">
        <v>22</v>
      </c>
      <c r="T1748" s="58">
        <v>45190</v>
      </c>
      <c r="U1748" s="58">
        <v>45202</v>
      </c>
      <c r="V1748" s="63">
        <f t="shared" si="193"/>
        <v>12</v>
      </c>
      <c r="W1748" s="57" t="s">
        <v>125</v>
      </c>
      <c r="X1748" s="64" t="b">
        <f t="shared" si="194"/>
        <v>0</v>
      </c>
      <c r="Y1748" s="60">
        <v>287</v>
      </c>
      <c r="Z1748" s="60">
        <v>387</v>
      </c>
      <c r="AA1748" s="57" t="s">
        <v>84</v>
      </c>
      <c r="AB1748" s="64" t="b">
        <f t="shared" si="195"/>
        <v>1</v>
      </c>
    </row>
    <row r="1749" spans="1:28" ht="15" customHeight="1" x14ac:dyDescent="0.3">
      <c r="A1749" s="65" t="s">
        <v>3612</v>
      </c>
      <c r="B1749" s="81">
        <v>45032</v>
      </c>
      <c r="C1749" s="59">
        <f t="shared" si="189"/>
        <v>2023</v>
      </c>
      <c r="D1749" s="59">
        <f t="shared" si="190"/>
        <v>4</v>
      </c>
      <c r="E1749" s="59">
        <f t="shared" si="191"/>
        <v>16</v>
      </c>
      <c r="F1749" s="65" t="s">
        <v>59</v>
      </c>
      <c r="G1749" s="65" t="s">
        <v>45</v>
      </c>
      <c r="H1749" s="65" t="s">
        <v>3613</v>
      </c>
      <c r="I1749" s="65" t="s">
        <v>68</v>
      </c>
      <c r="J1749" s="65" t="s">
        <v>123</v>
      </c>
      <c r="K1749" s="65" t="s">
        <v>72</v>
      </c>
      <c r="L1749" s="65" t="s">
        <v>156</v>
      </c>
      <c r="M1749" s="67">
        <v>711</v>
      </c>
      <c r="N1749" s="65" t="s">
        <v>114</v>
      </c>
      <c r="O1749" s="68">
        <v>219.44</v>
      </c>
      <c r="P1749" s="68">
        <v>156021.84</v>
      </c>
      <c r="Q1749" s="68">
        <v>4749.3999999999996</v>
      </c>
      <c r="R1749" s="62">
        <f t="shared" si="192"/>
        <v>3.0440610109456468E-2</v>
      </c>
      <c r="S1749" s="67">
        <v>5</v>
      </c>
      <c r="T1749" s="66">
        <v>45037</v>
      </c>
      <c r="U1749" s="66">
        <v>45049</v>
      </c>
      <c r="V1749" s="63">
        <f t="shared" si="193"/>
        <v>12</v>
      </c>
      <c r="W1749" s="65" t="s">
        <v>125</v>
      </c>
      <c r="X1749" s="64" t="b">
        <f t="shared" si="194"/>
        <v>0</v>
      </c>
      <c r="Y1749" s="67">
        <v>394</v>
      </c>
      <c r="Z1749" s="67">
        <v>22</v>
      </c>
      <c r="AA1749" s="65" t="s">
        <v>116</v>
      </c>
      <c r="AB1749" s="64" t="b">
        <f t="shared" si="195"/>
        <v>0</v>
      </c>
    </row>
    <row r="1750" spans="1:28" ht="15" customHeight="1" x14ac:dyDescent="0.3">
      <c r="A1750" s="57" t="s">
        <v>3614</v>
      </c>
      <c r="B1750" s="82">
        <v>45076</v>
      </c>
      <c r="C1750" s="59">
        <f t="shared" si="189"/>
        <v>2023</v>
      </c>
      <c r="D1750" s="59">
        <f t="shared" si="190"/>
        <v>5</v>
      </c>
      <c r="E1750" s="59">
        <f t="shared" si="191"/>
        <v>22</v>
      </c>
      <c r="F1750" s="57" t="s">
        <v>55</v>
      </c>
      <c r="G1750" s="57" t="s">
        <v>45</v>
      </c>
      <c r="H1750" s="57" t="s">
        <v>3615</v>
      </c>
      <c r="I1750" s="57" t="s">
        <v>66</v>
      </c>
      <c r="J1750" s="57" t="s">
        <v>123</v>
      </c>
      <c r="K1750" s="57" t="s">
        <v>75</v>
      </c>
      <c r="L1750" s="57" t="s">
        <v>146</v>
      </c>
      <c r="M1750" s="60">
        <v>126</v>
      </c>
      <c r="N1750" s="57" t="s">
        <v>132</v>
      </c>
      <c r="O1750" s="61">
        <v>159.72999999999999</v>
      </c>
      <c r="P1750" s="61">
        <v>20125.98</v>
      </c>
      <c r="Q1750" s="61">
        <v>1321.18</v>
      </c>
      <c r="R1750" s="62">
        <f t="shared" si="192"/>
        <v>6.5645499001787747E-2</v>
      </c>
      <c r="S1750" s="60">
        <v>24</v>
      </c>
      <c r="T1750" s="58">
        <v>45100</v>
      </c>
      <c r="U1750" s="58">
        <v>45100</v>
      </c>
      <c r="V1750" s="63">
        <f t="shared" si="193"/>
        <v>0</v>
      </c>
      <c r="W1750" s="57" t="s">
        <v>115</v>
      </c>
      <c r="X1750" s="64" t="b">
        <f t="shared" si="194"/>
        <v>1</v>
      </c>
      <c r="Y1750" s="60">
        <v>452</v>
      </c>
      <c r="Z1750" s="60">
        <v>397</v>
      </c>
      <c r="AA1750" s="57" t="s">
        <v>116</v>
      </c>
      <c r="AB1750" s="64" t="b">
        <f t="shared" si="195"/>
        <v>0</v>
      </c>
    </row>
    <row r="1751" spans="1:28" ht="15" customHeight="1" x14ac:dyDescent="0.3">
      <c r="A1751" s="65" t="s">
        <v>3616</v>
      </c>
      <c r="B1751" s="81">
        <v>45189</v>
      </c>
      <c r="C1751" s="59">
        <f t="shared" si="189"/>
        <v>2023</v>
      </c>
      <c r="D1751" s="59">
        <f t="shared" si="190"/>
        <v>9</v>
      </c>
      <c r="E1751" s="59">
        <f t="shared" si="191"/>
        <v>38</v>
      </c>
      <c r="F1751" s="65" t="s">
        <v>61</v>
      </c>
      <c r="G1751" s="65" t="s">
        <v>43</v>
      </c>
      <c r="H1751" s="65" t="s">
        <v>3617</v>
      </c>
      <c r="I1751" s="65" t="s">
        <v>69</v>
      </c>
      <c r="J1751" s="65" t="s">
        <v>131</v>
      </c>
      <c r="K1751" s="65" t="s">
        <v>74</v>
      </c>
      <c r="L1751" s="65" t="s">
        <v>135</v>
      </c>
      <c r="M1751" s="67">
        <v>280</v>
      </c>
      <c r="N1751" s="65" t="s">
        <v>120</v>
      </c>
      <c r="O1751" s="68">
        <v>204.16</v>
      </c>
      <c r="P1751" s="68">
        <v>57164.800000000003</v>
      </c>
      <c r="Q1751" s="68">
        <v>1197.6199999999999</v>
      </c>
      <c r="R1751" s="62">
        <f t="shared" si="192"/>
        <v>2.0950305082848182E-2</v>
      </c>
      <c r="S1751" s="67">
        <v>1</v>
      </c>
      <c r="T1751" s="66">
        <v>45190</v>
      </c>
      <c r="U1751" s="66">
        <v>45190</v>
      </c>
      <c r="V1751" s="63">
        <f t="shared" si="193"/>
        <v>0</v>
      </c>
      <c r="W1751" s="65" t="s">
        <v>115</v>
      </c>
      <c r="X1751" s="64" t="b">
        <f t="shared" si="194"/>
        <v>1</v>
      </c>
      <c r="Y1751" s="67">
        <v>107</v>
      </c>
      <c r="Z1751" s="67">
        <v>260</v>
      </c>
      <c r="AA1751" s="65" t="s">
        <v>82</v>
      </c>
      <c r="AB1751" s="64" t="b">
        <f t="shared" si="195"/>
        <v>1</v>
      </c>
    </row>
    <row r="1752" spans="1:28" ht="15" customHeight="1" x14ac:dyDescent="0.3">
      <c r="A1752" s="57" t="s">
        <v>3618</v>
      </c>
      <c r="B1752" s="82">
        <v>45129</v>
      </c>
      <c r="C1752" s="59">
        <f t="shared" si="189"/>
        <v>2023</v>
      </c>
      <c r="D1752" s="59">
        <f t="shared" si="190"/>
        <v>7</v>
      </c>
      <c r="E1752" s="59">
        <f t="shared" si="191"/>
        <v>29</v>
      </c>
      <c r="F1752" s="57" t="s">
        <v>52</v>
      </c>
      <c r="G1752" s="57" t="s">
        <v>40</v>
      </c>
      <c r="H1752" s="57" t="s">
        <v>3619</v>
      </c>
      <c r="I1752" s="57" t="s">
        <v>66</v>
      </c>
      <c r="J1752" s="57" t="s">
        <v>143</v>
      </c>
      <c r="K1752" s="57" t="s">
        <v>73</v>
      </c>
      <c r="L1752" s="57" t="s">
        <v>124</v>
      </c>
      <c r="M1752" s="60">
        <v>779</v>
      </c>
      <c r="N1752" s="57" t="s">
        <v>136</v>
      </c>
      <c r="O1752" s="61">
        <v>784.45</v>
      </c>
      <c r="P1752" s="61">
        <v>611086.55000000005</v>
      </c>
      <c r="Q1752" s="61">
        <v>32673.95</v>
      </c>
      <c r="R1752" s="62">
        <f t="shared" si="192"/>
        <v>5.3468612588511398E-2</v>
      </c>
      <c r="S1752" s="60">
        <v>26</v>
      </c>
      <c r="T1752" s="58">
        <v>45155</v>
      </c>
      <c r="U1752" s="58">
        <v>45167</v>
      </c>
      <c r="V1752" s="63">
        <f t="shared" si="193"/>
        <v>12</v>
      </c>
      <c r="W1752" s="57" t="s">
        <v>128</v>
      </c>
      <c r="X1752" s="64" t="b">
        <f t="shared" si="194"/>
        <v>0</v>
      </c>
      <c r="Y1752" s="60">
        <v>32</v>
      </c>
      <c r="Z1752" s="60">
        <v>193</v>
      </c>
      <c r="AA1752" s="57" t="s">
        <v>116</v>
      </c>
      <c r="AB1752" s="64" t="b">
        <f t="shared" si="195"/>
        <v>0</v>
      </c>
    </row>
    <row r="1753" spans="1:28" ht="15" customHeight="1" x14ac:dyDescent="0.3">
      <c r="A1753" s="65" t="s">
        <v>3620</v>
      </c>
      <c r="B1753" s="81">
        <v>45104</v>
      </c>
      <c r="C1753" s="59">
        <f t="shared" si="189"/>
        <v>2023</v>
      </c>
      <c r="D1753" s="59">
        <f t="shared" si="190"/>
        <v>6</v>
      </c>
      <c r="E1753" s="59">
        <f t="shared" si="191"/>
        <v>26</v>
      </c>
      <c r="F1753" s="65" t="s">
        <v>53</v>
      </c>
      <c r="G1753" s="65" t="s">
        <v>44</v>
      </c>
      <c r="H1753" s="65" t="s">
        <v>3621</v>
      </c>
      <c r="I1753" s="65" t="s">
        <v>64</v>
      </c>
      <c r="J1753" s="65" t="s">
        <v>131</v>
      </c>
      <c r="K1753" s="65" t="s">
        <v>74</v>
      </c>
      <c r="L1753" s="65" t="s">
        <v>135</v>
      </c>
      <c r="M1753" s="67">
        <v>701</v>
      </c>
      <c r="N1753" s="65" t="s">
        <v>132</v>
      </c>
      <c r="O1753" s="68">
        <v>158.19</v>
      </c>
      <c r="P1753" s="68">
        <v>110891.19</v>
      </c>
      <c r="Q1753" s="68">
        <v>4742.5600000000004</v>
      </c>
      <c r="R1753" s="62">
        <f t="shared" si="192"/>
        <v>4.2767689660468074E-2</v>
      </c>
      <c r="S1753" s="67">
        <v>4</v>
      </c>
      <c r="T1753" s="66">
        <v>45108</v>
      </c>
      <c r="U1753" s="66">
        <v>45107</v>
      </c>
      <c r="V1753" s="63">
        <f t="shared" si="193"/>
        <v>-1</v>
      </c>
      <c r="W1753" s="65" t="s">
        <v>115</v>
      </c>
      <c r="X1753" s="64" t="b">
        <f t="shared" si="194"/>
        <v>1</v>
      </c>
      <c r="Y1753" s="67">
        <v>402</v>
      </c>
      <c r="Z1753" s="67">
        <v>365</v>
      </c>
      <c r="AA1753" s="65" t="s">
        <v>82</v>
      </c>
      <c r="AB1753" s="64" t="b">
        <f t="shared" si="195"/>
        <v>1</v>
      </c>
    </row>
    <row r="1754" spans="1:28" ht="15" customHeight="1" x14ac:dyDescent="0.3">
      <c r="A1754" s="57" t="s">
        <v>3622</v>
      </c>
      <c r="B1754" s="82">
        <v>45543</v>
      </c>
      <c r="C1754" s="59">
        <f t="shared" si="189"/>
        <v>2024</v>
      </c>
      <c r="D1754" s="59">
        <f t="shared" si="190"/>
        <v>9</v>
      </c>
      <c r="E1754" s="59">
        <f t="shared" si="191"/>
        <v>37</v>
      </c>
      <c r="F1754" s="57" t="s">
        <v>56</v>
      </c>
      <c r="G1754" s="57" t="s">
        <v>46</v>
      </c>
      <c r="H1754" s="57" t="s">
        <v>3623</v>
      </c>
      <c r="I1754" s="57" t="s">
        <v>66</v>
      </c>
      <c r="J1754" s="57" t="s">
        <v>139</v>
      </c>
      <c r="K1754" s="57" t="s">
        <v>71</v>
      </c>
      <c r="L1754" s="57" t="s">
        <v>135</v>
      </c>
      <c r="M1754" s="60">
        <v>496</v>
      </c>
      <c r="N1754" s="57" t="s">
        <v>120</v>
      </c>
      <c r="O1754" s="61">
        <v>80.55</v>
      </c>
      <c r="P1754" s="61">
        <v>39952.800000000003</v>
      </c>
      <c r="Q1754" s="61">
        <v>2013.34</v>
      </c>
      <c r="R1754" s="62">
        <f t="shared" si="192"/>
        <v>5.0392963697162646E-2</v>
      </c>
      <c r="S1754" s="60">
        <v>15</v>
      </c>
      <c r="T1754" s="58">
        <v>45558</v>
      </c>
      <c r="U1754" s="58">
        <v>45558</v>
      </c>
      <c r="V1754" s="63">
        <f t="shared" si="193"/>
        <v>0</v>
      </c>
      <c r="W1754" s="57" t="s">
        <v>115</v>
      </c>
      <c r="X1754" s="64" t="b">
        <f t="shared" si="194"/>
        <v>1</v>
      </c>
      <c r="Y1754" s="60">
        <v>362</v>
      </c>
      <c r="Z1754" s="60">
        <v>151</v>
      </c>
      <c r="AA1754" s="57" t="s">
        <v>81</v>
      </c>
      <c r="AB1754" s="64" t="b">
        <f t="shared" si="195"/>
        <v>1</v>
      </c>
    </row>
    <row r="1755" spans="1:28" ht="15" customHeight="1" x14ac:dyDescent="0.3">
      <c r="A1755" s="65" t="s">
        <v>3624</v>
      </c>
      <c r="B1755" s="81">
        <v>45083</v>
      </c>
      <c r="C1755" s="59">
        <f t="shared" si="189"/>
        <v>2023</v>
      </c>
      <c r="D1755" s="59">
        <f t="shared" si="190"/>
        <v>6</v>
      </c>
      <c r="E1755" s="59">
        <f t="shared" si="191"/>
        <v>23</v>
      </c>
      <c r="F1755" s="65" t="s">
        <v>59</v>
      </c>
      <c r="G1755" s="65" t="s">
        <v>43</v>
      </c>
      <c r="H1755" s="65" t="s">
        <v>3625</v>
      </c>
      <c r="I1755" s="65" t="s">
        <v>68</v>
      </c>
      <c r="J1755" s="65" t="s">
        <v>123</v>
      </c>
      <c r="K1755" s="65" t="s">
        <v>71</v>
      </c>
      <c r="L1755" s="65" t="s">
        <v>156</v>
      </c>
      <c r="M1755" s="67">
        <v>894</v>
      </c>
      <c r="N1755" s="65" t="s">
        <v>120</v>
      </c>
      <c r="O1755" s="68">
        <v>164.55</v>
      </c>
      <c r="P1755" s="68">
        <v>147107.70000000001</v>
      </c>
      <c r="Q1755" s="68">
        <v>7909.95</v>
      </c>
      <c r="R1755" s="62">
        <f t="shared" si="192"/>
        <v>5.3769789072903723E-2</v>
      </c>
      <c r="S1755" s="67">
        <v>20</v>
      </c>
      <c r="T1755" s="66">
        <v>45103</v>
      </c>
      <c r="U1755" s="66">
        <v>45115</v>
      </c>
      <c r="V1755" s="63">
        <f t="shared" si="193"/>
        <v>12</v>
      </c>
      <c r="W1755" s="65" t="s">
        <v>128</v>
      </c>
      <c r="X1755" s="64" t="b">
        <f t="shared" si="194"/>
        <v>0</v>
      </c>
      <c r="Y1755" s="67">
        <v>110</v>
      </c>
      <c r="Z1755" s="67">
        <v>17</v>
      </c>
      <c r="AA1755" s="65" t="s">
        <v>83</v>
      </c>
      <c r="AB1755" s="64" t="b">
        <f t="shared" si="195"/>
        <v>1</v>
      </c>
    </row>
    <row r="1756" spans="1:28" ht="15" customHeight="1" x14ac:dyDescent="0.3">
      <c r="A1756" s="57" t="s">
        <v>3626</v>
      </c>
      <c r="B1756" s="82">
        <v>45598</v>
      </c>
      <c r="C1756" s="59">
        <f t="shared" si="189"/>
        <v>2024</v>
      </c>
      <c r="D1756" s="59">
        <f t="shared" si="190"/>
        <v>11</v>
      </c>
      <c r="E1756" s="59">
        <f t="shared" si="191"/>
        <v>44</v>
      </c>
      <c r="F1756" s="57" t="s">
        <v>53</v>
      </c>
      <c r="G1756" s="57" t="s">
        <v>46</v>
      </c>
      <c r="H1756" s="57" t="s">
        <v>3627</v>
      </c>
      <c r="I1756" s="57" t="s">
        <v>64</v>
      </c>
      <c r="J1756" s="57" t="s">
        <v>131</v>
      </c>
      <c r="K1756" s="57" t="s">
        <v>74</v>
      </c>
      <c r="L1756" s="57" t="s">
        <v>156</v>
      </c>
      <c r="M1756" s="60">
        <v>181</v>
      </c>
      <c r="N1756" s="57" t="s">
        <v>114</v>
      </c>
      <c r="O1756" s="61">
        <v>59.59</v>
      </c>
      <c r="P1756" s="61">
        <v>10785.79</v>
      </c>
      <c r="Q1756" s="61">
        <v>418.51</v>
      </c>
      <c r="R1756" s="62">
        <f t="shared" si="192"/>
        <v>3.880197927087399E-2</v>
      </c>
      <c r="S1756" s="60">
        <v>19</v>
      </c>
      <c r="T1756" s="58">
        <v>45617</v>
      </c>
      <c r="U1756" s="58">
        <v>45614</v>
      </c>
      <c r="V1756" s="63">
        <f t="shared" si="193"/>
        <v>-3</v>
      </c>
      <c r="W1756" s="57" t="s">
        <v>125</v>
      </c>
      <c r="X1756" s="64" t="b">
        <f t="shared" si="194"/>
        <v>0</v>
      </c>
      <c r="Y1756" s="60">
        <v>120</v>
      </c>
      <c r="Z1756" s="60">
        <v>26</v>
      </c>
      <c r="AA1756" s="57" t="s">
        <v>83</v>
      </c>
      <c r="AB1756" s="64" t="b">
        <f t="shared" si="195"/>
        <v>1</v>
      </c>
    </row>
    <row r="1757" spans="1:28" ht="15" customHeight="1" x14ac:dyDescent="0.3">
      <c r="A1757" s="65" t="s">
        <v>3628</v>
      </c>
      <c r="B1757" s="81">
        <v>45004</v>
      </c>
      <c r="C1757" s="59">
        <f t="shared" si="189"/>
        <v>2023</v>
      </c>
      <c r="D1757" s="59">
        <f t="shared" si="190"/>
        <v>3</v>
      </c>
      <c r="E1757" s="59">
        <f t="shared" si="191"/>
        <v>12</v>
      </c>
      <c r="F1757" s="65" t="s">
        <v>56</v>
      </c>
      <c r="G1757" s="65" t="s">
        <v>46</v>
      </c>
      <c r="H1757" s="65" t="s">
        <v>3629</v>
      </c>
      <c r="I1757" s="65" t="s">
        <v>64</v>
      </c>
      <c r="J1757" s="65" t="s">
        <v>123</v>
      </c>
      <c r="K1757" s="65" t="s">
        <v>74</v>
      </c>
      <c r="L1757" s="65" t="s">
        <v>113</v>
      </c>
      <c r="M1757" s="67">
        <v>959</v>
      </c>
      <c r="N1757" s="65" t="s">
        <v>140</v>
      </c>
      <c r="O1757" s="68">
        <v>59.92</v>
      </c>
      <c r="P1757" s="68">
        <v>57463.28</v>
      </c>
      <c r="Q1757" s="68">
        <v>2166.7399999999998</v>
      </c>
      <c r="R1757" s="62">
        <f t="shared" si="192"/>
        <v>3.7706514490645153E-2</v>
      </c>
      <c r="S1757" s="67">
        <v>3</v>
      </c>
      <c r="T1757" s="66">
        <v>45007</v>
      </c>
      <c r="U1757" s="66">
        <v>45009</v>
      </c>
      <c r="V1757" s="63">
        <f t="shared" si="193"/>
        <v>2</v>
      </c>
      <c r="W1757" s="65" t="s">
        <v>125</v>
      </c>
      <c r="X1757" s="64" t="b">
        <f t="shared" si="194"/>
        <v>0</v>
      </c>
      <c r="Y1757" s="67">
        <v>15</v>
      </c>
      <c r="Z1757" s="67">
        <v>23</v>
      </c>
      <c r="AA1757" s="65" t="s">
        <v>116</v>
      </c>
      <c r="AB1757" s="64" t="b">
        <f t="shared" si="195"/>
        <v>0</v>
      </c>
    </row>
    <row r="1758" spans="1:28" ht="15" customHeight="1" x14ac:dyDescent="0.3">
      <c r="A1758" s="57" t="s">
        <v>3630</v>
      </c>
      <c r="B1758" s="82">
        <v>45108</v>
      </c>
      <c r="C1758" s="59">
        <f t="shared" si="189"/>
        <v>2023</v>
      </c>
      <c r="D1758" s="59">
        <f t="shared" si="190"/>
        <v>7</v>
      </c>
      <c r="E1758" s="59">
        <f t="shared" si="191"/>
        <v>26</v>
      </c>
      <c r="F1758" s="57" t="s">
        <v>59</v>
      </c>
      <c r="G1758" s="57" t="s">
        <v>43</v>
      </c>
      <c r="H1758" s="57" t="s">
        <v>3631</v>
      </c>
      <c r="I1758" s="57" t="s">
        <v>66</v>
      </c>
      <c r="J1758" s="57" t="s">
        <v>131</v>
      </c>
      <c r="K1758" s="57" t="s">
        <v>71</v>
      </c>
      <c r="L1758" s="57" t="s">
        <v>156</v>
      </c>
      <c r="M1758" s="60">
        <v>283</v>
      </c>
      <c r="N1758" s="57" t="s">
        <v>132</v>
      </c>
      <c r="O1758" s="61">
        <v>164.23</v>
      </c>
      <c r="P1758" s="61">
        <v>46477.09</v>
      </c>
      <c r="Q1758" s="61">
        <v>2974.72</v>
      </c>
      <c r="R1758" s="62">
        <f t="shared" si="192"/>
        <v>6.4004007135558622E-2</v>
      </c>
      <c r="S1758" s="60">
        <v>20</v>
      </c>
      <c r="T1758" s="58">
        <v>45128</v>
      </c>
      <c r="U1758" s="58">
        <v>45125</v>
      </c>
      <c r="V1758" s="63">
        <f t="shared" si="193"/>
        <v>-3</v>
      </c>
      <c r="W1758" s="57" t="s">
        <v>115</v>
      </c>
      <c r="X1758" s="64" t="b">
        <f t="shared" si="194"/>
        <v>1</v>
      </c>
      <c r="Y1758" s="60">
        <v>226</v>
      </c>
      <c r="Z1758" s="60">
        <v>28</v>
      </c>
      <c r="AA1758" s="57" t="s">
        <v>83</v>
      </c>
      <c r="AB1758" s="64" t="b">
        <f t="shared" si="195"/>
        <v>1</v>
      </c>
    </row>
    <row r="1759" spans="1:28" ht="15" customHeight="1" x14ac:dyDescent="0.3">
      <c r="A1759" s="65" t="s">
        <v>3632</v>
      </c>
      <c r="B1759" s="81">
        <v>45570</v>
      </c>
      <c r="C1759" s="59">
        <f t="shared" si="189"/>
        <v>2024</v>
      </c>
      <c r="D1759" s="59">
        <f t="shared" si="190"/>
        <v>10</v>
      </c>
      <c r="E1759" s="59">
        <f t="shared" si="191"/>
        <v>40</v>
      </c>
      <c r="F1759" s="65" t="s">
        <v>60</v>
      </c>
      <c r="G1759" s="65" t="s">
        <v>42</v>
      </c>
      <c r="H1759" s="65" t="s">
        <v>3633</v>
      </c>
      <c r="I1759" s="65" t="s">
        <v>67</v>
      </c>
      <c r="J1759" s="65" t="s">
        <v>151</v>
      </c>
      <c r="K1759" s="65" t="s">
        <v>72</v>
      </c>
      <c r="L1759" s="65" t="s">
        <v>156</v>
      </c>
      <c r="M1759" s="67">
        <v>268</v>
      </c>
      <c r="N1759" s="65" t="s">
        <v>120</v>
      </c>
      <c r="O1759" s="68">
        <v>107.1</v>
      </c>
      <c r="P1759" s="68">
        <v>28702.799999999999</v>
      </c>
      <c r="Q1759" s="68">
        <v>2074.54</v>
      </c>
      <c r="R1759" s="62">
        <f t="shared" si="192"/>
        <v>7.2276572320470481E-2</v>
      </c>
      <c r="S1759" s="67">
        <v>11</v>
      </c>
      <c r="T1759" s="66">
        <v>45581</v>
      </c>
      <c r="U1759" s="66">
        <v>45589</v>
      </c>
      <c r="V1759" s="63">
        <f t="shared" si="193"/>
        <v>8</v>
      </c>
      <c r="W1759" s="65" t="s">
        <v>125</v>
      </c>
      <c r="X1759" s="64" t="b">
        <f t="shared" si="194"/>
        <v>0</v>
      </c>
      <c r="Y1759" s="67">
        <v>10</v>
      </c>
      <c r="Z1759" s="67">
        <v>138</v>
      </c>
      <c r="AA1759" s="65" t="s">
        <v>83</v>
      </c>
      <c r="AB1759" s="64" t="b">
        <f t="shared" si="195"/>
        <v>1</v>
      </c>
    </row>
    <row r="1760" spans="1:28" ht="15" customHeight="1" x14ac:dyDescent="0.3">
      <c r="A1760" s="57" t="s">
        <v>3634</v>
      </c>
      <c r="B1760" s="82">
        <v>45432</v>
      </c>
      <c r="C1760" s="59">
        <f t="shared" si="189"/>
        <v>2024</v>
      </c>
      <c r="D1760" s="59">
        <f t="shared" si="190"/>
        <v>5</v>
      </c>
      <c r="E1760" s="59">
        <f t="shared" si="191"/>
        <v>21</v>
      </c>
      <c r="F1760" s="57" t="s">
        <v>60</v>
      </c>
      <c r="G1760" s="57" t="s">
        <v>40</v>
      </c>
      <c r="H1760" s="57" t="s">
        <v>3635</v>
      </c>
      <c r="I1760" s="57" t="s">
        <v>68</v>
      </c>
      <c r="J1760" s="57" t="s">
        <v>139</v>
      </c>
      <c r="K1760" s="57" t="s">
        <v>73</v>
      </c>
      <c r="L1760" s="57" t="s">
        <v>119</v>
      </c>
      <c r="M1760" s="60">
        <v>144</v>
      </c>
      <c r="N1760" s="57" t="s">
        <v>163</v>
      </c>
      <c r="O1760" s="61">
        <v>1012.63</v>
      </c>
      <c r="P1760" s="61">
        <v>145818.72</v>
      </c>
      <c r="Q1760" s="61">
        <v>4601.29</v>
      </c>
      <c r="R1760" s="62">
        <f t="shared" si="192"/>
        <v>3.1554864834912828E-2</v>
      </c>
      <c r="S1760" s="60">
        <v>17</v>
      </c>
      <c r="T1760" s="58">
        <v>45449</v>
      </c>
      <c r="U1760" s="58">
        <v>45450</v>
      </c>
      <c r="V1760" s="63">
        <f t="shared" si="193"/>
        <v>1</v>
      </c>
      <c r="W1760" s="57" t="s">
        <v>128</v>
      </c>
      <c r="X1760" s="64" t="b">
        <f t="shared" si="194"/>
        <v>0</v>
      </c>
      <c r="Y1760" s="60">
        <v>202</v>
      </c>
      <c r="Z1760" s="60">
        <v>495</v>
      </c>
      <c r="AA1760" s="57" t="s">
        <v>84</v>
      </c>
      <c r="AB1760" s="64" t="b">
        <f t="shared" si="195"/>
        <v>1</v>
      </c>
    </row>
    <row r="1761" spans="1:28" ht="15" customHeight="1" x14ac:dyDescent="0.3">
      <c r="A1761" s="65" t="s">
        <v>3636</v>
      </c>
      <c r="B1761" s="81">
        <v>45402</v>
      </c>
      <c r="C1761" s="59">
        <f t="shared" si="189"/>
        <v>2024</v>
      </c>
      <c r="D1761" s="59">
        <f t="shared" si="190"/>
        <v>4</v>
      </c>
      <c r="E1761" s="59">
        <f t="shared" si="191"/>
        <v>16</v>
      </c>
      <c r="F1761" s="65" t="s">
        <v>54</v>
      </c>
      <c r="G1761" s="65" t="s">
        <v>43</v>
      </c>
      <c r="H1761" s="65" t="s">
        <v>3637</v>
      </c>
      <c r="I1761" s="65" t="s">
        <v>67</v>
      </c>
      <c r="J1761" s="65" t="s">
        <v>131</v>
      </c>
      <c r="K1761" s="65" t="s">
        <v>75</v>
      </c>
      <c r="L1761" s="65" t="s">
        <v>135</v>
      </c>
      <c r="M1761" s="67">
        <v>692</v>
      </c>
      <c r="N1761" s="65" t="s">
        <v>120</v>
      </c>
      <c r="O1761" s="68">
        <v>170.46</v>
      </c>
      <c r="P1761" s="68">
        <v>117958.32</v>
      </c>
      <c r="Q1761" s="68">
        <v>3050.06</v>
      </c>
      <c r="R1761" s="62">
        <f t="shared" si="192"/>
        <v>2.5857099355094237E-2</v>
      </c>
      <c r="S1761" s="67">
        <v>27</v>
      </c>
      <c r="T1761" s="66">
        <v>45429</v>
      </c>
      <c r="U1761" s="66">
        <v>45432</v>
      </c>
      <c r="V1761" s="63">
        <f t="shared" si="193"/>
        <v>3</v>
      </c>
      <c r="W1761" s="65" t="s">
        <v>125</v>
      </c>
      <c r="X1761" s="64" t="b">
        <f t="shared" si="194"/>
        <v>0</v>
      </c>
      <c r="Y1761" s="67">
        <v>201</v>
      </c>
      <c r="Z1761" s="67">
        <v>145</v>
      </c>
      <c r="AA1761" s="65" t="s">
        <v>116</v>
      </c>
      <c r="AB1761" s="64" t="b">
        <f t="shared" si="195"/>
        <v>0</v>
      </c>
    </row>
    <row r="1762" spans="1:28" ht="15" customHeight="1" x14ac:dyDescent="0.3">
      <c r="A1762" s="57" t="s">
        <v>3638</v>
      </c>
      <c r="B1762" s="82">
        <v>45504</v>
      </c>
      <c r="C1762" s="59">
        <f t="shared" si="189"/>
        <v>2024</v>
      </c>
      <c r="D1762" s="59">
        <f t="shared" si="190"/>
        <v>7</v>
      </c>
      <c r="E1762" s="59">
        <f t="shared" si="191"/>
        <v>31</v>
      </c>
      <c r="F1762" s="57" t="s">
        <v>56</v>
      </c>
      <c r="G1762" s="57" t="s">
        <v>45</v>
      </c>
      <c r="H1762" s="57" t="s">
        <v>3639</v>
      </c>
      <c r="I1762" s="57" t="s">
        <v>68</v>
      </c>
      <c r="J1762" s="57" t="s">
        <v>112</v>
      </c>
      <c r="K1762" s="57" t="s">
        <v>74</v>
      </c>
      <c r="L1762" s="57" t="s">
        <v>156</v>
      </c>
      <c r="M1762" s="60">
        <v>731</v>
      </c>
      <c r="N1762" s="57" t="s">
        <v>140</v>
      </c>
      <c r="O1762" s="61">
        <v>198.68</v>
      </c>
      <c r="P1762" s="61">
        <v>145235.07999999999</v>
      </c>
      <c r="Q1762" s="61">
        <v>10728.19</v>
      </c>
      <c r="R1762" s="62">
        <f t="shared" si="192"/>
        <v>7.3867759772638958E-2</v>
      </c>
      <c r="S1762" s="60">
        <v>13</v>
      </c>
      <c r="T1762" s="58">
        <v>45517</v>
      </c>
      <c r="U1762" s="58">
        <v>45512</v>
      </c>
      <c r="V1762" s="63">
        <f t="shared" si="193"/>
        <v>-5</v>
      </c>
      <c r="W1762" s="57" t="s">
        <v>115</v>
      </c>
      <c r="X1762" s="64" t="b">
        <f t="shared" si="194"/>
        <v>1</v>
      </c>
      <c r="Y1762" s="60">
        <v>97</v>
      </c>
      <c r="Z1762" s="60">
        <v>122</v>
      </c>
      <c r="AA1762" s="57" t="s">
        <v>116</v>
      </c>
      <c r="AB1762" s="64" t="b">
        <f t="shared" si="195"/>
        <v>0</v>
      </c>
    </row>
    <row r="1763" spans="1:28" ht="15" customHeight="1" x14ac:dyDescent="0.3">
      <c r="A1763" s="65" t="s">
        <v>3640</v>
      </c>
      <c r="B1763" s="81">
        <v>45520</v>
      </c>
      <c r="C1763" s="59">
        <f t="shared" si="189"/>
        <v>2024</v>
      </c>
      <c r="D1763" s="59">
        <f t="shared" si="190"/>
        <v>8</v>
      </c>
      <c r="E1763" s="59">
        <f t="shared" si="191"/>
        <v>33</v>
      </c>
      <c r="F1763" s="65" t="s">
        <v>58</v>
      </c>
      <c r="G1763" s="65" t="s">
        <v>43</v>
      </c>
      <c r="H1763" s="65" t="s">
        <v>3641</v>
      </c>
      <c r="I1763" s="65" t="s">
        <v>68</v>
      </c>
      <c r="J1763" s="65" t="s">
        <v>131</v>
      </c>
      <c r="K1763" s="65" t="s">
        <v>73</v>
      </c>
      <c r="L1763" s="65" t="s">
        <v>135</v>
      </c>
      <c r="M1763" s="67">
        <v>757</v>
      </c>
      <c r="N1763" s="65" t="s">
        <v>120</v>
      </c>
      <c r="O1763" s="68">
        <v>156.93</v>
      </c>
      <c r="P1763" s="68">
        <v>118796.01</v>
      </c>
      <c r="Q1763" s="68">
        <v>4869.8900000000003</v>
      </c>
      <c r="R1763" s="62">
        <f t="shared" si="192"/>
        <v>4.0993716876517997E-2</v>
      </c>
      <c r="S1763" s="67">
        <v>11</v>
      </c>
      <c r="T1763" s="66">
        <v>45531</v>
      </c>
      <c r="U1763" s="66">
        <v>45533</v>
      </c>
      <c r="V1763" s="63">
        <f t="shared" si="193"/>
        <v>2</v>
      </c>
      <c r="W1763" s="65" t="s">
        <v>125</v>
      </c>
      <c r="X1763" s="64" t="b">
        <f t="shared" si="194"/>
        <v>0</v>
      </c>
      <c r="Y1763" s="67">
        <v>115</v>
      </c>
      <c r="Z1763" s="67">
        <v>127</v>
      </c>
      <c r="AA1763" s="65" t="s">
        <v>116</v>
      </c>
      <c r="AB1763" s="64" t="b">
        <f t="shared" si="195"/>
        <v>0</v>
      </c>
    </row>
    <row r="1764" spans="1:28" ht="15" customHeight="1" x14ac:dyDescent="0.3">
      <c r="A1764" s="57" t="s">
        <v>3642</v>
      </c>
      <c r="B1764" s="82">
        <v>45386</v>
      </c>
      <c r="C1764" s="59">
        <f t="shared" si="189"/>
        <v>2024</v>
      </c>
      <c r="D1764" s="59">
        <f t="shared" si="190"/>
        <v>4</v>
      </c>
      <c r="E1764" s="59">
        <f t="shared" si="191"/>
        <v>14</v>
      </c>
      <c r="F1764" s="57" t="s">
        <v>52</v>
      </c>
      <c r="G1764" s="57" t="s">
        <v>44</v>
      </c>
      <c r="H1764" s="57" t="s">
        <v>3643</v>
      </c>
      <c r="I1764" s="57" t="s">
        <v>67</v>
      </c>
      <c r="J1764" s="57" t="s">
        <v>151</v>
      </c>
      <c r="K1764" s="57" t="s">
        <v>75</v>
      </c>
      <c r="L1764" s="57" t="s">
        <v>135</v>
      </c>
      <c r="M1764" s="60">
        <v>431</v>
      </c>
      <c r="N1764" s="57" t="s">
        <v>114</v>
      </c>
      <c r="O1764" s="61">
        <v>144.31</v>
      </c>
      <c r="P1764" s="61">
        <v>62197.61</v>
      </c>
      <c r="Q1764" s="61">
        <v>3301.39</v>
      </c>
      <c r="R1764" s="62">
        <f t="shared" si="192"/>
        <v>5.3079049178899315E-2</v>
      </c>
      <c r="S1764" s="60">
        <v>2</v>
      </c>
      <c r="T1764" s="58">
        <v>45388</v>
      </c>
      <c r="U1764" s="58">
        <v>45389</v>
      </c>
      <c r="V1764" s="63">
        <f t="shared" si="193"/>
        <v>1</v>
      </c>
      <c r="W1764" s="57" t="s">
        <v>128</v>
      </c>
      <c r="X1764" s="64" t="b">
        <f t="shared" si="194"/>
        <v>0</v>
      </c>
      <c r="Y1764" s="60">
        <v>452</v>
      </c>
      <c r="Z1764" s="60">
        <v>367</v>
      </c>
      <c r="AA1764" s="57" t="s">
        <v>116</v>
      </c>
      <c r="AB1764" s="64" t="b">
        <f t="shared" si="195"/>
        <v>0</v>
      </c>
    </row>
    <row r="1765" spans="1:28" ht="15" customHeight="1" x14ac:dyDescent="0.3">
      <c r="A1765" s="65" t="s">
        <v>3644</v>
      </c>
      <c r="B1765" s="81">
        <v>45624</v>
      </c>
      <c r="C1765" s="59">
        <f t="shared" si="189"/>
        <v>2024</v>
      </c>
      <c r="D1765" s="59">
        <f t="shared" si="190"/>
        <v>11</v>
      </c>
      <c r="E1765" s="59">
        <f t="shared" si="191"/>
        <v>48</v>
      </c>
      <c r="F1765" s="65" t="s">
        <v>57</v>
      </c>
      <c r="G1765" s="65" t="s">
        <v>43</v>
      </c>
      <c r="H1765" s="65" t="s">
        <v>3645</v>
      </c>
      <c r="I1765" s="65" t="s">
        <v>65</v>
      </c>
      <c r="J1765" s="65" t="s">
        <v>112</v>
      </c>
      <c r="K1765" s="65" t="s">
        <v>75</v>
      </c>
      <c r="L1765" s="65" t="s">
        <v>119</v>
      </c>
      <c r="M1765" s="67">
        <v>430</v>
      </c>
      <c r="N1765" s="65" t="s">
        <v>132</v>
      </c>
      <c r="O1765" s="68">
        <v>159.41999999999999</v>
      </c>
      <c r="P1765" s="68">
        <v>68550.600000000006</v>
      </c>
      <c r="Q1765" s="68">
        <v>2849.83</v>
      </c>
      <c r="R1765" s="62">
        <f t="shared" si="192"/>
        <v>4.1572648525322893E-2</v>
      </c>
      <c r="S1765" s="67">
        <v>9</v>
      </c>
      <c r="T1765" s="66">
        <v>45633</v>
      </c>
      <c r="U1765" s="66">
        <v>45633</v>
      </c>
      <c r="V1765" s="63">
        <f t="shared" si="193"/>
        <v>0</v>
      </c>
      <c r="W1765" s="65" t="s">
        <v>115</v>
      </c>
      <c r="X1765" s="64" t="b">
        <f t="shared" si="194"/>
        <v>1</v>
      </c>
      <c r="Y1765" s="67">
        <v>470</v>
      </c>
      <c r="Z1765" s="67">
        <v>116</v>
      </c>
      <c r="AA1765" s="65" t="s">
        <v>116</v>
      </c>
      <c r="AB1765" s="64" t="b">
        <f t="shared" si="195"/>
        <v>0</v>
      </c>
    </row>
    <row r="1766" spans="1:28" ht="15" customHeight="1" x14ac:dyDescent="0.3">
      <c r="A1766" s="57" t="s">
        <v>3646</v>
      </c>
      <c r="B1766" s="82">
        <v>45505</v>
      </c>
      <c r="C1766" s="59">
        <f t="shared" si="189"/>
        <v>2024</v>
      </c>
      <c r="D1766" s="59">
        <f t="shared" si="190"/>
        <v>8</v>
      </c>
      <c r="E1766" s="59">
        <f t="shared" si="191"/>
        <v>31</v>
      </c>
      <c r="F1766" s="57" t="s">
        <v>55</v>
      </c>
      <c r="G1766" s="57" t="s">
        <v>42</v>
      </c>
      <c r="H1766" s="57" t="s">
        <v>3647</v>
      </c>
      <c r="I1766" s="57" t="s">
        <v>64</v>
      </c>
      <c r="J1766" s="57" t="s">
        <v>112</v>
      </c>
      <c r="K1766" s="57" t="s">
        <v>74</v>
      </c>
      <c r="L1766" s="57" t="s">
        <v>135</v>
      </c>
      <c r="M1766" s="60">
        <v>195</v>
      </c>
      <c r="N1766" s="57" t="s">
        <v>114</v>
      </c>
      <c r="O1766" s="61">
        <v>119.1</v>
      </c>
      <c r="P1766" s="61">
        <v>23224.5</v>
      </c>
      <c r="Q1766" s="61">
        <v>639.79</v>
      </c>
      <c r="R1766" s="62">
        <f t="shared" si="192"/>
        <v>2.754806346745893E-2</v>
      </c>
      <c r="S1766" s="60">
        <v>26</v>
      </c>
      <c r="T1766" s="58">
        <v>45531</v>
      </c>
      <c r="U1766" s="58">
        <v>45531</v>
      </c>
      <c r="V1766" s="63">
        <f t="shared" si="193"/>
        <v>0</v>
      </c>
      <c r="W1766" s="57" t="s">
        <v>115</v>
      </c>
      <c r="X1766" s="64" t="b">
        <f t="shared" si="194"/>
        <v>1</v>
      </c>
      <c r="Y1766" s="60">
        <v>438</v>
      </c>
      <c r="Z1766" s="60">
        <v>131</v>
      </c>
      <c r="AA1766" s="57" t="s">
        <v>84</v>
      </c>
      <c r="AB1766" s="64" t="b">
        <f t="shared" si="195"/>
        <v>1</v>
      </c>
    </row>
    <row r="1767" spans="1:28" ht="15" customHeight="1" x14ac:dyDescent="0.3">
      <c r="A1767" s="65" t="s">
        <v>3648</v>
      </c>
      <c r="B1767" s="81">
        <v>45585</v>
      </c>
      <c r="C1767" s="59">
        <f t="shared" si="189"/>
        <v>2024</v>
      </c>
      <c r="D1767" s="59">
        <f t="shared" si="190"/>
        <v>10</v>
      </c>
      <c r="E1767" s="59">
        <f t="shared" si="191"/>
        <v>43</v>
      </c>
      <c r="F1767" s="65" t="s">
        <v>55</v>
      </c>
      <c r="G1767" s="65" t="s">
        <v>44</v>
      </c>
      <c r="H1767" s="65" t="s">
        <v>3649</v>
      </c>
      <c r="I1767" s="65" t="s">
        <v>66</v>
      </c>
      <c r="J1767" s="65" t="s">
        <v>131</v>
      </c>
      <c r="K1767" s="65" t="s">
        <v>72</v>
      </c>
      <c r="L1767" s="65" t="s">
        <v>124</v>
      </c>
      <c r="M1767" s="67">
        <v>938</v>
      </c>
      <c r="N1767" s="65" t="s">
        <v>132</v>
      </c>
      <c r="O1767" s="68">
        <v>158.94999999999999</v>
      </c>
      <c r="P1767" s="68">
        <v>149095.1</v>
      </c>
      <c r="Q1767" s="68">
        <v>8253.89</v>
      </c>
      <c r="R1767" s="62">
        <f t="shared" si="192"/>
        <v>5.5359901163753868E-2</v>
      </c>
      <c r="S1767" s="67">
        <v>2</v>
      </c>
      <c r="T1767" s="66">
        <v>45587</v>
      </c>
      <c r="U1767" s="66">
        <v>45587</v>
      </c>
      <c r="V1767" s="63">
        <f t="shared" si="193"/>
        <v>0</v>
      </c>
      <c r="W1767" s="65" t="s">
        <v>115</v>
      </c>
      <c r="X1767" s="64" t="b">
        <f t="shared" si="194"/>
        <v>1</v>
      </c>
      <c r="Y1767" s="67">
        <v>280</v>
      </c>
      <c r="Z1767" s="67">
        <v>288</v>
      </c>
      <c r="AA1767" s="65" t="s">
        <v>82</v>
      </c>
      <c r="AB1767" s="64" t="b">
        <f t="shared" si="195"/>
        <v>1</v>
      </c>
    </row>
    <row r="1768" spans="1:28" ht="15" customHeight="1" x14ac:dyDescent="0.3">
      <c r="A1768" s="57" t="s">
        <v>3650</v>
      </c>
      <c r="B1768" s="82">
        <v>45577</v>
      </c>
      <c r="C1768" s="59">
        <f t="shared" si="189"/>
        <v>2024</v>
      </c>
      <c r="D1768" s="59">
        <f t="shared" si="190"/>
        <v>10</v>
      </c>
      <c r="E1768" s="59">
        <f t="shared" si="191"/>
        <v>41</v>
      </c>
      <c r="F1768" s="57" t="s">
        <v>56</v>
      </c>
      <c r="G1768" s="57" t="s">
        <v>45</v>
      </c>
      <c r="H1768" s="57" t="s">
        <v>3651</v>
      </c>
      <c r="I1768" s="57" t="s">
        <v>67</v>
      </c>
      <c r="J1768" s="57" t="s">
        <v>151</v>
      </c>
      <c r="K1768" s="57" t="s">
        <v>72</v>
      </c>
      <c r="L1768" s="57" t="s">
        <v>156</v>
      </c>
      <c r="M1768" s="60">
        <v>373</v>
      </c>
      <c r="N1768" s="57" t="s">
        <v>136</v>
      </c>
      <c r="O1768" s="61">
        <v>202.44</v>
      </c>
      <c r="P1768" s="61">
        <v>75510.12</v>
      </c>
      <c r="Q1768" s="61">
        <v>3889.41</v>
      </c>
      <c r="R1768" s="62">
        <f t="shared" si="192"/>
        <v>5.1508460058069042E-2</v>
      </c>
      <c r="S1768" s="60">
        <v>21</v>
      </c>
      <c r="T1768" s="58">
        <v>45598</v>
      </c>
      <c r="U1768" s="58">
        <v>45601</v>
      </c>
      <c r="V1768" s="63">
        <f t="shared" si="193"/>
        <v>3</v>
      </c>
      <c r="W1768" s="57" t="s">
        <v>128</v>
      </c>
      <c r="X1768" s="64" t="b">
        <f t="shared" si="194"/>
        <v>0</v>
      </c>
      <c r="Y1768" s="60">
        <v>348</v>
      </c>
      <c r="Z1768" s="60">
        <v>205</v>
      </c>
      <c r="AA1768" s="57" t="s">
        <v>83</v>
      </c>
      <c r="AB1768" s="64" t="b">
        <f t="shared" si="195"/>
        <v>1</v>
      </c>
    </row>
    <row r="1769" spans="1:28" ht="15" customHeight="1" x14ac:dyDescent="0.3">
      <c r="A1769" s="65" t="s">
        <v>3652</v>
      </c>
      <c r="B1769" s="81">
        <v>45566</v>
      </c>
      <c r="C1769" s="59">
        <f t="shared" si="189"/>
        <v>2024</v>
      </c>
      <c r="D1769" s="59">
        <f t="shared" si="190"/>
        <v>10</v>
      </c>
      <c r="E1769" s="59">
        <f t="shared" si="191"/>
        <v>40</v>
      </c>
      <c r="F1769" s="65" t="s">
        <v>59</v>
      </c>
      <c r="G1769" s="65" t="s">
        <v>41</v>
      </c>
      <c r="H1769" s="65" t="s">
        <v>3653</v>
      </c>
      <c r="I1769" s="65" t="s">
        <v>67</v>
      </c>
      <c r="J1769" s="65" t="s">
        <v>112</v>
      </c>
      <c r="K1769" s="65" t="s">
        <v>73</v>
      </c>
      <c r="L1769" s="65" t="s">
        <v>135</v>
      </c>
      <c r="M1769" s="67">
        <v>964</v>
      </c>
      <c r="N1769" s="65" t="s">
        <v>132</v>
      </c>
      <c r="O1769" s="68">
        <v>581.42999999999995</v>
      </c>
      <c r="P1769" s="68">
        <v>560498.52</v>
      </c>
      <c r="Q1769" s="68">
        <v>18036.63</v>
      </c>
      <c r="R1769" s="62">
        <f t="shared" si="192"/>
        <v>3.2179621098731896E-2</v>
      </c>
      <c r="S1769" s="67">
        <v>9</v>
      </c>
      <c r="T1769" s="66">
        <v>45575</v>
      </c>
      <c r="U1769" s="66">
        <v>45572</v>
      </c>
      <c r="V1769" s="63">
        <f t="shared" si="193"/>
        <v>-3</v>
      </c>
      <c r="W1769" s="65" t="s">
        <v>115</v>
      </c>
      <c r="X1769" s="64" t="b">
        <f t="shared" si="194"/>
        <v>1</v>
      </c>
      <c r="Y1769" s="67">
        <v>231</v>
      </c>
      <c r="Z1769" s="67">
        <v>235</v>
      </c>
      <c r="AA1769" s="65" t="s">
        <v>116</v>
      </c>
      <c r="AB1769" s="64" t="b">
        <f t="shared" si="195"/>
        <v>0</v>
      </c>
    </row>
    <row r="1770" spans="1:28" ht="15" customHeight="1" x14ac:dyDescent="0.3">
      <c r="A1770" s="57" t="s">
        <v>3654</v>
      </c>
      <c r="B1770" s="82">
        <v>45257</v>
      </c>
      <c r="C1770" s="59">
        <f t="shared" si="189"/>
        <v>2023</v>
      </c>
      <c r="D1770" s="59">
        <f t="shared" si="190"/>
        <v>11</v>
      </c>
      <c r="E1770" s="59">
        <f t="shared" si="191"/>
        <v>48</v>
      </c>
      <c r="F1770" s="57" t="s">
        <v>59</v>
      </c>
      <c r="G1770" s="57" t="s">
        <v>41</v>
      </c>
      <c r="H1770" s="57" t="s">
        <v>3655</v>
      </c>
      <c r="I1770" s="57" t="s">
        <v>66</v>
      </c>
      <c r="J1770" s="57" t="s">
        <v>139</v>
      </c>
      <c r="K1770" s="57" t="s">
        <v>73</v>
      </c>
      <c r="L1770" s="57" t="s">
        <v>113</v>
      </c>
      <c r="M1770" s="60">
        <v>616</v>
      </c>
      <c r="N1770" s="57" t="s">
        <v>136</v>
      </c>
      <c r="O1770" s="61">
        <v>714.54</v>
      </c>
      <c r="P1770" s="61">
        <v>440156.64</v>
      </c>
      <c r="Q1770" s="61">
        <v>20736.72</v>
      </c>
      <c r="R1770" s="62">
        <f t="shared" si="192"/>
        <v>4.7112137170076542E-2</v>
      </c>
      <c r="S1770" s="60">
        <v>9</v>
      </c>
      <c r="T1770" s="58">
        <v>45266</v>
      </c>
      <c r="U1770" s="58">
        <v>45261</v>
      </c>
      <c r="V1770" s="63">
        <f t="shared" si="193"/>
        <v>-5</v>
      </c>
      <c r="W1770" s="57" t="s">
        <v>115</v>
      </c>
      <c r="X1770" s="64" t="b">
        <f t="shared" si="194"/>
        <v>1</v>
      </c>
      <c r="Y1770" s="60">
        <v>460</v>
      </c>
      <c r="Z1770" s="60">
        <v>41</v>
      </c>
      <c r="AA1770" s="57" t="s">
        <v>84</v>
      </c>
      <c r="AB1770" s="64" t="b">
        <f t="shared" si="195"/>
        <v>1</v>
      </c>
    </row>
    <row r="1771" spans="1:28" ht="15" customHeight="1" x14ac:dyDescent="0.3">
      <c r="A1771" s="65" t="s">
        <v>3656</v>
      </c>
      <c r="B1771" s="81">
        <v>45569</v>
      </c>
      <c r="C1771" s="59">
        <f t="shared" si="189"/>
        <v>2024</v>
      </c>
      <c r="D1771" s="59">
        <f t="shared" si="190"/>
        <v>10</v>
      </c>
      <c r="E1771" s="59">
        <f t="shared" si="191"/>
        <v>40</v>
      </c>
      <c r="F1771" s="65" t="s">
        <v>57</v>
      </c>
      <c r="G1771" s="65" t="s">
        <v>46</v>
      </c>
      <c r="H1771" s="65" t="s">
        <v>3657</v>
      </c>
      <c r="I1771" s="65" t="s">
        <v>64</v>
      </c>
      <c r="J1771" s="65" t="s">
        <v>143</v>
      </c>
      <c r="K1771" s="65" t="s">
        <v>71</v>
      </c>
      <c r="L1771" s="65" t="s">
        <v>113</v>
      </c>
      <c r="M1771" s="67">
        <v>387</v>
      </c>
      <c r="N1771" s="65" t="s">
        <v>114</v>
      </c>
      <c r="O1771" s="68">
        <v>68.599999999999994</v>
      </c>
      <c r="P1771" s="68">
        <v>26548.2</v>
      </c>
      <c r="Q1771" s="68">
        <v>1800.42</v>
      </c>
      <c r="R1771" s="62">
        <f t="shared" si="192"/>
        <v>6.7817027143083145E-2</v>
      </c>
      <c r="S1771" s="67">
        <v>8</v>
      </c>
      <c r="T1771" s="66">
        <v>45577</v>
      </c>
      <c r="U1771" s="66">
        <v>45589</v>
      </c>
      <c r="V1771" s="63">
        <f t="shared" si="193"/>
        <v>12</v>
      </c>
      <c r="W1771" s="65" t="s">
        <v>128</v>
      </c>
      <c r="X1771" s="64" t="b">
        <f t="shared" si="194"/>
        <v>0</v>
      </c>
      <c r="Y1771" s="67">
        <v>110</v>
      </c>
      <c r="Z1771" s="67">
        <v>159</v>
      </c>
      <c r="AA1771" s="65" t="s">
        <v>81</v>
      </c>
      <c r="AB1771" s="64" t="b">
        <f t="shared" si="195"/>
        <v>1</v>
      </c>
    </row>
    <row r="1772" spans="1:28" ht="15" customHeight="1" x14ac:dyDescent="0.3">
      <c r="A1772" s="57" t="s">
        <v>3658</v>
      </c>
      <c r="B1772" s="82">
        <v>45250</v>
      </c>
      <c r="C1772" s="59">
        <f t="shared" si="189"/>
        <v>2023</v>
      </c>
      <c r="D1772" s="59">
        <f t="shared" si="190"/>
        <v>11</v>
      </c>
      <c r="E1772" s="59">
        <f t="shared" si="191"/>
        <v>47</v>
      </c>
      <c r="F1772" s="57" t="s">
        <v>52</v>
      </c>
      <c r="G1772" s="57" t="s">
        <v>40</v>
      </c>
      <c r="H1772" s="57" t="s">
        <v>3659</v>
      </c>
      <c r="I1772" s="57" t="s">
        <v>66</v>
      </c>
      <c r="J1772" s="57" t="s">
        <v>139</v>
      </c>
      <c r="K1772" s="57" t="s">
        <v>72</v>
      </c>
      <c r="L1772" s="57" t="s">
        <v>119</v>
      </c>
      <c r="M1772" s="60">
        <v>532</v>
      </c>
      <c r="N1772" s="57" t="s">
        <v>163</v>
      </c>
      <c r="O1772" s="61">
        <v>671.68</v>
      </c>
      <c r="P1772" s="61">
        <v>357333.76000000001</v>
      </c>
      <c r="Q1772" s="61">
        <v>19805.43</v>
      </c>
      <c r="R1772" s="62">
        <f t="shared" si="192"/>
        <v>5.5425577476922415E-2</v>
      </c>
      <c r="S1772" s="60">
        <v>17</v>
      </c>
      <c r="T1772" s="58">
        <v>45267</v>
      </c>
      <c r="U1772" s="58">
        <v>45267</v>
      </c>
      <c r="V1772" s="63">
        <f t="shared" si="193"/>
        <v>0</v>
      </c>
      <c r="W1772" s="57" t="s">
        <v>115</v>
      </c>
      <c r="X1772" s="64" t="b">
        <f t="shared" si="194"/>
        <v>1</v>
      </c>
      <c r="Y1772" s="60">
        <v>351</v>
      </c>
      <c r="Z1772" s="60">
        <v>251</v>
      </c>
      <c r="AA1772" s="57" t="s">
        <v>116</v>
      </c>
      <c r="AB1772" s="64" t="b">
        <f t="shared" si="195"/>
        <v>0</v>
      </c>
    </row>
    <row r="1773" spans="1:28" ht="15" customHeight="1" x14ac:dyDescent="0.3">
      <c r="A1773" s="65" t="s">
        <v>3660</v>
      </c>
      <c r="B1773" s="81">
        <v>45081</v>
      </c>
      <c r="C1773" s="59">
        <f t="shared" si="189"/>
        <v>2023</v>
      </c>
      <c r="D1773" s="59">
        <f t="shared" si="190"/>
        <v>6</v>
      </c>
      <c r="E1773" s="59">
        <f t="shared" si="191"/>
        <v>23</v>
      </c>
      <c r="F1773" s="65" t="s">
        <v>61</v>
      </c>
      <c r="G1773" s="65" t="s">
        <v>46</v>
      </c>
      <c r="H1773" s="65" t="s">
        <v>3661</v>
      </c>
      <c r="I1773" s="65" t="s">
        <v>68</v>
      </c>
      <c r="J1773" s="65" t="s">
        <v>123</v>
      </c>
      <c r="K1773" s="65" t="s">
        <v>73</v>
      </c>
      <c r="L1773" s="65" t="s">
        <v>124</v>
      </c>
      <c r="M1773" s="67">
        <v>589</v>
      </c>
      <c r="N1773" s="65" t="s">
        <v>140</v>
      </c>
      <c r="O1773" s="68">
        <v>60.18</v>
      </c>
      <c r="P1773" s="68">
        <v>35446.019999999997</v>
      </c>
      <c r="Q1773" s="68">
        <v>915.04</v>
      </c>
      <c r="R1773" s="62">
        <f t="shared" si="192"/>
        <v>2.581502803417704E-2</v>
      </c>
      <c r="S1773" s="67">
        <v>1</v>
      </c>
      <c r="T1773" s="66">
        <v>45082</v>
      </c>
      <c r="U1773" s="66">
        <v>45087</v>
      </c>
      <c r="V1773" s="63">
        <f t="shared" si="193"/>
        <v>5</v>
      </c>
      <c r="W1773" s="65" t="s">
        <v>128</v>
      </c>
      <c r="X1773" s="64" t="b">
        <f t="shared" si="194"/>
        <v>0</v>
      </c>
      <c r="Y1773" s="67">
        <v>417</v>
      </c>
      <c r="Z1773" s="67">
        <v>178</v>
      </c>
      <c r="AA1773" s="65" t="s">
        <v>81</v>
      </c>
      <c r="AB1773" s="64" t="b">
        <f t="shared" si="195"/>
        <v>1</v>
      </c>
    </row>
    <row r="1774" spans="1:28" ht="15" customHeight="1" x14ac:dyDescent="0.3">
      <c r="A1774" s="57" t="s">
        <v>3662</v>
      </c>
      <c r="B1774" s="82">
        <v>45377</v>
      </c>
      <c r="C1774" s="59">
        <f t="shared" si="189"/>
        <v>2024</v>
      </c>
      <c r="D1774" s="59">
        <f t="shared" si="190"/>
        <v>3</v>
      </c>
      <c r="E1774" s="59">
        <f t="shared" si="191"/>
        <v>13</v>
      </c>
      <c r="F1774" s="57" t="s">
        <v>52</v>
      </c>
      <c r="G1774" s="57" t="s">
        <v>42</v>
      </c>
      <c r="H1774" s="57" t="s">
        <v>3663</v>
      </c>
      <c r="I1774" s="57" t="s">
        <v>65</v>
      </c>
      <c r="J1774" s="57" t="s">
        <v>123</v>
      </c>
      <c r="K1774" s="57" t="s">
        <v>71</v>
      </c>
      <c r="L1774" s="57" t="s">
        <v>156</v>
      </c>
      <c r="M1774" s="60">
        <v>900</v>
      </c>
      <c r="N1774" s="57" t="s">
        <v>163</v>
      </c>
      <c r="O1774" s="61">
        <v>109.96</v>
      </c>
      <c r="P1774" s="61">
        <v>98964</v>
      </c>
      <c r="Q1774" s="61">
        <v>5233.34</v>
      </c>
      <c r="R1774" s="62">
        <f t="shared" si="192"/>
        <v>5.288124974738289E-2</v>
      </c>
      <c r="S1774" s="60">
        <v>25</v>
      </c>
      <c r="T1774" s="58">
        <v>45402</v>
      </c>
      <c r="U1774" s="58">
        <v>45410</v>
      </c>
      <c r="V1774" s="63">
        <f t="shared" si="193"/>
        <v>8</v>
      </c>
      <c r="W1774" s="57" t="s">
        <v>128</v>
      </c>
      <c r="X1774" s="64" t="b">
        <f t="shared" si="194"/>
        <v>0</v>
      </c>
      <c r="Y1774" s="60">
        <v>11</v>
      </c>
      <c r="Z1774" s="60">
        <v>124</v>
      </c>
      <c r="AA1774" s="57" t="s">
        <v>83</v>
      </c>
      <c r="AB1774" s="64" t="b">
        <f t="shared" si="195"/>
        <v>1</v>
      </c>
    </row>
    <row r="1775" spans="1:28" ht="15" customHeight="1" x14ac:dyDescent="0.3">
      <c r="A1775" s="65" t="s">
        <v>3664</v>
      </c>
      <c r="B1775" s="81">
        <v>44996</v>
      </c>
      <c r="C1775" s="59">
        <f t="shared" si="189"/>
        <v>2023</v>
      </c>
      <c r="D1775" s="59">
        <f t="shared" si="190"/>
        <v>3</v>
      </c>
      <c r="E1775" s="59">
        <f t="shared" si="191"/>
        <v>10</v>
      </c>
      <c r="F1775" s="65" t="s">
        <v>61</v>
      </c>
      <c r="G1775" s="65" t="s">
        <v>39</v>
      </c>
      <c r="H1775" s="65" t="s">
        <v>3665</v>
      </c>
      <c r="I1775" s="65" t="s">
        <v>68</v>
      </c>
      <c r="J1775" s="65" t="s">
        <v>151</v>
      </c>
      <c r="K1775" s="65" t="s">
        <v>75</v>
      </c>
      <c r="L1775" s="65" t="s">
        <v>119</v>
      </c>
      <c r="M1775" s="67">
        <v>731</v>
      </c>
      <c r="N1775" s="65" t="s">
        <v>136</v>
      </c>
      <c r="O1775" s="68">
        <v>1823.06</v>
      </c>
      <c r="P1775" s="68">
        <v>1332656.8600000001</v>
      </c>
      <c r="Q1775" s="68">
        <v>82843.679999999993</v>
      </c>
      <c r="R1775" s="62">
        <f t="shared" si="192"/>
        <v>6.2164299368105892E-2</v>
      </c>
      <c r="S1775" s="67">
        <v>29</v>
      </c>
      <c r="T1775" s="66">
        <v>45025</v>
      </c>
      <c r="U1775" s="66">
        <v>45027</v>
      </c>
      <c r="V1775" s="63">
        <f t="shared" si="193"/>
        <v>2</v>
      </c>
      <c r="W1775" s="65" t="s">
        <v>128</v>
      </c>
      <c r="X1775" s="64" t="b">
        <f t="shared" si="194"/>
        <v>0</v>
      </c>
      <c r="Y1775" s="67">
        <v>471</v>
      </c>
      <c r="Z1775" s="67">
        <v>259</v>
      </c>
      <c r="AA1775" s="65" t="s">
        <v>84</v>
      </c>
      <c r="AB1775" s="64" t="b">
        <f t="shared" si="195"/>
        <v>1</v>
      </c>
    </row>
    <row r="1776" spans="1:28" ht="15" customHeight="1" x14ac:dyDescent="0.3">
      <c r="A1776" s="57" t="s">
        <v>3666</v>
      </c>
      <c r="B1776" s="82">
        <v>45407</v>
      </c>
      <c r="C1776" s="59">
        <f t="shared" si="189"/>
        <v>2024</v>
      </c>
      <c r="D1776" s="59">
        <f t="shared" si="190"/>
        <v>4</v>
      </c>
      <c r="E1776" s="59">
        <f t="shared" si="191"/>
        <v>17</v>
      </c>
      <c r="F1776" s="57" t="s">
        <v>57</v>
      </c>
      <c r="G1776" s="57" t="s">
        <v>45</v>
      </c>
      <c r="H1776" s="57" t="s">
        <v>1558</v>
      </c>
      <c r="I1776" s="57" t="s">
        <v>65</v>
      </c>
      <c r="J1776" s="57" t="s">
        <v>112</v>
      </c>
      <c r="K1776" s="57" t="s">
        <v>73</v>
      </c>
      <c r="L1776" s="57" t="s">
        <v>113</v>
      </c>
      <c r="M1776" s="60">
        <v>205</v>
      </c>
      <c r="N1776" s="57" t="s">
        <v>120</v>
      </c>
      <c r="O1776" s="61">
        <v>244.12</v>
      </c>
      <c r="P1776" s="61">
        <v>50044.6</v>
      </c>
      <c r="Q1776" s="61">
        <v>3381.12</v>
      </c>
      <c r="R1776" s="62">
        <f t="shared" si="192"/>
        <v>6.7562134575958249E-2</v>
      </c>
      <c r="S1776" s="60">
        <v>11</v>
      </c>
      <c r="T1776" s="58">
        <v>45418</v>
      </c>
      <c r="U1776" s="58">
        <v>45417</v>
      </c>
      <c r="V1776" s="63">
        <f t="shared" si="193"/>
        <v>-1</v>
      </c>
      <c r="W1776" s="57" t="s">
        <v>115</v>
      </c>
      <c r="X1776" s="64" t="b">
        <f t="shared" si="194"/>
        <v>1</v>
      </c>
      <c r="Y1776" s="60">
        <v>487</v>
      </c>
      <c r="Z1776" s="60">
        <v>275</v>
      </c>
      <c r="AA1776" s="57" t="s">
        <v>116</v>
      </c>
      <c r="AB1776" s="64" t="b">
        <f t="shared" si="195"/>
        <v>0</v>
      </c>
    </row>
    <row r="1777" spans="1:28" ht="15" customHeight="1" x14ac:dyDescent="0.3">
      <c r="A1777" s="65" t="s">
        <v>3667</v>
      </c>
      <c r="B1777" s="81">
        <v>45379</v>
      </c>
      <c r="C1777" s="59">
        <f t="shared" si="189"/>
        <v>2024</v>
      </c>
      <c r="D1777" s="59">
        <f t="shared" si="190"/>
        <v>3</v>
      </c>
      <c r="E1777" s="59">
        <f t="shared" si="191"/>
        <v>13</v>
      </c>
      <c r="F1777" s="65" t="s">
        <v>61</v>
      </c>
      <c r="G1777" s="65" t="s">
        <v>40</v>
      </c>
      <c r="H1777" s="65" t="s">
        <v>3668</v>
      </c>
      <c r="I1777" s="65" t="s">
        <v>66</v>
      </c>
      <c r="J1777" s="65" t="s">
        <v>139</v>
      </c>
      <c r="K1777" s="65" t="s">
        <v>71</v>
      </c>
      <c r="L1777" s="65" t="s">
        <v>124</v>
      </c>
      <c r="M1777" s="67">
        <v>890</v>
      </c>
      <c r="N1777" s="65" t="s">
        <v>120</v>
      </c>
      <c r="O1777" s="68">
        <v>1114.77</v>
      </c>
      <c r="P1777" s="68">
        <v>992145.3</v>
      </c>
      <c r="Q1777" s="68">
        <v>57293.47</v>
      </c>
      <c r="R1777" s="62">
        <f t="shared" si="192"/>
        <v>5.7747055799185862E-2</v>
      </c>
      <c r="S1777" s="67">
        <v>8</v>
      </c>
      <c r="T1777" s="66">
        <v>45387</v>
      </c>
      <c r="U1777" s="66">
        <v>45399</v>
      </c>
      <c r="V1777" s="63">
        <f t="shared" si="193"/>
        <v>12</v>
      </c>
      <c r="W1777" s="65" t="s">
        <v>125</v>
      </c>
      <c r="X1777" s="64" t="b">
        <f t="shared" si="194"/>
        <v>0</v>
      </c>
      <c r="Y1777" s="67">
        <v>20</v>
      </c>
      <c r="Z1777" s="67">
        <v>212</v>
      </c>
      <c r="AA1777" s="65" t="s">
        <v>84</v>
      </c>
      <c r="AB1777" s="64" t="b">
        <f t="shared" si="195"/>
        <v>1</v>
      </c>
    </row>
    <row r="1778" spans="1:28" ht="15" customHeight="1" x14ac:dyDescent="0.3">
      <c r="A1778" s="57" t="s">
        <v>3669</v>
      </c>
      <c r="B1778" s="82">
        <v>45573</v>
      </c>
      <c r="C1778" s="59">
        <f t="shared" si="189"/>
        <v>2024</v>
      </c>
      <c r="D1778" s="59">
        <f t="shared" si="190"/>
        <v>10</v>
      </c>
      <c r="E1778" s="59">
        <f t="shared" si="191"/>
        <v>41</v>
      </c>
      <c r="F1778" s="57" t="s">
        <v>58</v>
      </c>
      <c r="G1778" s="57" t="s">
        <v>45</v>
      </c>
      <c r="H1778" s="57" t="s">
        <v>3670</v>
      </c>
      <c r="I1778" s="57" t="s">
        <v>68</v>
      </c>
      <c r="J1778" s="57" t="s">
        <v>139</v>
      </c>
      <c r="K1778" s="57" t="s">
        <v>72</v>
      </c>
      <c r="L1778" s="57" t="s">
        <v>156</v>
      </c>
      <c r="M1778" s="60">
        <v>107</v>
      </c>
      <c r="N1778" s="57" t="s">
        <v>163</v>
      </c>
      <c r="O1778" s="61">
        <v>283.04000000000002</v>
      </c>
      <c r="P1778" s="61">
        <v>30285.279999999999</v>
      </c>
      <c r="Q1778" s="61">
        <v>883.1</v>
      </c>
      <c r="R1778" s="62">
        <f t="shared" si="192"/>
        <v>2.9159380398662324E-2</v>
      </c>
      <c r="S1778" s="60">
        <v>10</v>
      </c>
      <c r="T1778" s="58">
        <v>45583</v>
      </c>
      <c r="U1778" s="58">
        <v>45588</v>
      </c>
      <c r="V1778" s="63">
        <f t="shared" si="193"/>
        <v>5</v>
      </c>
      <c r="W1778" s="57" t="s">
        <v>125</v>
      </c>
      <c r="X1778" s="64" t="b">
        <f t="shared" si="194"/>
        <v>0</v>
      </c>
      <c r="Y1778" s="60">
        <v>126</v>
      </c>
      <c r="Z1778" s="60">
        <v>450</v>
      </c>
      <c r="AA1778" s="57" t="s">
        <v>116</v>
      </c>
      <c r="AB1778" s="64" t="b">
        <f t="shared" si="195"/>
        <v>0</v>
      </c>
    </row>
    <row r="1779" spans="1:28" ht="15" customHeight="1" x14ac:dyDescent="0.3">
      <c r="A1779" s="65" t="s">
        <v>3671</v>
      </c>
      <c r="B1779" s="81">
        <v>45237</v>
      </c>
      <c r="C1779" s="59">
        <f t="shared" si="189"/>
        <v>2023</v>
      </c>
      <c r="D1779" s="59">
        <f t="shared" si="190"/>
        <v>11</v>
      </c>
      <c r="E1779" s="59">
        <f t="shared" si="191"/>
        <v>45</v>
      </c>
      <c r="F1779" s="65" t="s">
        <v>54</v>
      </c>
      <c r="G1779" s="65" t="s">
        <v>41</v>
      </c>
      <c r="H1779" s="65" t="s">
        <v>3672</v>
      </c>
      <c r="I1779" s="65" t="s">
        <v>64</v>
      </c>
      <c r="J1779" s="65" t="s">
        <v>143</v>
      </c>
      <c r="K1779" s="65" t="s">
        <v>75</v>
      </c>
      <c r="L1779" s="65" t="s">
        <v>135</v>
      </c>
      <c r="M1779" s="67">
        <v>614</v>
      </c>
      <c r="N1779" s="65" t="s">
        <v>120</v>
      </c>
      <c r="O1779" s="68">
        <v>717.92</v>
      </c>
      <c r="P1779" s="68">
        <v>440802.88</v>
      </c>
      <c r="Q1779" s="68">
        <v>27598.84</v>
      </c>
      <c r="R1779" s="62">
        <f t="shared" si="192"/>
        <v>6.2610389478399045E-2</v>
      </c>
      <c r="S1779" s="67">
        <v>25</v>
      </c>
      <c r="T1779" s="66">
        <v>45262</v>
      </c>
      <c r="U1779" s="66">
        <v>45257</v>
      </c>
      <c r="V1779" s="63">
        <f t="shared" si="193"/>
        <v>-5</v>
      </c>
      <c r="W1779" s="65" t="s">
        <v>115</v>
      </c>
      <c r="X1779" s="64" t="b">
        <f t="shared" si="194"/>
        <v>1</v>
      </c>
      <c r="Y1779" s="67">
        <v>284</v>
      </c>
      <c r="Z1779" s="67">
        <v>472</v>
      </c>
      <c r="AA1779" s="65" t="s">
        <v>116</v>
      </c>
      <c r="AB1779" s="64" t="b">
        <f t="shared" si="195"/>
        <v>0</v>
      </c>
    </row>
    <row r="1780" spans="1:28" ht="15" customHeight="1" x14ac:dyDescent="0.3">
      <c r="A1780" s="57" t="s">
        <v>3673</v>
      </c>
      <c r="B1780" s="82">
        <v>45208</v>
      </c>
      <c r="C1780" s="59">
        <f t="shared" si="189"/>
        <v>2023</v>
      </c>
      <c r="D1780" s="59">
        <f t="shared" si="190"/>
        <v>10</v>
      </c>
      <c r="E1780" s="59">
        <f t="shared" si="191"/>
        <v>41</v>
      </c>
      <c r="F1780" s="57" t="s">
        <v>52</v>
      </c>
      <c r="G1780" s="57" t="s">
        <v>46</v>
      </c>
      <c r="H1780" s="57" t="s">
        <v>3674</v>
      </c>
      <c r="I1780" s="57" t="s">
        <v>68</v>
      </c>
      <c r="J1780" s="57" t="s">
        <v>151</v>
      </c>
      <c r="K1780" s="57" t="s">
        <v>73</v>
      </c>
      <c r="L1780" s="57" t="s">
        <v>156</v>
      </c>
      <c r="M1780" s="60">
        <v>993</v>
      </c>
      <c r="N1780" s="57" t="s">
        <v>136</v>
      </c>
      <c r="O1780" s="61">
        <v>46.55</v>
      </c>
      <c r="P1780" s="61">
        <v>46224.15</v>
      </c>
      <c r="Q1780" s="61">
        <v>2803.06</v>
      </c>
      <c r="R1780" s="62">
        <f t="shared" si="192"/>
        <v>6.0640595878993987E-2</v>
      </c>
      <c r="S1780" s="60">
        <v>7</v>
      </c>
      <c r="T1780" s="58">
        <v>45215</v>
      </c>
      <c r="U1780" s="58">
        <v>45218</v>
      </c>
      <c r="V1780" s="63">
        <f t="shared" si="193"/>
        <v>3</v>
      </c>
      <c r="W1780" s="57" t="s">
        <v>125</v>
      </c>
      <c r="X1780" s="64" t="b">
        <f t="shared" si="194"/>
        <v>0</v>
      </c>
      <c r="Y1780" s="60">
        <v>434</v>
      </c>
      <c r="Z1780" s="60">
        <v>323</v>
      </c>
      <c r="AA1780" s="57" t="s">
        <v>116</v>
      </c>
      <c r="AB1780" s="64" t="b">
        <f t="shared" si="195"/>
        <v>0</v>
      </c>
    </row>
    <row r="1781" spans="1:28" ht="15" customHeight="1" x14ac:dyDescent="0.3">
      <c r="A1781" s="65" t="s">
        <v>3675</v>
      </c>
      <c r="B1781" s="81">
        <v>45532</v>
      </c>
      <c r="C1781" s="59">
        <f t="shared" si="189"/>
        <v>2024</v>
      </c>
      <c r="D1781" s="59">
        <f t="shared" si="190"/>
        <v>8</v>
      </c>
      <c r="E1781" s="59">
        <f t="shared" si="191"/>
        <v>35</v>
      </c>
      <c r="F1781" s="65" t="s">
        <v>61</v>
      </c>
      <c r="G1781" s="65" t="s">
        <v>45</v>
      </c>
      <c r="H1781" s="65" t="s">
        <v>3676</v>
      </c>
      <c r="I1781" s="65" t="s">
        <v>67</v>
      </c>
      <c r="J1781" s="65" t="s">
        <v>112</v>
      </c>
      <c r="K1781" s="65" t="s">
        <v>72</v>
      </c>
      <c r="L1781" s="65" t="s">
        <v>146</v>
      </c>
      <c r="M1781" s="67">
        <v>31</v>
      </c>
      <c r="N1781" s="65" t="s">
        <v>114</v>
      </c>
      <c r="O1781" s="68">
        <v>227.06</v>
      </c>
      <c r="P1781" s="68">
        <v>7038.86</v>
      </c>
      <c r="Q1781" s="68">
        <v>151.09</v>
      </c>
      <c r="R1781" s="62">
        <f t="shared" si="192"/>
        <v>2.1465123613767005E-2</v>
      </c>
      <c r="S1781" s="67">
        <v>3</v>
      </c>
      <c r="T1781" s="66">
        <v>45535</v>
      </c>
      <c r="U1781" s="66">
        <v>45535</v>
      </c>
      <c r="V1781" s="63">
        <f t="shared" si="193"/>
        <v>0</v>
      </c>
      <c r="W1781" s="65" t="s">
        <v>115</v>
      </c>
      <c r="X1781" s="64" t="b">
        <f t="shared" si="194"/>
        <v>1</v>
      </c>
      <c r="Y1781" s="67">
        <v>120</v>
      </c>
      <c r="Z1781" s="67">
        <v>189</v>
      </c>
      <c r="AA1781" s="65" t="s">
        <v>84</v>
      </c>
      <c r="AB1781" s="64" t="b">
        <f t="shared" si="195"/>
        <v>1</v>
      </c>
    </row>
    <row r="1782" spans="1:28" ht="15" customHeight="1" x14ac:dyDescent="0.3">
      <c r="A1782" s="57" t="s">
        <v>3677</v>
      </c>
      <c r="B1782" s="82">
        <v>44984</v>
      </c>
      <c r="C1782" s="59">
        <f t="shared" si="189"/>
        <v>2023</v>
      </c>
      <c r="D1782" s="59">
        <f t="shared" si="190"/>
        <v>2</v>
      </c>
      <c r="E1782" s="59">
        <f t="shared" si="191"/>
        <v>9</v>
      </c>
      <c r="F1782" s="57" t="s">
        <v>60</v>
      </c>
      <c r="G1782" s="57" t="s">
        <v>41</v>
      </c>
      <c r="H1782" s="57" t="s">
        <v>3678</v>
      </c>
      <c r="I1782" s="57" t="s">
        <v>65</v>
      </c>
      <c r="J1782" s="57" t="s">
        <v>151</v>
      </c>
      <c r="K1782" s="57" t="s">
        <v>75</v>
      </c>
      <c r="L1782" s="57" t="s">
        <v>156</v>
      </c>
      <c r="M1782" s="60">
        <v>459</v>
      </c>
      <c r="N1782" s="57" t="s">
        <v>140</v>
      </c>
      <c r="O1782" s="61">
        <v>646.20000000000005</v>
      </c>
      <c r="P1782" s="61">
        <v>296605.8</v>
      </c>
      <c r="Q1782" s="61">
        <v>13259.72</v>
      </c>
      <c r="R1782" s="62">
        <f t="shared" si="192"/>
        <v>4.4704857423556787E-2</v>
      </c>
      <c r="S1782" s="60">
        <v>3</v>
      </c>
      <c r="T1782" s="58">
        <v>44987</v>
      </c>
      <c r="U1782" s="58">
        <v>44986</v>
      </c>
      <c r="V1782" s="63">
        <f t="shared" si="193"/>
        <v>-1</v>
      </c>
      <c r="W1782" s="57" t="s">
        <v>115</v>
      </c>
      <c r="X1782" s="64" t="b">
        <f t="shared" si="194"/>
        <v>1</v>
      </c>
      <c r="Y1782" s="60">
        <v>123</v>
      </c>
      <c r="Z1782" s="60">
        <v>57</v>
      </c>
      <c r="AA1782" s="57" t="s">
        <v>83</v>
      </c>
      <c r="AB1782" s="64" t="b">
        <f t="shared" si="195"/>
        <v>1</v>
      </c>
    </row>
    <row r="1783" spans="1:28" ht="15" customHeight="1" x14ac:dyDescent="0.3">
      <c r="A1783" s="65" t="s">
        <v>3679</v>
      </c>
      <c r="B1783" s="81">
        <v>45287</v>
      </c>
      <c r="C1783" s="59">
        <f t="shared" si="189"/>
        <v>2023</v>
      </c>
      <c r="D1783" s="59">
        <f t="shared" si="190"/>
        <v>12</v>
      </c>
      <c r="E1783" s="59">
        <f t="shared" si="191"/>
        <v>52</v>
      </c>
      <c r="F1783" s="65" t="s">
        <v>58</v>
      </c>
      <c r="G1783" s="65" t="s">
        <v>42</v>
      </c>
      <c r="H1783" s="65" t="s">
        <v>3680</v>
      </c>
      <c r="I1783" s="65" t="s">
        <v>65</v>
      </c>
      <c r="J1783" s="65" t="s">
        <v>131</v>
      </c>
      <c r="K1783" s="65" t="s">
        <v>74</v>
      </c>
      <c r="L1783" s="65" t="s">
        <v>135</v>
      </c>
      <c r="M1783" s="67">
        <v>181</v>
      </c>
      <c r="N1783" s="65" t="s">
        <v>132</v>
      </c>
      <c r="O1783" s="68">
        <v>104.44</v>
      </c>
      <c r="P1783" s="68">
        <v>18903.64</v>
      </c>
      <c r="Q1783" s="68">
        <v>755.71</v>
      </c>
      <c r="R1783" s="62">
        <f t="shared" si="192"/>
        <v>3.9976956818898374E-2</v>
      </c>
      <c r="S1783" s="67">
        <v>18</v>
      </c>
      <c r="T1783" s="66">
        <v>45305</v>
      </c>
      <c r="U1783" s="66">
        <v>45307</v>
      </c>
      <c r="V1783" s="63">
        <f t="shared" si="193"/>
        <v>2</v>
      </c>
      <c r="W1783" s="65" t="s">
        <v>128</v>
      </c>
      <c r="X1783" s="64" t="b">
        <f t="shared" si="194"/>
        <v>0</v>
      </c>
      <c r="Y1783" s="67">
        <v>406</v>
      </c>
      <c r="Z1783" s="67">
        <v>430</v>
      </c>
      <c r="AA1783" s="65" t="s">
        <v>84</v>
      </c>
      <c r="AB1783" s="64" t="b">
        <f t="shared" si="195"/>
        <v>1</v>
      </c>
    </row>
    <row r="1784" spans="1:28" ht="15" customHeight="1" x14ac:dyDescent="0.3">
      <c r="A1784" s="57" t="s">
        <v>3681</v>
      </c>
      <c r="B1784" s="82">
        <v>45446</v>
      </c>
      <c r="C1784" s="59">
        <f t="shared" si="189"/>
        <v>2024</v>
      </c>
      <c r="D1784" s="59">
        <f t="shared" si="190"/>
        <v>6</v>
      </c>
      <c r="E1784" s="59">
        <f t="shared" si="191"/>
        <v>23</v>
      </c>
      <c r="F1784" s="57" t="s">
        <v>52</v>
      </c>
      <c r="G1784" s="57" t="s">
        <v>42</v>
      </c>
      <c r="H1784" s="57" t="s">
        <v>3682</v>
      </c>
      <c r="I1784" s="57" t="s">
        <v>64</v>
      </c>
      <c r="J1784" s="57" t="s">
        <v>139</v>
      </c>
      <c r="K1784" s="57" t="s">
        <v>72</v>
      </c>
      <c r="L1784" s="57" t="s">
        <v>146</v>
      </c>
      <c r="M1784" s="60">
        <v>392</v>
      </c>
      <c r="N1784" s="57" t="s">
        <v>136</v>
      </c>
      <c r="O1784" s="61">
        <v>94.83</v>
      </c>
      <c r="P1784" s="61">
        <v>37173.360000000001</v>
      </c>
      <c r="Q1784" s="61">
        <v>2236.52</v>
      </c>
      <c r="R1784" s="62">
        <f t="shared" si="192"/>
        <v>6.0164590986663567E-2</v>
      </c>
      <c r="S1784" s="60">
        <v>5</v>
      </c>
      <c r="T1784" s="58">
        <v>45451</v>
      </c>
      <c r="U1784" s="58">
        <v>45450</v>
      </c>
      <c r="V1784" s="63">
        <f t="shared" si="193"/>
        <v>-1</v>
      </c>
      <c r="W1784" s="57" t="s">
        <v>115</v>
      </c>
      <c r="X1784" s="64" t="b">
        <f t="shared" si="194"/>
        <v>1</v>
      </c>
      <c r="Y1784" s="60">
        <v>32</v>
      </c>
      <c r="Z1784" s="60">
        <v>202</v>
      </c>
      <c r="AA1784" s="57" t="s">
        <v>82</v>
      </c>
      <c r="AB1784" s="64" t="b">
        <f t="shared" si="195"/>
        <v>1</v>
      </c>
    </row>
    <row r="1785" spans="1:28" ht="15" customHeight="1" x14ac:dyDescent="0.3">
      <c r="A1785" s="65" t="s">
        <v>3683</v>
      </c>
      <c r="B1785" s="81">
        <v>45002</v>
      </c>
      <c r="C1785" s="59">
        <f t="shared" si="189"/>
        <v>2023</v>
      </c>
      <c r="D1785" s="59">
        <f t="shared" si="190"/>
        <v>3</v>
      </c>
      <c r="E1785" s="59">
        <f t="shared" si="191"/>
        <v>11</v>
      </c>
      <c r="F1785" s="65" t="s">
        <v>61</v>
      </c>
      <c r="G1785" s="65" t="s">
        <v>39</v>
      </c>
      <c r="H1785" s="65" t="s">
        <v>3684</v>
      </c>
      <c r="I1785" s="65" t="s">
        <v>65</v>
      </c>
      <c r="J1785" s="65" t="s">
        <v>151</v>
      </c>
      <c r="K1785" s="65" t="s">
        <v>74</v>
      </c>
      <c r="L1785" s="65" t="s">
        <v>124</v>
      </c>
      <c r="M1785" s="67">
        <v>143</v>
      </c>
      <c r="N1785" s="65" t="s">
        <v>136</v>
      </c>
      <c r="O1785" s="68">
        <v>1250.1400000000001</v>
      </c>
      <c r="P1785" s="68">
        <v>178770.02</v>
      </c>
      <c r="Q1785" s="68">
        <v>5893.72</v>
      </c>
      <c r="R1785" s="62">
        <f t="shared" si="192"/>
        <v>3.2968167705077177E-2</v>
      </c>
      <c r="S1785" s="67">
        <v>12</v>
      </c>
      <c r="T1785" s="66">
        <v>45014</v>
      </c>
      <c r="U1785" s="66">
        <v>45014</v>
      </c>
      <c r="V1785" s="63">
        <f t="shared" si="193"/>
        <v>0</v>
      </c>
      <c r="W1785" s="65" t="s">
        <v>115</v>
      </c>
      <c r="X1785" s="64" t="b">
        <f t="shared" si="194"/>
        <v>1</v>
      </c>
      <c r="Y1785" s="67">
        <v>391</v>
      </c>
      <c r="Z1785" s="67">
        <v>79</v>
      </c>
      <c r="AA1785" s="65" t="s">
        <v>82</v>
      </c>
      <c r="AB1785" s="64" t="b">
        <f t="shared" si="195"/>
        <v>1</v>
      </c>
    </row>
    <row r="1786" spans="1:28" ht="15" customHeight="1" x14ac:dyDescent="0.3">
      <c r="A1786" s="57" t="s">
        <v>3685</v>
      </c>
      <c r="B1786" s="82">
        <v>45244</v>
      </c>
      <c r="C1786" s="59">
        <f t="shared" si="189"/>
        <v>2023</v>
      </c>
      <c r="D1786" s="59">
        <f t="shared" si="190"/>
        <v>11</v>
      </c>
      <c r="E1786" s="59">
        <f t="shared" si="191"/>
        <v>46</v>
      </c>
      <c r="F1786" s="57" t="s">
        <v>60</v>
      </c>
      <c r="G1786" s="57" t="s">
        <v>45</v>
      </c>
      <c r="H1786" s="57" t="s">
        <v>3686</v>
      </c>
      <c r="I1786" s="57" t="s">
        <v>65</v>
      </c>
      <c r="J1786" s="57" t="s">
        <v>151</v>
      </c>
      <c r="K1786" s="57" t="s">
        <v>73</v>
      </c>
      <c r="L1786" s="57" t="s">
        <v>119</v>
      </c>
      <c r="M1786" s="60">
        <v>435</v>
      </c>
      <c r="N1786" s="57" t="s">
        <v>132</v>
      </c>
      <c r="O1786" s="61">
        <v>267.58999999999997</v>
      </c>
      <c r="P1786" s="61">
        <v>116401.65</v>
      </c>
      <c r="Q1786" s="61">
        <v>6454.74</v>
      </c>
      <c r="R1786" s="62">
        <f t="shared" si="192"/>
        <v>5.545230673276539E-2</v>
      </c>
      <c r="S1786" s="60">
        <v>12</v>
      </c>
      <c r="T1786" s="58">
        <v>45256</v>
      </c>
      <c r="U1786" s="58">
        <v>45258</v>
      </c>
      <c r="V1786" s="63">
        <f t="shared" si="193"/>
        <v>2</v>
      </c>
      <c r="W1786" s="57" t="s">
        <v>125</v>
      </c>
      <c r="X1786" s="64" t="b">
        <f t="shared" si="194"/>
        <v>0</v>
      </c>
      <c r="Y1786" s="60">
        <v>169</v>
      </c>
      <c r="Z1786" s="60">
        <v>442</v>
      </c>
      <c r="AA1786" s="57" t="s">
        <v>116</v>
      </c>
      <c r="AB1786" s="64" t="b">
        <f t="shared" si="195"/>
        <v>0</v>
      </c>
    </row>
    <row r="1787" spans="1:28" ht="15" customHeight="1" x14ac:dyDescent="0.3">
      <c r="A1787" s="65" t="s">
        <v>3687</v>
      </c>
      <c r="B1787" s="81">
        <v>45399</v>
      </c>
      <c r="C1787" s="59">
        <f t="shared" si="189"/>
        <v>2024</v>
      </c>
      <c r="D1787" s="59">
        <f t="shared" si="190"/>
        <v>4</v>
      </c>
      <c r="E1787" s="59">
        <f t="shared" si="191"/>
        <v>16</v>
      </c>
      <c r="F1787" s="65" t="s">
        <v>57</v>
      </c>
      <c r="G1787" s="65" t="s">
        <v>39</v>
      </c>
      <c r="H1787" s="65" t="s">
        <v>3688</v>
      </c>
      <c r="I1787" s="65" t="s">
        <v>64</v>
      </c>
      <c r="J1787" s="65" t="s">
        <v>143</v>
      </c>
      <c r="K1787" s="65" t="s">
        <v>71</v>
      </c>
      <c r="L1787" s="65" t="s">
        <v>124</v>
      </c>
      <c r="M1787" s="67">
        <v>34</v>
      </c>
      <c r="N1787" s="65" t="s">
        <v>132</v>
      </c>
      <c r="O1787" s="68">
        <v>1914.13</v>
      </c>
      <c r="P1787" s="68">
        <v>65080.42</v>
      </c>
      <c r="Q1787" s="68">
        <v>4867.5200000000004</v>
      </c>
      <c r="R1787" s="62">
        <f t="shared" si="192"/>
        <v>7.4792387633638518E-2</v>
      </c>
      <c r="S1787" s="67">
        <v>19</v>
      </c>
      <c r="T1787" s="66">
        <v>45418</v>
      </c>
      <c r="U1787" s="66">
        <v>45413</v>
      </c>
      <c r="V1787" s="63">
        <f t="shared" si="193"/>
        <v>-5</v>
      </c>
      <c r="W1787" s="65" t="s">
        <v>115</v>
      </c>
      <c r="X1787" s="64" t="b">
        <f t="shared" si="194"/>
        <v>1</v>
      </c>
      <c r="Y1787" s="67">
        <v>76</v>
      </c>
      <c r="Z1787" s="67">
        <v>227</v>
      </c>
      <c r="AA1787" s="65" t="s">
        <v>116</v>
      </c>
      <c r="AB1787" s="64" t="b">
        <f t="shared" si="195"/>
        <v>0</v>
      </c>
    </row>
    <row r="1788" spans="1:28" ht="15" customHeight="1" x14ac:dyDescent="0.3">
      <c r="A1788" s="57" t="s">
        <v>3689</v>
      </c>
      <c r="B1788" s="82">
        <v>45389</v>
      </c>
      <c r="C1788" s="59">
        <f t="shared" si="189"/>
        <v>2024</v>
      </c>
      <c r="D1788" s="59">
        <f t="shared" si="190"/>
        <v>4</v>
      </c>
      <c r="E1788" s="59">
        <f t="shared" si="191"/>
        <v>15</v>
      </c>
      <c r="F1788" s="57" t="s">
        <v>57</v>
      </c>
      <c r="G1788" s="57" t="s">
        <v>44</v>
      </c>
      <c r="H1788" s="57" t="s">
        <v>3690</v>
      </c>
      <c r="I1788" s="57" t="s">
        <v>68</v>
      </c>
      <c r="J1788" s="57" t="s">
        <v>131</v>
      </c>
      <c r="K1788" s="57" t="s">
        <v>73</v>
      </c>
      <c r="L1788" s="57" t="s">
        <v>156</v>
      </c>
      <c r="M1788" s="60">
        <v>512</v>
      </c>
      <c r="N1788" s="57" t="s">
        <v>140</v>
      </c>
      <c r="O1788" s="61">
        <v>92.27</v>
      </c>
      <c r="P1788" s="61">
        <v>47242.239999999998</v>
      </c>
      <c r="Q1788" s="61">
        <v>3206.24</v>
      </c>
      <c r="R1788" s="62">
        <f t="shared" si="192"/>
        <v>6.7868077381597489E-2</v>
      </c>
      <c r="S1788" s="60">
        <v>6</v>
      </c>
      <c r="T1788" s="58">
        <v>45395</v>
      </c>
      <c r="U1788" s="58">
        <v>45395</v>
      </c>
      <c r="V1788" s="63">
        <f t="shared" si="193"/>
        <v>0</v>
      </c>
      <c r="W1788" s="57" t="s">
        <v>115</v>
      </c>
      <c r="X1788" s="64" t="b">
        <f t="shared" si="194"/>
        <v>1</v>
      </c>
      <c r="Y1788" s="60">
        <v>452</v>
      </c>
      <c r="Z1788" s="60">
        <v>389</v>
      </c>
      <c r="AA1788" s="57" t="s">
        <v>83</v>
      </c>
      <c r="AB1788" s="64" t="b">
        <f t="shared" si="195"/>
        <v>1</v>
      </c>
    </row>
    <row r="1789" spans="1:28" ht="15" customHeight="1" x14ac:dyDescent="0.3">
      <c r="A1789" s="65" t="s">
        <v>3691</v>
      </c>
      <c r="B1789" s="81">
        <v>44965</v>
      </c>
      <c r="C1789" s="59">
        <f t="shared" si="189"/>
        <v>2023</v>
      </c>
      <c r="D1789" s="59">
        <f t="shared" si="190"/>
        <v>2</v>
      </c>
      <c r="E1789" s="59">
        <f t="shared" si="191"/>
        <v>6</v>
      </c>
      <c r="F1789" s="65" t="s">
        <v>56</v>
      </c>
      <c r="G1789" s="65" t="s">
        <v>40</v>
      </c>
      <c r="H1789" s="65" t="s">
        <v>3692</v>
      </c>
      <c r="I1789" s="65" t="s">
        <v>66</v>
      </c>
      <c r="J1789" s="65" t="s">
        <v>123</v>
      </c>
      <c r="K1789" s="65" t="s">
        <v>72</v>
      </c>
      <c r="L1789" s="65" t="s">
        <v>119</v>
      </c>
      <c r="M1789" s="67">
        <v>194</v>
      </c>
      <c r="N1789" s="65" t="s">
        <v>140</v>
      </c>
      <c r="O1789" s="68">
        <v>856.84</v>
      </c>
      <c r="P1789" s="68">
        <v>166226.96</v>
      </c>
      <c r="Q1789" s="68">
        <v>12514.81</v>
      </c>
      <c r="R1789" s="62">
        <f t="shared" si="192"/>
        <v>7.528748645827367E-2</v>
      </c>
      <c r="S1789" s="67">
        <v>2</v>
      </c>
      <c r="T1789" s="66">
        <v>44967</v>
      </c>
      <c r="U1789" s="66">
        <v>44967</v>
      </c>
      <c r="V1789" s="63">
        <f t="shared" si="193"/>
        <v>0</v>
      </c>
      <c r="W1789" s="65" t="s">
        <v>115</v>
      </c>
      <c r="X1789" s="64" t="b">
        <f t="shared" si="194"/>
        <v>1</v>
      </c>
      <c r="Y1789" s="67">
        <v>296</v>
      </c>
      <c r="Z1789" s="67">
        <v>94</v>
      </c>
      <c r="AA1789" s="65" t="s">
        <v>116</v>
      </c>
      <c r="AB1789" s="64" t="b">
        <f t="shared" si="195"/>
        <v>0</v>
      </c>
    </row>
    <row r="1790" spans="1:28" ht="15" customHeight="1" x14ac:dyDescent="0.3">
      <c r="A1790" s="57" t="s">
        <v>3693</v>
      </c>
      <c r="B1790" s="82">
        <v>44985</v>
      </c>
      <c r="C1790" s="59">
        <f t="shared" si="189"/>
        <v>2023</v>
      </c>
      <c r="D1790" s="59">
        <f t="shared" si="190"/>
        <v>2</v>
      </c>
      <c r="E1790" s="59">
        <f t="shared" si="191"/>
        <v>9</v>
      </c>
      <c r="F1790" s="57" t="s">
        <v>55</v>
      </c>
      <c r="G1790" s="57" t="s">
        <v>45</v>
      </c>
      <c r="H1790" s="57" t="s">
        <v>3694</v>
      </c>
      <c r="I1790" s="57" t="s">
        <v>68</v>
      </c>
      <c r="J1790" s="57" t="s">
        <v>139</v>
      </c>
      <c r="K1790" s="57" t="s">
        <v>74</v>
      </c>
      <c r="L1790" s="57" t="s">
        <v>156</v>
      </c>
      <c r="M1790" s="60">
        <v>94</v>
      </c>
      <c r="N1790" s="57" t="s">
        <v>140</v>
      </c>
      <c r="O1790" s="61">
        <v>167.84</v>
      </c>
      <c r="P1790" s="61">
        <v>15776.96</v>
      </c>
      <c r="Q1790" s="61">
        <v>1241.81</v>
      </c>
      <c r="R1790" s="62">
        <f t="shared" si="192"/>
        <v>7.8710347240533038E-2</v>
      </c>
      <c r="S1790" s="60">
        <v>12</v>
      </c>
      <c r="T1790" s="58">
        <v>44997</v>
      </c>
      <c r="U1790" s="58">
        <v>44992</v>
      </c>
      <c r="V1790" s="63">
        <f t="shared" si="193"/>
        <v>-5</v>
      </c>
      <c r="W1790" s="57" t="s">
        <v>115</v>
      </c>
      <c r="X1790" s="64" t="b">
        <f t="shared" si="194"/>
        <v>1</v>
      </c>
      <c r="Y1790" s="60">
        <v>329</v>
      </c>
      <c r="Z1790" s="60">
        <v>423</v>
      </c>
      <c r="AA1790" s="57" t="s">
        <v>81</v>
      </c>
      <c r="AB1790" s="64" t="b">
        <f t="shared" si="195"/>
        <v>1</v>
      </c>
    </row>
    <row r="1791" spans="1:28" ht="15" customHeight="1" x14ac:dyDescent="0.3">
      <c r="A1791" s="65" t="s">
        <v>3695</v>
      </c>
      <c r="B1791" s="81">
        <v>45304</v>
      </c>
      <c r="C1791" s="59">
        <f t="shared" si="189"/>
        <v>2024</v>
      </c>
      <c r="D1791" s="59">
        <f t="shared" si="190"/>
        <v>1</v>
      </c>
      <c r="E1791" s="59">
        <f t="shared" si="191"/>
        <v>2</v>
      </c>
      <c r="F1791" s="65" t="s">
        <v>53</v>
      </c>
      <c r="G1791" s="65" t="s">
        <v>42</v>
      </c>
      <c r="H1791" s="65" t="s">
        <v>3696</v>
      </c>
      <c r="I1791" s="65" t="s">
        <v>67</v>
      </c>
      <c r="J1791" s="65" t="s">
        <v>143</v>
      </c>
      <c r="K1791" s="65" t="s">
        <v>74</v>
      </c>
      <c r="L1791" s="65" t="s">
        <v>113</v>
      </c>
      <c r="M1791" s="67">
        <v>576</v>
      </c>
      <c r="N1791" s="65" t="s">
        <v>120</v>
      </c>
      <c r="O1791" s="68">
        <v>77.599999999999994</v>
      </c>
      <c r="P1791" s="68">
        <v>44697.599999999999</v>
      </c>
      <c r="Q1791" s="68">
        <v>922.57</v>
      </c>
      <c r="R1791" s="62">
        <f t="shared" si="192"/>
        <v>2.064025808991982E-2</v>
      </c>
      <c r="S1791" s="67">
        <v>19</v>
      </c>
      <c r="T1791" s="66">
        <v>45323</v>
      </c>
      <c r="U1791" s="66">
        <v>45325</v>
      </c>
      <c r="V1791" s="63">
        <f t="shared" si="193"/>
        <v>2</v>
      </c>
      <c r="W1791" s="65" t="s">
        <v>128</v>
      </c>
      <c r="X1791" s="64" t="b">
        <f t="shared" si="194"/>
        <v>0</v>
      </c>
      <c r="Y1791" s="67">
        <v>62</v>
      </c>
      <c r="Z1791" s="67">
        <v>460</v>
      </c>
      <c r="AA1791" s="65" t="s">
        <v>83</v>
      </c>
      <c r="AB1791" s="64" t="b">
        <f t="shared" si="195"/>
        <v>1</v>
      </c>
    </row>
    <row r="1792" spans="1:28" ht="15" customHeight="1" x14ac:dyDescent="0.3">
      <c r="A1792" s="57" t="s">
        <v>3697</v>
      </c>
      <c r="B1792" s="82">
        <v>45220</v>
      </c>
      <c r="C1792" s="59">
        <f t="shared" si="189"/>
        <v>2023</v>
      </c>
      <c r="D1792" s="59">
        <f t="shared" si="190"/>
        <v>10</v>
      </c>
      <c r="E1792" s="59">
        <f t="shared" si="191"/>
        <v>42</v>
      </c>
      <c r="F1792" s="57" t="s">
        <v>60</v>
      </c>
      <c r="G1792" s="57" t="s">
        <v>46</v>
      </c>
      <c r="H1792" s="57" t="s">
        <v>3698</v>
      </c>
      <c r="I1792" s="57" t="s">
        <v>67</v>
      </c>
      <c r="J1792" s="57" t="s">
        <v>151</v>
      </c>
      <c r="K1792" s="57" t="s">
        <v>75</v>
      </c>
      <c r="L1792" s="57" t="s">
        <v>113</v>
      </c>
      <c r="M1792" s="60">
        <v>772</v>
      </c>
      <c r="N1792" s="57" t="s">
        <v>136</v>
      </c>
      <c r="O1792" s="61">
        <v>42.87</v>
      </c>
      <c r="P1792" s="61">
        <v>33095.64</v>
      </c>
      <c r="Q1792" s="61">
        <v>1898.51</v>
      </c>
      <c r="R1792" s="62">
        <f t="shared" si="192"/>
        <v>5.7364353733603581E-2</v>
      </c>
      <c r="S1792" s="60">
        <v>5</v>
      </c>
      <c r="T1792" s="58">
        <v>45225</v>
      </c>
      <c r="U1792" s="58">
        <v>45233</v>
      </c>
      <c r="V1792" s="63">
        <f t="shared" si="193"/>
        <v>8</v>
      </c>
      <c r="W1792" s="57" t="s">
        <v>125</v>
      </c>
      <c r="X1792" s="64" t="b">
        <f t="shared" si="194"/>
        <v>0</v>
      </c>
      <c r="Y1792" s="60">
        <v>269</v>
      </c>
      <c r="Z1792" s="60">
        <v>406</v>
      </c>
      <c r="AA1792" s="57" t="s">
        <v>116</v>
      </c>
      <c r="AB1792" s="64" t="b">
        <f t="shared" si="195"/>
        <v>0</v>
      </c>
    </row>
    <row r="1793" spans="1:28" ht="15" customHeight="1" x14ac:dyDescent="0.3">
      <c r="A1793" s="65" t="s">
        <v>3699</v>
      </c>
      <c r="B1793" s="81">
        <v>45005</v>
      </c>
      <c r="C1793" s="59">
        <f t="shared" si="189"/>
        <v>2023</v>
      </c>
      <c r="D1793" s="59">
        <f t="shared" si="190"/>
        <v>3</v>
      </c>
      <c r="E1793" s="59">
        <f t="shared" si="191"/>
        <v>12</v>
      </c>
      <c r="F1793" s="65" t="s">
        <v>56</v>
      </c>
      <c r="G1793" s="65" t="s">
        <v>41</v>
      </c>
      <c r="H1793" s="65" t="s">
        <v>3700</v>
      </c>
      <c r="I1793" s="65" t="s">
        <v>65</v>
      </c>
      <c r="J1793" s="65" t="s">
        <v>139</v>
      </c>
      <c r="K1793" s="65" t="s">
        <v>73</v>
      </c>
      <c r="L1793" s="65" t="s">
        <v>135</v>
      </c>
      <c r="M1793" s="67">
        <v>153</v>
      </c>
      <c r="N1793" s="65" t="s">
        <v>114</v>
      </c>
      <c r="O1793" s="68">
        <v>510.13</v>
      </c>
      <c r="P1793" s="68">
        <v>78049.89</v>
      </c>
      <c r="Q1793" s="68">
        <v>3494.32</v>
      </c>
      <c r="R1793" s="62">
        <f t="shared" si="192"/>
        <v>4.4770338561655888E-2</v>
      </c>
      <c r="S1793" s="67">
        <v>12</v>
      </c>
      <c r="T1793" s="66">
        <v>45017</v>
      </c>
      <c r="U1793" s="66">
        <v>45017</v>
      </c>
      <c r="V1793" s="63">
        <f t="shared" si="193"/>
        <v>0</v>
      </c>
      <c r="W1793" s="65" t="s">
        <v>115</v>
      </c>
      <c r="X1793" s="64" t="b">
        <f t="shared" si="194"/>
        <v>1</v>
      </c>
      <c r="Y1793" s="67">
        <v>215</v>
      </c>
      <c r="Z1793" s="67">
        <v>435</v>
      </c>
      <c r="AA1793" s="65" t="s">
        <v>84</v>
      </c>
      <c r="AB1793" s="64" t="b">
        <f t="shared" si="195"/>
        <v>1</v>
      </c>
    </row>
    <row r="1794" spans="1:28" ht="15" customHeight="1" x14ac:dyDescent="0.3">
      <c r="A1794" s="57" t="s">
        <v>3701</v>
      </c>
      <c r="B1794" s="82">
        <v>45587</v>
      </c>
      <c r="C1794" s="59">
        <f t="shared" ref="C1794:C1857" si="196">YEAR(B1794)</f>
        <v>2024</v>
      </c>
      <c r="D1794" s="59">
        <f t="shared" ref="D1794:D1857" si="197">MONTH(B1794)</f>
        <v>10</v>
      </c>
      <c r="E1794" s="59">
        <f t="shared" ref="E1794:E1857" si="198">WEEKNUM(B1794,1)</f>
        <v>43</v>
      </c>
      <c r="F1794" s="57" t="s">
        <v>58</v>
      </c>
      <c r="G1794" s="57" t="s">
        <v>43</v>
      </c>
      <c r="H1794" s="57" t="s">
        <v>3702</v>
      </c>
      <c r="I1794" s="57" t="s">
        <v>67</v>
      </c>
      <c r="J1794" s="57" t="s">
        <v>123</v>
      </c>
      <c r="K1794" s="57" t="s">
        <v>73</v>
      </c>
      <c r="L1794" s="57" t="s">
        <v>124</v>
      </c>
      <c r="M1794" s="60">
        <v>872</v>
      </c>
      <c r="N1794" s="57" t="s">
        <v>132</v>
      </c>
      <c r="O1794" s="61">
        <v>227.98</v>
      </c>
      <c r="P1794" s="61">
        <v>198798.56</v>
      </c>
      <c r="Q1794" s="61">
        <v>14232.24</v>
      </c>
      <c r="R1794" s="62">
        <f t="shared" ref="R1794:R1857" si="199">Q1794/P1794</f>
        <v>7.1591263035305691E-2</v>
      </c>
      <c r="S1794" s="60">
        <v>27</v>
      </c>
      <c r="T1794" s="58">
        <v>45614</v>
      </c>
      <c r="U1794" s="58">
        <v>45626</v>
      </c>
      <c r="V1794" s="63">
        <f t="shared" ref="V1794:V1857" si="200">U1794-T1794</f>
        <v>12</v>
      </c>
      <c r="W1794" s="57" t="s">
        <v>125</v>
      </c>
      <c r="X1794" s="64" t="b">
        <f t="shared" ref="X1794:X1857" si="201">IF(W1794="Entregado", TRUE(), FALSE())</f>
        <v>0</v>
      </c>
      <c r="Y1794" s="60">
        <v>189</v>
      </c>
      <c r="Z1794" s="60">
        <v>3</v>
      </c>
      <c r="AA1794" s="57" t="s">
        <v>83</v>
      </c>
      <c r="AB1794" s="64" t="b">
        <f t="shared" ref="AB1794:AB1857" si="202">IF(AA1794="Ninguna",FALSE(),TRUE())</f>
        <v>1</v>
      </c>
    </row>
    <row r="1795" spans="1:28" ht="15" customHeight="1" x14ac:dyDescent="0.3">
      <c r="A1795" s="65" t="s">
        <v>3703</v>
      </c>
      <c r="B1795" s="81">
        <v>45019</v>
      </c>
      <c r="C1795" s="59">
        <f t="shared" si="196"/>
        <v>2023</v>
      </c>
      <c r="D1795" s="59">
        <f t="shared" si="197"/>
        <v>4</v>
      </c>
      <c r="E1795" s="59">
        <f t="shared" si="198"/>
        <v>14</v>
      </c>
      <c r="F1795" s="65" t="s">
        <v>61</v>
      </c>
      <c r="G1795" s="65" t="s">
        <v>39</v>
      </c>
      <c r="H1795" s="65" t="s">
        <v>3704</v>
      </c>
      <c r="I1795" s="65" t="s">
        <v>66</v>
      </c>
      <c r="J1795" s="65" t="s">
        <v>151</v>
      </c>
      <c r="K1795" s="65" t="s">
        <v>72</v>
      </c>
      <c r="L1795" s="65" t="s">
        <v>113</v>
      </c>
      <c r="M1795" s="67">
        <v>919</v>
      </c>
      <c r="N1795" s="65" t="s">
        <v>136</v>
      </c>
      <c r="O1795" s="68">
        <v>1793.5</v>
      </c>
      <c r="P1795" s="68">
        <v>1639255.3774000001</v>
      </c>
      <c r="Q1795" s="68">
        <v>57867.39</v>
      </c>
      <c r="R1795" s="62">
        <f t="shared" si="199"/>
        <v>3.5301021913853745E-2</v>
      </c>
      <c r="S1795" s="67">
        <v>27</v>
      </c>
      <c r="T1795" s="66">
        <v>45046</v>
      </c>
      <c r="U1795" s="66">
        <v>45041</v>
      </c>
      <c r="V1795" s="63">
        <f t="shared" si="200"/>
        <v>-5</v>
      </c>
      <c r="W1795" s="65" t="s">
        <v>115</v>
      </c>
      <c r="X1795" s="64" t="b">
        <f t="shared" si="201"/>
        <v>1</v>
      </c>
      <c r="Y1795" s="67">
        <v>74</v>
      </c>
      <c r="Z1795" s="67">
        <v>164</v>
      </c>
      <c r="AA1795" s="65" t="s">
        <v>116</v>
      </c>
      <c r="AB1795" s="64" t="b">
        <f t="shared" si="202"/>
        <v>0</v>
      </c>
    </row>
    <row r="1796" spans="1:28" ht="15" customHeight="1" x14ac:dyDescent="0.3">
      <c r="A1796" s="57" t="s">
        <v>3705</v>
      </c>
      <c r="B1796" s="82">
        <v>45556</v>
      </c>
      <c r="C1796" s="59">
        <f t="shared" si="196"/>
        <v>2024</v>
      </c>
      <c r="D1796" s="59">
        <f t="shared" si="197"/>
        <v>9</v>
      </c>
      <c r="E1796" s="59">
        <f t="shared" si="198"/>
        <v>38</v>
      </c>
      <c r="F1796" s="57" t="s">
        <v>52</v>
      </c>
      <c r="G1796" s="57" t="s">
        <v>43</v>
      </c>
      <c r="H1796" s="57" t="s">
        <v>3706</v>
      </c>
      <c r="I1796" s="57" t="s">
        <v>65</v>
      </c>
      <c r="J1796" s="57" t="s">
        <v>131</v>
      </c>
      <c r="K1796" s="57" t="s">
        <v>74</v>
      </c>
      <c r="L1796" s="57" t="s">
        <v>146</v>
      </c>
      <c r="M1796" s="60">
        <v>688</v>
      </c>
      <c r="N1796" s="57" t="s">
        <v>136</v>
      </c>
      <c r="O1796" s="61">
        <v>246.16</v>
      </c>
      <c r="P1796" s="61">
        <v>169358.07999999999</v>
      </c>
      <c r="Q1796" s="61">
        <v>13355.88</v>
      </c>
      <c r="R1796" s="62">
        <f t="shared" si="199"/>
        <v>7.8861782089168705E-2</v>
      </c>
      <c r="S1796" s="60">
        <v>17</v>
      </c>
      <c r="T1796" s="58">
        <v>45573</v>
      </c>
      <c r="U1796" s="58">
        <v>45578</v>
      </c>
      <c r="V1796" s="63">
        <f t="shared" si="200"/>
        <v>5</v>
      </c>
      <c r="W1796" s="57" t="s">
        <v>125</v>
      </c>
      <c r="X1796" s="64" t="b">
        <f t="shared" si="201"/>
        <v>0</v>
      </c>
      <c r="Y1796" s="60">
        <v>173</v>
      </c>
      <c r="Z1796" s="60">
        <v>425</v>
      </c>
      <c r="AA1796" s="57" t="s">
        <v>82</v>
      </c>
      <c r="AB1796" s="64" t="b">
        <f t="shared" si="202"/>
        <v>1</v>
      </c>
    </row>
    <row r="1797" spans="1:28" ht="15" customHeight="1" x14ac:dyDescent="0.3">
      <c r="A1797" s="65" t="s">
        <v>3707</v>
      </c>
      <c r="B1797" s="81">
        <v>45535</v>
      </c>
      <c r="C1797" s="59">
        <f t="shared" si="196"/>
        <v>2024</v>
      </c>
      <c r="D1797" s="59">
        <f t="shared" si="197"/>
        <v>8</v>
      </c>
      <c r="E1797" s="59">
        <f t="shared" si="198"/>
        <v>35</v>
      </c>
      <c r="F1797" s="65" t="s">
        <v>59</v>
      </c>
      <c r="G1797" s="65" t="s">
        <v>45</v>
      </c>
      <c r="H1797" s="65" t="s">
        <v>3708</v>
      </c>
      <c r="I1797" s="65" t="s">
        <v>67</v>
      </c>
      <c r="J1797" s="65" t="s">
        <v>139</v>
      </c>
      <c r="K1797" s="65" t="s">
        <v>72</v>
      </c>
      <c r="L1797" s="65" t="s">
        <v>146</v>
      </c>
      <c r="M1797" s="67">
        <v>421</v>
      </c>
      <c r="N1797" s="65" t="s">
        <v>140</v>
      </c>
      <c r="O1797" s="68">
        <v>273.81</v>
      </c>
      <c r="P1797" s="68">
        <v>115274.01</v>
      </c>
      <c r="Q1797" s="68">
        <v>6550.15</v>
      </c>
      <c r="R1797" s="62">
        <f t="shared" si="199"/>
        <v>5.6822435516904461E-2</v>
      </c>
      <c r="S1797" s="67">
        <v>29</v>
      </c>
      <c r="T1797" s="66">
        <v>45564</v>
      </c>
      <c r="U1797" s="66">
        <v>45565</v>
      </c>
      <c r="V1797" s="63">
        <f t="shared" si="200"/>
        <v>1</v>
      </c>
      <c r="W1797" s="65" t="s">
        <v>125</v>
      </c>
      <c r="X1797" s="64" t="b">
        <f t="shared" si="201"/>
        <v>0</v>
      </c>
      <c r="Y1797" s="67">
        <v>66</v>
      </c>
      <c r="Z1797" s="67">
        <v>484</v>
      </c>
      <c r="AA1797" s="65" t="s">
        <v>81</v>
      </c>
      <c r="AB1797" s="64" t="b">
        <f t="shared" si="202"/>
        <v>1</v>
      </c>
    </row>
    <row r="1798" spans="1:28" ht="15" customHeight="1" x14ac:dyDescent="0.3">
      <c r="A1798" s="57" t="s">
        <v>3709</v>
      </c>
      <c r="B1798" s="82">
        <v>45446</v>
      </c>
      <c r="C1798" s="59">
        <f t="shared" si="196"/>
        <v>2024</v>
      </c>
      <c r="D1798" s="59">
        <f t="shared" si="197"/>
        <v>6</v>
      </c>
      <c r="E1798" s="59">
        <f t="shared" si="198"/>
        <v>23</v>
      </c>
      <c r="F1798" s="57" t="s">
        <v>60</v>
      </c>
      <c r="G1798" s="57" t="s">
        <v>46</v>
      </c>
      <c r="H1798" s="57" t="s">
        <v>3710</v>
      </c>
      <c r="I1798" s="57" t="s">
        <v>69</v>
      </c>
      <c r="J1798" s="57" t="s">
        <v>143</v>
      </c>
      <c r="K1798" s="57" t="s">
        <v>72</v>
      </c>
      <c r="L1798" s="57" t="s">
        <v>156</v>
      </c>
      <c r="M1798" s="60">
        <v>233</v>
      </c>
      <c r="N1798" s="57" t="s">
        <v>140</v>
      </c>
      <c r="O1798" s="61">
        <v>52.34</v>
      </c>
      <c r="P1798" s="61">
        <v>12195.22</v>
      </c>
      <c r="Q1798" s="61">
        <v>824.55</v>
      </c>
      <c r="R1798" s="62">
        <f t="shared" si="199"/>
        <v>6.7612556395046583E-2</v>
      </c>
      <c r="S1798" s="60">
        <v>17</v>
      </c>
      <c r="T1798" s="58">
        <v>45463</v>
      </c>
      <c r="U1798" s="58">
        <v>45463</v>
      </c>
      <c r="V1798" s="63">
        <f t="shared" si="200"/>
        <v>0</v>
      </c>
      <c r="W1798" s="57" t="s">
        <v>115</v>
      </c>
      <c r="X1798" s="64" t="b">
        <f t="shared" si="201"/>
        <v>1</v>
      </c>
      <c r="Y1798" s="60">
        <v>92</v>
      </c>
      <c r="Z1798" s="60">
        <v>299</v>
      </c>
      <c r="AA1798" s="57" t="s">
        <v>84</v>
      </c>
      <c r="AB1798" s="64" t="b">
        <f t="shared" si="202"/>
        <v>1</v>
      </c>
    </row>
    <row r="1799" spans="1:28" ht="15" customHeight="1" x14ac:dyDescent="0.3">
      <c r="A1799" s="65" t="s">
        <v>3711</v>
      </c>
      <c r="B1799" s="81">
        <v>45320</v>
      </c>
      <c r="C1799" s="59">
        <f t="shared" si="196"/>
        <v>2024</v>
      </c>
      <c r="D1799" s="59">
        <f t="shared" si="197"/>
        <v>1</v>
      </c>
      <c r="E1799" s="59">
        <f t="shared" si="198"/>
        <v>5</v>
      </c>
      <c r="F1799" s="65" t="s">
        <v>53</v>
      </c>
      <c r="G1799" s="65" t="s">
        <v>39</v>
      </c>
      <c r="H1799" s="65" t="s">
        <v>3712</v>
      </c>
      <c r="I1799" s="65" t="s">
        <v>69</v>
      </c>
      <c r="J1799" s="65" t="s">
        <v>131</v>
      </c>
      <c r="K1799" s="65" t="s">
        <v>74</v>
      </c>
      <c r="L1799" s="65" t="s">
        <v>119</v>
      </c>
      <c r="M1799" s="67">
        <v>229</v>
      </c>
      <c r="N1799" s="65" t="s">
        <v>136</v>
      </c>
      <c r="O1799" s="68">
        <v>1194.58</v>
      </c>
      <c r="P1799" s="68">
        <v>273558.82</v>
      </c>
      <c r="Q1799" s="68">
        <v>6876.17</v>
      </c>
      <c r="R1799" s="62">
        <f t="shared" si="199"/>
        <v>2.5135983551910334E-2</v>
      </c>
      <c r="S1799" s="67">
        <v>10</v>
      </c>
      <c r="T1799" s="66">
        <v>45330</v>
      </c>
      <c r="U1799" s="66">
        <v>45330</v>
      </c>
      <c r="V1799" s="63">
        <f t="shared" si="200"/>
        <v>0</v>
      </c>
      <c r="W1799" s="65" t="s">
        <v>115</v>
      </c>
      <c r="X1799" s="64" t="b">
        <f t="shared" si="201"/>
        <v>1</v>
      </c>
      <c r="Y1799" s="67">
        <v>52</v>
      </c>
      <c r="Z1799" s="67">
        <v>480</v>
      </c>
      <c r="AA1799" s="65" t="s">
        <v>116</v>
      </c>
      <c r="AB1799" s="64" t="b">
        <f t="shared" si="202"/>
        <v>0</v>
      </c>
    </row>
    <row r="1800" spans="1:28" ht="15" customHeight="1" x14ac:dyDescent="0.3">
      <c r="A1800" s="57" t="s">
        <v>3713</v>
      </c>
      <c r="B1800" s="82">
        <v>45400</v>
      </c>
      <c r="C1800" s="59">
        <f t="shared" si="196"/>
        <v>2024</v>
      </c>
      <c r="D1800" s="59">
        <f t="shared" si="197"/>
        <v>4</v>
      </c>
      <c r="E1800" s="59">
        <f t="shared" si="198"/>
        <v>16</v>
      </c>
      <c r="F1800" s="57" t="s">
        <v>59</v>
      </c>
      <c r="G1800" s="57" t="s">
        <v>43</v>
      </c>
      <c r="H1800" s="57" t="s">
        <v>3714</v>
      </c>
      <c r="I1800" s="57" t="s">
        <v>69</v>
      </c>
      <c r="J1800" s="57" t="s">
        <v>123</v>
      </c>
      <c r="K1800" s="57" t="s">
        <v>72</v>
      </c>
      <c r="L1800" s="57" t="s">
        <v>146</v>
      </c>
      <c r="M1800" s="60">
        <v>188</v>
      </c>
      <c r="N1800" s="57" t="s">
        <v>140</v>
      </c>
      <c r="O1800" s="61">
        <v>276.25</v>
      </c>
      <c r="P1800" s="61">
        <v>51935</v>
      </c>
      <c r="Q1800" s="61">
        <v>1610.37</v>
      </c>
      <c r="R1800" s="62">
        <f t="shared" si="199"/>
        <v>3.1007413112544523E-2</v>
      </c>
      <c r="S1800" s="60">
        <v>25</v>
      </c>
      <c r="T1800" s="58">
        <v>45425</v>
      </c>
      <c r="U1800" s="58">
        <v>45420</v>
      </c>
      <c r="V1800" s="63">
        <f t="shared" si="200"/>
        <v>-5</v>
      </c>
      <c r="W1800" s="57" t="s">
        <v>125</v>
      </c>
      <c r="X1800" s="64" t="b">
        <f t="shared" si="201"/>
        <v>0</v>
      </c>
      <c r="Y1800" s="60">
        <v>495</v>
      </c>
      <c r="Z1800" s="60">
        <v>380</v>
      </c>
      <c r="AA1800" s="57" t="s">
        <v>116</v>
      </c>
      <c r="AB1800" s="64" t="b">
        <f t="shared" si="202"/>
        <v>0</v>
      </c>
    </row>
    <row r="1801" spans="1:28" ht="15" customHeight="1" x14ac:dyDescent="0.3">
      <c r="A1801" s="65" t="s">
        <v>3715</v>
      </c>
      <c r="B1801" s="81">
        <v>45521</v>
      </c>
      <c r="C1801" s="59">
        <f t="shared" si="196"/>
        <v>2024</v>
      </c>
      <c r="D1801" s="59">
        <f t="shared" si="197"/>
        <v>8</v>
      </c>
      <c r="E1801" s="59">
        <f t="shared" si="198"/>
        <v>33</v>
      </c>
      <c r="F1801" s="65" t="s">
        <v>54</v>
      </c>
      <c r="G1801" s="65" t="s">
        <v>40</v>
      </c>
      <c r="H1801" s="65" t="s">
        <v>3716</v>
      </c>
      <c r="I1801" s="65" t="s">
        <v>69</v>
      </c>
      <c r="J1801" s="65" t="s">
        <v>123</v>
      </c>
      <c r="K1801" s="65" t="s">
        <v>74</v>
      </c>
      <c r="L1801" s="65" t="s">
        <v>156</v>
      </c>
      <c r="M1801" s="67">
        <v>640</v>
      </c>
      <c r="N1801" s="65" t="s">
        <v>120</v>
      </c>
      <c r="O1801" s="68">
        <v>660.23</v>
      </c>
      <c r="P1801" s="68">
        <v>422547.20000000001</v>
      </c>
      <c r="Q1801" s="68">
        <v>27678.62</v>
      </c>
      <c r="R1801" s="62">
        <f t="shared" si="199"/>
        <v>6.5504208760583424E-2</v>
      </c>
      <c r="S1801" s="67">
        <v>23</v>
      </c>
      <c r="T1801" s="66">
        <v>45544</v>
      </c>
      <c r="U1801" s="66">
        <v>45549</v>
      </c>
      <c r="V1801" s="63">
        <f t="shared" si="200"/>
        <v>5</v>
      </c>
      <c r="W1801" s="65" t="s">
        <v>128</v>
      </c>
      <c r="X1801" s="64" t="b">
        <f t="shared" si="201"/>
        <v>0</v>
      </c>
      <c r="Y1801" s="67">
        <v>435</v>
      </c>
      <c r="Z1801" s="67">
        <v>41</v>
      </c>
      <c r="AA1801" s="65" t="s">
        <v>82</v>
      </c>
      <c r="AB1801" s="64" t="b">
        <f t="shared" si="202"/>
        <v>1</v>
      </c>
    </row>
    <row r="1802" spans="1:28" ht="15" customHeight="1" x14ac:dyDescent="0.3">
      <c r="A1802" s="57" t="s">
        <v>3717</v>
      </c>
      <c r="B1802" s="82">
        <v>45494</v>
      </c>
      <c r="C1802" s="59">
        <f t="shared" si="196"/>
        <v>2024</v>
      </c>
      <c r="D1802" s="59">
        <f t="shared" si="197"/>
        <v>7</v>
      </c>
      <c r="E1802" s="59">
        <f t="shared" si="198"/>
        <v>30</v>
      </c>
      <c r="F1802" s="57" t="s">
        <v>53</v>
      </c>
      <c r="G1802" s="57" t="s">
        <v>46</v>
      </c>
      <c r="H1802" s="57" t="s">
        <v>3718</v>
      </c>
      <c r="I1802" s="57" t="s">
        <v>68</v>
      </c>
      <c r="J1802" s="57" t="s">
        <v>139</v>
      </c>
      <c r="K1802" s="57" t="s">
        <v>72</v>
      </c>
      <c r="L1802" s="57" t="s">
        <v>119</v>
      </c>
      <c r="M1802" s="60">
        <v>442</v>
      </c>
      <c r="N1802" s="57" t="s">
        <v>132</v>
      </c>
      <c r="O1802" s="61">
        <v>88.79</v>
      </c>
      <c r="P1802" s="61">
        <v>39245.18</v>
      </c>
      <c r="Q1802" s="61">
        <v>836.68</v>
      </c>
      <c r="R1802" s="62">
        <f t="shared" si="199"/>
        <v>2.1319305963178152E-2</v>
      </c>
      <c r="S1802" s="60">
        <v>17</v>
      </c>
      <c r="T1802" s="58">
        <v>45511</v>
      </c>
      <c r="U1802" s="58">
        <v>45519</v>
      </c>
      <c r="V1802" s="63">
        <f t="shared" si="200"/>
        <v>8</v>
      </c>
      <c r="W1802" s="57" t="s">
        <v>128</v>
      </c>
      <c r="X1802" s="64" t="b">
        <f t="shared" si="201"/>
        <v>0</v>
      </c>
      <c r="Y1802" s="60">
        <v>93</v>
      </c>
      <c r="Z1802" s="60">
        <v>284</v>
      </c>
      <c r="AA1802" s="57" t="s">
        <v>82</v>
      </c>
      <c r="AB1802" s="64" t="b">
        <f t="shared" si="202"/>
        <v>1</v>
      </c>
    </row>
    <row r="1803" spans="1:28" ht="15" customHeight="1" x14ac:dyDescent="0.3">
      <c r="A1803" s="65" t="s">
        <v>3719</v>
      </c>
      <c r="B1803" s="81">
        <v>44969</v>
      </c>
      <c r="C1803" s="59">
        <f t="shared" si="196"/>
        <v>2023</v>
      </c>
      <c r="D1803" s="59">
        <f t="shared" si="197"/>
        <v>2</v>
      </c>
      <c r="E1803" s="59">
        <f t="shared" si="198"/>
        <v>7</v>
      </c>
      <c r="F1803" s="65" t="s">
        <v>56</v>
      </c>
      <c r="G1803" s="65" t="s">
        <v>41</v>
      </c>
      <c r="H1803" s="65" t="s">
        <v>3720</v>
      </c>
      <c r="I1803" s="65" t="s">
        <v>69</v>
      </c>
      <c r="J1803" s="65" t="s">
        <v>123</v>
      </c>
      <c r="K1803" s="65" t="s">
        <v>71</v>
      </c>
      <c r="L1803" s="65" t="s">
        <v>113</v>
      </c>
      <c r="M1803" s="67">
        <v>274</v>
      </c>
      <c r="N1803" s="65" t="s">
        <v>136</v>
      </c>
      <c r="O1803" s="68">
        <v>687.02</v>
      </c>
      <c r="P1803" s="68">
        <v>188243.48</v>
      </c>
      <c r="Q1803" s="68">
        <v>12991.19</v>
      </c>
      <c r="R1803" s="62">
        <f t="shared" si="199"/>
        <v>6.9012695685396377E-2</v>
      </c>
      <c r="S1803" s="67">
        <v>15</v>
      </c>
      <c r="T1803" s="66">
        <v>44984</v>
      </c>
      <c r="U1803" s="66">
        <v>44984</v>
      </c>
      <c r="V1803" s="63">
        <f t="shared" si="200"/>
        <v>0</v>
      </c>
      <c r="W1803" s="65" t="s">
        <v>115</v>
      </c>
      <c r="X1803" s="64" t="b">
        <f t="shared" si="201"/>
        <v>1</v>
      </c>
      <c r="Y1803" s="67">
        <v>112</v>
      </c>
      <c r="Z1803" s="67">
        <v>228</v>
      </c>
      <c r="AA1803" s="65" t="s">
        <v>116</v>
      </c>
      <c r="AB1803" s="64" t="b">
        <f t="shared" si="202"/>
        <v>0</v>
      </c>
    </row>
    <row r="1804" spans="1:28" ht="15" customHeight="1" x14ac:dyDescent="0.3">
      <c r="A1804" s="57" t="s">
        <v>3721</v>
      </c>
      <c r="B1804" s="82">
        <v>45387</v>
      </c>
      <c r="C1804" s="59">
        <f t="shared" si="196"/>
        <v>2024</v>
      </c>
      <c r="D1804" s="59">
        <f t="shared" si="197"/>
        <v>4</v>
      </c>
      <c r="E1804" s="59">
        <f t="shared" si="198"/>
        <v>14</v>
      </c>
      <c r="F1804" s="57" t="s">
        <v>53</v>
      </c>
      <c r="G1804" s="57" t="s">
        <v>40</v>
      </c>
      <c r="H1804" s="57" t="s">
        <v>3722</v>
      </c>
      <c r="I1804" s="57" t="s">
        <v>65</v>
      </c>
      <c r="J1804" s="57" t="s">
        <v>112</v>
      </c>
      <c r="K1804" s="57" t="s">
        <v>72</v>
      </c>
      <c r="L1804" s="57" t="s">
        <v>156</v>
      </c>
      <c r="M1804" s="60">
        <v>963</v>
      </c>
      <c r="N1804" s="57" t="s">
        <v>132</v>
      </c>
      <c r="O1804" s="61">
        <v>880.56</v>
      </c>
      <c r="P1804" s="61">
        <v>847979.28</v>
      </c>
      <c r="Q1804" s="61">
        <v>17669.29</v>
      </c>
      <c r="R1804" s="62">
        <f t="shared" si="199"/>
        <v>2.083693601570076E-2</v>
      </c>
      <c r="S1804" s="60">
        <v>12</v>
      </c>
      <c r="T1804" s="58">
        <v>45399</v>
      </c>
      <c r="U1804" s="58">
        <v>45402</v>
      </c>
      <c r="V1804" s="63">
        <f t="shared" si="200"/>
        <v>3</v>
      </c>
      <c r="W1804" s="57" t="s">
        <v>125</v>
      </c>
      <c r="X1804" s="64" t="b">
        <f t="shared" si="201"/>
        <v>0</v>
      </c>
      <c r="Y1804" s="60">
        <v>228</v>
      </c>
      <c r="Z1804" s="60">
        <v>402</v>
      </c>
      <c r="AA1804" s="57" t="s">
        <v>84</v>
      </c>
      <c r="AB1804" s="64" t="b">
        <f t="shared" si="202"/>
        <v>1</v>
      </c>
    </row>
    <row r="1805" spans="1:28" ht="15" customHeight="1" x14ac:dyDescent="0.3">
      <c r="A1805" s="65" t="s">
        <v>3723</v>
      </c>
      <c r="B1805" s="81">
        <v>45512</v>
      </c>
      <c r="C1805" s="59">
        <f t="shared" si="196"/>
        <v>2024</v>
      </c>
      <c r="D1805" s="59">
        <f t="shared" si="197"/>
        <v>8</v>
      </c>
      <c r="E1805" s="59">
        <f t="shared" si="198"/>
        <v>32</v>
      </c>
      <c r="F1805" s="65" t="s">
        <v>61</v>
      </c>
      <c r="G1805" s="65" t="s">
        <v>46</v>
      </c>
      <c r="H1805" s="65" t="s">
        <v>3724</v>
      </c>
      <c r="I1805" s="65" t="s">
        <v>64</v>
      </c>
      <c r="J1805" s="65" t="s">
        <v>143</v>
      </c>
      <c r="K1805" s="65" t="s">
        <v>72</v>
      </c>
      <c r="L1805" s="65" t="s">
        <v>119</v>
      </c>
      <c r="M1805" s="67">
        <v>438</v>
      </c>
      <c r="N1805" s="65" t="s">
        <v>120</v>
      </c>
      <c r="O1805" s="68">
        <v>89.11</v>
      </c>
      <c r="P1805" s="68">
        <v>39030.18</v>
      </c>
      <c r="Q1805" s="68">
        <v>2319.4499999999998</v>
      </c>
      <c r="R1805" s="62">
        <f t="shared" si="199"/>
        <v>5.9427089498434282E-2</v>
      </c>
      <c r="S1805" s="67">
        <v>16</v>
      </c>
      <c r="T1805" s="66">
        <v>45528</v>
      </c>
      <c r="U1805" s="66">
        <v>45531</v>
      </c>
      <c r="V1805" s="63">
        <f t="shared" si="200"/>
        <v>3</v>
      </c>
      <c r="W1805" s="65" t="s">
        <v>125</v>
      </c>
      <c r="X1805" s="64" t="b">
        <f t="shared" si="201"/>
        <v>0</v>
      </c>
      <c r="Y1805" s="67">
        <v>249</v>
      </c>
      <c r="Z1805" s="67">
        <v>242</v>
      </c>
      <c r="AA1805" s="65" t="s">
        <v>84</v>
      </c>
      <c r="AB1805" s="64" t="b">
        <f t="shared" si="202"/>
        <v>1</v>
      </c>
    </row>
    <row r="1806" spans="1:28" ht="15" customHeight="1" x14ac:dyDescent="0.3">
      <c r="A1806" s="57" t="s">
        <v>3725</v>
      </c>
      <c r="B1806" s="82">
        <v>45594</v>
      </c>
      <c r="C1806" s="59">
        <f t="shared" si="196"/>
        <v>2024</v>
      </c>
      <c r="D1806" s="59">
        <f t="shared" si="197"/>
        <v>10</v>
      </c>
      <c r="E1806" s="59">
        <f t="shared" si="198"/>
        <v>44</v>
      </c>
      <c r="F1806" s="57" t="s">
        <v>52</v>
      </c>
      <c r="G1806" s="57" t="s">
        <v>44</v>
      </c>
      <c r="H1806" s="57" t="s">
        <v>3726</v>
      </c>
      <c r="I1806" s="57" t="s">
        <v>68</v>
      </c>
      <c r="J1806" s="57" t="s">
        <v>139</v>
      </c>
      <c r="K1806" s="57" t="s">
        <v>71</v>
      </c>
      <c r="L1806" s="57" t="s">
        <v>135</v>
      </c>
      <c r="M1806" s="60">
        <v>671</v>
      </c>
      <c r="N1806" s="57" t="s">
        <v>140</v>
      </c>
      <c r="O1806" s="61">
        <v>93.35</v>
      </c>
      <c r="P1806" s="61">
        <v>62637.85</v>
      </c>
      <c r="Q1806" s="61">
        <v>2624.88</v>
      </c>
      <c r="R1806" s="62">
        <f t="shared" si="199"/>
        <v>4.1905652891981449E-2</v>
      </c>
      <c r="S1806" s="60">
        <v>24</v>
      </c>
      <c r="T1806" s="58">
        <v>45618</v>
      </c>
      <c r="U1806" s="58">
        <v>45620</v>
      </c>
      <c r="V1806" s="63">
        <f t="shared" si="200"/>
        <v>2</v>
      </c>
      <c r="W1806" s="57" t="s">
        <v>128</v>
      </c>
      <c r="X1806" s="64" t="b">
        <f t="shared" si="201"/>
        <v>0</v>
      </c>
      <c r="Y1806" s="60">
        <v>390</v>
      </c>
      <c r="Z1806" s="60">
        <v>211</v>
      </c>
      <c r="AA1806" s="57" t="s">
        <v>82</v>
      </c>
      <c r="AB1806" s="64" t="b">
        <f t="shared" si="202"/>
        <v>1</v>
      </c>
    </row>
    <row r="1807" spans="1:28" ht="15" customHeight="1" x14ac:dyDescent="0.3">
      <c r="A1807" s="65" t="s">
        <v>3727</v>
      </c>
      <c r="B1807" s="81">
        <v>45119</v>
      </c>
      <c r="C1807" s="59">
        <f t="shared" si="196"/>
        <v>2023</v>
      </c>
      <c r="D1807" s="59">
        <f t="shared" si="197"/>
        <v>7</v>
      </c>
      <c r="E1807" s="59">
        <f t="shared" si="198"/>
        <v>28</v>
      </c>
      <c r="F1807" s="65" t="s">
        <v>58</v>
      </c>
      <c r="G1807" s="65" t="s">
        <v>39</v>
      </c>
      <c r="H1807" s="65" t="s">
        <v>3728</v>
      </c>
      <c r="I1807" s="65" t="s">
        <v>64</v>
      </c>
      <c r="J1807" s="65" t="s">
        <v>112</v>
      </c>
      <c r="K1807" s="65" t="s">
        <v>73</v>
      </c>
      <c r="L1807" s="65" t="s">
        <v>124</v>
      </c>
      <c r="M1807" s="67">
        <v>425</v>
      </c>
      <c r="N1807" s="65" t="s">
        <v>163</v>
      </c>
      <c r="O1807" s="68">
        <v>1413.68</v>
      </c>
      <c r="P1807" s="68">
        <v>600814</v>
      </c>
      <c r="Q1807" s="68">
        <v>34059.96</v>
      </c>
      <c r="R1807" s="62">
        <f t="shared" si="199"/>
        <v>5.6689690985895796E-2</v>
      </c>
      <c r="S1807" s="67">
        <v>19</v>
      </c>
      <c r="T1807" s="66">
        <v>45138</v>
      </c>
      <c r="U1807" s="66">
        <v>45138</v>
      </c>
      <c r="V1807" s="63">
        <f t="shared" si="200"/>
        <v>0</v>
      </c>
      <c r="W1807" s="65" t="s">
        <v>115</v>
      </c>
      <c r="X1807" s="64" t="b">
        <f t="shared" si="201"/>
        <v>1</v>
      </c>
      <c r="Y1807" s="67">
        <v>208</v>
      </c>
      <c r="Z1807" s="67">
        <v>415</v>
      </c>
      <c r="AA1807" s="65" t="s">
        <v>81</v>
      </c>
      <c r="AB1807" s="64" t="b">
        <f t="shared" si="202"/>
        <v>1</v>
      </c>
    </row>
    <row r="1808" spans="1:28" ht="15" customHeight="1" x14ac:dyDescent="0.3">
      <c r="A1808" s="57" t="s">
        <v>3729</v>
      </c>
      <c r="B1808" s="82">
        <v>45256</v>
      </c>
      <c r="C1808" s="59">
        <f t="shared" si="196"/>
        <v>2023</v>
      </c>
      <c r="D1808" s="59">
        <f t="shared" si="197"/>
        <v>11</v>
      </c>
      <c r="E1808" s="59">
        <f t="shared" si="198"/>
        <v>48</v>
      </c>
      <c r="F1808" s="57" t="s">
        <v>59</v>
      </c>
      <c r="G1808" s="57" t="s">
        <v>42</v>
      </c>
      <c r="H1808" s="57" t="s">
        <v>3730</v>
      </c>
      <c r="I1808" s="57" t="s">
        <v>65</v>
      </c>
      <c r="J1808" s="57" t="s">
        <v>123</v>
      </c>
      <c r="K1808" s="57" t="s">
        <v>74</v>
      </c>
      <c r="L1808" s="57" t="s">
        <v>124</v>
      </c>
      <c r="M1808" s="60">
        <v>462</v>
      </c>
      <c r="N1808" s="57" t="s">
        <v>120</v>
      </c>
      <c r="O1808" s="61">
        <v>96.85</v>
      </c>
      <c r="P1808" s="61">
        <v>44744.7</v>
      </c>
      <c r="Q1808" s="61">
        <v>2763.52</v>
      </c>
      <c r="R1808" s="62">
        <f t="shared" si="199"/>
        <v>6.1761951694837607E-2</v>
      </c>
      <c r="S1808" s="60">
        <v>8</v>
      </c>
      <c r="T1808" s="58">
        <v>45264</v>
      </c>
      <c r="U1808" s="58">
        <v>45259</v>
      </c>
      <c r="V1808" s="63">
        <f t="shared" si="200"/>
        <v>-5</v>
      </c>
      <c r="W1808" s="57" t="s">
        <v>115</v>
      </c>
      <c r="X1808" s="64" t="b">
        <f t="shared" si="201"/>
        <v>1</v>
      </c>
      <c r="Y1808" s="60">
        <v>467</v>
      </c>
      <c r="Z1808" s="60">
        <v>299</v>
      </c>
      <c r="AA1808" s="57" t="s">
        <v>83</v>
      </c>
      <c r="AB1808" s="64" t="b">
        <f t="shared" si="202"/>
        <v>1</v>
      </c>
    </row>
    <row r="1809" spans="1:28" ht="15" customHeight="1" x14ac:dyDescent="0.3">
      <c r="A1809" s="65" t="s">
        <v>3731</v>
      </c>
      <c r="B1809" s="81">
        <v>45546</v>
      </c>
      <c r="C1809" s="59">
        <f t="shared" si="196"/>
        <v>2024</v>
      </c>
      <c r="D1809" s="59">
        <f t="shared" si="197"/>
        <v>9</v>
      </c>
      <c r="E1809" s="59">
        <f t="shared" si="198"/>
        <v>37</v>
      </c>
      <c r="F1809" s="65" t="s">
        <v>53</v>
      </c>
      <c r="G1809" s="65" t="s">
        <v>41</v>
      </c>
      <c r="H1809" s="65" t="s">
        <v>3732</v>
      </c>
      <c r="I1809" s="65" t="s">
        <v>65</v>
      </c>
      <c r="J1809" s="65" t="s">
        <v>139</v>
      </c>
      <c r="K1809" s="65" t="s">
        <v>75</v>
      </c>
      <c r="L1809" s="65" t="s">
        <v>135</v>
      </c>
      <c r="M1809" s="67">
        <v>736</v>
      </c>
      <c r="N1809" s="65" t="s">
        <v>163</v>
      </c>
      <c r="O1809" s="68">
        <v>490</v>
      </c>
      <c r="P1809" s="68">
        <v>360640</v>
      </c>
      <c r="Q1809" s="68">
        <v>14623.42</v>
      </c>
      <c r="R1809" s="62">
        <f t="shared" si="199"/>
        <v>4.0548524844720497E-2</v>
      </c>
      <c r="S1809" s="67">
        <v>21</v>
      </c>
      <c r="T1809" s="66">
        <v>45567</v>
      </c>
      <c r="U1809" s="66">
        <v>45570</v>
      </c>
      <c r="V1809" s="63">
        <f t="shared" si="200"/>
        <v>3</v>
      </c>
      <c r="W1809" s="65" t="s">
        <v>128</v>
      </c>
      <c r="X1809" s="64" t="b">
        <f t="shared" si="201"/>
        <v>0</v>
      </c>
      <c r="Y1809" s="67">
        <v>181</v>
      </c>
      <c r="Z1809" s="67">
        <v>54</v>
      </c>
      <c r="AA1809" s="65" t="s">
        <v>84</v>
      </c>
      <c r="AB1809" s="64" t="b">
        <f t="shared" si="202"/>
        <v>1</v>
      </c>
    </row>
    <row r="1810" spans="1:28" ht="15" customHeight="1" x14ac:dyDescent="0.3">
      <c r="A1810" s="57" t="s">
        <v>3733</v>
      </c>
      <c r="B1810" s="82">
        <v>45414</v>
      </c>
      <c r="C1810" s="59">
        <f t="shared" si="196"/>
        <v>2024</v>
      </c>
      <c r="D1810" s="59">
        <f t="shared" si="197"/>
        <v>5</v>
      </c>
      <c r="E1810" s="59">
        <f t="shared" si="198"/>
        <v>18</v>
      </c>
      <c r="F1810" s="57" t="s">
        <v>61</v>
      </c>
      <c r="G1810" s="57" t="s">
        <v>45</v>
      </c>
      <c r="H1810" s="57" t="s">
        <v>3734</v>
      </c>
      <c r="I1810" s="57" t="s">
        <v>66</v>
      </c>
      <c r="J1810" s="57" t="s">
        <v>112</v>
      </c>
      <c r="K1810" s="57" t="s">
        <v>71</v>
      </c>
      <c r="L1810" s="57" t="s">
        <v>146</v>
      </c>
      <c r="M1810" s="60">
        <v>206</v>
      </c>
      <c r="N1810" s="57" t="s">
        <v>132</v>
      </c>
      <c r="O1810" s="61">
        <v>288.54000000000002</v>
      </c>
      <c r="P1810" s="61">
        <v>59439.24</v>
      </c>
      <c r="Q1810" s="61">
        <v>1573.82</v>
      </c>
      <c r="R1810" s="62">
        <f t="shared" si="199"/>
        <v>2.6477794803567475E-2</v>
      </c>
      <c r="S1810" s="60">
        <v>17</v>
      </c>
      <c r="T1810" s="58">
        <v>45431</v>
      </c>
      <c r="U1810" s="58">
        <v>45426</v>
      </c>
      <c r="V1810" s="63">
        <f t="shared" si="200"/>
        <v>-5</v>
      </c>
      <c r="W1810" s="57" t="s">
        <v>115</v>
      </c>
      <c r="X1810" s="64" t="b">
        <f t="shared" si="201"/>
        <v>1</v>
      </c>
      <c r="Y1810" s="60">
        <v>266</v>
      </c>
      <c r="Z1810" s="60">
        <v>335</v>
      </c>
      <c r="AA1810" s="57" t="s">
        <v>116</v>
      </c>
      <c r="AB1810" s="64" t="b">
        <f t="shared" si="202"/>
        <v>0</v>
      </c>
    </row>
    <row r="1811" spans="1:28" ht="15" customHeight="1" x14ac:dyDescent="0.3">
      <c r="A1811" s="65" t="s">
        <v>3735</v>
      </c>
      <c r="B1811" s="81">
        <v>45440</v>
      </c>
      <c r="C1811" s="59">
        <f t="shared" si="196"/>
        <v>2024</v>
      </c>
      <c r="D1811" s="59">
        <f t="shared" si="197"/>
        <v>5</v>
      </c>
      <c r="E1811" s="59">
        <f t="shared" si="198"/>
        <v>22</v>
      </c>
      <c r="F1811" s="65" t="s">
        <v>57</v>
      </c>
      <c r="G1811" s="65" t="s">
        <v>40</v>
      </c>
      <c r="H1811" s="65" t="s">
        <v>3736</v>
      </c>
      <c r="I1811" s="65" t="s">
        <v>68</v>
      </c>
      <c r="J1811" s="65" t="s">
        <v>123</v>
      </c>
      <c r="K1811" s="65" t="s">
        <v>73</v>
      </c>
      <c r="L1811" s="65" t="s">
        <v>124</v>
      </c>
      <c r="M1811" s="67">
        <v>563</v>
      </c>
      <c r="N1811" s="65" t="s">
        <v>136</v>
      </c>
      <c r="O1811" s="68">
        <v>602</v>
      </c>
      <c r="P1811" s="68">
        <v>338926</v>
      </c>
      <c r="Q1811" s="68">
        <v>8194.81</v>
      </c>
      <c r="R1811" s="62">
        <f t="shared" si="199"/>
        <v>2.4178758785103532E-2</v>
      </c>
      <c r="S1811" s="67">
        <v>23</v>
      </c>
      <c r="T1811" s="66">
        <v>45463</v>
      </c>
      <c r="U1811" s="66">
        <v>45465</v>
      </c>
      <c r="V1811" s="63">
        <f t="shared" si="200"/>
        <v>2</v>
      </c>
      <c r="W1811" s="65" t="s">
        <v>125</v>
      </c>
      <c r="X1811" s="64" t="b">
        <f t="shared" si="201"/>
        <v>0</v>
      </c>
      <c r="Y1811" s="67">
        <v>491</v>
      </c>
      <c r="Z1811" s="67">
        <v>388</v>
      </c>
      <c r="AA1811" s="65" t="s">
        <v>116</v>
      </c>
      <c r="AB1811" s="64" t="b">
        <f t="shared" si="202"/>
        <v>0</v>
      </c>
    </row>
    <row r="1812" spans="1:28" ht="15" customHeight="1" x14ac:dyDescent="0.3">
      <c r="A1812" s="57" t="s">
        <v>3737</v>
      </c>
      <c r="B1812" s="82">
        <v>45081</v>
      </c>
      <c r="C1812" s="59">
        <f t="shared" si="196"/>
        <v>2023</v>
      </c>
      <c r="D1812" s="59">
        <f t="shared" si="197"/>
        <v>6</v>
      </c>
      <c r="E1812" s="59">
        <f t="shared" si="198"/>
        <v>23</v>
      </c>
      <c r="F1812" s="57" t="s">
        <v>53</v>
      </c>
      <c r="G1812" s="57" t="s">
        <v>40</v>
      </c>
      <c r="H1812" s="57" t="s">
        <v>639</v>
      </c>
      <c r="I1812" s="57" t="s">
        <v>64</v>
      </c>
      <c r="J1812" s="57" t="s">
        <v>151</v>
      </c>
      <c r="K1812" s="57" t="s">
        <v>72</v>
      </c>
      <c r="L1812" s="57" t="s">
        <v>119</v>
      </c>
      <c r="M1812" s="60">
        <v>62</v>
      </c>
      <c r="N1812" s="57" t="s">
        <v>140</v>
      </c>
      <c r="O1812" s="61">
        <v>911.62</v>
      </c>
      <c r="P1812" s="61">
        <v>56520.44</v>
      </c>
      <c r="Q1812" s="61">
        <v>3127.62</v>
      </c>
      <c r="R1812" s="62">
        <f t="shared" si="199"/>
        <v>5.5336087263298014E-2</v>
      </c>
      <c r="S1812" s="60">
        <v>5</v>
      </c>
      <c r="T1812" s="58">
        <v>45086</v>
      </c>
      <c r="U1812" s="58">
        <v>45086</v>
      </c>
      <c r="V1812" s="63">
        <f t="shared" si="200"/>
        <v>0</v>
      </c>
      <c r="W1812" s="57" t="s">
        <v>115</v>
      </c>
      <c r="X1812" s="64" t="b">
        <f t="shared" si="201"/>
        <v>1</v>
      </c>
      <c r="Y1812" s="60">
        <v>280</v>
      </c>
      <c r="Z1812" s="60">
        <v>368</v>
      </c>
      <c r="AA1812" s="57" t="s">
        <v>81</v>
      </c>
      <c r="AB1812" s="64" t="b">
        <f t="shared" si="202"/>
        <v>1</v>
      </c>
    </row>
    <row r="1813" spans="1:28" ht="15" customHeight="1" x14ac:dyDescent="0.3">
      <c r="A1813" s="65" t="s">
        <v>3738</v>
      </c>
      <c r="B1813" s="81">
        <v>44990</v>
      </c>
      <c r="C1813" s="59">
        <f t="shared" si="196"/>
        <v>2023</v>
      </c>
      <c r="D1813" s="59">
        <f t="shared" si="197"/>
        <v>3</v>
      </c>
      <c r="E1813" s="59">
        <f t="shared" si="198"/>
        <v>10</v>
      </c>
      <c r="F1813" s="65" t="s">
        <v>53</v>
      </c>
      <c r="G1813" s="65" t="s">
        <v>43</v>
      </c>
      <c r="H1813" s="65" t="s">
        <v>3739</v>
      </c>
      <c r="I1813" s="65" t="s">
        <v>69</v>
      </c>
      <c r="J1813" s="65" t="s">
        <v>151</v>
      </c>
      <c r="K1813" s="65" t="s">
        <v>73</v>
      </c>
      <c r="L1813" s="65" t="s">
        <v>135</v>
      </c>
      <c r="M1813" s="67">
        <v>489</v>
      </c>
      <c r="N1813" s="65" t="s">
        <v>120</v>
      </c>
      <c r="O1813" s="68">
        <v>234.54</v>
      </c>
      <c r="P1813" s="68">
        <v>114690.06</v>
      </c>
      <c r="Q1813" s="68">
        <v>5876.64</v>
      </c>
      <c r="R1813" s="62">
        <f t="shared" si="199"/>
        <v>5.1239314025993188E-2</v>
      </c>
      <c r="S1813" s="67">
        <v>22</v>
      </c>
      <c r="T1813" s="66">
        <v>45012</v>
      </c>
      <c r="U1813" s="66">
        <v>45011</v>
      </c>
      <c r="V1813" s="63">
        <f t="shared" si="200"/>
        <v>-1</v>
      </c>
      <c r="W1813" s="65" t="s">
        <v>115</v>
      </c>
      <c r="X1813" s="64" t="b">
        <f t="shared" si="201"/>
        <v>1</v>
      </c>
      <c r="Y1813" s="67">
        <v>442</v>
      </c>
      <c r="Z1813" s="67">
        <v>429</v>
      </c>
      <c r="AA1813" s="65" t="s">
        <v>81</v>
      </c>
      <c r="AB1813" s="64" t="b">
        <f t="shared" si="202"/>
        <v>1</v>
      </c>
    </row>
    <row r="1814" spans="1:28" ht="15" customHeight="1" x14ac:dyDescent="0.3">
      <c r="A1814" s="57" t="s">
        <v>3740</v>
      </c>
      <c r="B1814" s="82">
        <v>45388</v>
      </c>
      <c r="C1814" s="59">
        <f t="shared" si="196"/>
        <v>2024</v>
      </c>
      <c r="D1814" s="59">
        <f t="shared" si="197"/>
        <v>4</v>
      </c>
      <c r="E1814" s="59">
        <f t="shared" si="198"/>
        <v>14</v>
      </c>
      <c r="F1814" s="57" t="s">
        <v>55</v>
      </c>
      <c r="G1814" s="57" t="s">
        <v>39</v>
      </c>
      <c r="H1814" s="57" t="s">
        <v>3741</v>
      </c>
      <c r="I1814" s="57" t="s">
        <v>65</v>
      </c>
      <c r="J1814" s="57" t="s">
        <v>131</v>
      </c>
      <c r="K1814" s="57" t="s">
        <v>71</v>
      </c>
      <c r="L1814" s="57" t="s">
        <v>146</v>
      </c>
      <c r="M1814" s="60">
        <v>452</v>
      </c>
      <c r="N1814" s="57" t="s">
        <v>140</v>
      </c>
      <c r="O1814" s="61">
        <v>1833.27</v>
      </c>
      <c r="P1814" s="61">
        <v>828638.04</v>
      </c>
      <c r="Q1814" s="61">
        <v>53473.72</v>
      </c>
      <c r="R1814" s="62">
        <f t="shared" si="199"/>
        <v>6.4532060343259159E-2</v>
      </c>
      <c r="S1814" s="60">
        <v>16</v>
      </c>
      <c r="T1814" s="58">
        <v>45404</v>
      </c>
      <c r="U1814" s="58">
        <v>45412</v>
      </c>
      <c r="V1814" s="63">
        <f t="shared" si="200"/>
        <v>8</v>
      </c>
      <c r="W1814" s="57" t="s">
        <v>125</v>
      </c>
      <c r="X1814" s="64" t="b">
        <f t="shared" si="201"/>
        <v>0</v>
      </c>
      <c r="Y1814" s="60">
        <v>471</v>
      </c>
      <c r="Z1814" s="60">
        <v>459</v>
      </c>
      <c r="AA1814" s="57" t="s">
        <v>84</v>
      </c>
      <c r="AB1814" s="64" t="b">
        <f t="shared" si="202"/>
        <v>1</v>
      </c>
    </row>
    <row r="1815" spans="1:28" ht="15" customHeight="1" x14ac:dyDescent="0.3">
      <c r="A1815" s="65" t="s">
        <v>3742</v>
      </c>
      <c r="B1815" s="81">
        <v>45032</v>
      </c>
      <c r="C1815" s="59">
        <f t="shared" si="196"/>
        <v>2023</v>
      </c>
      <c r="D1815" s="59">
        <f t="shared" si="197"/>
        <v>4</v>
      </c>
      <c r="E1815" s="59">
        <f t="shared" si="198"/>
        <v>16</v>
      </c>
      <c r="F1815" s="65" t="s">
        <v>59</v>
      </c>
      <c r="G1815" s="65" t="s">
        <v>45</v>
      </c>
      <c r="H1815" s="65" t="s">
        <v>3743</v>
      </c>
      <c r="I1815" s="65" t="s">
        <v>69</v>
      </c>
      <c r="J1815" s="65" t="s">
        <v>151</v>
      </c>
      <c r="K1815" s="65" t="s">
        <v>72</v>
      </c>
      <c r="L1815" s="65" t="s">
        <v>156</v>
      </c>
      <c r="M1815" s="67">
        <v>339</v>
      </c>
      <c r="N1815" s="65" t="s">
        <v>163</v>
      </c>
      <c r="O1815" s="68">
        <v>180.91</v>
      </c>
      <c r="P1815" s="68">
        <v>61328.49</v>
      </c>
      <c r="Q1815" s="68">
        <v>3102.25</v>
      </c>
      <c r="R1815" s="62">
        <f t="shared" si="199"/>
        <v>5.0584157542440715E-2</v>
      </c>
      <c r="S1815" s="67">
        <v>6</v>
      </c>
      <c r="T1815" s="66">
        <v>45038</v>
      </c>
      <c r="U1815" s="66">
        <v>45039</v>
      </c>
      <c r="V1815" s="63">
        <f t="shared" si="200"/>
        <v>1</v>
      </c>
      <c r="W1815" s="65" t="s">
        <v>125</v>
      </c>
      <c r="X1815" s="64" t="b">
        <f t="shared" si="201"/>
        <v>0</v>
      </c>
      <c r="Y1815" s="67">
        <v>449</v>
      </c>
      <c r="Z1815" s="67">
        <v>172</v>
      </c>
      <c r="AA1815" s="65" t="s">
        <v>83</v>
      </c>
      <c r="AB1815" s="64" t="b">
        <f t="shared" si="202"/>
        <v>1</v>
      </c>
    </row>
    <row r="1816" spans="1:28" ht="15" customHeight="1" x14ac:dyDescent="0.3">
      <c r="A1816" s="57" t="s">
        <v>3744</v>
      </c>
      <c r="B1816" s="82">
        <v>45278</v>
      </c>
      <c r="C1816" s="59">
        <f t="shared" si="196"/>
        <v>2023</v>
      </c>
      <c r="D1816" s="59">
        <f t="shared" si="197"/>
        <v>12</v>
      </c>
      <c r="E1816" s="59">
        <f t="shared" si="198"/>
        <v>51</v>
      </c>
      <c r="F1816" s="57" t="s">
        <v>55</v>
      </c>
      <c r="G1816" s="57" t="s">
        <v>42</v>
      </c>
      <c r="H1816" s="57" t="s">
        <v>3745</v>
      </c>
      <c r="I1816" s="57" t="s">
        <v>64</v>
      </c>
      <c r="J1816" s="57" t="s">
        <v>112</v>
      </c>
      <c r="K1816" s="57" t="s">
        <v>73</v>
      </c>
      <c r="L1816" s="57" t="s">
        <v>156</v>
      </c>
      <c r="M1816" s="60">
        <v>260</v>
      </c>
      <c r="N1816" s="57" t="s">
        <v>163</v>
      </c>
      <c r="O1816" s="61">
        <v>79.33</v>
      </c>
      <c r="P1816" s="61">
        <v>20625.8</v>
      </c>
      <c r="Q1816" s="61">
        <v>935.31</v>
      </c>
      <c r="R1816" s="62">
        <f t="shared" si="199"/>
        <v>4.5346604737755626E-2</v>
      </c>
      <c r="S1816" s="60">
        <v>8</v>
      </c>
      <c r="T1816" s="58">
        <v>45286</v>
      </c>
      <c r="U1816" s="58">
        <v>45287</v>
      </c>
      <c r="V1816" s="63">
        <f t="shared" si="200"/>
        <v>1</v>
      </c>
      <c r="W1816" s="57" t="s">
        <v>128</v>
      </c>
      <c r="X1816" s="64" t="b">
        <f t="shared" si="201"/>
        <v>0</v>
      </c>
      <c r="Y1816" s="60">
        <v>154</v>
      </c>
      <c r="Z1816" s="60">
        <v>276</v>
      </c>
      <c r="AA1816" s="57" t="s">
        <v>116</v>
      </c>
      <c r="AB1816" s="64" t="b">
        <f t="shared" si="202"/>
        <v>0</v>
      </c>
    </row>
    <row r="1817" spans="1:28" ht="15" customHeight="1" x14ac:dyDescent="0.3">
      <c r="A1817" s="65" t="s">
        <v>3746</v>
      </c>
      <c r="B1817" s="81">
        <v>45013</v>
      </c>
      <c r="C1817" s="59">
        <f t="shared" si="196"/>
        <v>2023</v>
      </c>
      <c r="D1817" s="59">
        <f t="shared" si="197"/>
        <v>3</v>
      </c>
      <c r="E1817" s="59">
        <f t="shared" si="198"/>
        <v>13</v>
      </c>
      <c r="F1817" s="65" t="s">
        <v>55</v>
      </c>
      <c r="G1817" s="65" t="s">
        <v>46</v>
      </c>
      <c r="H1817" s="65" t="s">
        <v>3747</v>
      </c>
      <c r="I1817" s="65" t="s">
        <v>68</v>
      </c>
      <c r="J1817" s="65" t="s">
        <v>143</v>
      </c>
      <c r="K1817" s="65" t="s">
        <v>75</v>
      </c>
      <c r="L1817" s="65" t="s">
        <v>119</v>
      </c>
      <c r="M1817" s="67">
        <v>816</v>
      </c>
      <c r="N1817" s="65" t="s">
        <v>114</v>
      </c>
      <c r="O1817" s="68">
        <v>82.5</v>
      </c>
      <c r="P1817" s="68">
        <v>67320</v>
      </c>
      <c r="Q1817" s="68">
        <v>2954.35</v>
      </c>
      <c r="R1817" s="62">
        <f t="shared" si="199"/>
        <v>4.3885175282234103E-2</v>
      </c>
      <c r="S1817" s="67">
        <v>25</v>
      </c>
      <c r="T1817" s="66">
        <v>45038</v>
      </c>
      <c r="U1817" s="66">
        <v>45041</v>
      </c>
      <c r="V1817" s="63">
        <f t="shared" si="200"/>
        <v>3</v>
      </c>
      <c r="W1817" s="65" t="s">
        <v>128</v>
      </c>
      <c r="X1817" s="64" t="b">
        <f t="shared" si="201"/>
        <v>0</v>
      </c>
      <c r="Y1817" s="67">
        <v>82</v>
      </c>
      <c r="Z1817" s="67">
        <v>333</v>
      </c>
      <c r="AA1817" s="65" t="s">
        <v>84</v>
      </c>
      <c r="AB1817" s="64" t="b">
        <f t="shared" si="202"/>
        <v>1</v>
      </c>
    </row>
    <row r="1818" spans="1:28" ht="15" customHeight="1" x14ac:dyDescent="0.3">
      <c r="A1818" s="57" t="s">
        <v>3748</v>
      </c>
      <c r="B1818" s="82">
        <v>45443</v>
      </c>
      <c r="C1818" s="59">
        <f t="shared" si="196"/>
        <v>2024</v>
      </c>
      <c r="D1818" s="59">
        <f t="shared" si="197"/>
        <v>5</v>
      </c>
      <c r="E1818" s="59">
        <f t="shared" si="198"/>
        <v>22</v>
      </c>
      <c r="F1818" s="57" t="s">
        <v>52</v>
      </c>
      <c r="G1818" s="57" t="s">
        <v>42</v>
      </c>
      <c r="H1818" s="57" t="s">
        <v>3749</v>
      </c>
      <c r="I1818" s="57" t="s">
        <v>67</v>
      </c>
      <c r="J1818" s="57" t="s">
        <v>151</v>
      </c>
      <c r="K1818" s="57" t="s">
        <v>74</v>
      </c>
      <c r="L1818" s="57" t="s">
        <v>119</v>
      </c>
      <c r="M1818" s="60">
        <v>899</v>
      </c>
      <c r="N1818" s="57" t="s">
        <v>136</v>
      </c>
      <c r="O1818" s="61">
        <v>68.48</v>
      </c>
      <c r="P1818" s="61">
        <v>61563.519999999997</v>
      </c>
      <c r="Q1818" s="61">
        <v>1328.96</v>
      </c>
      <c r="R1818" s="62">
        <f t="shared" si="199"/>
        <v>2.1586809851028663E-2</v>
      </c>
      <c r="S1818" s="60">
        <v>18</v>
      </c>
      <c r="T1818" s="58">
        <v>45461</v>
      </c>
      <c r="U1818" s="58">
        <v>45462</v>
      </c>
      <c r="V1818" s="63">
        <f t="shared" si="200"/>
        <v>1</v>
      </c>
      <c r="W1818" s="57" t="s">
        <v>128</v>
      </c>
      <c r="X1818" s="64" t="b">
        <f t="shared" si="201"/>
        <v>0</v>
      </c>
      <c r="Y1818" s="60">
        <v>185</v>
      </c>
      <c r="Z1818" s="60">
        <v>228</v>
      </c>
      <c r="AA1818" s="57" t="s">
        <v>82</v>
      </c>
      <c r="AB1818" s="64" t="b">
        <f t="shared" si="202"/>
        <v>1</v>
      </c>
    </row>
    <row r="1819" spans="1:28" ht="15" customHeight="1" x14ac:dyDescent="0.3">
      <c r="A1819" s="65" t="s">
        <v>3750</v>
      </c>
      <c r="B1819" s="81">
        <v>45588</v>
      </c>
      <c r="C1819" s="59">
        <f t="shared" si="196"/>
        <v>2024</v>
      </c>
      <c r="D1819" s="59">
        <f t="shared" si="197"/>
        <v>10</v>
      </c>
      <c r="E1819" s="59">
        <f t="shared" si="198"/>
        <v>43</v>
      </c>
      <c r="F1819" s="65" t="s">
        <v>61</v>
      </c>
      <c r="G1819" s="65" t="s">
        <v>39</v>
      </c>
      <c r="H1819" s="65" t="s">
        <v>3751</v>
      </c>
      <c r="I1819" s="65" t="s">
        <v>67</v>
      </c>
      <c r="J1819" s="65" t="s">
        <v>139</v>
      </c>
      <c r="K1819" s="65" t="s">
        <v>74</v>
      </c>
      <c r="L1819" s="65" t="s">
        <v>119</v>
      </c>
      <c r="M1819" s="67">
        <v>792</v>
      </c>
      <c r="N1819" s="65" t="s">
        <v>163</v>
      </c>
      <c r="O1819" s="68">
        <v>2042.24</v>
      </c>
      <c r="P1819" s="68">
        <v>1617454.0800000001</v>
      </c>
      <c r="Q1819" s="68">
        <v>64913.98</v>
      </c>
      <c r="R1819" s="62">
        <f t="shared" si="199"/>
        <v>4.0133429939476245E-2</v>
      </c>
      <c r="S1819" s="67">
        <v>25</v>
      </c>
      <c r="T1819" s="66">
        <v>45613</v>
      </c>
      <c r="U1819" s="66">
        <v>45621</v>
      </c>
      <c r="V1819" s="63">
        <f t="shared" si="200"/>
        <v>8</v>
      </c>
      <c r="W1819" s="65" t="s">
        <v>128</v>
      </c>
      <c r="X1819" s="64" t="b">
        <f t="shared" si="201"/>
        <v>0</v>
      </c>
      <c r="Y1819" s="67">
        <v>348</v>
      </c>
      <c r="Z1819" s="67">
        <v>405</v>
      </c>
      <c r="AA1819" s="65" t="s">
        <v>116</v>
      </c>
      <c r="AB1819" s="64" t="b">
        <f t="shared" si="202"/>
        <v>0</v>
      </c>
    </row>
    <row r="1820" spans="1:28" ht="15" customHeight="1" x14ac:dyDescent="0.3">
      <c r="A1820" s="57" t="s">
        <v>3752</v>
      </c>
      <c r="B1820" s="82">
        <v>45103</v>
      </c>
      <c r="C1820" s="59">
        <f t="shared" si="196"/>
        <v>2023</v>
      </c>
      <c r="D1820" s="59">
        <f t="shared" si="197"/>
        <v>6</v>
      </c>
      <c r="E1820" s="59">
        <f t="shared" si="198"/>
        <v>26</v>
      </c>
      <c r="F1820" s="57" t="s">
        <v>55</v>
      </c>
      <c r="G1820" s="57" t="s">
        <v>39</v>
      </c>
      <c r="H1820" s="57" t="s">
        <v>3753</v>
      </c>
      <c r="I1820" s="57" t="s">
        <v>65</v>
      </c>
      <c r="J1820" s="57" t="s">
        <v>139</v>
      </c>
      <c r="K1820" s="57" t="s">
        <v>71</v>
      </c>
      <c r="L1820" s="57" t="s">
        <v>124</v>
      </c>
      <c r="M1820" s="60">
        <v>976</v>
      </c>
      <c r="N1820" s="57" t="s">
        <v>136</v>
      </c>
      <c r="O1820" s="61">
        <v>1725.19</v>
      </c>
      <c r="P1820" s="61">
        <v>1639255.3774000001</v>
      </c>
      <c r="Q1820" s="61">
        <v>96548.6302</v>
      </c>
      <c r="R1820" s="62">
        <f t="shared" si="199"/>
        <v>5.8897857851248549E-2</v>
      </c>
      <c r="S1820" s="60">
        <v>12</v>
      </c>
      <c r="T1820" s="58">
        <v>45115</v>
      </c>
      <c r="U1820" s="58">
        <v>45114</v>
      </c>
      <c r="V1820" s="63">
        <f t="shared" si="200"/>
        <v>-1</v>
      </c>
      <c r="W1820" s="57" t="s">
        <v>115</v>
      </c>
      <c r="X1820" s="64" t="b">
        <f t="shared" si="201"/>
        <v>1</v>
      </c>
      <c r="Y1820" s="60">
        <v>484</v>
      </c>
      <c r="Z1820" s="60">
        <v>29</v>
      </c>
      <c r="AA1820" s="57" t="s">
        <v>81</v>
      </c>
      <c r="AB1820" s="64" t="b">
        <f t="shared" si="202"/>
        <v>1</v>
      </c>
    </row>
    <row r="1821" spans="1:28" ht="15" customHeight="1" x14ac:dyDescent="0.3">
      <c r="A1821" s="65" t="s">
        <v>3754</v>
      </c>
      <c r="B1821" s="81">
        <v>44967</v>
      </c>
      <c r="C1821" s="59">
        <f t="shared" si="196"/>
        <v>2023</v>
      </c>
      <c r="D1821" s="59">
        <f t="shared" si="197"/>
        <v>2</v>
      </c>
      <c r="E1821" s="59">
        <f t="shared" si="198"/>
        <v>6</v>
      </c>
      <c r="F1821" s="65" t="s">
        <v>53</v>
      </c>
      <c r="G1821" s="65" t="s">
        <v>44</v>
      </c>
      <c r="H1821" s="65" t="s">
        <v>3755</v>
      </c>
      <c r="I1821" s="65" t="s">
        <v>66</v>
      </c>
      <c r="J1821" s="65" t="s">
        <v>139</v>
      </c>
      <c r="K1821" s="65" t="s">
        <v>72</v>
      </c>
      <c r="L1821" s="65" t="s">
        <v>119</v>
      </c>
      <c r="M1821" s="67">
        <v>934</v>
      </c>
      <c r="N1821" s="65" t="s">
        <v>114</v>
      </c>
      <c r="O1821" s="68">
        <v>157.16999999999999</v>
      </c>
      <c r="P1821" s="68">
        <v>146796.78</v>
      </c>
      <c r="Q1821" s="68">
        <v>10630.04</v>
      </c>
      <c r="R1821" s="62">
        <f t="shared" si="199"/>
        <v>7.2413304978487955E-2</v>
      </c>
      <c r="S1821" s="67">
        <v>15</v>
      </c>
      <c r="T1821" s="66">
        <v>44982</v>
      </c>
      <c r="U1821" s="66">
        <v>44990</v>
      </c>
      <c r="V1821" s="63">
        <f t="shared" si="200"/>
        <v>8</v>
      </c>
      <c r="W1821" s="65" t="s">
        <v>128</v>
      </c>
      <c r="X1821" s="64" t="b">
        <f t="shared" si="201"/>
        <v>0</v>
      </c>
      <c r="Y1821" s="67">
        <v>138</v>
      </c>
      <c r="Z1821" s="67">
        <v>22</v>
      </c>
      <c r="AA1821" s="65" t="s">
        <v>83</v>
      </c>
      <c r="AB1821" s="64" t="b">
        <f t="shared" si="202"/>
        <v>1</v>
      </c>
    </row>
    <row r="1822" spans="1:28" ht="15" customHeight="1" x14ac:dyDescent="0.3">
      <c r="A1822" s="57" t="s">
        <v>3756</v>
      </c>
      <c r="B1822" s="82">
        <v>45180</v>
      </c>
      <c r="C1822" s="59">
        <f t="shared" si="196"/>
        <v>2023</v>
      </c>
      <c r="D1822" s="59">
        <f t="shared" si="197"/>
        <v>9</v>
      </c>
      <c r="E1822" s="59">
        <f t="shared" si="198"/>
        <v>37</v>
      </c>
      <c r="F1822" s="57" t="s">
        <v>56</v>
      </c>
      <c r="G1822" s="57" t="s">
        <v>44</v>
      </c>
      <c r="H1822" s="57" t="s">
        <v>3757</v>
      </c>
      <c r="I1822" s="57" t="s">
        <v>69</v>
      </c>
      <c r="J1822" s="57" t="s">
        <v>151</v>
      </c>
      <c r="K1822" s="57" t="s">
        <v>72</v>
      </c>
      <c r="L1822" s="57" t="s">
        <v>135</v>
      </c>
      <c r="M1822" s="60">
        <v>132</v>
      </c>
      <c r="N1822" s="57" t="s">
        <v>120</v>
      </c>
      <c r="O1822" s="61">
        <v>152.51</v>
      </c>
      <c r="P1822" s="61">
        <v>20131.32</v>
      </c>
      <c r="Q1822" s="61">
        <v>800.48</v>
      </c>
      <c r="R1822" s="62">
        <f t="shared" si="199"/>
        <v>3.9762916689019899E-2</v>
      </c>
      <c r="S1822" s="60">
        <v>27</v>
      </c>
      <c r="T1822" s="58">
        <v>45207</v>
      </c>
      <c r="U1822" s="58">
        <v>45202</v>
      </c>
      <c r="V1822" s="63">
        <f t="shared" si="200"/>
        <v>-5</v>
      </c>
      <c r="W1822" s="57" t="s">
        <v>115</v>
      </c>
      <c r="X1822" s="64" t="b">
        <f t="shared" si="201"/>
        <v>1</v>
      </c>
      <c r="Y1822" s="60">
        <v>54</v>
      </c>
      <c r="Z1822" s="60">
        <v>4</v>
      </c>
      <c r="AA1822" s="57" t="s">
        <v>81</v>
      </c>
      <c r="AB1822" s="64" t="b">
        <f t="shared" si="202"/>
        <v>1</v>
      </c>
    </row>
    <row r="1823" spans="1:28" ht="15" customHeight="1" x14ac:dyDescent="0.3">
      <c r="A1823" s="65" t="s">
        <v>3758</v>
      </c>
      <c r="B1823" s="81">
        <v>45651</v>
      </c>
      <c r="C1823" s="59">
        <f t="shared" si="196"/>
        <v>2024</v>
      </c>
      <c r="D1823" s="59">
        <f t="shared" si="197"/>
        <v>12</v>
      </c>
      <c r="E1823" s="59">
        <f t="shared" si="198"/>
        <v>52</v>
      </c>
      <c r="F1823" s="65" t="s">
        <v>56</v>
      </c>
      <c r="G1823" s="65" t="s">
        <v>42</v>
      </c>
      <c r="H1823" s="65" t="s">
        <v>3759</v>
      </c>
      <c r="I1823" s="65" t="s">
        <v>65</v>
      </c>
      <c r="J1823" s="65" t="s">
        <v>151</v>
      </c>
      <c r="K1823" s="65" t="s">
        <v>74</v>
      </c>
      <c r="L1823" s="65" t="s">
        <v>135</v>
      </c>
      <c r="M1823" s="67">
        <v>888</v>
      </c>
      <c r="N1823" s="65" t="s">
        <v>114</v>
      </c>
      <c r="O1823" s="68">
        <v>69.28</v>
      </c>
      <c r="P1823" s="68">
        <v>61520.639999999999</v>
      </c>
      <c r="Q1823" s="68">
        <v>3400.11</v>
      </c>
      <c r="R1823" s="62">
        <f t="shared" si="199"/>
        <v>5.5267793052868115E-2</v>
      </c>
      <c r="S1823" s="67">
        <v>26</v>
      </c>
      <c r="T1823" s="66">
        <v>45677</v>
      </c>
      <c r="U1823" s="66">
        <v>45679</v>
      </c>
      <c r="V1823" s="63">
        <f t="shared" si="200"/>
        <v>2</v>
      </c>
      <c r="W1823" s="65" t="s">
        <v>125</v>
      </c>
      <c r="X1823" s="64" t="b">
        <f t="shared" si="201"/>
        <v>0</v>
      </c>
      <c r="Y1823" s="67">
        <v>18</v>
      </c>
      <c r="Z1823" s="67">
        <v>62</v>
      </c>
      <c r="AA1823" s="65" t="s">
        <v>82</v>
      </c>
      <c r="AB1823" s="64" t="b">
        <f t="shared" si="202"/>
        <v>1</v>
      </c>
    </row>
    <row r="1824" spans="1:28" ht="15" customHeight="1" x14ac:dyDescent="0.3">
      <c r="A1824" s="57" t="s">
        <v>3760</v>
      </c>
      <c r="B1824" s="82">
        <v>45375</v>
      </c>
      <c r="C1824" s="59">
        <f t="shared" si="196"/>
        <v>2024</v>
      </c>
      <c r="D1824" s="59">
        <f t="shared" si="197"/>
        <v>3</v>
      </c>
      <c r="E1824" s="59">
        <f t="shared" si="198"/>
        <v>13</v>
      </c>
      <c r="F1824" s="57" t="s">
        <v>57</v>
      </c>
      <c r="G1824" s="57" t="s">
        <v>46</v>
      </c>
      <c r="H1824" s="57" t="s">
        <v>3761</v>
      </c>
      <c r="I1824" s="57" t="s">
        <v>66</v>
      </c>
      <c r="J1824" s="57" t="s">
        <v>131</v>
      </c>
      <c r="K1824" s="57" t="s">
        <v>73</v>
      </c>
      <c r="L1824" s="57" t="s">
        <v>146</v>
      </c>
      <c r="M1824" s="60">
        <v>396</v>
      </c>
      <c r="N1824" s="57" t="s">
        <v>136</v>
      </c>
      <c r="O1824" s="61">
        <v>69.3</v>
      </c>
      <c r="P1824" s="61">
        <v>27442.799999999999</v>
      </c>
      <c r="Q1824" s="61">
        <v>1943.99</v>
      </c>
      <c r="R1824" s="62">
        <f t="shared" si="199"/>
        <v>7.0837888262130694E-2</v>
      </c>
      <c r="S1824" s="60">
        <v>9</v>
      </c>
      <c r="T1824" s="58">
        <v>45384</v>
      </c>
      <c r="U1824" s="58">
        <v>45396</v>
      </c>
      <c r="V1824" s="63">
        <f t="shared" si="200"/>
        <v>12</v>
      </c>
      <c r="W1824" s="57" t="s">
        <v>128</v>
      </c>
      <c r="X1824" s="64" t="b">
        <f t="shared" si="201"/>
        <v>0</v>
      </c>
      <c r="Y1824" s="60">
        <v>347</v>
      </c>
      <c r="Z1824" s="60">
        <v>220</v>
      </c>
      <c r="AA1824" s="57" t="s">
        <v>116</v>
      </c>
      <c r="AB1824" s="64" t="b">
        <f t="shared" si="202"/>
        <v>0</v>
      </c>
    </row>
    <row r="1825" spans="1:28" ht="15" customHeight="1" x14ac:dyDescent="0.3">
      <c r="A1825" s="65" t="s">
        <v>3762</v>
      </c>
      <c r="B1825" s="81">
        <v>45376</v>
      </c>
      <c r="C1825" s="59">
        <f t="shared" si="196"/>
        <v>2024</v>
      </c>
      <c r="D1825" s="59">
        <f t="shared" si="197"/>
        <v>3</v>
      </c>
      <c r="E1825" s="59">
        <f t="shared" si="198"/>
        <v>13</v>
      </c>
      <c r="F1825" s="65" t="s">
        <v>56</v>
      </c>
      <c r="G1825" s="65" t="s">
        <v>42</v>
      </c>
      <c r="H1825" s="65" t="s">
        <v>3763</v>
      </c>
      <c r="I1825" s="65" t="s">
        <v>69</v>
      </c>
      <c r="J1825" s="65" t="s">
        <v>143</v>
      </c>
      <c r="K1825" s="65" t="s">
        <v>72</v>
      </c>
      <c r="L1825" s="65" t="s">
        <v>135</v>
      </c>
      <c r="M1825" s="67">
        <v>348</v>
      </c>
      <c r="N1825" s="65" t="s">
        <v>163</v>
      </c>
      <c r="O1825" s="68">
        <v>111.53</v>
      </c>
      <c r="P1825" s="68">
        <v>38812.44</v>
      </c>
      <c r="Q1825" s="68">
        <v>1803.86</v>
      </c>
      <c r="R1825" s="62">
        <f t="shared" si="199"/>
        <v>4.6476335937652977E-2</v>
      </c>
      <c r="S1825" s="67">
        <v>13</v>
      </c>
      <c r="T1825" s="66">
        <v>45389</v>
      </c>
      <c r="U1825" s="66">
        <v>45388</v>
      </c>
      <c r="V1825" s="63">
        <f t="shared" si="200"/>
        <v>-1</v>
      </c>
      <c r="W1825" s="65" t="s">
        <v>115</v>
      </c>
      <c r="X1825" s="64" t="b">
        <f t="shared" si="201"/>
        <v>1</v>
      </c>
      <c r="Y1825" s="67">
        <v>422</v>
      </c>
      <c r="Z1825" s="67">
        <v>314</v>
      </c>
      <c r="AA1825" s="65" t="s">
        <v>81</v>
      </c>
      <c r="AB1825" s="64" t="b">
        <f t="shared" si="202"/>
        <v>1</v>
      </c>
    </row>
    <row r="1826" spans="1:28" ht="15" customHeight="1" x14ac:dyDescent="0.3">
      <c r="A1826" s="57" t="s">
        <v>3764</v>
      </c>
      <c r="B1826" s="82">
        <v>45463</v>
      </c>
      <c r="C1826" s="59">
        <f t="shared" si="196"/>
        <v>2024</v>
      </c>
      <c r="D1826" s="59">
        <f t="shared" si="197"/>
        <v>6</v>
      </c>
      <c r="E1826" s="59">
        <f t="shared" si="198"/>
        <v>25</v>
      </c>
      <c r="F1826" s="57" t="s">
        <v>57</v>
      </c>
      <c r="G1826" s="57" t="s">
        <v>39</v>
      </c>
      <c r="H1826" s="57" t="s">
        <v>3765</v>
      </c>
      <c r="I1826" s="57" t="s">
        <v>64</v>
      </c>
      <c r="J1826" s="57" t="s">
        <v>143</v>
      </c>
      <c r="K1826" s="57" t="s">
        <v>75</v>
      </c>
      <c r="L1826" s="57" t="s">
        <v>124</v>
      </c>
      <c r="M1826" s="60">
        <v>787</v>
      </c>
      <c r="N1826" s="57" t="s">
        <v>132</v>
      </c>
      <c r="O1826" s="61">
        <v>1568.54</v>
      </c>
      <c r="P1826" s="61">
        <v>1234440.98</v>
      </c>
      <c r="Q1826" s="61">
        <v>26018.89</v>
      </c>
      <c r="R1826" s="62">
        <f t="shared" si="199"/>
        <v>2.1077467794369562E-2</v>
      </c>
      <c r="S1826" s="60">
        <v>26</v>
      </c>
      <c r="T1826" s="58">
        <v>45489</v>
      </c>
      <c r="U1826" s="58">
        <v>45501</v>
      </c>
      <c r="V1826" s="63">
        <f t="shared" si="200"/>
        <v>12</v>
      </c>
      <c r="W1826" s="57" t="s">
        <v>128</v>
      </c>
      <c r="X1826" s="64" t="b">
        <f t="shared" si="201"/>
        <v>0</v>
      </c>
      <c r="Y1826" s="60">
        <v>468</v>
      </c>
      <c r="Z1826" s="60">
        <v>477</v>
      </c>
      <c r="AA1826" s="57" t="s">
        <v>84</v>
      </c>
      <c r="AB1826" s="64" t="b">
        <f t="shared" si="202"/>
        <v>1</v>
      </c>
    </row>
    <row r="1827" spans="1:28" ht="15" customHeight="1" x14ac:dyDescent="0.3">
      <c r="A1827" s="65" t="s">
        <v>3766</v>
      </c>
      <c r="B1827" s="81">
        <v>45462</v>
      </c>
      <c r="C1827" s="59">
        <f t="shared" si="196"/>
        <v>2024</v>
      </c>
      <c r="D1827" s="59">
        <f t="shared" si="197"/>
        <v>6</v>
      </c>
      <c r="E1827" s="59">
        <f t="shared" si="198"/>
        <v>25</v>
      </c>
      <c r="F1827" s="65" t="s">
        <v>56</v>
      </c>
      <c r="G1827" s="65" t="s">
        <v>39</v>
      </c>
      <c r="H1827" s="65" t="s">
        <v>3767</v>
      </c>
      <c r="I1827" s="65" t="s">
        <v>67</v>
      </c>
      <c r="J1827" s="65" t="s">
        <v>123</v>
      </c>
      <c r="K1827" s="65" t="s">
        <v>75</v>
      </c>
      <c r="L1827" s="65" t="s">
        <v>156</v>
      </c>
      <c r="M1827" s="67">
        <v>357</v>
      </c>
      <c r="N1827" s="65" t="s">
        <v>136</v>
      </c>
      <c r="O1827" s="68">
        <v>2209.91</v>
      </c>
      <c r="P1827" s="68">
        <v>788937.87</v>
      </c>
      <c r="Q1827" s="68">
        <v>19305.8</v>
      </c>
      <c r="R1827" s="62">
        <f t="shared" si="199"/>
        <v>2.4470621495200882E-2</v>
      </c>
      <c r="S1827" s="67">
        <v>15</v>
      </c>
      <c r="T1827" s="66">
        <v>45477</v>
      </c>
      <c r="U1827" s="66">
        <v>45479</v>
      </c>
      <c r="V1827" s="63">
        <f t="shared" si="200"/>
        <v>2</v>
      </c>
      <c r="W1827" s="65" t="s">
        <v>128</v>
      </c>
      <c r="X1827" s="64" t="b">
        <f t="shared" si="201"/>
        <v>0</v>
      </c>
      <c r="Y1827" s="67">
        <v>345</v>
      </c>
      <c r="Z1827" s="67">
        <v>81</v>
      </c>
      <c r="AA1827" s="65" t="s">
        <v>83</v>
      </c>
      <c r="AB1827" s="64" t="b">
        <f t="shared" si="202"/>
        <v>1</v>
      </c>
    </row>
    <row r="1828" spans="1:28" ht="15" customHeight="1" x14ac:dyDescent="0.3">
      <c r="A1828" s="57" t="s">
        <v>3768</v>
      </c>
      <c r="B1828" s="82">
        <v>45551</v>
      </c>
      <c r="C1828" s="59">
        <f t="shared" si="196"/>
        <v>2024</v>
      </c>
      <c r="D1828" s="59">
        <f t="shared" si="197"/>
        <v>9</v>
      </c>
      <c r="E1828" s="59">
        <f t="shared" si="198"/>
        <v>38</v>
      </c>
      <c r="F1828" s="57" t="s">
        <v>54</v>
      </c>
      <c r="G1828" s="57" t="s">
        <v>43</v>
      </c>
      <c r="H1828" s="57" t="s">
        <v>3769</v>
      </c>
      <c r="I1828" s="57" t="s">
        <v>66</v>
      </c>
      <c r="J1828" s="57" t="s">
        <v>131</v>
      </c>
      <c r="K1828" s="57" t="s">
        <v>72</v>
      </c>
      <c r="L1828" s="57" t="s">
        <v>146</v>
      </c>
      <c r="M1828" s="60">
        <v>38</v>
      </c>
      <c r="N1828" s="57" t="s">
        <v>140</v>
      </c>
      <c r="O1828" s="61">
        <v>212.35</v>
      </c>
      <c r="P1828" s="61">
        <v>8069.3</v>
      </c>
      <c r="Q1828" s="61">
        <v>408.5</v>
      </c>
      <c r="R1828" s="62">
        <f t="shared" si="199"/>
        <v>5.0623969861078408E-2</v>
      </c>
      <c r="S1828" s="60">
        <v>10</v>
      </c>
      <c r="T1828" s="58">
        <v>45561</v>
      </c>
      <c r="U1828" s="58">
        <v>45563</v>
      </c>
      <c r="V1828" s="63">
        <f t="shared" si="200"/>
        <v>2</v>
      </c>
      <c r="W1828" s="57" t="s">
        <v>125</v>
      </c>
      <c r="X1828" s="64" t="b">
        <f t="shared" si="201"/>
        <v>0</v>
      </c>
      <c r="Y1828" s="60">
        <v>469</v>
      </c>
      <c r="Z1828" s="60">
        <v>493</v>
      </c>
      <c r="AA1828" s="57" t="s">
        <v>84</v>
      </c>
      <c r="AB1828" s="64" t="b">
        <f t="shared" si="202"/>
        <v>1</v>
      </c>
    </row>
    <row r="1829" spans="1:28" ht="15" customHeight="1" x14ac:dyDescent="0.3">
      <c r="A1829" s="65" t="s">
        <v>3770</v>
      </c>
      <c r="B1829" s="81">
        <v>45089</v>
      </c>
      <c r="C1829" s="59">
        <f t="shared" si="196"/>
        <v>2023</v>
      </c>
      <c r="D1829" s="59">
        <f t="shared" si="197"/>
        <v>6</v>
      </c>
      <c r="E1829" s="59">
        <f t="shared" si="198"/>
        <v>24</v>
      </c>
      <c r="F1829" s="65" t="s">
        <v>57</v>
      </c>
      <c r="G1829" s="65" t="s">
        <v>44</v>
      </c>
      <c r="H1829" s="65" t="s">
        <v>3771</v>
      </c>
      <c r="I1829" s="65" t="s">
        <v>69</v>
      </c>
      <c r="J1829" s="65" t="s">
        <v>112</v>
      </c>
      <c r="K1829" s="65" t="s">
        <v>72</v>
      </c>
      <c r="L1829" s="65" t="s">
        <v>135</v>
      </c>
      <c r="M1829" s="67">
        <v>984</v>
      </c>
      <c r="N1829" s="65" t="s">
        <v>132</v>
      </c>
      <c r="O1829" s="68">
        <v>97.71</v>
      </c>
      <c r="P1829" s="68">
        <v>96146.64</v>
      </c>
      <c r="Q1829" s="68">
        <v>7515.43</v>
      </c>
      <c r="R1829" s="62">
        <f t="shared" si="199"/>
        <v>7.8166330097442824E-2</v>
      </c>
      <c r="S1829" s="67">
        <v>16</v>
      </c>
      <c r="T1829" s="66">
        <v>45105</v>
      </c>
      <c r="U1829" s="66">
        <v>45105</v>
      </c>
      <c r="V1829" s="63">
        <f t="shared" si="200"/>
        <v>0</v>
      </c>
      <c r="W1829" s="65" t="s">
        <v>115</v>
      </c>
      <c r="X1829" s="64" t="b">
        <f t="shared" si="201"/>
        <v>1</v>
      </c>
      <c r="Y1829" s="67">
        <v>453</v>
      </c>
      <c r="Z1829" s="67">
        <v>241</v>
      </c>
      <c r="AA1829" s="65" t="s">
        <v>83</v>
      </c>
      <c r="AB1829" s="64" t="b">
        <f t="shared" si="202"/>
        <v>1</v>
      </c>
    </row>
    <row r="1830" spans="1:28" ht="15" customHeight="1" x14ac:dyDescent="0.3">
      <c r="A1830" s="57" t="s">
        <v>3772</v>
      </c>
      <c r="B1830" s="82">
        <v>45299</v>
      </c>
      <c r="C1830" s="59">
        <f t="shared" si="196"/>
        <v>2024</v>
      </c>
      <c r="D1830" s="59">
        <f t="shared" si="197"/>
        <v>1</v>
      </c>
      <c r="E1830" s="59">
        <f t="shared" si="198"/>
        <v>2</v>
      </c>
      <c r="F1830" s="57" t="s">
        <v>60</v>
      </c>
      <c r="G1830" s="57" t="s">
        <v>45</v>
      </c>
      <c r="H1830" s="57" t="s">
        <v>3773</v>
      </c>
      <c r="I1830" s="57" t="s">
        <v>65</v>
      </c>
      <c r="J1830" s="57" t="s">
        <v>139</v>
      </c>
      <c r="K1830" s="57" t="s">
        <v>74</v>
      </c>
      <c r="L1830" s="57" t="s">
        <v>119</v>
      </c>
      <c r="M1830" s="60">
        <v>44</v>
      </c>
      <c r="N1830" s="57" t="s">
        <v>136</v>
      </c>
      <c r="O1830" s="61">
        <v>202.31</v>
      </c>
      <c r="P1830" s="61">
        <v>8901.64</v>
      </c>
      <c r="Q1830" s="61">
        <v>548.27</v>
      </c>
      <c r="R1830" s="62">
        <f t="shared" si="199"/>
        <v>6.15920212455233E-2</v>
      </c>
      <c r="S1830" s="60">
        <v>7</v>
      </c>
      <c r="T1830" s="58">
        <v>45306</v>
      </c>
      <c r="U1830" s="58">
        <v>45318</v>
      </c>
      <c r="V1830" s="63">
        <f t="shared" si="200"/>
        <v>12</v>
      </c>
      <c r="W1830" s="57" t="s">
        <v>125</v>
      </c>
      <c r="X1830" s="64" t="b">
        <f t="shared" si="201"/>
        <v>0</v>
      </c>
      <c r="Y1830" s="60">
        <v>266</v>
      </c>
      <c r="Z1830" s="60">
        <v>252</v>
      </c>
      <c r="AA1830" s="57" t="s">
        <v>83</v>
      </c>
      <c r="AB1830" s="64" t="b">
        <f t="shared" si="202"/>
        <v>1</v>
      </c>
    </row>
    <row r="1831" spans="1:28" ht="15" customHeight="1" x14ac:dyDescent="0.3">
      <c r="A1831" s="65" t="s">
        <v>3774</v>
      </c>
      <c r="B1831" s="81">
        <v>45308</v>
      </c>
      <c r="C1831" s="59">
        <f t="shared" si="196"/>
        <v>2024</v>
      </c>
      <c r="D1831" s="59">
        <f t="shared" si="197"/>
        <v>1</v>
      </c>
      <c r="E1831" s="59">
        <f t="shared" si="198"/>
        <v>3</v>
      </c>
      <c r="F1831" s="65" t="s">
        <v>59</v>
      </c>
      <c r="G1831" s="65" t="s">
        <v>45</v>
      </c>
      <c r="H1831" s="65" t="s">
        <v>3775</v>
      </c>
      <c r="I1831" s="65" t="s">
        <v>69</v>
      </c>
      <c r="J1831" s="65" t="s">
        <v>151</v>
      </c>
      <c r="K1831" s="65" t="s">
        <v>71</v>
      </c>
      <c r="L1831" s="65" t="s">
        <v>135</v>
      </c>
      <c r="M1831" s="67">
        <v>527</v>
      </c>
      <c r="N1831" s="65" t="s">
        <v>140</v>
      </c>
      <c r="O1831" s="68">
        <v>292.27</v>
      </c>
      <c r="P1831" s="68">
        <v>154026.29</v>
      </c>
      <c r="Q1831" s="68">
        <v>3735.9</v>
      </c>
      <c r="R1831" s="62">
        <f t="shared" si="199"/>
        <v>2.425495024258521E-2</v>
      </c>
      <c r="S1831" s="67">
        <v>17</v>
      </c>
      <c r="T1831" s="66">
        <v>45325</v>
      </c>
      <c r="U1831" s="66">
        <v>45320</v>
      </c>
      <c r="V1831" s="63">
        <f t="shared" si="200"/>
        <v>-5</v>
      </c>
      <c r="W1831" s="65" t="s">
        <v>115</v>
      </c>
      <c r="X1831" s="64" t="b">
        <f t="shared" si="201"/>
        <v>1</v>
      </c>
      <c r="Y1831" s="67">
        <v>141</v>
      </c>
      <c r="Z1831" s="67">
        <v>51</v>
      </c>
      <c r="AA1831" s="65" t="s">
        <v>82</v>
      </c>
      <c r="AB1831" s="64" t="b">
        <f t="shared" si="202"/>
        <v>1</v>
      </c>
    </row>
    <row r="1832" spans="1:28" ht="15" customHeight="1" x14ac:dyDescent="0.3">
      <c r="A1832" s="57" t="s">
        <v>3776</v>
      </c>
      <c r="B1832" s="82">
        <v>45216</v>
      </c>
      <c r="C1832" s="59">
        <f t="shared" si="196"/>
        <v>2023</v>
      </c>
      <c r="D1832" s="59">
        <f t="shared" si="197"/>
        <v>10</v>
      </c>
      <c r="E1832" s="59">
        <f t="shared" si="198"/>
        <v>42</v>
      </c>
      <c r="F1832" s="57" t="s">
        <v>59</v>
      </c>
      <c r="G1832" s="57" t="s">
        <v>45</v>
      </c>
      <c r="H1832" s="57" t="s">
        <v>3777</v>
      </c>
      <c r="I1832" s="57" t="s">
        <v>65</v>
      </c>
      <c r="J1832" s="57" t="s">
        <v>123</v>
      </c>
      <c r="K1832" s="57" t="s">
        <v>74</v>
      </c>
      <c r="L1832" s="57" t="s">
        <v>113</v>
      </c>
      <c r="M1832" s="60">
        <v>405</v>
      </c>
      <c r="N1832" s="57" t="s">
        <v>114</v>
      </c>
      <c r="O1832" s="61">
        <v>191.16</v>
      </c>
      <c r="P1832" s="61">
        <v>77419.8</v>
      </c>
      <c r="Q1832" s="61">
        <v>2428.0100000000002</v>
      </c>
      <c r="R1832" s="62">
        <f t="shared" si="199"/>
        <v>3.1361615504044184E-2</v>
      </c>
      <c r="S1832" s="60">
        <v>23</v>
      </c>
      <c r="T1832" s="58">
        <v>45239</v>
      </c>
      <c r="U1832" s="58">
        <v>45244</v>
      </c>
      <c r="V1832" s="63">
        <f t="shared" si="200"/>
        <v>5</v>
      </c>
      <c r="W1832" s="57" t="s">
        <v>128</v>
      </c>
      <c r="X1832" s="64" t="b">
        <f t="shared" si="201"/>
        <v>0</v>
      </c>
      <c r="Y1832" s="60">
        <v>315</v>
      </c>
      <c r="Z1832" s="60">
        <v>320</v>
      </c>
      <c r="AA1832" s="57" t="s">
        <v>84</v>
      </c>
      <c r="AB1832" s="64" t="b">
        <f t="shared" si="202"/>
        <v>1</v>
      </c>
    </row>
    <row r="1833" spans="1:28" ht="15" customHeight="1" x14ac:dyDescent="0.3">
      <c r="A1833" s="65" t="s">
        <v>3778</v>
      </c>
      <c r="B1833" s="81">
        <v>45323</v>
      </c>
      <c r="C1833" s="59">
        <f t="shared" si="196"/>
        <v>2024</v>
      </c>
      <c r="D1833" s="59">
        <f t="shared" si="197"/>
        <v>2</v>
      </c>
      <c r="E1833" s="59">
        <f t="shared" si="198"/>
        <v>5</v>
      </c>
      <c r="F1833" s="65" t="s">
        <v>59</v>
      </c>
      <c r="G1833" s="65" t="s">
        <v>43</v>
      </c>
      <c r="H1833" s="65" t="s">
        <v>3779</v>
      </c>
      <c r="I1833" s="65" t="s">
        <v>67</v>
      </c>
      <c r="J1833" s="65" t="s">
        <v>123</v>
      </c>
      <c r="K1833" s="65" t="s">
        <v>71</v>
      </c>
      <c r="L1833" s="65" t="s">
        <v>146</v>
      </c>
      <c r="M1833" s="67">
        <v>632</v>
      </c>
      <c r="N1833" s="65" t="s">
        <v>132</v>
      </c>
      <c r="O1833" s="68">
        <v>278.89999999999998</v>
      </c>
      <c r="P1833" s="68">
        <v>176264.8</v>
      </c>
      <c r="Q1833" s="68">
        <v>11682.72</v>
      </c>
      <c r="R1833" s="62">
        <f t="shared" si="199"/>
        <v>6.6279370583349595E-2</v>
      </c>
      <c r="S1833" s="67">
        <v>26</v>
      </c>
      <c r="T1833" s="66">
        <v>45349</v>
      </c>
      <c r="U1833" s="66">
        <v>45350</v>
      </c>
      <c r="V1833" s="63">
        <f t="shared" si="200"/>
        <v>1</v>
      </c>
      <c r="W1833" s="65" t="s">
        <v>125</v>
      </c>
      <c r="X1833" s="64" t="b">
        <f t="shared" si="201"/>
        <v>0</v>
      </c>
      <c r="Y1833" s="67">
        <v>163</v>
      </c>
      <c r="Z1833" s="67">
        <v>38</v>
      </c>
      <c r="AA1833" s="65" t="s">
        <v>81</v>
      </c>
      <c r="AB1833" s="64" t="b">
        <f t="shared" si="202"/>
        <v>1</v>
      </c>
    </row>
    <row r="1834" spans="1:28" ht="15" customHeight="1" x14ac:dyDescent="0.3">
      <c r="A1834" s="57" t="s">
        <v>3780</v>
      </c>
      <c r="B1834" s="82">
        <v>45345</v>
      </c>
      <c r="C1834" s="59">
        <f t="shared" si="196"/>
        <v>2024</v>
      </c>
      <c r="D1834" s="59">
        <f t="shared" si="197"/>
        <v>2</v>
      </c>
      <c r="E1834" s="59">
        <f t="shared" si="198"/>
        <v>8</v>
      </c>
      <c r="F1834" s="57" t="s">
        <v>61</v>
      </c>
      <c r="G1834" s="57" t="s">
        <v>41</v>
      </c>
      <c r="H1834" s="57" t="s">
        <v>3781</v>
      </c>
      <c r="I1834" s="57" t="s">
        <v>67</v>
      </c>
      <c r="J1834" s="57" t="s">
        <v>151</v>
      </c>
      <c r="K1834" s="57" t="s">
        <v>75</v>
      </c>
      <c r="L1834" s="57" t="s">
        <v>124</v>
      </c>
      <c r="M1834" s="60">
        <v>303</v>
      </c>
      <c r="N1834" s="57" t="s">
        <v>136</v>
      </c>
      <c r="O1834" s="61">
        <v>702.5</v>
      </c>
      <c r="P1834" s="61">
        <v>212857.5</v>
      </c>
      <c r="Q1834" s="61">
        <v>15003.56</v>
      </c>
      <c r="R1834" s="62">
        <f t="shared" si="199"/>
        <v>7.048640522415231E-2</v>
      </c>
      <c r="S1834" s="60">
        <v>21</v>
      </c>
      <c r="T1834" s="58">
        <v>45366</v>
      </c>
      <c r="U1834" s="58">
        <v>45378</v>
      </c>
      <c r="V1834" s="63">
        <f t="shared" si="200"/>
        <v>12</v>
      </c>
      <c r="W1834" s="57" t="s">
        <v>125</v>
      </c>
      <c r="X1834" s="64" t="b">
        <f t="shared" si="201"/>
        <v>0</v>
      </c>
      <c r="Y1834" s="60">
        <v>251</v>
      </c>
      <c r="Z1834" s="60">
        <v>464</v>
      </c>
      <c r="AA1834" s="57" t="s">
        <v>81</v>
      </c>
      <c r="AB1834" s="64" t="b">
        <f t="shared" si="202"/>
        <v>1</v>
      </c>
    </row>
    <row r="1835" spans="1:28" ht="15" customHeight="1" x14ac:dyDescent="0.3">
      <c r="A1835" s="65" t="s">
        <v>3782</v>
      </c>
      <c r="B1835" s="81">
        <v>45273</v>
      </c>
      <c r="C1835" s="59">
        <f t="shared" si="196"/>
        <v>2023</v>
      </c>
      <c r="D1835" s="59">
        <f t="shared" si="197"/>
        <v>12</v>
      </c>
      <c r="E1835" s="59">
        <f t="shared" si="198"/>
        <v>50</v>
      </c>
      <c r="F1835" s="65" t="s">
        <v>52</v>
      </c>
      <c r="G1835" s="65" t="s">
        <v>45</v>
      </c>
      <c r="H1835" s="65" t="s">
        <v>3783</v>
      </c>
      <c r="I1835" s="65" t="s">
        <v>69</v>
      </c>
      <c r="J1835" s="65" t="s">
        <v>131</v>
      </c>
      <c r="K1835" s="65" t="s">
        <v>71</v>
      </c>
      <c r="L1835" s="65" t="s">
        <v>135</v>
      </c>
      <c r="M1835" s="67">
        <v>598</v>
      </c>
      <c r="N1835" s="65" t="s">
        <v>120</v>
      </c>
      <c r="O1835" s="68">
        <v>196.03</v>
      </c>
      <c r="P1835" s="68">
        <v>117225.94</v>
      </c>
      <c r="Q1835" s="68">
        <v>6689.11</v>
      </c>
      <c r="R1835" s="62">
        <f t="shared" si="199"/>
        <v>5.7061687882391895E-2</v>
      </c>
      <c r="S1835" s="67">
        <v>22</v>
      </c>
      <c r="T1835" s="66">
        <v>45295</v>
      </c>
      <c r="U1835" s="66">
        <v>45300</v>
      </c>
      <c r="V1835" s="63">
        <f t="shared" si="200"/>
        <v>5</v>
      </c>
      <c r="W1835" s="65" t="s">
        <v>125</v>
      </c>
      <c r="X1835" s="64" t="b">
        <f t="shared" si="201"/>
        <v>0</v>
      </c>
      <c r="Y1835" s="67">
        <v>231</v>
      </c>
      <c r="Z1835" s="67">
        <v>258</v>
      </c>
      <c r="AA1835" s="65" t="s">
        <v>116</v>
      </c>
      <c r="AB1835" s="64" t="b">
        <f t="shared" si="202"/>
        <v>0</v>
      </c>
    </row>
    <row r="1836" spans="1:28" ht="15" customHeight="1" x14ac:dyDescent="0.3">
      <c r="A1836" s="57" t="s">
        <v>3784</v>
      </c>
      <c r="B1836" s="82">
        <v>45622</v>
      </c>
      <c r="C1836" s="59">
        <f t="shared" si="196"/>
        <v>2024</v>
      </c>
      <c r="D1836" s="59">
        <f t="shared" si="197"/>
        <v>11</v>
      </c>
      <c r="E1836" s="59">
        <f t="shared" si="198"/>
        <v>48</v>
      </c>
      <c r="F1836" s="57" t="s">
        <v>58</v>
      </c>
      <c r="G1836" s="57" t="s">
        <v>39</v>
      </c>
      <c r="H1836" s="57" t="s">
        <v>3785</v>
      </c>
      <c r="I1836" s="57" t="s">
        <v>69</v>
      </c>
      <c r="J1836" s="57" t="s">
        <v>123</v>
      </c>
      <c r="K1836" s="57" t="s">
        <v>74</v>
      </c>
      <c r="L1836" s="57" t="s">
        <v>135</v>
      </c>
      <c r="M1836" s="60">
        <v>358</v>
      </c>
      <c r="N1836" s="57" t="s">
        <v>114</v>
      </c>
      <c r="O1836" s="61">
        <v>1149.9100000000001</v>
      </c>
      <c r="P1836" s="61">
        <v>411667.78</v>
      </c>
      <c r="Q1836" s="61">
        <v>24150.65</v>
      </c>
      <c r="R1836" s="62">
        <f t="shared" si="199"/>
        <v>5.8665387900894261E-2</v>
      </c>
      <c r="S1836" s="60">
        <v>26</v>
      </c>
      <c r="T1836" s="58">
        <v>45648</v>
      </c>
      <c r="U1836" s="58">
        <v>45648</v>
      </c>
      <c r="V1836" s="63">
        <f t="shared" si="200"/>
        <v>0</v>
      </c>
      <c r="W1836" s="57" t="s">
        <v>115</v>
      </c>
      <c r="X1836" s="64" t="b">
        <f t="shared" si="201"/>
        <v>1</v>
      </c>
      <c r="Y1836" s="60">
        <v>296</v>
      </c>
      <c r="Z1836" s="60">
        <v>425</v>
      </c>
      <c r="AA1836" s="57" t="s">
        <v>84</v>
      </c>
      <c r="AB1836" s="64" t="b">
        <f t="shared" si="202"/>
        <v>1</v>
      </c>
    </row>
    <row r="1837" spans="1:28" ht="15" customHeight="1" x14ac:dyDescent="0.3">
      <c r="A1837" s="65" t="s">
        <v>3786</v>
      </c>
      <c r="B1837" s="81">
        <v>45539</v>
      </c>
      <c r="C1837" s="59">
        <f t="shared" si="196"/>
        <v>2024</v>
      </c>
      <c r="D1837" s="59">
        <f t="shared" si="197"/>
        <v>9</v>
      </c>
      <c r="E1837" s="59">
        <f t="shared" si="198"/>
        <v>36</v>
      </c>
      <c r="F1837" s="65" t="s">
        <v>52</v>
      </c>
      <c r="G1837" s="65" t="s">
        <v>43</v>
      </c>
      <c r="H1837" s="65" t="s">
        <v>3787</v>
      </c>
      <c r="I1837" s="65" t="s">
        <v>65</v>
      </c>
      <c r="J1837" s="65" t="s">
        <v>143</v>
      </c>
      <c r="K1837" s="65" t="s">
        <v>72</v>
      </c>
      <c r="L1837" s="65" t="s">
        <v>124</v>
      </c>
      <c r="M1837" s="67">
        <v>156</v>
      </c>
      <c r="N1837" s="65" t="s">
        <v>140</v>
      </c>
      <c r="O1837" s="68">
        <v>255.93</v>
      </c>
      <c r="P1837" s="68">
        <v>39925.08</v>
      </c>
      <c r="Q1837" s="68">
        <v>866.38</v>
      </c>
      <c r="R1837" s="62">
        <f t="shared" si="199"/>
        <v>2.170014437040577E-2</v>
      </c>
      <c r="S1837" s="67">
        <v>7</v>
      </c>
      <c r="T1837" s="66">
        <v>45546</v>
      </c>
      <c r="U1837" s="66">
        <v>45548</v>
      </c>
      <c r="V1837" s="63">
        <f t="shared" si="200"/>
        <v>2</v>
      </c>
      <c r="W1837" s="65" t="s">
        <v>125</v>
      </c>
      <c r="X1837" s="64" t="b">
        <f t="shared" si="201"/>
        <v>0</v>
      </c>
      <c r="Y1837" s="67">
        <v>385</v>
      </c>
      <c r="Z1837" s="67">
        <v>326</v>
      </c>
      <c r="AA1837" s="65" t="s">
        <v>116</v>
      </c>
      <c r="AB1837" s="64" t="b">
        <f t="shared" si="202"/>
        <v>0</v>
      </c>
    </row>
    <row r="1838" spans="1:28" ht="15" customHeight="1" x14ac:dyDescent="0.3">
      <c r="A1838" s="57" t="s">
        <v>3788</v>
      </c>
      <c r="B1838" s="82">
        <v>44980</v>
      </c>
      <c r="C1838" s="59">
        <f t="shared" si="196"/>
        <v>2023</v>
      </c>
      <c r="D1838" s="59">
        <f t="shared" si="197"/>
        <v>2</v>
      </c>
      <c r="E1838" s="59">
        <f t="shared" si="198"/>
        <v>8</v>
      </c>
      <c r="F1838" s="57" t="s">
        <v>57</v>
      </c>
      <c r="G1838" s="57" t="s">
        <v>42</v>
      </c>
      <c r="H1838" s="57" t="s">
        <v>3789</v>
      </c>
      <c r="I1838" s="57" t="s">
        <v>65</v>
      </c>
      <c r="J1838" s="57" t="s">
        <v>131</v>
      </c>
      <c r="K1838" s="57" t="s">
        <v>71</v>
      </c>
      <c r="L1838" s="57" t="s">
        <v>156</v>
      </c>
      <c r="M1838" s="60">
        <v>76</v>
      </c>
      <c r="N1838" s="57" t="s">
        <v>120</v>
      </c>
      <c r="O1838" s="61">
        <v>75.94</v>
      </c>
      <c r="P1838" s="61">
        <v>5771.44</v>
      </c>
      <c r="Q1838" s="61">
        <v>402.34</v>
      </c>
      <c r="R1838" s="62">
        <f t="shared" si="199"/>
        <v>6.9712238193587739E-2</v>
      </c>
      <c r="S1838" s="60">
        <v>14</v>
      </c>
      <c r="T1838" s="58">
        <v>44994</v>
      </c>
      <c r="U1838" s="58">
        <v>44997</v>
      </c>
      <c r="V1838" s="63">
        <f t="shared" si="200"/>
        <v>3</v>
      </c>
      <c r="W1838" s="57" t="s">
        <v>125</v>
      </c>
      <c r="X1838" s="64" t="b">
        <f t="shared" si="201"/>
        <v>0</v>
      </c>
      <c r="Y1838" s="60">
        <v>440</v>
      </c>
      <c r="Z1838" s="60">
        <v>410</v>
      </c>
      <c r="AA1838" s="57" t="s">
        <v>116</v>
      </c>
      <c r="AB1838" s="64" t="b">
        <f t="shared" si="202"/>
        <v>0</v>
      </c>
    </row>
    <row r="1839" spans="1:28" ht="15" customHeight="1" x14ac:dyDescent="0.3">
      <c r="A1839" s="65" t="s">
        <v>3790</v>
      </c>
      <c r="B1839" s="81">
        <v>45573</v>
      </c>
      <c r="C1839" s="59">
        <f t="shared" si="196"/>
        <v>2024</v>
      </c>
      <c r="D1839" s="59">
        <f t="shared" si="197"/>
        <v>10</v>
      </c>
      <c r="E1839" s="59">
        <f t="shared" si="198"/>
        <v>41</v>
      </c>
      <c r="F1839" s="65" t="s">
        <v>52</v>
      </c>
      <c r="G1839" s="65" t="s">
        <v>44</v>
      </c>
      <c r="H1839" s="65" t="s">
        <v>3791</v>
      </c>
      <c r="I1839" s="65" t="s">
        <v>66</v>
      </c>
      <c r="J1839" s="65" t="s">
        <v>151</v>
      </c>
      <c r="K1839" s="65" t="s">
        <v>74</v>
      </c>
      <c r="L1839" s="65" t="s">
        <v>119</v>
      </c>
      <c r="M1839" s="67">
        <v>913</v>
      </c>
      <c r="N1839" s="65" t="s">
        <v>163</v>
      </c>
      <c r="O1839" s="68">
        <v>159.16</v>
      </c>
      <c r="P1839" s="68">
        <v>145313.07999999999</v>
      </c>
      <c r="Q1839" s="68">
        <v>9779.06</v>
      </c>
      <c r="R1839" s="62">
        <f t="shared" si="199"/>
        <v>6.729648838218831E-2</v>
      </c>
      <c r="S1839" s="67">
        <v>15</v>
      </c>
      <c r="T1839" s="66">
        <v>45588</v>
      </c>
      <c r="U1839" s="66">
        <v>45596</v>
      </c>
      <c r="V1839" s="63">
        <f t="shared" si="200"/>
        <v>8</v>
      </c>
      <c r="W1839" s="65" t="s">
        <v>125</v>
      </c>
      <c r="X1839" s="64" t="b">
        <f t="shared" si="201"/>
        <v>0</v>
      </c>
      <c r="Y1839" s="67">
        <v>362</v>
      </c>
      <c r="Z1839" s="67">
        <v>411</v>
      </c>
      <c r="AA1839" s="65" t="s">
        <v>82</v>
      </c>
      <c r="AB1839" s="64" t="b">
        <f t="shared" si="202"/>
        <v>1</v>
      </c>
    </row>
    <row r="1840" spans="1:28" ht="15" customHeight="1" x14ac:dyDescent="0.3">
      <c r="A1840" s="57" t="s">
        <v>3792</v>
      </c>
      <c r="B1840" s="82">
        <v>45589</v>
      </c>
      <c r="C1840" s="59">
        <f t="shared" si="196"/>
        <v>2024</v>
      </c>
      <c r="D1840" s="59">
        <f t="shared" si="197"/>
        <v>10</v>
      </c>
      <c r="E1840" s="59">
        <f t="shared" si="198"/>
        <v>43</v>
      </c>
      <c r="F1840" s="57" t="s">
        <v>56</v>
      </c>
      <c r="G1840" s="57" t="s">
        <v>44</v>
      </c>
      <c r="H1840" s="57" t="s">
        <v>3793</v>
      </c>
      <c r="I1840" s="57" t="s">
        <v>66</v>
      </c>
      <c r="J1840" s="57" t="s">
        <v>131</v>
      </c>
      <c r="K1840" s="57" t="s">
        <v>75</v>
      </c>
      <c r="L1840" s="57" t="s">
        <v>119</v>
      </c>
      <c r="M1840" s="60">
        <v>529</v>
      </c>
      <c r="N1840" s="57" t="s">
        <v>114</v>
      </c>
      <c r="O1840" s="61">
        <v>126.49</v>
      </c>
      <c r="P1840" s="61">
        <v>66913.210000000006</v>
      </c>
      <c r="Q1840" s="61">
        <v>2378.2399999999998</v>
      </c>
      <c r="R1840" s="62">
        <f t="shared" si="199"/>
        <v>3.5542159761876607E-2</v>
      </c>
      <c r="S1840" s="60">
        <v>21</v>
      </c>
      <c r="T1840" s="58">
        <v>45610</v>
      </c>
      <c r="U1840" s="58">
        <v>45611</v>
      </c>
      <c r="V1840" s="63">
        <f t="shared" si="200"/>
        <v>1</v>
      </c>
      <c r="W1840" s="57" t="s">
        <v>125</v>
      </c>
      <c r="X1840" s="64" t="b">
        <f t="shared" si="201"/>
        <v>0</v>
      </c>
      <c r="Y1840" s="60">
        <v>59</v>
      </c>
      <c r="Z1840" s="60">
        <v>491</v>
      </c>
      <c r="AA1840" s="57" t="s">
        <v>116</v>
      </c>
      <c r="AB1840" s="64" t="b">
        <f t="shared" si="202"/>
        <v>0</v>
      </c>
    </row>
    <row r="1841" spans="1:28" ht="15" customHeight="1" x14ac:dyDescent="0.3">
      <c r="A1841" s="65" t="s">
        <v>3794</v>
      </c>
      <c r="B1841" s="81">
        <v>45269</v>
      </c>
      <c r="C1841" s="59">
        <f t="shared" si="196"/>
        <v>2023</v>
      </c>
      <c r="D1841" s="59">
        <f t="shared" si="197"/>
        <v>12</v>
      </c>
      <c r="E1841" s="59">
        <f t="shared" si="198"/>
        <v>49</v>
      </c>
      <c r="F1841" s="65" t="s">
        <v>57</v>
      </c>
      <c r="G1841" s="65" t="s">
        <v>46</v>
      </c>
      <c r="H1841" s="65" t="s">
        <v>3795</v>
      </c>
      <c r="I1841" s="65" t="s">
        <v>66</v>
      </c>
      <c r="J1841" s="65" t="s">
        <v>143</v>
      </c>
      <c r="K1841" s="65" t="s">
        <v>71</v>
      </c>
      <c r="L1841" s="65" t="s">
        <v>156</v>
      </c>
      <c r="M1841" s="67">
        <v>131</v>
      </c>
      <c r="N1841" s="65" t="s">
        <v>114</v>
      </c>
      <c r="O1841" s="68">
        <v>65.290000000000006</v>
      </c>
      <c r="P1841" s="68">
        <v>8552.99</v>
      </c>
      <c r="Q1841" s="68">
        <v>534.74</v>
      </c>
      <c r="R1841" s="62">
        <f t="shared" si="199"/>
        <v>6.252082605030522E-2</v>
      </c>
      <c r="S1841" s="67">
        <v>7</v>
      </c>
      <c r="T1841" s="66">
        <v>45276</v>
      </c>
      <c r="U1841" s="66">
        <v>45277</v>
      </c>
      <c r="V1841" s="63">
        <f t="shared" si="200"/>
        <v>1</v>
      </c>
      <c r="W1841" s="65" t="s">
        <v>125</v>
      </c>
      <c r="X1841" s="64" t="b">
        <f t="shared" si="201"/>
        <v>0</v>
      </c>
      <c r="Y1841" s="67">
        <v>403</v>
      </c>
      <c r="Z1841" s="67">
        <v>437</v>
      </c>
      <c r="AA1841" s="65" t="s">
        <v>116</v>
      </c>
      <c r="AB1841" s="64" t="b">
        <f t="shared" si="202"/>
        <v>0</v>
      </c>
    </row>
    <row r="1842" spans="1:28" ht="15" customHeight="1" x14ac:dyDescent="0.3">
      <c r="A1842" s="57" t="s">
        <v>3796</v>
      </c>
      <c r="B1842" s="82">
        <v>44994</v>
      </c>
      <c r="C1842" s="59">
        <f t="shared" si="196"/>
        <v>2023</v>
      </c>
      <c r="D1842" s="59">
        <f t="shared" si="197"/>
        <v>3</v>
      </c>
      <c r="E1842" s="59">
        <f t="shared" si="198"/>
        <v>10</v>
      </c>
      <c r="F1842" s="57" t="s">
        <v>52</v>
      </c>
      <c r="G1842" s="57" t="s">
        <v>42</v>
      </c>
      <c r="H1842" s="57" t="s">
        <v>3797</v>
      </c>
      <c r="I1842" s="57" t="s">
        <v>69</v>
      </c>
      <c r="J1842" s="57" t="s">
        <v>139</v>
      </c>
      <c r="K1842" s="57" t="s">
        <v>75</v>
      </c>
      <c r="L1842" s="57" t="s">
        <v>156</v>
      </c>
      <c r="M1842" s="60">
        <v>349</v>
      </c>
      <c r="N1842" s="57" t="s">
        <v>136</v>
      </c>
      <c r="O1842" s="61">
        <v>105.79</v>
      </c>
      <c r="P1842" s="61">
        <v>36920.71</v>
      </c>
      <c r="Q1842" s="61">
        <v>1214.3699999999999</v>
      </c>
      <c r="R1842" s="62">
        <f t="shared" si="199"/>
        <v>3.2891295969118682E-2</v>
      </c>
      <c r="S1842" s="60">
        <v>9</v>
      </c>
      <c r="T1842" s="58">
        <v>45003</v>
      </c>
      <c r="U1842" s="58">
        <v>44998</v>
      </c>
      <c r="V1842" s="63">
        <f t="shared" si="200"/>
        <v>-5</v>
      </c>
      <c r="W1842" s="57" t="s">
        <v>115</v>
      </c>
      <c r="X1842" s="64" t="b">
        <f t="shared" si="201"/>
        <v>1</v>
      </c>
      <c r="Y1842" s="60">
        <v>21</v>
      </c>
      <c r="Z1842" s="60">
        <v>478</v>
      </c>
      <c r="AA1842" s="57" t="s">
        <v>116</v>
      </c>
      <c r="AB1842" s="64" t="b">
        <f t="shared" si="202"/>
        <v>0</v>
      </c>
    </row>
    <row r="1843" spans="1:28" ht="15" customHeight="1" x14ac:dyDescent="0.3">
      <c r="A1843" s="65" t="s">
        <v>3798</v>
      </c>
      <c r="B1843" s="81">
        <v>45264</v>
      </c>
      <c r="C1843" s="59">
        <f t="shared" si="196"/>
        <v>2023</v>
      </c>
      <c r="D1843" s="59">
        <f t="shared" si="197"/>
        <v>12</v>
      </c>
      <c r="E1843" s="59">
        <f t="shared" si="198"/>
        <v>49</v>
      </c>
      <c r="F1843" s="65" t="s">
        <v>52</v>
      </c>
      <c r="G1843" s="65" t="s">
        <v>46</v>
      </c>
      <c r="H1843" s="65" t="s">
        <v>3799</v>
      </c>
      <c r="I1843" s="65" t="s">
        <v>68</v>
      </c>
      <c r="J1843" s="65" t="s">
        <v>151</v>
      </c>
      <c r="K1843" s="65" t="s">
        <v>75</v>
      </c>
      <c r="L1843" s="65" t="s">
        <v>113</v>
      </c>
      <c r="M1843" s="67">
        <v>184</v>
      </c>
      <c r="N1843" s="65" t="s">
        <v>136</v>
      </c>
      <c r="O1843" s="68">
        <v>60.35</v>
      </c>
      <c r="P1843" s="68">
        <v>11104.4</v>
      </c>
      <c r="Q1843" s="68">
        <v>248.96</v>
      </c>
      <c r="R1843" s="62">
        <f t="shared" si="199"/>
        <v>2.2419941644753433E-2</v>
      </c>
      <c r="S1843" s="67">
        <v>19</v>
      </c>
      <c r="T1843" s="66">
        <v>45283</v>
      </c>
      <c r="U1843" s="66">
        <v>45283</v>
      </c>
      <c r="V1843" s="63">
        <f t="shared" si="200"/>
        <v>0</v>
      </c>
      <c r="W1843" s="65" t="s">
        <v>115</v>
      </c>
      <c r="X1843" s="64" t="b">
        <f t="shared" si="201"/>
        <v>1</v>
      </c>
      <c r="Y1843" s="67">
        <v>383</v>
      </c>
      <c r="Z1843" s="67">
        <v>270</v>
      </c>
      <c r="AA1843" s="65" t="s">
        <v>81</v>
      </c>
      <c r="AB1843" s="64" t="b">
        <f t="shared" si="202"/>
        <v>1</v>
      </c>
    </row>
    <row r="1844" spans="1:28" ht="15" customHeight="1" x14ac:dyDescent="0.3">
      <c r="A1844" s="57" t="s">
        <v>3800</v>
      </c>
      <c r="B1844" s="82">
        <v>45023</v>
      </c>
      <c r="C1844" s="59">
        <f t="shared" si="196"/>
        <v>2023</v>
      </c>
      <c r="D1844" s="59">
        <f t="shared" si="197"/>
        <v>4</v>
      </c>
      <c r="E1844" s="59">
        <f t="shared" si="198"/>
        <v>14</v>
      </c>
      <c r="F1844" s="57" t="s">
        <v>55</v>
      </c>
      <c r="G1844" s="57" t="s">
        <v>43</v>
      </c>
      <c r="H1844" s="57" t="s">
        <v>3801</v>
      </c>
      <c r="I1844" s="57" t="s">
        <v>68</v>
      </c>
      <c r="J1844" s="57" t="s">
        <v>143</v>
      </c>
      <c r="K1844" s="57" t="s">
        <v>73</v>
      </c>
      <c r="L1844" s="57" t="s">
        <v>124</v>
      </c>
      <c r="M1844" s="60">
        <v>909</v>
      </c>
      <c r="N1844" s="57" t="s">
        <v>140</v>
      </c>
      <c r="O1844" s="61">
        <v>210.9</v>
      </c>
      <c r="P1844" s="61">
        <v>191708.1</v>
      </c>
      <c r="Q1844" s="61">
        <v>6147.73</v>
      </c>
      <c r="R1844" s="62">
        <f t="shared" si="199"/>
        <v>3.2068180739363641E-2</v>
      </c>
      <c r="S1844" s="60">
        <v>16</v>
      </c>
      <c r="T1844" s="58">
        <v>45039</v>
      </c>
      <c r="U1844" s="58">
        <v>45036</v>
      </c>
      <c r="V1844" s="63">
        <f t="shared" si="200"/>
        <v>-3</v>
      </c>
      <c r="W1844" s="57" t="s">
        <v>115</v>
      </c>
      <c r="X1844" s="64" t="b">
        <f t="shared" si="201"/>
        <v>1</v>
      </c>
      <c r="Y1844" s="60">
        <v>125</v>
      </c>
      <c r="Z1844" s="60">
        <v>436</v>
      </c>
      <c r="AA1844" s="57" t="s">
        <v>81</v>
      </c>
      <c r="AB1844" s="64" t="b">
        <f t="shared" si="202"/>
        <v>1</v>
      </c>
    </row>
    <row r="1845" spans="1:28" ht="15" customHeight="1" x14ac:dyDescent="0.3">
      <c r="A1845" s="65" t="s">
        <v>3802</v>
      </c>
      <c r="B1845" s="81">
        <v>45498</v>
      </c>
      <c r="C1845" s="59">
        <f t="shared" si="196"/>
        <v>2024</v>
      </c>
      <c r="D1845" s="59">
        <f t="shared" si="197"/>
        <v>7</v>
      </c>
      <c r="E1845" s="59">
        <f t="shared" si="198"/>
        <v>30</v>
      </c>
      <c r="F1845" s="65" t="s">
        <v>54</v>
      </c>
      <c r="G1845" s="65" t="s">
        <v>40</v>
      </c>
      <c r="H1845" s="65" t="s">
        <v>3803</v>
      </c>
      <c r="I1845" s="65" t="s">
        <v>68</v>
      </c>
      <c r="J1845" s="65" t="s">
        <v>151</v>
      </c>
      <c r="K1845" s="65" t="s">
        <v>71</v>
      </c>
      <c r="L1845" s="65" t="s">
        <v>146</v>
      </c>
      <c r="M1845" s="67">
        <v>700</v>
      </c>
      <c r="N1845" s="65" t="s">
        <v>114</v>
      </c>
      <c r="O1845" s="68">
        <v>800.76</v>
      </c>
      <c r="P1845" s="68">
        <v>560532</v>
      </c>
      <c r="Q1845" s="68">
        <v>17218.27</v>
      </c>
      <c r="R1845" s="62">
        <f t="shared" si="199"/>
        <v>3.0717728871857451E-2</v>
      </c>
      <c r="S1845" s="67">
        <v>8</v>
      </c>
      <c r="T1845" s="66">
        <v>45506</v>
      </c>
      <c r="U1845" s="66">
        <v>45503</v>
      </c>
      <c r="V1845" s="63">
        <f t="shared" si="200"/>
        <v>-3</v>
      </c>
      <c r="W1845" s="65" t="s">
        <v>115</v>
      </c>
      <c r="X1845" s="64" t="b">
        <f t="shared" si="201"/>
        <v>1</v>
      </c>
      <c r="Y1845" s="67">
        <v>102</v>
      </c>
      <c r="Z1845" s="67">
        <v>495</v>
      </c>
      <c r="AA1845" s="65" t="s">
        <v>83</v>
      </c>
      <c r="AB1845" s="64" t="b">
        <f t="shared" si="202"/>
        <v>1</v>
      </c>
    </row>
    <row r="1846" spans="1:28" ht="15" customHeight="1" x14ac:dyDescent="0.3">
      <c r="A1846" s="57" t="s">
        <v>3804</v>
      </c>
      <c r="B1846" s="82">
        <v>45621</v>
      </c>
      <c r="C1846" s="59">
        <f t="shared" si="196"/>
        <v>2024</v>
      </c>
      <c r="D1846" s="59">
        <f t="shared" si="197"/>
        <v>11</v>
      </c>
      <c r="E1846" s="59">
        <f t="shared" si="198"/>
        <v>48</v>
      </c>
      <c r="F1846" s="57" t="s">
        <v>61</v>
      </c>
      <c r="G1846" s="57" t="s">
        <v>45</v>
      </c>
      <c r="H1846" s="57" t="s">
        <v>3805</v>
      </c>
      <c r="I1846" s="57" t="s">
        <v>68</v>
      </c>
      <c r="J1846" s="57" t="s">
        <v>143</v>
      </c>
      <c r="K1846" s="57" t="s">
        <v>74</v>
      </c>
      <c r="L1846" s="57" t="s">
        <v>119</v>
      </c>
      <c r="M1846" s="60">
        <v>606</v>
      </c>
      <c r="N1846" s="57" t="s">
        <v>136</v>
      </c>
      <c r="O1846" s="61">
        <v>198.77</v>
      </c>
      <c r="P1846" s="61">
        <v>120454.62</v>
      </c>
      <c r="Q1846" s="61">
        <v>4850.09</v>
      </c>
      <c r="R1846" s="62">
        <f t="shared" si="199"/>
        <v>4.0264873194569048E-2</v>
      </c>
      <c r="S1846" s="60">
        <v>18</v>
      </c>
      <c r="T1846" s="58">
        <v>45639</v>
      </c>
      <c r="U1846" s="58">
        <v>45636</v>
      </c>
      <c r="V1846" s="63">
        <f t="shared" si="200"/>
        <v>-3</v>
      </c>
      <c r="W1846" s="57" t="s">
        <v>115</v>
      </c>
      <c r="X1846" s="64" t="b">
        <f t="shared" si="201"/>
        <v>1</v>
      </c>
      <c r="Y1846" s="60">
        <v>387</v>
      </c>
      <c r="Z1846" s="60">
        <v>71</v>
      </c>
      <c r="AA1846" s="57" t="s">
        <v>116</v>
      </c>
      <c r="AB1846" s="64" t="b">
        <f t="shared" si="202"/>
        <v>0</v>
      </c>
    </row>
    <row r="1847" spans="1:28" ht="15" customHeight="1" x14ac:dyDescent="0.3">
      <c r="A1847" s="65" t="s">
        <v>3806</v>
      </c>
      <c r="B1847" s="81">
        <v>45322</v>
      </c>
      <c r="C1847" s="59">
        <f t="shared" si="196"/>
        <v>2024</v>
      </c>
      <c r="D1847" s="59">
        <f t="shared" si="197"/>
        <v>1</v>
      </c>
      <c r="E1847" s="59">
        <f t="shared" si="198"/>
        <v>5</v>
      </c>
      <c r="F1847" s="65" t="s">
        <v>57</v>
      </c>
      <c r="G1847" s="65" t="s">
        <v>41</v>
      </c>
      <c r="H1847" s="65" t="s">
        <v>3807</v>
      </c>
      <c r="I1847" s="65" t="s">
        <v>66</v>
      </c>
      <c r="J1847" s="65" t="s">
        <v>143</v>
      </c>
      <c r="K1847" s="65" t="s">
        <v>71</v>
      </c>
      <c r="L1847" s="65" t="s">
        <v>156</v>
      </c>
      <c r="M1847" s="67">
        <v>460</v>
      </c>
      <c r="N1847" s="65" t="s">
        <v>163</v>
      </c>
      <c r="O1847" s="68">
        <v>560.38</v>
      </c>
      <c r="P1847" s="68">
        <v>257774.8</v>
      </c>
      <c r="Q1847" s="68">
        <v>11627.44</v>
      </c>
      <c r="R1847" s="62">
        <f t="shared" si="199"/>
        <v>4.5106969339128576E-2</v>
      </c>
      <c r="S1847" s="67">
        <v>27</v>
      </c>
      <c r="T1847" s="66">
        <v>45349</v>
      </c>
      <c r="U1847" s="66">
        <v>45349</v>
      </c>
      <c r="V1847" s="63">
        <f t="shared" si="200"/>
        <v>0</v>
      </c>
      <c r="W1847" s="65" t="s">
        <v>115</v>
      </c>
      <c r="X1847" s="64" t="b">
        <f t="shared" si="201"/>
        <v>1</v>
      </c>
      <c r="Y1847" s="67">
        <v>439</v>
      </c>
      <c r="Z1847" s="67">
        <v>69</v>
      </c>
      <c r="AA1847" s="65" t="s">
        <v>83</v>
      </c>
      <c r="AB1847" s="64" t="b">
        <f t="shared" si="202"/>
        <v>1</v>
      </c>
    </row>
    <row r="1848" spans="1:28" ht="15" customHeight="1" x14ac:dyDescent="0.3">
      <c r="A1848" s="57" t="s">
        <v>3808</v>
      </c>
      <c r="B1848" s="82">
        <v>45217</v>
      </c>
      <c r="C1848" s="59">
        <f t="shared" si="196"/>
        <v>2023</v>
      </c>
      <c r="D1848" s="59">
        <f t="shared" si="197"/>
        <v>10</v>
      </c>
      <c r="E1848" s="59">
        <f t="shared" si="198"/>
        <v>42</v>
      </c>
      <c r="F1848" s="57" t="s">
        <v>58</v>
      </c>
      <c r="G1848" s="57" t="s">
        <v>42</v>
      </c>
      <c r="H1848" s="57" t="s">
        <v>3809</v>
      </c>
      <c r="I1848" s="57" t="s">
        <v>69</v>
      </c>
      <c r="J1848" s="57" t="s">
        <v>123</v>
      </c>
      <c r="K1848" s="57" t="s">
        <v>71</v>
      </c>
      <c r="L1848" s="57" t="s">
        <v>156</v>
      </c>
      <c r="M1848" s="60">
        <v>566</v>
      </c>
      <c r="N1848" s="57" t="s">
        <v>136</v>
      </c>
      <c r="O1848" s="61">
        <v>107.76</v>
      </c>
      <c r="P1848" s="61">
        <v>60992.160000000003</v>
      </c>
      <c r="Q1848" s="61">
        <v>3080.86</v>
      </c>
      <c r="R1848" s="62">
        <f t="shared" si="199"/>
        <v>5.0512393724045847E-2</v>
      </c>
      <c r="S1848" s="60">
        <v>23</v>
      </c>
      <c r="T1848" s="58">
        <v>45240</v>
      </c>
      <c r="U1848" s="58">
        <v>45235</v>
      </c>
      <c r="V1848" s="63">
        <f t="shared" si="200"/>
        <v>-5</v>
      </c>
      <c r="W1848" s="57" t="s">
        <v>115</v>
      </c>
      <c r="X1848" s="64" t="b">
        <f t="shared" si="201"/>
        <v>1</v>
      </c>
      <c r="Y1848" s="60">
        <v>220</v>
      </c>
      <c r="Z1848" s="60">
        <v>219</v>
      </c>
      <c r="AA1848" s="57" t="s">
        <v>82</v>
      </c>
      <c r="AB1848" s="64" t="b">
        <f t="shared" si="202"/>
        <v>1</v>
      </c>
    </row>
    <row r="1849" spans="1:28" ht="15" customHeight="1" x14ac:dyDescent="0.3">
      <c r="A1849" s="65" t="s">
        <v>3810</v>
      </c>
      <c r="B1849" s="81">
        <v>45185</v>
      </c>
      <c r="C1849" s="59">
        <f t="shared" si="196"/>
        <v>2023</v>
      </c>
      <c r="D1849" s="59">
        <f t="shared" si="197"/>
        <v>9</v>
      </c>
      <c r="E1849" s="59">
        <f t="shared" si="198"/>
        <v>37</v>
      </c>
      <c r="F1849" s="65" t="s">
        <v>59</v>
      </c>
      <c r="G1849" s="65" t="s">
        <v>42</v>
      </c>
      <c r="H1849" s="65" t="s">
        <v>3811</v>
      </c>
      <c r="I1849" s="65" t="s">
        <v>68</v>
      </c>
      <c r="J1849" s="65" t="s">
        <v>123</v>
      </c>
      <c r="K1849" s="65" t="s">
        <v>75</v>
      </c>
      <c r="L1849" s="65" t="s">
        <v>124</v>
      </c>
      <c r="M1849" s="67">
        <v>145</v>
      </c>
      <c r="N1849" s="65" t="s">
        <v>114</v>
      </c>
      <c r="O1849" s="68">
        <v>79.150000000000006</v>
      </c>
      <c r="P1849" s="68">
        <v>11476.75</v>
      </c>
      <c r="Q1849" s="68">
        <v>557.83000000000004</v>
      </c>
      <c r="R1849" s="62">
        <f t="shared" si="199"/>
        <v>4.8605223604243367E-2</v>
      </c>
      <c r="S1849" s="67">
        <v>29</v>
      </c>
      <c r="T1849" s="66">
        <v>45214</v>
      </c>
      <c r="U1849" s="66">
        <v>45214</v>
      </c>
      <c r="V1849" s="63">
        <f t="shared" si="200"/>
        <v>0</v>
      </c>
      <c r="W1849" s="65" t="s">
        <v>115</v>
      </c>
      <c r="X1849" s="64" t="b">
        <f t="shared" si="201"/>
        <v>1</v>
      </c>
      <c r="Y1849" s="67">
        <v>109</v>
      </c>
      <c r="Z1849" s="67">
        <v>3</v>
      </c>
      <c r="AA1849" s="65" t="s">
        <v>82</v>
      </c>
      <c r="AB1849" s="64" t="b">
        <f t="shared" si="202"/>
        <v>1</v>
      </c>
    </row>
    <row r="1850" spans="1:28" ht="15" customHeight="1" x14ac:dyDescent="0.3">
      <c r="A1850" s="57" t="s">
        <v>3812</v>
      </c>
      <c r="B1850" s="82">
        <v>45599</v>
      </c>
      <c r="C1850" s="59">
        <f t="shared" si="196"/>
        <v>2024</v>
      </c>
      <c r="D1850" s="59">
        <f t="shared" si="197"/>
        <v>11</v>
      </c>
      <c r="E1850" s="59">
        <f t="shared" si="198"/>
        <v>45</v>
      </c>
      <c r="F1850" s="57" t="s">
        <v>53</v>
      </c>
      <c r="G1850" s="57" t="s">
        <v>42</v>
      </c>
      <c r="H1850" s="57" t="s">
        <v>3813</v>
      </c>
      <c r="I1850" s="57" t="s">
        <v>67</v>
      </c>
      <c r="J1850" s="57" t="s">
        <v>123</v>
      </c>
      <c r="K1850" s="57" t="s">
        <v>75</v>
      </c>
      <c r="L1850" s="57" t="s">
        <v>146</v>
      </c>
      <c r="M1850" s="60">
        <v>864</v>
      </c>
      <c r="N1850" s="57" t="s">
        <v>132</v>
      </c>
      <c r="O1850" s="61">
        <v>89.55</v>
      </c>
      <c r="P1850" s="61">
        <v>77371.199999999997</v>
      </c>
      <c r="Q1850" s="61">
        <v>2803.97</v>
      </c>
      <c r="R1850" s="62">
        <f t="shared" si="199"/>
        <v>3.6240487416506401E-2</v>
      </c>
      <c r="S1850" s="60">
        <v>18</v>
      </c>
      <c r="T1850" s="58">
        <v>45617</v>
      </c>
      <c r="U1850" s="58">
        <v>45614</v>
      </c>
      <c r="V1850" s="63">
        <f t="shared" si="200"/>
        <v>-3</v>
      </c>
      <c r="W1850" s="57" t="s">
        <v>115</v>
      </c>
      <c r="X1850" s="64" t="b">
        <f t="shared" si="201"/>
        <v>1</v>
      </c>
      <c r="Y1850" s="60">
        <v>57</v>
      </c>
      <c r="Z1850" s="60">
        <v>349</v>
      </c>
      <c r="AA1850" s="57" t="s">
        <v>116</v>
      </c>
      <c r="AB1850" s="64" t="b">
        <f t="shared" si="202"/>
        <v>0</v>
      </c>
    </row>
    <row r="1851" spans="1:28" ht="15" customHeight="1" x14ac:dyDescent="0.3">
      <c r="A1851" s="65" t="s">
        <v>3814</v>
      </c>
      <c r="B1851" s="81">
        <v>45544</v>
      </c>
      <c r="C1851" s="59">
        <f t="shared" si="196"/>
        <v>2024</v>
      </c>
      <c r="D1851" s="59">
        <f t="shared" si="197"/>
        <v>9</v>
      </c>
      <c r="E1851" s="59">
        <f t="shared" si="198"/>
        <v>37</v>
      </c>
      <c r="F1851" s="65" t="s">
        <v>60</v>
      </c>
      <c r="G1851" s="65" t="s">
        <v>46</v>
      </c>
      <c r="H1851" s="65" t="s">
        <v>3815</v>
      </c>
      <c r="I1851" s="65" t="s">
        <v>64</v>
      </c>
      <c r="J1851" s="65" t="s">
        <v>139</v>
      </c>
      <c r="K1851" s="65" t="s">
        <v>75</v>
      </c>
      <c r="L1851" s="65" t="s">
        <v>156</v>
      </c>
      <c r="M1851" s="67">
        <v>25</v>
      </c>
      <c r="N1851" s="65" t="s">
        <v>120</v>
      </c>
      <c r="O1851" s="68">
        <v>74.19</v>
      </c>
      <c r="P1851" s="68">
        <v>3302.8089</v>
      </c>
      <c r="Q1851" s="68">
        <v>142.36009999999999</v>
      </c>
      <c r="R1851" s="62">
        <f t="shared" si="199"/>
        <v>4.3102735977246516E-2</v>
      </c>
      <c r="S1851" s="67">
        <v>20</v>
      </c>
      <c r="T1851" s="66">
        <v>45564</v>
      </c>
      <c r="U1851" s="66">
        <v>45564</v>
      </c>
      <c r="V1851" s="63">
        <f t="shared" si="200"/>
        <v>0</v>
      </c>
      <c r="W1851" s="65" t="s">
        <v>115</v>
      </c>
      <c r="X1851" s="64" t="b">
        <f t="shared" si="201"/>
        <v>1</v>
      </c>
      <c r="Y1851" s="67">
        <v>471</v>
      </c>
      <c r="Z1851" s="67">
        <v>490</v>
      </c>
      <c r="AA1851" s="65" t="s">
        <v>83</v>
      </c>
      <c r="AB1851" s="64" t="b">
        <f t="shared" si="202"/>
        <v>1</v>
      </c>
    </row>
    <row r="1852" spans="1:28" ht="15" customHeight="1" x14ac:dyDescent="0.3">
      <c r="A1852" s="57" t="s">
        <v>3816</v>
      </c>
      <c r="B1852" s="82">
        <v>45080</v>
      </c>
      <c r="C1852" s="59">
        <f t="shared" si="196"/>
        <v>2023</v>
      </c>
      <c r="D1852" s="59">
        <f t="shared" si="197"/>
        <v>6</v>
      </c>
      <c r="E1852" s="59">
        <f t="shared" si="198"/>
        <v>22</v>
      </c>
      <c r="F1852" s="57" t="s">
        <v>52</v>
      </c>
      <c r="G1852" s="57" t="s">
        <v>43</v>
      </c>
      <c r="H1852" s="57" t="s">
        <v>3817</v>
      </c>
      <c r="I1852" s="57" t="s">
        <v>67</v>
      </c>
      <c r="J1852" s="57" t="s">
        <v>139</v>
      </c>
      <c r="K1852" s="57" t="s">
        <v>75</v>
      </c>
      <c r="L1852" s="57" t="s">
        <v>113</v>
      </c>
      <c r="M1852" s="60">
        <v>342</v>
      </c>
      <c r="N1852" s="57" t="s">
        <v>114</v>
      </c>
      <c r="O1852" s="61">
        <v>183.11</v>
      </c>
      <c r="P1852" s="61">
        <v>62623.62</v>
      </c>
      <c r="Q1852" s="61">
        <v>3526.09</v>
      </c>
      <c r="R1852" s="62">
        <f t="shared" si="199"/>
        <v>5.6306071095858078E-2</v>
      </c>
      <c r="S1852" s="60">
        <v>7</v>
      </c>
      <c r="T1852" s="58">
        <v>45087</v>
      </c>
      <c r="U1852" s="58">
        <v>45086</v>
      </c>
      <c r="V1852" s="63">
        <f t="shared" si="200"/>
        <v>-1</v>
      </c>
      <c r="W1852" s="57" t="s">
        <v>115</v>
      </c>
      <c r="X1852" s="64" t="b">
        <f t="shared" si="201"/>
        <v>1</v>
      </c>
      <c r="Y1852" s="60">
        <v>64</v>
      </c>
      <c r="Z1852" s="60">
        <v>400</v>
      </c>
      <c r="AA1852" s="57" t="s">
        <v>83</v>
      </c>
      <c r="AB1852" s="64" t="b">
        <f t="shared" si="202"/>
        <v>1</v>
      </c>
    </row>
    <row r="1853" spans="1:28" ht="15" customHeight="1" x14ac:dyDescent="0.3">
      <c r="A1853" s="65" t="s">
        <v>3818</v>
      </c>
      <c r="B1853" s="81">
        <v>45268</v>
      </c>
      <c r="C1853" s="59">
        <f t="shared" si="196"/>
        <v>2023</v>
      </c>
      <c r="D1853" s="59">
        <f t="shared" si="197"/>
        <v>12</v>
      </c>
      <c r="E1853" s="59">
        <f t="shared" si="198"/>
        <v>49</v>
      </c>
      <c r="F1853" s="65" t="s">
        <v>59</v>
      </c>
      <c r="G1853" s="65" t="s">
        <v>42</v>
      </c>
      <c r="H1853" s="65" t="s">
        <v>3819</v>
      </c>
      <c r="I1853" s="65" t="s">
        <v>69</v>
      </c>
      <c r="J1853" s="65" t="s">
        <v>143</v>
      </c>
      <c r="K1853" s="65" t="s">
        <v>74</v>
      </c>
      <c r="L1853" s="65" t="s">
        <v>146</v>
      </c>
      <c r="M1853" s="67">
        <v>204</v>
      </c>
      <c r="N1853" s="65" t="s">
        <v>163</v>
      </c>
      <c r="O1853" s="68">
        <v>73.760000000000005</v>
      </c>
      <c r="P1853" s="68">
        <v>15047.04</v>
      </c>
      <c r="Q1853" s="68">
        <v>658.23</v>
      </c>
      <c r="R1853" s="62">
        <f t="shared" si="199"/>
        <v>4.3744816256220488E-2</v>
      </c>
      <c r="S1853" s="67">
        <v>3</v>
      </c>
      <c r="T1853" s="66">
        <v>45271</v>
      </c>
      <c r="U1853" s="66">
        <v>45283</v>
      </c>
      <c r="V1853" s="63">
        <f t="shared" si="200"/>
        <v>12</v>
      </c>
      <c r="W1853" s="65" t="s">
        <v>128</v>
      </c>
      <c r="X1853" s="64" t="b">
        <f t="shared" si="201"/>
        <v>0</v>
      </c>
      <c r="Y1853" s="67">
        <v>471</v>
      </c>
      <c r="Z1853" s="67">
        <v>289</v>
      </c>
      <c r="AA1853" s="65" t="s">
        <v>116</v>
      </c>
      <c r="AB1853" s="64" t="b">
        <f t="shared" si="202"/>
        <v>0</v>
      </c>
    </row>
    <row r="1854" spans="1:28" ht="15" customHeight="1" x14ac:dyDescent="0.3">
      <c r="A1854" s="57" t="s">
        <v>3820</v>
      </c>
      <c r="B1854" s="82">
        <v>45010</v>
      </c>
      <c r="C1854" s="59">
        <f t="shared" si="196"/>
        <v>2023</v>
      </c>
      <c r="D1854" s="59">
        <f t="shared" si="197"/>
        <v>3</v>
      </c>
      <c r="E1854" s="59">
        <f t="shared" si="198"/>
        <v>12</v>
      </c>
      <c r="F1854" s="57" t="s">
        <v>56</v>
      </c>
      <c r="G1854" s="57" t="s">
        <v>40</v>
      </c>
      <c r="H1854" s="57" t="s">
        <v>3821</v>
      </c>
      <c r="I1854" s="57" t="s">
        <v>69</v>
      </c>
      <c r="J1854" s="57" t="s">
        <v>112</v>
      </c>
      <c r="K1854" s="57" t="s">
        <v>72</v>
      </c>
      <c r="L1854" s="57" t="s">
        <v>113</v>
      </c>
      <c r="M1854" s="60">
        <v>505</v>
      </c>
      <c r="N1854" s="57" t="s">
        <v>114</v>
      </c>
      <c r="O1854" s="61">
        <v>1157.3800000000001</v>
      </c>
      <c r="P1854" s="61">
        <v>584476.9</v>
      </c>
      <c r="Q1854" s="61">
        <v>22163.56</v>
      </c>
      <c r="R1854" s="62">
        <f t="shared" si="199"/>
        <v>3.7920335260469659E-2</v>
      </c>
      <c r="S1854" s="60">
        <v>18</v>
      </c>
      <c r="T1854" s="58">
        <v>45028</v>
      </c>
      <c r="U1854" s="58">
        <v>45030</v>
      </c>
      <c r="V1854" s="63">
        <f t="shared" si="200"/>
        <v>2</v>
      </c>
      <c r="W1854" s="57" t="s">
        <v>125</v>
      </c>
      <c r="X1854" s="64" t="b">
        <f t="shared" si="201"/>
        <v>0</v>
      </c>
      <c r="Y1854" s="60">
        <v>57</v>
      </c>
      <c r="Z1854" s="60">
        <v>379</v>
      </c>
      <c r="AA1854" s="57" t="s">
        <v>81</v>
      </c>
      <c r="AB1854" s="64" t="b">
        <f t="shared" si="202"/>
        <v>1</v>
      </c>
    </row>
    <row r="1855" spans="1:28" ht="15" customHeight="1" x14ac:dyDescent="0.3">
      <c r="A1855" s="65" t="s">
        <v>3822</v>
      </c>
      <c r="B1855" s="81">
        <v>45523</v>
      </c>
      <c r="C1855" s="59">
        <f t="shared" si="196"/>
        <v>2024</v>
      </c>
      <c r="D1855" s="59">
        <f t="shared" si="197"/>
        <v>8</v>
      </c>
      <c r="E1855" s="59">
        <f t="shared" si="198"/>
        <v>34</v>
      </c>
      <c r="F1855" s="65" t="s">
        <v>60</v>
      </c>
      <c r="G1855" s="65" t="s">
        <v>42</v>
      </c>
      <c r="H1855" s="65" t="s">
        <v>3823</v>
      </c>
      <c r="I1855" s="65" t="s">
        <v>64</v>
      </c>
      <c r="J1855" s="65" t="s">
        <v>151</v>
      </c>
      <c r="K1855" s="65" t="s">
        <v>73</v>
      </c>
      <c r="L1855" s="65" t="s">
        <v>135</v>
      </c>
      <c r="M1855" s="67">
        <v>18</v>
      </c>
      <c r="N1855" s="65" t="s">
        <v>163</v>
      </c>
      <c r="O1855" s="68">
        <v>102.31</v>
      </c>
      <c r="P1855" s="68">
        <v>3302.8089</v>
      </c>
      <c r="Q1855" s="68">
        <v>142.36009999999999</v>
      </c>
      <c r="R1855" s="62">
        <f t="shared" si="199"/>
        <v>4.3102735977246516E-2</v>
      </c>
      <c r="S1855" s="67">
        <v>27</v>
      </c>
      <c r="T1855" s="66">
        <v>45550</v>
      </c>
      <c r="U1855" s="66">
        <v>45550</v>
      </c>
      <c r="V1855" s="63">
        <f t="shared" si="200"/>
        <v>0</v>
      </c>
      <c r="W1855" s="65" t="s">
        <v>115</v>
      </c>
      <c r="X1855" s="64" t="b">
        <f t="shared" si="201"/>
        <v>1</v>
      </c>
      <c r="Y1855" s="67">
        <v>157</v>
      </c>
      <c r="Z1855" s="67">
        <v>389</v>
      </c>
      <c r="AA1855" s="65" t="s">
        <v>116</v>
      </c>
      <c r="AB1855" s="64" t="b">
        <f t="shared" si="202"/>
        <v>0</v>
      </c>
    </row>
    <row r="1856" spans="1:28" ht="15" customHeight="1" x14ac:dyDescent="0.3">
      <c r="A1856" s="57" t="s">
        <v>3824</v>
      </c>
      <c r="B1856" s="82">
        <v>45606</v>
      </c>
      <c r="C1856" s="59">
        <f t="shared" si="196"/>
        <v>2024</v>
      </c>
      <c r="D1856" s="59">
        <f t="shared" si="197"/>
        <v>11</v>
      </c>
      <c r="E1856" s="59">
        <f t="shared" si="198"/>
        <v>46</v>
      </c>
      <c r="F1856" s="57" t="s">
        <v>54</v>
      </c>
      <c r="G1856" s="57" t="s">
        <v>44</v>
      </c>
      <c r="H1856" s="57" t="s">
        <v>3825</v>
      </c>
      <c r="I1856" s="57" t="s">
        <v>65</v>
      </c>
      <c r="J1856" s="57" t="s">
        <v>123</v>
      </c>
      <c r="K1856" s="57" t="s">
        <v>75</v>
      </c>
      <c r="L1856" s="57" t="s">
        <v>119</v>
      </c>
      <c r="M1856" s="60">
        <v>837</v>
      </c>
      <c r="N1856" s="57" t="s">
        <v>114</v>
      </c>
      <c r="O1856" s="61">
        <v>139.41</v>
      </c>
      <c r="P1856" s="61">
        <v>116686.17</v>
      </c>
      <c r="Q1856" s="61">
        <v>7561.8</v>
      </c>
      <c r="R1856" s="62">
        <f t="shared" si="199"/>
        <v>6.4804595094688597E-2</v>
      </c>
      <c r="S1856" s="60">
        <v>10</v>
      </c>
      <c r="T1856" s="58">
        <v>45616</v>
      </c>
      <c r="U1856" s="58">
        <v>45611</v>
      </c>
      <c r="V1856" s="63">
        <f t="shared" si="200"/>
        <v>-5</v>
      </c>
      <c r="W1856" s="57" t="s">
        <v>115</v>
      </c>
      <c r="X1856" s="64" t="b">
        <f t="shared" si="201"/>
        <v>1</v>
      </c>
      <c r="Y1856" s="60">
        <v>75</v>
      </c>
      <c r="Z1856" s="60">
        <v>291</v>
      </c>
      <c r="AA1856" s="57" t="s">
        <v>83</v>
      </c>
      <c r="AB1856" s="64" t="b">
        <f t="shared" si="202"/>
        <v>1</v>
      </c>
    </row>
    <row r="1857" spans="1:28" ht="15" customHeight="1" x14ac:dyDescent="0.3">
      <c r="A1857" s="65" t="s">
        <v>3826</v>
      </c>
      <c r="B1857" s="81">
        <v>45071</v>
      </c>
      <c r="C1857" s="59">
        <f t="shared" si="196"/>
        <v>2023</v>
      </c>
      <c r="D1857" s="59">
        <f t="shared" si="197"/>
        <v>5</v>
      </c>
      <c r="E1857" s="59">
        <f t="shared" si="198"/>
        <v>21</v>
      </c>
      <c r="F1857" s="65" t="s">
        <v>59</v>
      </c>
      <c r="G1857" s="65" t="s">
        <v>45</v>
      </c>
      <c r="H1857" s="65" t="s">
        <v>3827</v>
      </c>
      <c r="I1857" s="65" t="s">
        <v>65</v>
      </c>
      <c r="J1857" s="65" t="s">
        <v>151</v>
      </c>
      <c r="K1857" s="65" t="s">
        <v>75</v>
      </c>
      <c r="L1857" s="65" t="s">
        <v>156</v>
      </c>
      <c r="M1857" s="67">
        <v>343</v>
      </c>
      <c r="N1857" s="65" t="s">
        <v>120</v>
      </c>
      <c r="O1857" s="68">
        <v>243.64</v>
      </c>
      <c r="P1857" s="68">
        <v>83568.52</v>
      </c>
      <c r="Q1857" s="68">
        <v>5972.3</v>
      </c>
      <c r="R1857" s="62">
        <f t="shared" si="199"/>
        <v>7.1465906061277618E-2</v>
      </c>
      <c r="S1857" s="67">
        <v>7</v>
      </c>
      <c r="T1857" s="66">
        <v>45078</v>
      </c>
      <c r="U1857" s="66">
        <v>45073</v>
      </c>
      <c r="V1857" s="63">
        <f t="shared" si="200"/>
        <v>-5</v>
      </c>
      <c r="W1857" s="65" t="s">
        <v>115</v>
      </c>
      <c r="X1857" s="64" t="b">
        <f t="shared" si="201"/>
        <v>1</v>
      </c>
      <c r="Y1857" s="67">
        <v>18</v>
      </c>
      <c r="Z1857" s="67">
        <v>354</v>
      </c>
      <c r="AA1857" s="65" t="s">
        <v>82</v>
      </c>
      <c r="AB1857" s="64" t="b">
        <f t="shared" si="202"/>
        <v>1</v>
      </c>
    </row>
    <row r="1858" spans="1:28" ht="15" customHeight="1" x14ac:dyDescent="0.3">
      <c r="A1858" s="57" t="s">
        <v>3828</v>
      </c>
      <c r="B1858" s="82">
        <v>45285</v>
      </c>
      <c r="C1858" s="59">
        <f t="shared" ref="C1858:C1921" si="203">YEAR(B1858)</f>
        <v>2023</v>
      </c>
      <c r="D1858" s="59">
        <f t="shared" ref="D1858:D1921" si="204">MONTH(B1858)</f>
        <v>12</v>
      </c>
      <c r="E1858" s="59">
        <f t="shared" ref="E1858:E1921" si="205">WEEKNUM(B1858,1)</f>
        <v>52</v>
      </c>
      <c r="F1858" s="57" t="s">
        <v>55</v>
      </c>
      <c r="G1858" s="57" t="s">
        <v>41</v>
      </c>
      <c r="H1858" s="57" t="s">
        <v>3829</v>
      </c>
      <c r="I1858" s="57" t="s">
        <v>65</v>
      </c>
      <c r="J1858" s="57" t="s">
        <v>143</v>
      </c>
      <c r="K1858" s="57" t="s">
        <v>73</v>
      </c>
      <c r="L1858" s="57" t="s">
        <v>146</v>
      </c>
      <c r="M1858" s="60">
        <v>342</v>
      </c>
      <c r="N1858" s="57" t="s">
        <v>120</v>
      </c>
      <c r="O1858" s="61">
        <v>361.72</v>
      </c>
      <c r="P1858" s="61">
        <v>123708.24</v>
      </c>
      <c r="Q1858" s="61">
        <v>6148.17</v>
      </c>
      <c r="R1858" s="62">
        <f t="shared" ref="R1858:R1921" si="206">Q1858/P1858</f>
        <v>4.9698952955761072E-2</v>
      </c>
      <c r="S1858" s="60">
        <v>17</v>
      </c>
      <c r="T1858" s="58">
        <v>45302</v>
      </c>
      <c r="U1858" s="58">
        <v>45314</v>
      </c>
      <c r="V1858" s="63">
        <f t="shared" ref="V1858:V1921" si="207">U1858-T1858</f>
        <v>12</v>
      </c>
      <c r="W1858" s="57" t="s">
        <v>128</v>
      </c>
      <c r="X1858" s="64" t="b">
        <f t="shared" ref="X1858:X1921" si="208">IF(W1858="Entregado", TRUE(), FALSE())</f>
        <v>0</v>
      </c>
      <c r="Y1858" s="60">
        <v>383</v>
      </c>
      <c r="Z1858" s="60">
        <v>230</v>
      </c>
      <c r="AA1858" s="57" t="s">
        <v>116</v>
      </c>
      <c r="AB1858" s="64" t="b">
        <f t="shared" ref="AB1858:AB1921" si="209">IF(AA1858="Ninguna",FALSE(),TRUE())</f>
        <v>0</v>
      </c>
    </row>
    <row r="1859" spans="1:28" ht="15" customHeight="1" x14ac:dyDescent="0.3">
      <c r="A1859" s="65" t="s">
        <v>3830</v>
      </c>
      <c r="B1859" s="81">
        <v>45244</v>
      </c>
      <c r="C1859" s="59">
        <f t="shared" si="203"/>
        <v>2023</v>
      </c>
      <c r="D1859" s="59">
        <f t="shared" si="204"/>
        <v>11</v>
      </c>
      <c r="E1859" s="59">
        <f t="shared" si="205"/>
        <v>46</v>
      </c>
      <c r="F1859" s="65" t="s">
        <v>59</v>
      </c>
      <c r="G1859" s="65" t="s">
        <v>45</v>
      </c>
      <c r="H1859" s="65" t="s">
        <v>3831</v>
      </c>
      <c r="I1859" s="65" t="s">
        <v>66</v>
      </c>
      <c r="J1859" s="65" t="s">
        <v>131</v>
      </c>
      <c r="K1859" s="65" t="s">
        <v>75</v>
      </c>
      <c r="L1859" s="65" t="s">
        <v>113</v>
      </c>
      <c r="M1859" s="67">
        <v>336</v>
      </c>
      <c r="N1859" s="65" t="s">
        <v>163</v>
      </c>
      <c r="O1859" s="68">
        <v>238.9</v>
      </c>
      <c r="P1859" s="68">
        <v>80270.399999999994</v>
      </c>
      <c r="Q1859" s="68">
        <v>2236</v>
      </c>
      <c r="R1859" s="62">
        <f t="shared" si="206"/>
        <v>2.7855847236341168E-2</v>
      </c>
      <c r="S1859" s="67">
        <v>14</v>
      </c>
      <c r="T1859" s="66">
        <v>45258</v>
      </c>
      <c r="U1859" s="66">
        <v>45263</v>
      </c>
      <c r="V1859" s="63">
        <f t="shared" si="207"/>
        <v>5</v>
      </c>
      <c r="W1859" s="65" t="s">
        <v>128</v>
      </c>
      <c r="X1859" s="64" t="b">
        <f t="shared" si="208"/>
        <v>0</v>
      </c>
      <c r="Y1859" s="67">
        <v>484</v>
      </c>
      <c r="Z1859" s="67">
        <v>422</v>
      </c>
      <c r="AA1859" s="65" t="s">
        <v>83</v>
      </c>
      <c r="AB1859" s="64" t="b">
        <f t="shared" si="209"/>
        <v>1</v>
      </c>
    </row>
    <row r="1860" spans="1:28" ht="15" customHeight="1" x14ac:dyDescent="0.3">
      <c r="A1860" s="57" t="s">
        <v>3832</v>
      </c>
      <c r="B1860" s="82">
        <v>45598</v>
      </c>
      <c r="C1860" s="59">
        <f t="shared" si="203"/>
        <v>2024</v>
      </c>
      <c r="D1860" s="59">
        <f t="shared" si="204"/>
        <v>11</v>
      </c>
      <c r="E1860" s="59">
        <f t="shared" si="205"/>
        <v>44</v>
      </c>
      <c r="F1860" s="57" t="s">
        <v>54</v>
      </c>
      <c r="G1860" s="57" t="s">
        <v>44</v>
      </c>
      <c r="H1860" s="57" t="s">
        <v>3833</v>
      </c>
      <c r="I1860" s="57" t="s">
        <v>65</v>
      </c>
      <c r="J1860" s="57" t="s">
        <v>143</v>
      </c>
      <c r="K1860" s="57" t="s">
        <v>72</v>
      </c>
      <c r="L1860" s="57" t="s">
        <v>119</v>
      </c>
      <c r="M1860" s="60">
        <v>24</v>
      </c>
      <c r="N1860" s="57" t="s">
        <v>114</v>
      </c>
      <c r="O1860" s="61">
        <v>132.91</v>
      </c>
      <c r="P1860" s="61">
        <v>3302.8089</v>
      </c>
      <c r="Q1860" s="61">
        <v>197.05</v>
      </c>
      <c r="R1860" s="62">
        <f t="shared" si="206"/>
        <v>5.9661338565485882E-2</v>
      </c>
      <c r="S1860" s="60">
        <v>24</v>
      </c>
      <c r="T1860" s="58">
        <v>45622</v>
      </c>
      <c r="U1860" s="58">
        <v>45621</v>
      </c>
      <c r="V1860" s="63">
        <f t="shared" si="207"/>
        <v>-1</v>
      </c>
      <c r="W1860" s="57" t="s">
        <v>115</v>
      </c>
      <c r="X1860" s="64" t="b">
        <f t="shared" si="208"/>
        <v>1</v>
      </c>
      <c r="Y1860" s="60">
        <v>189</v>
      </c>
      <c r="Z1860" s="60">
        <v>79</v>
      </c>
      <c r="AA1860" s="57" t="s">
        <v>116</v>
      </c>
      <c r="AB1860" s="64" t="b">
        <f t="shared" si="209"/>
        <v>0</v>
      </c>
    </row>
    <row r="1861" spans="1:28" ht="15" customHeight="1" x14ac:dyDescent="0.3">
      <c r="A1861" s="65" t="s">
        <v>3834</v>
      </c>
      <c r="B1861" s="81">
        <v>45642</v>
      </c>
      <c r="C1861" s="59">
        <f t="shared" si="203"/>
        <v>2024</v>
      </c>
      <c r="D1861" s="59">
        <f t="shared" si="204"/>
        <v>12</v>
      </c>
      <c r="E1861" s="59">
        <f t="shared" si="205"/>
        <v>51</v>
      </c>
      <c r="F1861" s="65" t="s">
        <v>59</v>
      </c>
      <c r="G1861" s="65" t="s">
        <v>44</v>
      </c>
      <c r="H1861" s="65" t="s">
        <v>3835</v>
      </c>
      <c r="I1861" s="65" t="s">
        <v>66</v>
      </c>
      <c r="J1861" s="65" t="s">
        <v>139</v>
      </c>
      <c r="K1861" s="65" t="s">
        <v>71</v>
      </c>
      <c r="L1861" s="65" t="s">
        <v>119</v>
      </c>
      <c r="M1861" s="67">
        <v>848</v>
      </c>
      <c r="N1861" s="65" t="s">
        <v>120</v>
      </c>
      <c r="O1861" s="68">
        <v>136.38999999999999</v>
      </c>
      <c r="P1861" s="68">
        <v>115658.72</v>
      </c>
      <c r="Q1861" s="68">
        <v>3743.23</v>
      </c>
      <c r="R1861" s="62">
        <f t="shared" si="206"/>
        <v>3.2364442559972999E-2</v>
      </c>
      <c r="S1861" s="67">
        <v>3</v>
      </c>
      <c r="T1861" s="66">
        <v>45645</v>
      </c>
      <c r="U1861" s="66">
        <v>45648</v>
      </c>
      <c r="V1861" s="63">
        <f t="shared" si="207"/>
        <v>3</v>
      </c>
      <c r="W1861" s="65" t="s">
        <v>125</v>
      </c>
      <c r="X1861" s="64" t="b">
        <f t="shared" si="208"/>
        <v>0</v>
      </c>
      <c r="Y1861" s="67">
        <v>249</v>
      </c>
      <c r="Z1861" s="67">
        <v>65</v>
      </c>
      <c r="AA1861" s="65" t="s">
        <v>81</v>
      </c>
      <c r="AB1861" s="64" t="b">
        <f t="shared" si="209"/>
        <v>1</v>
      </c>
    </row>
    <row r="1862" spans="1:28" ht="15" customHeight="1" x14ac:dyDescent="0.3">
      <c r="A1862" s="57" t="s">
        <v>3836</v>
      </c>
      <c r="B1862" s="82">
        <v>45605</v>
      </c>
      <c r="C1862" s="59">
        <f t="shared" si="203"/>
        <v>2024</v>
      </c>
      <c r="D1862" s="59">
        <f t="shared" si="204"/>
        <v>11</v>
      </c>
      <c r="E1862" s="59">
        <f t="shared" si="205"/>
        <v>45</v>
      </c>
      <c r="F1862" s="57" t="s">
        <v>52</v>
      </c>
      <c r="G1862" s="57" t="s">
        <v>41</v>
      </c>
      <c r="H1862" s="57" t="s">
        <v>3837</v>
      </c>
      <c r="I1862" s="57" t="s">
        <v>66</v>
      </c>
      <c r="J1862" s="57" t="s">
        <v>112</v>
      </c>
      <c r="K1862" s="57" t="s">
        <v>73</v>
      </c>
      <c r="L1862" s="57" t="s">
        <v>156</v>
      </c>
      <c r="M1862" s="60">
        <v>623</v>
      </c>
      <c r="N1862" s="57" t="s">
        <v>140</v>
      </c>
      <c r="O1862" s="61">
        <v>493.77</v>
      </c>
      <c r="P1862" s="61">
        <v>307618.71000000002</v>
      </c>
      <c r="Q1862" s="61">
        <v>14296.2</v>
      </c>
      <c r="R1862" s="62">
        <f t="shared" si="206"/>
        <v>4.6473766176316128E-2</v>
      </c>
      <c r="S1862" s="60">
        <v>12</v>
      </c>
      <c r="T1862" s="58">
        <v>45617</v>
      </c>
      <c r="U1862" s="58">
        <v>45618</v>
      </c>
      <c r="V1862" s="63">
        <f t="shared" si="207"/>
        <v>1</v>
      </c>
      <c r="W1862" s="57" t="s">
        <v>125</v>
      </c>
      <c r="X1862" s="64" t="b">
        <f t="shared" si="208"/>
        <v>0</v>
      </c>
      <c r="Y1862" s="60">
        <v>359</v>
      </c>
      <c r="Z1862" s="60">
        <v>135</v>
      </c>
      <c r="AA1862" s="57" t="s">
        <v>116</v>
      </c>
      <c r="AB1862" s="64" t="b">
        <f t="shared" si="209"/>
        <v>0</v>
      </c>
    </row>
    <row r="1863" spans="1:28" ht="15" customHeight="1" x14ac:dyDescent="0.3">
      <c r="A1863" s="65" t="s">
        <v>3838</v>
      </c>
      <c r="B1863" s="81">
        <v>45328</v>
      </c>
      <c r="C1863" s="59">
        <f t="shared" si="203"/>
        <v>2024</v>
      </c>
      <c r="D1863" s="59">
        <f t="shared" si="204"/>
        <v>2</v>
      </c>
      <c r="E1863" s="59">
        <f t="shared" si="205"/>
        <v>6</v>
      </c>
      <c r="F1863" s="65" t="s">
        <v>59</v>
      </c>
      <c r="G1863" s="65" t="s">
        <v>40</v>
      </c>
      <c r="H1863" s="65" t="s">
        <v>3839</v>
      </c>
      <c r="I1863" s="65" t="s">
        <v>65</v>
      </c>
      <c r="J1863" s="65" t="s">
        <v>131</v>
      </c>
      <c r="K1863" s="65" t="s">
        <v>74</v>
      </c>
      <c r="L1863" s="65" t="s">
        <v>119</v>
      </c>
      <c r="M1863" s="67">
        <v>235</v>
      </c>
      <c r="N1863" s="65" t="s">
        <v>114</v>
      </c>
      <c r="O1863" s="68">
        <v>612.14</v>
      </c>
      <c r="P1863" s="68">
        <v>143852.9</v>
      </c>
      <c r="Q1863" s="68">
        <v>3438.09</v>
      </c>
      <c r="R1863" s="62">
        <f t="shared" si="206"/>
        <v>2.3900039554294702E-2</v>
      </c>
      <c r="S1863" s="67">
        <v>28</v>
      </c>
      <c r="T1863" s="66">
        <v>45356</v>
      </c>
      <c r="U1863" s="66">
        <v>45353</v>
      </c>
      <c r="V1863" s="63">
        <f t="shared" si="207"/>
        <v>-3</v>
      </c>
      <c r="W1863" s="65" t="s">
        <v>115</v>
      </c>
      <c r="X1863" s="64" t="b">
        <f t="shared" si="208"/>
        <v>1</v>
      </c>
      <c r="Y1863" s="67">
        <v>362</v>
      </c>
      <c r="Z1863" s="67">
        <v>398</v>
      </c>
      <c r="AA1863" s="65" t="s">
        <v>116</v>
      </c>
      <c r="AB1863" s="64" t="b">
        <f t="shared" si="209"/>
        <v>0</v>
      </c>
    </row>
    <row r="1864" spans="1:28" ht="15" customHeight="1" x14ac:dyDescent="0.3">
      <c r="A1864" s="57" t="s">
        <v>3840</v>
      </c>
      <c r="B1864" s="82">
        <v>45059</v>
      </c>
      <c r="C1864" s="59">
        <f t="shared" si="203"/>
        <v>2023</v>
      </c>
      <c r="D1864" s="59">
        <f t="shared" si="204"/>
        <v>5</v>
      </c>
      <c r="E1864" s="59">
        <f t="shared" si="205"/>
        <v>19</v>
      </c>
      <c r="F1864" s="57" t="s">
        <v>55</v>
      </c>
      <c r="G1864" s="57" t="s">
        <v>43</v>
      </c>
      <c r="H1864" s="57" t="s">
        <v>3841</v>
      </c>
      <c r="I1864" s="57" t="s">
        <v>65</v>
      </c>
      <c r="J1864" s="57" t="s">
        <v>151</v>
      </c>
      <c r="K1864" s="57" t="s">
        <v>73</v>
      </c>
      <c r="L1864" s="57" t="s">
        <v>156</v>
      </c>
      <c r="M1864" s="60">
        <v>434</v>
      </c>
      <c r="N1864" s="57" t="s">
        <v>120</v>
      </c>
      <c r="O1864" s="61">
        <v>170.93</v>
      </c>
      <c r="P1864" s="61">
        <v>74183.62</v>
      </c>
      <c r="Q1864" s="61">
        <v>5157.13</v>
      </c>
      <c r="R1864" s="62">
        <f t="shared" si="206"/>
        <v>6.9518446255386307E-2</v>
      </c>
      <c r="S1864" s="60">
        <v>13</v>
      </c>
      <c r="T1864" s="58">
        <v>45072</v>
      </c>
      <c r="U1864" s="58">
        <v>45075</v>
      </c>
      <c r="V1864" s="63">
        <f t="shared" si="207"/>
        <v>3</v>
      </c>
      <c r="W1864" s="57" t="s">
        <v>125</v>
      </c>
      <c r="X1864" s="64" t="b">
        <f t="shared" si="208"/>
        <v>0</v>
      </c>
      <c r="Y1864" s="60">
        <v>373</v>
      </c>
      <c r="Z1864" s="60">
        <v>190</v>
      </c>
      <c r="AA1864" s="57" t="s">
        <v>81</v>
      </c>
      <c r="AB1864" s="64" t="b">
        <f t="shared" si="209"/>
        <v>1</v>
      </c>
    </row>
    <row r="1865" spans="1:28" ht="15" customHeight="1" x14ac:dyDescent="0.3">
      <c r="A1865" s="65" t="s">
        <v>3842</v>
      </c>
      <c r="B1865" s="81">
        <v>45536</v>
      </c>
      <c r="C1865" s="59">
        <f t="shared" si="203"/>
        <v>2024</v>
      </c>
      <c r="D1865" s="59">
        <f t="shared" si="204"/>
        <v>9</v>
      </c>
      <c r="E1865" s="59">
        <f t="shared" si="205"/>
        <v>36</v>
      </c>
      <c r="F1865" s="65" t="s">
        <v>61</v>
      </c>
      <c r="G1865" s="65" t="s">
        <v>44</v>
      </c>
      <c r="H1865" s="65" t="s">
        <v>3843</v>
      </c>
      <c r="I1865" s="65" t="s">
        <v>64</v>
      </c>
      <c r="J1865" s="65" t="s">
        <v>139</v>
      </c>
      <c r="K1865" s="65" t="s">
        <v>72</v>
      </c>
      <c r="L1865" s="65" t="s">
        <v>135</v>
      </c>
      <c r="M1865" s="67">
        <v>799</v>
      </c>
      <c r="N1865" s="65" t="s">
        <v>132</v>
      </c>
      <c r="O1865" s="68">
        <v>175.27</v>
      </c>
      <c r="P1865" s="68">
        <v>140040.73000000001</v>
      </c>
      <c r="Q1865" s="68">
        <v>3859.02</v>
      </c>
      <c r="R1865" s="62">
        <f t="shared" si="206"/>
        <v>2.7556411623961111E-2</v>
      </c>
      <c r="S1865" s="67">
        <v>2</v>
      </c>
      <c r="T1865" s="66">
        <v>45538</v>
      </c>
      <c r="U1865" s="66">
        <v>45543</v>
      </c>
      <c r="V1865" s="63">
        <f t="shared" si="207"/>
        <v>5</v>
      </c>
      <c r="W1865" s="65" t="s">
        <v>125</v>
      </c>
      <c r="X1865" s="64" t="b">
        <f t="shared" si="208"/>
        <v>0</v>
      </c>
      <c r="Y1865" s="67">
        <v>451</v>
      </c>
      <c r="Z1865" s="67">
        <v>346</v>
      </c>
      <c r="AA1865" s="65" t="s">
        <v>84</v>
      </c>
      <c r="AB1865" s="64" t="b">
        <f t="shared" si="209"/>
        <v>1</v>
      </c>
    </row>
    <row r="1866" spans="1:28" ht="15" customHeight="1" x14ac:dyDescent="0.3">
      <c r="A1866" s="57" t="s">
        <v>3844</v>
      </c>
      <c r="B1866" s="82">
        <v>45652</v>
      </c>
      <c r="C1866" s="59">
        <f t="shared" si="203"/>
        <v>2024</v>
      </c>
      <c r="D1866" s="59">
        <f t="shared" si="204"/>
        <v>12</v>
      </c>
      <c r="E1866" s="59">
        <f t="shared" si="205"/>
        <v>52</v>
      </c>
      <c r="F1866" s="57" t="s">
        <v>54</v>
      </c>
      <c r="G1866" s="57" t="s">
        <v>43</v>
      </c>
      <c r="H1866" s="57" t="s">
        <v>3845</v>
      </c>
      <c r="I1866" s="57" t="s">
        <v>68</v>
      </c>
      <c r="J1866" s="57" t="s">
        <v>123</v>
      </c>
      <c r="K1866" s="57" t="s">
        <v>74</v>
      </c>
      <c r="L1866" s="57" t="s">
        <v>156</v>
      </c>
      <c r="M1866" s="60">
        <v>417</v>
      </c>
      <c r="N1866" s="57" t="s">
        <v>132</v>
      </c>
      <c r="O1866" s="61">
        <v>205.39</v>
      </c>
      <c r="P1866" s="61">
        <v>85647.63</v>
      </c>
      <c r="Q1866" s="61">
        <v>6353.84</v>
      </c>
      <c r="R1866" s="62">
        <f t="shared" si="206"/>
        <v>7.4185823939319745E-2</v>
      </c>
      <c r="S1866" s="60">
        <v>3</v>
      </c>
      <c r="T1866" s="58">
        <v>45655</v>
      </c>
      <c r="U1866" s="58">
        <v>45652</v>
      </c>
      <c r="V1866" s="63">
        <f t="shared" si="207"/>
        <v>-3</v>
      </c>
      <c r="W1866" s="57" t="s">
        <v>115</v>
      </c>
      <c r="X1866" s="64" t="b">
        <f t="shared" si="208"/>
        <v>1</v>
      </c>
      <c r="Y1866" s="60">
        <v>78</v>
      </c>
      <c r="Z1866" s="60">
        <v>335</v>
      </c>
      <c r="AA1866" s="57" t="s">
        <v>116</v>
      </c>
      <c r="AB1866" s="64" t="b">
        <f t="shared" si="209"/>
        <v>0</v>
      </c>
    </row>
    <row r="1867" spans="1:28" ht="15" customHeight="1" x14ac:dyDescent="0.3">
      <c r="A1867" s="65" t="s">
        <v>3846</v>
      </c>
      <c r="B1867" s="81">
        <v>45013</v>
      </c>
      <c r="C1867" s="59">
        <f t="shared" si="203"/>
        <v>2023</v>
      </c>
      <c r="D1867" s="59">
        <f t="shared" si="204"/>
        <v>3</v>
      </c>
      <c r="E1867" s="59">
        <f t="shared" si="205"/>
        <v>13</v>
      </c>
      <c r="F1867" s="65" t="s">
        <v>55</v>
      </c>
      <c r="G1867" s="65" t="s">
        <v>44</v>
      </c>
      <c r="H1867" s="65" t="s">
        <v>3847</v>
      </c>
      <c r="I1867" s="65" t="s">
        <v>64</v>
      </c>
      <c r="J1867" s="65" t="s">
        <v>131</v>
      </c>
      <c r="K1867" s="65" t="s">
        <v>71</v>
      </c>
      <c r="L1867" s="65" t="s">
        <v>124</v>
      </c>
      <c r="M1867" s="67">
        <v>122</v>
      </c>
      <c r="N1867" s="65" t="s">
        <v>140</v>
      </c>
      <c r="O1867" s="68">
        <v>128.80000000000001</v>
      </c>
      <c r="P1867" s="68">
        <v>15713.6</v>
      </c>
      <c r="Q1867" s="68">
        <v>1129.08</v>
      </c>
      <c r="R1867" s="62">
        <f t="shared" si="206"/>
        <v>7.185368088789329E-2</v>
      </c>
      <c r="S1867" s="67">
        <v>5</v>
      </c>
      <c r="T1867" s="66">
        <v>45018</v>
      </c>
      <c r="U1867" s="66">
        <v>45017</v>
      </c>
      <c r="V1867" s="63">
        <f t="shared" si="207"/>
        <v>-1</v>
      </c>
      <c r="W1867" s="65" t="s">
        <v>115</v>
      </c>
      <c r="X1867" s="64" t="b">
        <f t="shared" si="208"/>
        <v>1</v>
      </c>
      <c r="Y1867" s="67">
        <v>83</v>
      </c>
      <c r="Z1867" s="67">
        <v>448</v>
      </c>
      <c r="AA1867" s="65" t="s">
        <v>82</v>
      </c>
      <c r="AB1867" s="64" t="b">
        <f t="shared" si="209"/>
        <v>1</v>
      </c>
    </row>
    <row r="1868" spans="1:28" ht="15" customHeight="1" x14ac:dyDescent="0.3">
      <c r="A1868" s="57" t="s">
        <v>3848</v>
      </c>
      <c r="B1868" s="82">
        <v>45244</v>
      </c>
      <c r="C1868" s="59">
        <f t="shared" si="203"/>
        <v>2023</v>
      </c>
      <c r="D1868" s="59">
        <f t="shared" si="204"/>
        <v>11</v>
      </c>
      <c r="E1868" s="59">
        <f t="shared" si="205"/>
        <v>46</v>
      </c>
      <c r="F1868" s="57" t="s">
        <v>57</v>
      </c>
      <c r="G1868" s="57" t="s">
        <v>39</v>
      </c>
      <c r="H1868" s="57" t="s">
        <v>3849</v>
      </c>
      <c r="I1868" s="57" t="s">
        <v>66</v>
      </c>
      <c r="J1868" s="57" t="s">
        <v>139</v>
      </c>
      <c r="K1868" s="57" t="s">
        <v>75</v>
      </c>
      <c r="L1868" s="57" t="s">
        <v>113</v>
      </c>
      <c r="M1868" s="60">
        <v>437</v>
      </c>
      <c r="N1868" s="57" t="s">
        <v>120</v>
      </c>
      <c r="O1868" s="61">
        <v>1113.25</v>
      </c>
      <c r="P1868" s="61">
        <v>486490.25</v>
      </c>
      <c r="Q1868" s="61">
        <v>23290.7</v>
      </c>
      <c r="R1868" s="62">
        <f t="shared" si="206"/>
        <v>4.7874957411787801E-2</v>
      </c>
      <c r="S1868" s="60">
        <v>11</v>
      </c>
      <c r="T1868" s="58">
        <v>45255</v>
      </c>
      <c r="U1868" s="58">
        <v>45263</v>
      </c>
      <c r="V1868" s="63">
        <f t="shared" si="207"/>
        <v>8</v>
      </c>
      <c r="W1868" s="57" t="s">
        <v>125</v>
      </c>
      <c r="X1868" s="64" t="b">
        <f t="shared" si="208"/>
        <v>0</v>
      </c>
      <c r="Y1868" s="60">
        <v>171</v>
      </c>
      <c r="Z1868" s="60">
        <v>58</v>
      </c>
      <c r="AA1868" s="57" t="s">
        <v>116</v>
      </c>
      <c r="AB1868" s="64" t="b">
        <f t="shared" si="209"/>
        <v>0</v>
      </c>
    </row>
    <row r="1869" spans="1:28" ht="15" customHeight="1" x14ac:dyDescent="0.3">
      <c r="A1869" s="65" t="s">
        <v>3850</v>
      </c>
      <c r="B1869" s="81">
        <v>45499</v>
      </c>
      <c r="C1869" s="59">
        <f t="shared" si="203"/>
        <v>2024</v>
      </c>
      <c r="D1869" s="59">
        <f t="shared" si="204"/>
        <v>7</v>
      </c>
      <c r="E1869" s="59">
        <f t="shared" si="205"/>
        <v>30</v>
      </c>
      <c r="F1869" s="65" t="s">
        <v>59</v>
      </c>
      <c r="G1869" s="65" t="s">
        <v>41</v>
      </c>
      <c r="H1869" s="65" t="s">
        <v>3851</v>
      </c>
      <c r="I1869" s="65" t="s">
        <v>64</v>
      </c>
      <c r="J1869" s="65" t="s">
        <v>151</v>
      </c>
      <c r="K1869" s="65" t="s">
        <v>73</v>
      </c>
      <c r="L1869" s="65" t="s">
        <v>124</v>
      </c>
      <c r="M1869" s="67">
        <v>10</v>
      </c>
      <c r="N1869" s="65" t="s">
        <v>132</v>
      </c>
      <c r="O1869" s="68">
        <v>365.03</v>
      </c>
      <c r="P1869" s="68">
        <v>3650.3</v>
      </c>
      <c r="Q1869" s="68">
        <v>236.04</v>
      </c>
      <c r="R1869" s="62">
        <f t="shared" si="206"/>
        <v>6.4663178368901175E-2</v>
      </c>
      <c r="S1869" s="67">
        <v>8</v>
      </c>
      <c r="T1869" s="66">
        <v>45507</v>
      </c>
      <c r="U1869" s="66">
        <v>45512</v>
      </c>
      <c r="V1869" s="63">
        <f t="shared" si="207"/>
        <v>5</v>
      </c>
      <c r="W1869" s="65" t="s">
        <v>125</v>
      </c>
      <c r="X1869" s="64" t="b">
        <f t="shared" si="208"/>
        <v>0</v>
      </c>
      <c r="Y1869" s="67">
        <v>211</v>
      </c>
      <c r="Z1869" s="67">
        <v>265</v>
      </c>
      <c r="AA1869" s="65" t="s">
        <v>116</v>
      </c>
      <c r="AB1869" s="64" t="b">
        <f t="shared" si="209"/>
        <v>0</v>
      </c>
    </row>
    <row r="1870" spans="1:28" ht="15" customHeight="1" x14ac:dyDescent="0.3">
      <c r="A1870" s="57" t="s">
        <v>3852</v>
      </c>
      <c r="B1870" s="82">
        <v>45312</v>
      </c>
      <c r="C1870" s="59">
        <f t="shared" si="203"/>
        <v>2024</v>
      </c>
      <c r="D1870" s="59">
        <f t="shared" si="204"/>
        <v>1</v>
      </c>
      <c r="E1870" s="59">
        <f t="shared" si="205"/>
        <v>4</v>
      </c>
      <c r="F1870" s="57" t="s">
        <v>58</v>
      </c>
      <c r="G1870" s="57" t="s">
        <v>44</v>
      </c>
      <c r="H1870" s="57" t="s">
        <v>3853</v>
      </c>
      <c r="I1870" s="57" t="s">
        <v>66</v>
      </c>
      <c r="J1870" s="57" t="s">
        <v>143</v>
      </c>
      <c r="K1870" s="57" t="s">
        <v>74</v>
      </c>
      <c r="L1870" s="57" t="s">
        <v>119</v>
      </c>
      <c r="M1870" s="60">
        <v>275</v>
      </c>
      <c r="N1870" s="57" t="s">
        <v>114</v>
      </c>
      <c r="O1870" s="61">
        <v>152.85</v>
      </c>
      <c r="P1870" s="61">
        <v>42033.75</v>
      </c>
      <c r="Q1870" s="61">
        <v>2402.9299999999998</v>
      </c>
      <c r="R1870" s="62">
        <f t="shared" si="206"/>
        <v>5.7166681535670734E-2</v>
      </c>
      <c r="S1870" s="60">
        <v>26</v>
      </c>
      <c r="T1870" s="58">
        <v>45338</v>
      </c>
      <c r="U1870" s="58">
        <v>45335</v>
      </c>
      <c r="V1870" s="63">
        <f t="shared" si="207"/>
        <v>-3</v>
      </c>
      <c r="W1870" s="57" t="s">
        <v>115</v>
      </c>
      <c r="X1870" s="64" t="b">
        <f t="shared" si="208"/>
        <v>1</v>
      </c>
      <c r="Y1870" s="60">
        <v>373</v>
      </c>
      <c r="Z1870" s="60">
        <v>6</v>
      </c>
      <c r="AA1870" s="57" t="s">
        <v>116</v>
      </c>
      <c r="AB1870" s="64" t="b">
        <f t="shared" si="209"/>
        <v>0</v>
      </c>
    </row>
    <row r="1871" spans="1:28" ht="15" customHeight="1" x14ac:dyDescent="0.3">
      <c r="A1871" s="65" t="s">
        <v>3854</v>
      </c>
      <c r="B1871" s="81">
        <v>45585</v>
      </c>
      <c r="C1871" s="59">
        <f t="shared" si="203"/>
        <v>2024</v>
      </c>
      <c r="D1871" s="59">
        <f t="shared" si="204"/>
        <v>10</v>
      </c>
      <c r="E1871" s="59">
        <f t="shared" si="205"/>
        <v>43</v>
      </c>
      <c r="F1871" s="65" t="s">
        <v>59</v>
      </c>
      <c r="G1871" s="65" t="s">
        <v>39</v>
      </c>
      <c r="H1871" s="65" t="s">
        <v>3855</v>
      </c>
      <c r="I1871" s="65" t="s">
        <v>69</v>
      </c>
      <c r="J1871" s="65" t="s">
        <v>151</v>
      </c>
      <c r="K1871" s="65" t="s">
        <v>73</v>
      </c>
      <c r="L1871" s="65" t="s">
        <v>119</v>
      </c>
      <c r="M1871" s="67">
        <v>500</v>
      </c>
      <c r="N1871" s="65" t="s">
        <v>136</v>
      </c>
      <c r="O1871" s="68">
        <v>1695.71</v>
      </c>
      <c r="P1871" s="68">
        <v>847855</v>
      </c>
      <c r="Q1871" s="68">
        <v>57810.6</v>
      </c>
      <c r="R1871" s="62">
        <f t="shared" si="206"/>
        <v>6.818453627094255E-2</v>
      </c>
      <c r="S1871" s="67">
        <v>23</v>
      </c>
      <c r="T1871" s="66">
        <v>45608</v>
      </c>
      <c r="U1871" s="66">
        <v>45607</v>
      </c>
      <c r="V1871" s="63">
        <f t="shared" si="207"/>
        <v>-1</v>
      </c>
      <c r="W1871" s="65" t="s">
        <v>115</v>
      </c>
      <c r="X1871" s="64" t="b">
        <f t="shared" si="208"/>
        <v>1</v>
      </c>
      <c r="Y1871" s="67">
        <v>444</v>
      </c>
      <c r="Z1871" s="67">
        <v>367</v>
      </c>
      <c r="AA1871" s="65" t="s">
        <v>116</v>
      </c>
      <c r="AB1871" s="64" t="b">
        <f t="shared" si="209"/>
        <v>0</v>
      </c>
    </row>
    <row r="1872" spans="1:28" ht="15" customHeight="1" x14ac:dyDescent="0.3">
      <c r="A1872" s="57" t="s">
        <v>3856</v>
      </c>
      <c r="B1872" s="82">
        <v>45263</v>
      </c>
      <c r="C1872" s="59">
        <f t="shared" si="203"/>
        <v>2023</v>
      </c>
      <c r="D1872" s="59">
        <f t="shared" si="204"/>
        <v>12</v>
      </c>
      <c r="E1872" s="59">
        <f t="shared" si="205"/>
        <v>49</v>
      </c>
      <c r="F1872" s="57" t="s">
        <v>54</v>
      </c>
      <c r="G1872" s="57" t="s">
        <v>45</v>
      </c>
      <c r="H1872" s="57" t="s">
        <v>3857</v>
      </c>
      <c r="I1872" s="57" t="s">
        <v>66</v>
      </c>
      <c r="J1872" s="57" t="s">
        <v>131</v>
      </c>
      <c r="K1872" s="57" t="s">
        <v>71</v>
      </c>
      <c r="L1872" s="57" t="s">
        <v>119</v>
      </c>
      <c r="M1872" s="60">
        <v>217</v>
      </c>
      <c r="N1872" s="57" t="s">
        <v>120</v>
      </c>
      <c r="O1872" s="61">
        <v>221.39</v>
      </c>
      <c r="P1872" s="61">
        <v>48041.63</v>
      </c>
      <c r="Q1872" s="61">
        <v>2205.5100000000002</v>
      </c>
      <c r="R1872" s="62">
        <f t="shared" si="206"/>
        <v>4.5908309106081548E-2</v>
      </c>
      <c r="S1872" s="60">
        <v>23</v>
      </c>
      <c r="T1872" s="58">
        <v>45286</v>
      </c>
      <c r="U1872" s="58">
        <v>45286</v>
      </c>
      <c r="V1872" s="63">
        <f t="shared" si="207"/>
        <v>0</v>
      </c>
      <c r="W1872" s="57" t="s">
        <v>115</v>
      </c>
      <c r="X1872" s="64" t="b">
        <f t="shared" si="208"/>
        <v>1</v>
      </c>
      <c r="Y1872" s="60">
        <v>148</v>
      </c>
      <c r="Z1872" s="60">
        <v>201</v>
      </c>
      <c r="AA1872" s="57" t="s">
        <v>116</v>
      </c>
      <c r="AB1872" s="64" t="b">
        <f t="shared" si="209"/>
        <v>0</v>
      </c>
    </row>
    <row r="1873" spans="1:28" ht="15" customHeight="1" x14ac:dyDescent="0.3">
      <c r="A1873" s="65" t="s">
        <v>3858</v>
      </c>
      <c r="B1873" s="81">
        <v>45057</v>
      </c>
      <c r="C1873" s="59">
        <f t="shared" si="203"/>
        <v>2023</v>
      </c>
      <c r="D1873" s="59">
        <f t="shared" si="204"/>
        <v>5</v>
      </c>
      <c r="E1873" s="59">
        <f t="shared" si="205"/>
        <v>19</v>
      </c>
      <c r="F1873" s="65" t="s">
        <v>60</v>
      </c>
      <c r="G1873" s="65" t="s">
        <v>46</v>
      </c>
      <c r="H1873" s="65" t="s">
        <v>3859</v>
      </c>
      <c r="I1873" s="65" t="s">
        <v>66</v>
      </c>
      <c r="J1873" s="65" t="s">
        <v>131</v>
      </c>
      <c r="K1873" s="65" t="s">
        <v>73</v>
      </c>
      <c r="L1873" s="65" t="s">
        <v>156</v>
      </c>
      <c r="M1873" s="67">
        <v>631</v>
      </c>
      <c r="N1873" s="65" t="s">
        <v>140</v>
      </c>
      <c r="O1873" s="68">
        <v>53.67</v>
      </c>
      <c r="P1873" s="68">
        <v>33865.769999999997</v>
      </c>
      <c r="Q1873" s="68">
        <v>2274.04</v>
      </c>
      <c r="R1873" s="62">
        <f t="shared" si="206"/>
        <v>6.7148628246161246E-2</v>
      </c>
      <c r="S1873" s="67">
        <v>12</v>
      </c>
      <c r="T1873" s="66">
        <v>45069</v>
      </c>
      <c r="U1873" s="66">
        <v>45072</v>
      </c>
      <c r="V1873" s="63">
        <f t="shared" si="207"/>
        <v>3</v>
      </c>
      <c r="W1873" s="65" t="s">
        <v>128</v>
      </c>
      <c r="X1873" s="64" t="b">
        <f t="shared" si="208"/>
        <v>0</v>
      </c>
      <c r="Y1873" s="67">
        <v>9</v>
      </c>
      <c r="Z1873" s="67">
        <v>331</v>
      </c>
      <c r="AA1873" s="65" t="s">
        <v>116</v>
      </c>
      <c r="AB1873" s="64" t="b">
        <f t="shared" si="209"/>
        <v>0</v>
      </c>
    </row>
    <row r="1874" spans="1:28" ht="15" customHeight="1" x14ac:dyDescent="0.3">
      <c r="A1874" s="57" t="s">
        <v>3860</v>
      </c>
      <c r="B1874" s="82">
        <v>45613</v>
      </c>
      <c r="C1874" s="59">
        <f t="shared" si="203"/>
        <v>2024</v>
      </c>
      <c r="D1874" s="59">
        <f t="shared" si="204"/>
        <v>11</v>
      </c>
      <c r="E1874" s="59">
        <f t="shared" si="205"/>
        <v>47</v>
      </c>
      <c r="F1874" s="57" t="s">
        <v>55</v>
      </c>
      <c r="G1874" s="57" t="s">
        <v>39</v>
      </c>
      <c r="H1874" s="57" t="s">
        <v>3861</v>
      </c>
      <c r="I1874" s="57" t="s">
        <v>64</v>
      </c>
      <c r="J1874" s="57" t="s">
        <v>143</v>
      </c>
      <c r="K1874" s="57" t="s">
        <v>74</v>
      </c>
      <c r="L1874" s="57" t="s">
        <v>146</v>
      </c>
      <c r="M1874" s="60">
        <v>721</v>
      </c>
      <c r="N1874" s="57" t="s">
        <v>120</v>
      </c>
      <c r="O1874" s="61">
        <v>1943.7</v>
      </c>
      <c r="P1874" s="61">
        <v>1401407.7</v>
      </c>
      <c r="Q1874" s="61">
        <v>66913.59</v>
      </c>
      <c r="R1874" s="62">
        <f t="shared" si="206"/>
        <v>4.774741140640229E-2</v>
      </c>
      <c r="S1874" s="60">
        <v>7</v>
      </c>
      <c r="T1874" s="58">
        <v>45620</v>
      </c>
      <c r="U1874" s="58">
        <v>45623</v>
      </c>
      <c r="V1874" s="63">
        <f t="shared" si="207"/>
        <v>3</v>
      </c>
      <c r="W1874" s="57" t="s">
        <v>128</v>
      </c>
      <c r="X1874" s="64" t="b">
        <f t="shared" si="208"/>
        <v>0</v>
      </c>
      <c r="Y1874" s="60">
        <v>29</v>
      </c>
      <c r="Z1874" s="60">
        <v>464</v>
      </c>
      <c r="AA1874" s="57" t="s">
        <v>83</v>
      </c>
      <c r="AB1874" s="64" t="b">
        <f t="shared" si="209"/>
        <v>1</v>
      </c>
    </row>
    <row r="1875" spans="1:28" ht="15" customHeight="1" x14ac:dyDescent="0.3">
      <c r="A1875" s="65" t="s">
        <v>3862</v>
      </c>
      <c r="B1875" s="81">
        <v>45646</v>
      </c>
      <c r="C1875" s="59">
        <f t="shared" si="203"/>
        <v>2024</v>
      </c>
      <c r="D1875" s="59">
        <f t="shared" si="204"/>
        <v>12</v>
      </c>
      <c r="E1875" s="59">
        <f t="shared" si="205"/>
        <v>51</v>
      </c>
      <c r="F1875" s="65" t="s">
        <v>58</v>
      </c>
      <c r="G1875" s="65" t="s">
        <v>42</v>
      </c>
      <c r="H1875" s="65" t="s">
        <v>3863</v>
      </c>
      <c r="I1875" s="65" t="s">
        <v>68</v>
      </c>
      <c r="J1875" s="65" t="s">
        <v>131</v>
      </c>
      <c r="K1875" s="65" t="s">
        <v>72</v>
      </c>
      <c r="L1875" s="65" t="s">
        <v>156</v>
      </c>
      <c r="M1875" s="67">
        <v>961</v>
      </c>
      <c r="N1875" s="65" t="s">
        <v>163</v>
      </c>
      <c r="O1875" s="68">
        <v>66.77</v>
      </c>
      <c r="P1875" s="68">
        <v>64165.97</v>
      </c>
      <c r="Q1875" s="68">
        <v>4906</v>
      </c>
      <c r="R1875" s="62">
        <f t="shared" si="206"/>
        <v>7.6457972972277979E-2</v>
      </c>
      <c r="S1875" s="67">
        <v>15</v>
      </c>
      <c r="T1875" s="66">
        <v>45661</v>
      </c>
      <c r="U1875" s="66">
        <v>45662</v>
      </c>
      <c r="V1875" s="63">
        <f t="shared" si="207"/>
        <v>1</v>
      </c>
      <c r="W1875" s="65" t="s">
        <v>128</v>
      </c>
      <c r="X1875" s="64" t="b">
        <f t="shared" si="208"/>
        <v>0</v>
      </c>
      <c r="Y1875" s="67">
        <v>279</v>
      </c>
      <c r="Z1875" s="67">
        <v>236</v>
      </c>
      <c r="AA1875" s="65" t="s">
        <v>83</v>
      </c>
      <c r="AB1875" s="64" t="b">
        <f t="shared" si="209"/>
        <v>1</v>
      </c>
    </row>
    <row r="1876" spans="1:28" ht="15" customHeight="1" x14ac:dyDescent="0.3">
      <c r="A1876" s="57" t="s">
        <v>3864</v>
      </c>
      <c r="B1876" s="82">
        <v>45628</v>
      </c>
      <c r="C1876" s="59">
        <f t="shared" si="203"/>
        <v>2024</v>
      </c>
      <c r="D1876" s="59">
        <f t="shared" si="204"/>
        <v>12</v>
      </c>
      <c r="E1876" s="59">
        <f t="shared" si="205"/>
        <v>49</v>
      </c>
      <c r="F1876" s="57" t="s">
        <v>57</v>
      </c>
      <c r="G1876" s="57" t="s">
        <v>44</v>
      </c>
      <c r="H1876" s="57" t="s">
        <v>3865</v>
      </c>
      <c r="I1876" s="57" t="s">
        <v>69</v>
      </c>
      <c r="J1876" s="57" t="s">
        <v>112</v>
      </c>
      <c r="K1876" s="57" t="s">
        <v>74</v>
      </c>
      <c r="L1876" s="57" t="s">
        <v>113</v>
      </c>
      <c r="M1876" s="60">
        <v>378</v>
      </c>
      <c r="N1876" s="57" t="s">
        <v>163</v>
      </c>
      <c r="O1876" s="61">
        <v>102.23</v>
      </c>
      <c r="P1876" s="61">
        <v>38642.94</v>
      </c>
      <c r="Q1876" s="61">
        <v>1900.55</v>
      </c>
      <c r="R1876" s="62">
        <f t="shared" si="206"/>
        <v>4.9182334470410372E-2</v>
      </c>
      <c r="S1876" s="60">
        <v>24</v>
      </c>
      <c r="T1876" s="58">
        <v>45652</v>
      </c>
      <c r="U1876" s="58">
        <v>45664</v>
      </c>
      <c r="V1876" s="63">
        <f t="shared" si="207"/>
        <v>12</v>
      </c>
      <c r="W1876" s="57" t="s">
        <v>125</v>
      </c>
      <c r="X1876" s="64" t="b">
        <f t="shared" si="208"/>
        <v>0</v>
      </c>
      <c r="Y1876" s="60">
        <v>431</v>
      </c>
      <c r="Z1876" s="60">
        <v>267</v>
      </c>
      <c r="AA1876" s="57" t="s">
        <v>116</v>
      </c>
      <c r="AB1876" s="64" t="b">
        <f t="shared" si="209"/>
        <v>0</v>
      </c>
    </row>
    <row r="1877" spans="1:28" ht="15" customHeight="1" x14ac:dyDescent="0.3">
      <c r="A1877" s="65" t="s">
        <v>3866</v>
      </c>
      <c r="B1877" s="81">
        <v>45466</v>
      </c>
      <c r="C1877" s="59">
        <f t="shared" si="203"/>
        <v>2024</v>
      </c>
      <c r="D1877" s="59">
        <f t="shared" si="204"/>
        <v>6</v>
      </c>
      <c r="E1877" s="59">
        <f t="shared" si="205"/>
        <v>26</v>
      </c>
      <c r="F1877" s="65" t="s">
        <v>56</v>
      </c>
      <c r="G1877" s="65" t="s">
        <v>39</v>
      </c>
      <c r="H1877" s="65" t="s">
        <v>3867</v>
      </c>
      <c r="I1877" s="65" t="s">
        <v>67</v>
      </c>
      <c r="J1877" s="65" t="s">
        <v>123</v>
      </c>
      <c r="K1877" s="65" t="s">
        <v>73</v>
      </c>
      <c r="L1877" s="65" t="s">
        <v>156</v>
      </c>
      <c r="M1877" s="67">
        <v>994</v>
      </c>
      <c r="N1877" s="65" t="s">
        <v>132</v>
      </c>
      <c r="O1877" s="68">
        <v>1602.85</v>
      </c>
      <c r="P1877" s="68">
        <v>1593232.9</v>
      </c>
      <c r="Q1877" s="68">
        <v>76088.27</v>
      </c>
      <c r="R1877" s="62">
        <f t="shared" si="206"/>
        <v>4.7757154650773286E-2</v>
      </c>
      <c r="S1877" s="67">
        <v>17</v>
      </c>
      <c r="T1877" s="66">
        <v>45483</v>
      </c>
      <c r="U1877" s="66">
        <v>45482</v>
      </c>
      <c r="V1877" s="63">
        <f t="shared" si="207"/>
        <v>-1</v>
      </c>
      <c r="W1877" s="65" t="s">
        <v>115</v>
      </c>
      <c r="X1877" s="64" t="b">
        <f t="shared" si="208"/>
        <v>1</v>
      </c>
      <c r="Y1877" s="67">
        <v>54</v>
      </c>
      <c r="Z1877" s="67">
        <v>78</v>
      </c>
      <c r="AA1877" s="65" t="s">
        <v>82</v>
      </c>
      <c r="AB1877" s="64" t="b">
        <f t="shared" si="209"/>
        <v>1</v>
      </c>
    </row>
    <row r="1878" spans="1:28" ht="15" customHeight="1" x14ac:dyDescent="0.3">
      <c r="A1878" s="57" t="s">
        <v>3868</v>
      </c>
      <c r="B1878" s="82">
        <v>45022</v>
      </c>
      <c r="C1878" s="59">
        <f t="shared" si="203"/>
        <v>2023</v>
      </c>
      <c r="D1878" s="59">
        <f t="shared" si="204"/>
        <v>4</v>
      </c>
      <c r="E1878" s="59">
        <f t="shared" si="205"/>
        <v>14</v>
      </c>
      <c r="F1878" s="57" t="s">
        <v>57</v>
      </c>
      <c r="G1878" s="57" t="s">
        <v>43</v>
      </c>
      <c r="H1878" s="57" t="s">
        <v>3869</v>
      </c>
      <c r="I1878" s="57" t="s">
        <v>67</v>
      </c>
      <c r="J1878" s="57" t="s">
        <v>139</v>
      </c>
      <c r="K1878" s="57" t="s">
        <v>71</v>
      </c>
      <c r="L1878" s="57" t="s">
        <v>119</v>
      </c>
      <c r="M1878" s="60">
        <v>315</v>
      </c>
      <c r="N1878" s="57" t="s">
        <v>163</v>
      </c>
      <c r="O1878" s="61">
        <v>185.8</v>
      </c>
      <c r="P1878" s="61">
        <v>58527</v>
      </c>
      <c r="Q1878" s="61">
        <v>3927.41</v>
      </c>
      <c r="R1878" s="62">
        <f t="shared" si="206"/>
        <v>6.7104242486373811E-2</v>
      </c>
      <c r="S1878" s="60">
        <v>4</v>
      </c>
      <c r="T1878" s="58">
        <v>45026</v>
      </c>
      <c r="U1878" s="58">
        <v>45026</v>
      </c>
      <c r="V1878" s="63">
        <f t="shared" si="207"/>
        <v>0</v>
      </c>
      <c r="W1878" s="57" t="s">
        <v>115</v>
      </c>
      <c r="X1878" s="64" t="b">
        <f t="shared" si="208"/>
        <v>1</v>
      </c>
      <c r="Y1878" s="60">
        <v>359</v>
      </c>
      <c r="Z1878" s="60">
        <v>45</v>
      </c>
      <c r="AA1878" s="57" t="s">
        <v>82</v>
      </c>
      <c r="AB1878" s="64" t="b">
        <f t="shared" si="209"/>
        <v>1</v>
      </c>
    </row>
    <row r="1879" spans="1:28" ht="15" customHeight="1" x14ac:dyDescent="0.3">
      <c r="A1879" s="65" t="s">
        <v>3870</v>
      </c>
      <c r="B1879" s="81">
        <v>45588</v>
      </c>
      <c r="C1879" s="59">
        <f t="shared" si="203"/>
        <v>2024</v>
      </c>
      <c r="D1879" s="59">
        <f t="shared" si="204"/>
        <v>10</v>
      </c>
      <c r="E1879" s="59">
        <f t="shared" si="205"/>
        <v>43</v>
      </c>
      <c r="F1879" s="65" t="s">
        <v>55</v>
      </c>
      <c r="G1879" s="65" t="s">
        <v>46</v>
      </c>
      <c r="H1879" s="65" t="s">
        <v>3871</v>
      </c>
      <c r="I1879" s="65" t="s">
        <v>68</v>
      </c>
      <c r="J1879" s="65" t="s">
        <v>143</v>
      </c>
      <c r="K1879" s="65" t="s">
        <v>75</v>
      </c>
      <c r="L1879" s="65" t="s">
        <v>135</v>
      </c>
      <c r="M1879" s="67">
        <v>21</v>
      </c>
      <c r="N1879" s="65" t="s">
        <v>140</v>
      </c>
      <c r="O1879" s="68">
        <v>53.88</v>
      </c>
      <c r="P1879" s="68">
        <v>3302.8089</v>
      </c>
      <c r="Q1879" s="68">
        <v>142.36009999999999</v>
      </c>
      <c r="R1879" s="62">
        <f t="shared" si="206"/>
        <v>4.3102735977246516E-2</v>
      </c>
      <c r="S1879" s="67">
        <v>29</v>
      </c>
      <c r="T1879" s="66">
        <v>45617</v>
      </c>
      <c r="U1879" s="66">
        <v>45617</v>
      </c>
      <c r="V1879" s="63">
        <f t="shared" si="207"/>
        <v>0</v>
      </c>
      <c r="W1879" s="65" t="s">
        <v>115</v>
      </c>
      <c r="X1879" s="64" t="b">
        <f t="shared" si="208"/>
        <v>1</v>
      </c>
      <c r="Y1879" s="67">
        <v>126</v>
      </c>
      <c r="Z1879" s="67">
        <v>242</v>
      </c>
      <c r="AA1879" s="65" t="s">
        <v>84</v>
      </c>
      <c r="AB1879" s="64" t="b">
        <f t="shared" si="209"/>
        <v>1</v>
      </c>
    </row>
    <row r="1880" spans="1:28" ht="15" customHeight="1" x14ac:dyDescent="0.3">
      <c r="A1880" s="57" t="s">
        <v>3872</v>
      </c>
      <c r="B1880" s="82">
        <v>45613</v>
      </c>
      <c r="C1880" s="59">
        <f t="shared" si="203"/>
        <v>2024</v>
      </c>
      <c r="D1880" s="59">
        <f t="shared" si="204"/>
        <v>11</v>
      </c>
      <c r="E1880" s="59">
        <f t="shared" si="205"/>
        <v>47</v>
      </c>
      <c r="F1880" s="57" t="s">
        <v>60</v>
      </c>
      <c r="G1880" s="57" t="s">
        <v>40</v>
      </c>
      <c r="H1880" s="57" t="s">
        <v>3873</v>
      </c>
      <c r="I1880" s="57" t="s">
        <v>67</v>
      </c>
      <c r="J1880" s="57" t="s">
        <v>151</v>
      </c>
      <c r="K1880" s="57" t="s">
        <v>75</v>
      </c>
      <c r="L1880" s="57" t="s">
        <v>113</v>
      </c>
      <c r="M1880" s="60">
        <v>354</v>
      </c>
      <c r="N1880" s="57" t="s">
        <v>132</v>
      </c>
      <c r="O1880" s="61">
        <v>972.95</v>
      </c>
      <c r="P1880" s="61">
        <v>344424.3</v>
      </c>
      <c r="Q1880" s="61">
        <v>18347.259999999998</v>
      </c>
      <c r="R1880" s="62">
        <f t="shared" si="206"/>
        <v>5.3269354107709589E-2</v>
      </c>
      <c r="S1880" s="60">
        <v>22</v>
      </c>
      <c r="T1880" s="58">
        <v>45635</v>
      </c>
      <c r="U1880" s="58">
        <v>45643</v>
      </c>
      <c r="V1880" s="63">
        <f t="shared" si="207"/>
        <v>8</v>
      </c>
      <c r="W1880" s="57" t="s">
        <v>128</v>
      </c>
      <c r="X1880" s="64" t="b">
        <f t="shared" si="208"/>
        <v>0</v>
      </c>
      <c r="Y1880" s="60">
        <v>179</v>
      </c>
      <c r="Z1880" s="60">
        <v>287</v>
      </c>
      <c r="AA1880" s="57" t="s">
        <v>82</v>
      </c>
      <c r="AB1880" s="64" t="b">
        <f t="shared" si="209"/>
        <v>1</v>
      </c>
    </row>
    <row r="1881" spans="1:28" ht="15" customHeight="1" x14ac:dyDescent="0.3">
      <c r="A1881" s="65" t="s">
        <v>3874</v>
      </c>
      <c r="B1881" s="81">
        <v>45360</v>
      </c>
      <c r="C1881" s="59">
        <f t="shared" si="203"/>
        <v>2024</v>
      </c>
      <c r="D1881" s="59">
        <f t="shared" si="204"/>
        <v>3</v>
      </c>
      <c r="E1881" s="59">
        <f t="shared" si="205"/>
        <v>10</v>
      </c>
      <c r="F1881" s="65" t="s">
        <v>55</v>
      </c>
      <c r="G1881" s="65" t="s">
        <v>44</v>
      </c>
      <c r="H1881" s="65" t="s">
        <v>3875</v>
      </c>
      <c r="I1881" s="65" t="s">
        <v>69</v>
      </c>
      <c r="J1881" s="65" t="s">
        <v>151</v>
      </c>
      <c r="K1881" s="65" t="s">
        <v>71</v>
      </c>
      <c r="L1881" s="65" t="s">
        <v>124</v>
      </c>
      <c r="M1881" s="67">
        <v>474</v>
      </c>
      <c r="N1881" s="65" t="s">
        <v>140</v>
      </c>
      <c r="O1881" s="68">
        <v>146.49</v>
      </c>
      <c r="P1881" s="68">
        <v>69436.259999999995</v>
      </c>
      <c r="Q1881" s="68">
        <v>2137.79</v>
      </c>
      <c r="R1881" s="62">
        <f t="shared" si="206"/>
        <v>3.0787804527490394E-2</v>
      </c>
      <c r="S1881" s="67">
        <v>25</v>
      </c>
      <c r="T1881" s="66">
        <v>45385</v>
      </c>
      <c r="U1881" s="66">
        <v>45385</v>
      </c>
      <c r="V1881" s="63">
        <f t="shared" si="207"/>
        <v>0</v>
      </c>
      <c r="W1881" s="65" t="s">
        <v>115</v>
      </c>
      <c r="X1881" s="64" t="b">
        <f t="shared" si="208"/>
        <v>1</v>
      </c>
      <c r="Y1881" s="67">
        <v>231</v>
      </c>
      <c r="Z1881" s="67">
        <v>159</v>
      </c>
      <c r="AA1881" s="65" t="s">
        <v>82</v>
      </c>
      <c r="AB1881" s="64" t="b">
        <f t="shared" si="209"/>
        <v>1</v>
      </c>
    </row>
    <row r="1882" spans="1:28" ht="15" customHeight="1" x14ac:dyDescent="0.3">
      <c r="A1882" s="57" t="s">
        <v>3876</v>
      </c>
      <c r="B1882" s="82">
        <v>45447</v>
      </c>
      <c r="C1882" s="59">
        <f t="shared" si="203"/>
        <v>2024</v>
      </c>
      <c r="D1882" s="59">
        <f t="shared" si="204"/>
        <v>6</v>
      </c>
      <c r="E1882" s="59">
        <f t="shared" si="205"/>
        <v>23</v>
      </c>
      <c r="F1882" s="57" t="s">
        <v>53</v>
      </c>
      <c r="G1882" s="57" t="s">
        <v>42</v>
      </c>
      <c r="H1882" s="57" t="s">
        <v>3877</v>
      </c>
      <c r="I1882" s="57" t="s">
        <v>65</v>
      </c>
      <c r="J1882" s="57" t="s">
        <v>123</v>
      </c>
      <c r="K1882" s="57" t="s">
        <v>73</v>
      </c>
      <c r="L1882" s="57" t="s">
        <v>135</v>
      </c>
      <c r="M1882" s="60">
        <v>709</v>
      </c>
      <c r="N1882" s="57" t="s">
        <v>114</v>
      </c>
      <c r="O1882" s="61">
        <v>108.77</v>
      </c>
      <c r="P1882" s="61">
        <v>77117.929999999993</v>
      </c>
      <c r="Q1882" s="61">
        <v>3706.71</v>
      </c>
      <c r="R1882" s="62">
        <f t="shared" si="206"/>
        <v>4.8065475823845377E-2</v>
      </c>
      <c r="S1882" s="60">
        <v>13</v>
      </c>
      <c r="T1882" s="58">
        <v>45460</v>
      </c>
      <c r="U1882" s="58">
        <v>45457</v>
      </c>
      <c r="V1882" s="63">
        <f t="shared" si="207"/>
        <v>-3</v>
      </c>
      <c r="W1882" s="57" t="s">
        <v>115</v>
      </c>
      <c r="X1882" s="64" t="b">
        <f t="shared" si="208"/>
        <v>1</v>
      </c>
      <c r="Y1882" s="60">
        <v>380</v>
      </c>
      <c r="Z1882" s="60">
        <v>114</v>
      </c>
      <c r="AA1882" s="57" t="s">
        <v>81</v>
      </c>
      <c r="AB1882" s="64" t="b">
        <f t="shared" si="209"/>
        <v>1</v>
      </c>
    </row>
    <row r="1883" spans="1:28" ht="15" customHeight="1" x14ac:dyDescent="0.3">
      <c r="A1883" s="65" t="s">
        <v>3878</v>
      </c>
      <c r="B1883" s="81">
        <v>45297</v>
      </c>
      <c r="C1883" s="59">
        <f t="shared" si="203"/>
        <v>2024</v>
      </c>
      <c r="D1883" s="59">
        <f t="shared" si="204"/>
        <v>1</v>
      </c>
      <c r="E1883" s="59">
        <f t="shared" si="205"/>
        <v>1</v>
      </c>
      <c r="F1883" s="65" t="s">
        <v>58</v>
      </c>
      <c r="G1883" s="65" t="s">
        <v>40</v>
      </c>
      <c r="H1883" s="65" t="s">
        <v>3879</v>
      </c>
      <c r="I1883" s="65" t="s">
        <v>69</v>
      </c>
      <c r="J1883" s="65" t="s">
        <v>131</v>
      </c>
      <c r="K1883" s="65" t="s">
        <v>71</v>
      </c>
      <c r="L1883" s="65" t="s">
        <v>113</v>
      </c>
      <c r="M1883" s="67">
        <v>675</v>
      </c>
      <c r="N1883" s="65" t="s">
        <v>140</v>
      </c>
      <c r="O1883" s="68">
        <v>827.33</v>
      </c>
      <c r="P1883" s="68">
        <v>558447.75</v>
      </c>
      <c r="Q1883" s="68">
        <v>43606.03</v>
      </c>
      <c r="R1883" s="62">
        <f t="shared" si="206"/>
        <v>7.8084350774087638E-2</v>
      </c>
      <c r="S1883" s="67">
        <v>18</v>
      </c>
      <c r="T1883" s="66">
        <v>45315</v>
      </c>
      <c r="U1883" s="66">
        <v>45315</v>
      </c>
      <c r="V1883" s="63">
        <f t="shared" si="207"/>
        <v>0</v>
      </c>
      <c r="W1883" s="65" t="s">
        <v>115</v>
      </c>
      <c r="X1883" s="64" t="b">
        <f t="shared" si="208"/>
        <v>1</v>
      </c>
      <c r="Y1883" s="67">
        <v>421</v>
      </c>
      <c r="Z1883" s="67">
        <v>473</v>
      </c>
      <c r="AA1883" s="65" t="s">
        <v>116</v>
      </c>
      <c r="AB1883" s="64" t="b">
        <f t="shared" si="209"/>
        <v>0</v>
      </c>
    </row>
    <row r="1884" spans="1:28" ht="15" customHeight="1" x14ac:dyDescent="0.3">
      <c r="A1884" s="57" t="s">
        <v>3880</v>
      </c>
      <c r="B1884" s="82">
        <v>44945</v>
      </c>
      <c r="C1884" s="59">
        <f t="shared" si="203"/>
        <v>2023</v>
      </c>
      <c r="D1884" s="59">
        <f t="shared" si="204"/>
        <v>1</v>
      </c>
      <c r="E1884" s="59">
        <f t="shared" si="205"/>
        <v>3</v>
      </c>
      <c r="F1884" s="57" t="s">
        <v>60</v>
      </c>
      <c r="G1884" s="57" t="s">
        <v>39</v>
      </c>
      <c r="H1884" s="57" t="s">
        <v>3881</v>
      </c>
      <c r="I1884" s="57" t="s">
        <v>64</v>
      </c>
      <c r="J1884" s="57" t="s">
        <v>131</v>
      </c>
      <c r="K1884" s="57" t="s">
        <v>73</v>
      </c>
      <c r="L1884" s="57" t="s">
        <v>113</v>
      </c>
      <c r="M1884" s="60">
        <v>503</v>
      </c>
      <c r="N1884" s="57" t="s">
        <v>163</v>
      </c>
      <c r="O1884" s="61">
        <v>1137.7</v>
      </c>
      <c r="P1884" s="61">
        <v>572263.1</v>
      </c>
      <c r="Q1884" s="61">
        <v>37299.629999999997</v>
      </c>
      <c r="R1884" s="62">
        <f t="shared" si="206"/>
        <v>6.5179163220553615E-2</v>
      </c>
      <c r="S1884" s="60">
        <v>1</v>
      </c>
      <c r="T1884" s="58">
        <v>44946</v>
      </c>
      <c r="U1884" s="58">
        <v>44945</v>
      </c>
      <c r="V1884" s="63">
        <f t="shared" si="207"/>
        <v>-1</v>
      </c>
      <c r="W1884" s="57" t="s">
        <v>115</v>
      </c>
      <c r="X1884" s="64" t="b">
        <f t="shared" si="208"/>
        <v>1</v>
      </c>
      <c r="Y1884" s="60">
        <v>450</v>
      </c>
      <c r="Z1884" s="60">
        <v>461</v>
      </c>
      <c r="AA1884" s="57" t="s">
        <v>116</v>
      </c>
      <c r="AB1884" s="64" t="b">
        <f t="shared" si="209"/>
        <v>0</v>
      </c>
    </row>
    <row r="1885" spans="1:28" ht="15" customHeight="1" x14ac:dyDescent="0.3">
      <c r="A1885" s="65" t="s">
        <v>3882</v>
      </c>
      <c r="B1885" s="81">
        <v>45298</v>
      </c>
      <c r="C1885" s="59">
        <f t="shared" si="203"/>
        <v>2024</v>
      </c>
      <c r="D1885" s="59">
        <f t="shared" si="204"/>
        <v>1</v>
      </c>
      <c r="E1885" s="59">
        <f t="shared" si="205"/>
        <v>2</v>
      </c>
      <c r="F1885" s="65" t="s">
        <v>58</v>
      </c>
      <c r="G1885" s="65" t="s">
        <v>40</v>
      </c>
      <c r="H1885" s="65" t="s">
        <v>3883</v>
      </c>
      <c r="I1885" s="65" t="s">
        <v>66</v>
      </c>
      <c r="J1885" s="65" t="s">
        <v>151</v>
      </c>
      <c r="K1885" s="65" t="s">
        <v>74</v>
      </c>
      <c r="L1885" s="65" t="s">
        <v>119</v>
      </c>
      <c r="M1885" s="67">
        <v>377</v>
      </c>
      <c r="N1885" s="65" t="s">
        <v>114</v>
      </c>
      <c r="O1885" s="68">
        <v>735.15</v>
      </c>
      <c r="P1885" s="68">
        <v>277151.55</v>
      </c>
      <c r="Q1885" s="68">
        <v>19031.93</v>
      </c>
      <c r="R1885" s="62">
        <f t="shared" si="206"/>
        <v>6.8669758476905512E-2</v>
      </c>
      <c r="S1885" s="67">
        <v>16</v>
      </c>
      <c r="T1885" s="66">
        <v>45314</v>
      </c>
      <c r="U1885" s="66">
        <v>45316</v>
      </c>
      <c r="V1885" s="63">
        <f t="shared" si="207"/>
        <v>2</v>
      </c>
      <c r="W1885" s="65" t="s">
        <v>128</v>
      </c>
      <c r="X1885" s="64" t="b">
        <f t="shared" si="208"/>
        <v>0</v>
      </c>
      <c r="Y1885" s="67">
        <v>92</v>
      </c>
      <c r="Z1885" s="67">
        <v>113</v>
      </c>
      <c r="AA1885" s="65" t="s">
        <v>116</v>
      </c>
      <c r="AB1885" s="64" t="b">
        <f t="shared" si="209"/>
        <v>0</v>
      </c>
    </row>
    <row r="1886" spans="1:28" ht="15" customHeight="1" x14ac:dyDescent="0.3">
      <c r="A1886" s="57" t="s">
        <v>3884</v>
      </c>
      <c r="B1886" s="82">
        <v>45243</v>
      </c>
      <c r="C1886" s="59">
        <f t="shared" si="203"/>
        <v>2023</v>
      </c>
      <c r="D1886" s="59">
        <f t="shared" si="204"/>
        <v>11</v>
      </c>
      <c r="E1886" s="59">
        <f t="shared" si="205"/>
        <v>46</v>
      </c>
      <c r="F1886" s="57" t="s">
        <v>55</v>
      </c>
      <c r="G1886" s="57" t="s">
        <v>40</v>
      </c>
      <c r="H1886" s="57" t="s">
        <v>1896</v>
      </c>
      <c r="I1886" s="57" t="s">
        <v>66</v>
      </c>
      <c r="J1886" s="57" t="s">
        <v>123</v>
      </c>
      <c r="K1886" s="57" t="s">
        <v>72</v>
      </c>
      <c r="L1886" s="57" t="s">
        <v>124</v>
      </c>
      <c r="M1886" s="60">
        <v>855</v>
      </c>
      <c r="N1886" s="57" t="s">
        <v>163</v>
      </c>
      <c r="O1886" s="61">
        <v>1187.2</v>
      </c>
      <c r="P1886" s="61">
        <v>1015056</v>
      </c>
      <c r="Q1886" s="61">
        <v>22300.3</v>
      </c>
      <c r="R1886" s="62">
        <f t="shared" si="206"/>
        <v>2.1969526804432465E-2</v>
      </c>
      <c r="S1886" s="60">
        <v>13</v>
      </c>
      <c r="T1886" s="58">
        <v>45256</v>
      </c>
      <c r="U1886" s="58">
        <v>45253</v>
      </c>
      <c r="V1886" s="63">
        <f t="shared" si="207"/>
        <v>-3</v>
      </c>
      <c r="W1886" s="57" t="s">
        <v>115</v>
      </c>
      <c r="X1886" s="64" t="b">
        <f t="shared" si="208"/>
        <v>1</v>
      </c>
      <c r="Y1886" s="60">
        <v>7</v>
      </c>
      <c r="Z1886" s="60">
        <v>125</v>
      </c>
      <c r="AA1886" s="57" t="s">
        <v>116</v>
      </c>
      <c r="AB1886" s="64" t="b">
        <f t="shared" si="209"/>
        <v>0</v>
      </c>
    </row>
    <row r="1887" spans="1:28" ht="15" customHeight="1" x14ac:dyDescent="0.3">
      <c r="A1887" s="65" t="s">
        <v>3885</v>
      </c>
      <c r="B1887" s="81">
        <v>45111</v>
      </c>
      <c r="C1887" s="59">
        <f t="shared" si="203"/>
        <v>2023</v>
      </c>
      <c r="D1887" s="59">
        <f t="shared" si="204"/>
        <v>7</v>
      </c>
      <c r="E1887" s="59">
        <f t="shared" si="205"/>
        <v>27</v>
      </c>
      <c r="F1887" s="65" t="s">
        <v>61</v>
      </c>
      <c r="G1887" s="65" t="s">
        <v>46</v>
      </c>
      <c r="H1887" s="65" t="s">
        <v>3886</v>
      </c>
      <c r="I1887" s="65" t="s">
        <v>64</v>
      </c>
      <c r="J1887" s="65" t="s">
        <v>151</v>
      </c>
      <c r="K1887" s="65" t="s">
        <v>73</v>
      </c>
      <c r="L1887" s="65" t="s">
        <v>156</v>
      </c>
      <c r="M1887" s="67">
        <v>946</v>
      </c>
      <c r="N1887" s="65" t="s">
        <v>140</v>
      </c>
      <c r="O1887" s="68">
        <v>70.62</v>
      </c>
      <c r="P1887" s="68">
        <v>66806.52</v>
      </c>
      <c r="Q1887" s="68">
        <v>3211.49</v>
      </c>
      <c r="R1887" s="62">
        <f t="shared" si="206"/>
        <v>4.8071505595561621E-2</v>
      </c>
      <c r="S1887" s="67">
        <v>10</v>
      </c>
      <c r="T1887" s="66">
        <v>45121</v>
      </c>
      <c r="U1887" s="66">
        <v>45116</v>
      </c>
      <c r="V1887" s="63">
        <f t="shared" si="207"/>
        <v>-5</v>
      </c>
      <c r="W1887" s="65" t="s">
        <v>115</v>
      </c>
      <c r="X1887" s="64" t="b">
        <f t="shared" si="208"/>
        <v>1</v>
      </c>
      <c r="Y1887" s="67">
        <v>412</v>
      </c>
      <c r="Z1887" s="67">
        <v>89</v>
      </c>
      <c r="AA1887" s="65" t="s">
        <v>116</v>
      </c>
      <c r="AB1887" s="64" t="b">
        <f t="shared" si="209"/>
        <v>0</v>
      </c>
    </row>
    <row r="1888" spans="1:28" ht="15" customHeight="1" x14ac:dyDescent="0.3">
      <c r="A1888" s="57" t="s">
        <v>3887</v>
      </c>
      <c r="B1888" s="82">
        <v>45146</v>
      </c>
      <c r="C1888" s="59">
        <f t="shared" si="203"/>
        <v>2023</v>
      </c>
      <c r="D1888" s="59">
        <f t="shared" si="204"/>
        <v>8</v>
      </c>
      <c r="E1888" s="59">
        <f t="shared" si="205"/>
        <v>32</v>
      </c>
      <c r="F1888" s="57" t="s">
        <v>58</v>
      </c>
      <c r="G1888" s="57" t="s">
        <v>45</v>
      </c>
      <c r="H1888" s="57" t="s">
        <v>3888</v>
      </c>
      <c r="I1888" s="57" t="s">
        <v>64</v>
      </c>
      <c r="J1888" s="57" t="s">
        <v>131</v>
      </c>
      <c r="K1888" s="57" t="s">
        <v>75</v>
      </c>
      <c r="L1888" s="57" t="s">
        <v>124</v>
      </c>
      <c r="M1888" s="60">
        <v>429</v>
      </c>
      <c r="N1888" s="57" t="s">
        <v>163</v>
      </c>
      <c r="O1888" s="61">
        <v>253.56</v>
      </c>
      <c r="P1888" s="61">
        <v>108777.24</v>
      </c>
      <c r="Q1888" s="61">
        <v>6395.8</v>
      </c>
      <c r="R1888" s="62">
        <f t="shared" si="206"/>
        <v>5.8797226331537736E-2</v>
      </c>
      <c r="S1888" s="60">
        <v>12</v>
      </c>
      <c r="T1888" s="58">
        <v>45158</v>
      </c>
      <c r="U1888" s="58">
        <v>45161</v>
      </c>
      <c r="V1888" s="63">
        <f t="shared" si="207"/>
        <v>3</v>
      </c>
      <c r="W1888" s="57" t="s">
        <v>125</v>
      </c>
      <c r="X1888" s="64" t="b">
        <f t="shared" si="208"/>
        <v>0</v>
      </c>
      <c r="Y1888" s="60">
        <v>246</v>
      </c>
      <c r="Z1888" s="60">
        <v>60</v>
      </c>
      <c r="AA1888" s="57" t="s">
        <v>116</v>
      </c>
      <c r="AB1888" s="64" t="b">
        <f t="shared" si="209"/>
        <v>0</v>
      </c>
    </row>
    <row r="1889" spans="1:28" ht="15" customHeight="1" x14ac:dyDescent="0.3">
      <c r="A1889" s="65" t="s">
        <v>3889</v>
      </c>
      <c r="B1889" s="81">
        <v>45276</v>
      </c>
      <c r="C1889" s="59">
        <f t="shared" si="203"/>
        <v>2023</v>
      </c>
      <c r="D1889" s="59">
        <f t="shared" si="204"/>
        <v>12</v>
      </c>
      <c r="E1889" s="59">
        <f t="shared" si="205"/>
        <v>50</v>
      </c>
      <c r="F1889" s="65" t="s">
        <v>53</v>
      </c>
      <c r="G1889" s="65" t="s">
        <v>40</v>
      </c>
      <c r="H1889" s="65" t="s">
        <v>3890</v>
      </c>
      <c r="I1889" s="65" t="s">
        <v>66</v>
      </c>
      <c r="J1889" s="65" t="s">
        <v>143</v>
      </c>
      <c r="K1889" s="65" t="s">
        <v>75</v>
      </c>
      <c r="L1889" s="65" t="s">
        <v>119</v>
      </c>
      <c r="M1889" s="67">
        <v>898</v>
      </c>
      <c r="N1889" s="65" t="s">
        <v>163</v>
      </c>
      <c r="O1889" s="68">
        <v>564.71</v>
      </c>
      <c r="P1889" s="68">
        <v>507109.58</v>
      </c>
      <c r="Q1889" s="68">
        <v>35397.24</v>
      </c>
      <c r="R1889" s="62">
        <f t="shared" si="206"/>
        <v>6.9801954835875896E-2</v>
      </c>
      <c r="S1889" s="67">
        <v>2</v>
      </c>
      <c r="T1889" s="66">
        <v>45278</v>
      </c>
      <c r="U1889" s="66">
        <v>45290</v>
      </c>
      <c r="V1889" s="63">
        <f t="shared" si="207"/>
        <v>12</v>
      </c>
      <c r="W1889" s="65" t="s">
        <v>125</v>
      </c>
      <c r="X1889" s="64" t="b">
        <f t="shared" si="208"/>
        <v>0</v>
      </c>
      <c r="Y1889" s="67">
        <v>393</v>
      </c>
      <c r="Z1889" s="67">
        <v>452</v>
      </c>
      <c r="AA1889" s="65" t="s">
        <v>116</v>
      </c>
      <c r="AB1889" s="64" t="b">
        <f t="shared" si="209"/>
        <v>0</v>
      </c>
    </row>
    <row r="1890" spans="1:28" ht="15" customHeight="1" x14ac:dyDescent="0.3">
      <c r="A1890" s="57" t="s">
        <v>3891</v>
      </c>
      <c r="B1890" s="82">
        <v>45424</v>
      </c>
      <c r="C1890" s="59">
        <f t="shared" si="203"/>
        <v>2024</v>
      </c>
      <c r="D1890" s="59">
        <f t="shared" si="204"/>
        <v>5</v>
      </c>
      <c r="E1890" s="59">
        <f t="shared" si="205"/>
        <v>20</v>
      </c>
      <c r="F1890" s="57" t="s">
        <v>52</v>
      </c>
      <c r="G1890" s="57" t="s">
        <v>40</v>
      </c>
      <c r="H1890" s="57" t="s">
        <v>3892</v>
      </c>
      <c r="I1890" s="57" t="s">
        <v>68</v>
      </c>
      <c r="J1890" s="57" t="s">
        <v>139</v>
      </c>
      <c r="K1890" s="57" t="s">
        <v>72</v>
      </c>
      <c r="L1890" s="57" t="s">
        <v>119</v>
      </c>
      <c r="M1890" s="60">
        <v>800</v>
      </c>
      <c r="N1890" s="57" t="s">
        <v>163</v>
      </c>
      <c r="O1890" s="61">
        <v>891.65</v>
      </c>
      <c r="P1890" s="61">
        <v>713320</v>
      </c>
      <c r="Q1890" s="61">
        <v>16375.27</v>
      </c>
      <c r="R1890" s="62">
        <f t="shared" si="206"/>
        <v>2.2956415073178939E-2</v>
      </c>
      <c r="S1890" s="60">
        <v>23</v>
      </c>
      <c r="T1890" s="58">
        <v>45447</v>
      </c>
      <c r="U1890" s="58">
        <v>45446</v>
      </c>
      <c r="V1890" s="63">
        <f t="shared" si="207"/>
        <v>-1</v>
      </c>
      <c r="W1890" s="57" t="s">
        <v>115</v>
      </c>
      <c r="X1890" s="64" t="b">
        <f t="shared" si="208"/>
        <v>1</v>
      </c>
      <c r="Y1890" s="60">
        <v>452</v>
      </c>
      <c r="Z1890" s="60">
        <v>499</v>
      </c>
      <c r="AA1890" s="57" t="s">
        <v>83</v>
      </c>
      <c r="AB1890" s="64" t="b">
        <f t="shared" si="209"/>
        <v>1</v>
      </c>
    </row>
    <row r="1891" spans="1:28" ht="15" customHeight="1" x14ac:dyDescent="0.3">
      <c r="A1891" s="65" t="s">
        <v>3893</v>
      </c>
      <c r="B1891" s="81">
        <v>45123</v>
      </c>
      <c r="C1891" s="59">
        <f t="shared" si="203"/>
        <v>2023</v>
      </c>
      <c r="D1891" s="59">
        <f t="shared" si="204"/>
        <v>7</v>
      </c>
      <c r="E1891" s="59">
        <f t="shared" si="205"/>
        <v>29</v>
      </c>
      <c r="F1891" s="65" t="s">
        <v>60</v>
      </c>
      <c r="G1891" s="65" t="s">
        <v>44</v>
      </c>
      <c r="H1891" s="65" t="s">
        <v>3894</v>
      </c>
      <c r="I1891" s="65" t="s">
        <v>65</v>
      </c>
      <c r="J1891" s="65" t="s">
        <v>131</v>
      </c>
      <c r="K1891" s="65" t="s">
        <v>73</v>
      </c>
      <c r="L1891" s="65" t="s">
        <v>119</v>
      </c>
      <c r="M1891" s="67">
        <v>180</v>
      </c>
      <c r="N1891" s="65" t="s">
        <v>120</v>
      </c>
      <c r="O1891" s="68">
        <v>87.6</v>
      </c>
      <c r="P1891" s="68">
        <v>15768</v>
      </c>
      <c r="Q1891" s="68">
        <v>1121.8399999999999</v>
      </c>
      <c r="R1891" s="62">
        <f t="shared" si="206"/>
        <v>7.1146626078132921E-2</v>
      </c>
      <c r="S1891" s="67">
        <v>3</v>
      </c>
      <c r="T1891" s="66">
        <v>45126</v>
      </c>
      <c r="U1891" s="66">
        <v>45134</v>
      </c>
      <c r="V1891" s="63">
        <f t="shared" si="207"/>
        <v>8</v>
      </c>
      <c r="W1891" s="65" t="s">
        <v>125</v>
      </c>
      <c r="X1891" s="64" t="b">
        <f t="shared" si="208"/>
        <v>0</v>
      </c>
      <c r="Y1891" s="67">
        <v>330</v>
      </c>
      <c r="Z1891" s="67">
        <v>316</v>
      </c>
      <c r="AA1891" s="65" t="s">
        <v>83</v>
      </c>
      <c r="AB1891" s="64" t="b">
        <f t="shared" si="209"/>
        <v>1</v>
      </c>
    </row>
    <row r="1892" spans="1:28" ht="15" customHeight="1" x14ac:dyDescent="0.3">
      <c r="A1892" s="57" t="s">
        <v>3895</v>
      </c>
      <c r="B1892" s="82">
        <v>45158</v>
      </c>
      <c r="C1892" s="59">
        <f t="shared" si="203"/>
        <v>2023</v>
      </c>
      <c r="D1892" s="59">
        <f t="shared" si="204"/>
        <v>8</v>
      </c>
      <c r="E1892" s="59">
        <f t="shared" si="205"/>
        <v>34</v>
      </c>
      <c r="F1892" s="57" t="s">
        <v>53</v>
      </c>
      <c r="G1892" s="57" t="s">
        <v>45</v>
      </c>
      <c r="H1892" s="57" t="s">
        <v>3896</v>
      </c>
      <c r="I1892" s="57" t="s">
        <v>65</v>
      </c>
      <c r="J1892" s="57" t="s">
        <v>143</v>
      </c>
      <c r="K1892" s="57" t="s">
        <v>72</v>
      </c>
      <c r="L1892" s="57" t="s">
        <v>135</v>
      </c>
      <c r="M1892" s="60">
        <v>143</v>
      </c>
      <c r="N1892" s="57" t="s">
        <v>114</v>
      </c>
      <c r="O1892" s="61">
        <v>231.08</v>
      </c>
      <c r="P1892" s="61">
        <v>33044.44</v>
      </c>
      <c r="Q1892" s="61">
        <v>1748.18</v>
      </c>
      <c r="R1892" s="62">
        <f t="shared" si="206"/>
        <v>5.2903907586268673E-2</v>
      </c>
      <c r="S1892" s="60">
        <v>10</v>
      </c>
      <c r="T1892" s="58">
        <v>45168</v>
      </c>
      <c r="U1892" s="58">
        <v>45163</v>
      </c>
      <c r="V1892" s="63">
        <f t="shared" si="207"/>
        <v>-5</v>
      </c>
      <c r="W1892" s="57" t="s">
        <v>115</v>
      </c>
      <c r="X1892" s="64" t="b">
        <f t="shared" si="208"/>
        <v>1</v>
      </c>
      <c r="Y1892" s="60">
        <v>195</v>
      </c>
      <c r="Z1892" s="60">
        <v>101</v>
      </c>
      <c r="AA1892" s="57" t="s">
        <v>116</v>
      </c>
      <c r="AB1892" s="64" t="b">
        <f t="shared" si="209"/>
        <v>0</v>
      </c>
    </row>
    <row r="1893" spans="1:28" ht="15" customHeight="1" x14ac:dyDescent="0.3">
      <c r="A1893" s="65" t="s">
        <v>3897</v>
      </c>
      <c r="B1893" s="81">
        <v>45067</v>
      </c>
      <c r="C1893" s="59">
        <f t="shared" si="203"/>
        <v>2023</v>
      </c>
      <c r="D1893" s="59">
        <f t="shared" si="204"/>
        <v>5</v>
      </c>
      <c r="E1893" s="59">
        <f t="shared" si="205"/>
        <v>21</v>
      </c>
      <c r="F1893" s="65" t="s">
        <v>53</v>
      </c>
      <c r="G1893" s="65" t="s">
        <v>46</v>
      </c>
      <c r="H1893" s="65" t="s">
        <v>3898</v>
      </c>
      <c r="I1893" s="65" t="s">
        <v>65</v>
      </c>
      <c r="J1893" s="65" t="s">
        <v>139</v>
      </c>
      <c r="K1893" s="65" t="s">
        <v>74</v>
      </c>
      <c r="L1893" s="65" t="s">
        <v>124</v>
      </c>
      <c r="M1893" s="67">
        <v>974</v>
      </c>
      <c r="N1893" s="65" t="s">
        <v>114</v>
      </c>
      <c r="O1893" s="68">
        <v>86.2</v>
      </c>
      <c r="P1893" s="68">
        <v>83958.8</v>
      </c>
      <c r="Q1893" s="68">
        <v>2673.15</v>
      </c>
      <c r="R1893" s="62">
        <f t="shared" si="206"/>
        <v>3.1838830473994391E-2</v>
      </c>
      <c r="S1893" s="67">
        <v>2</v>
      </c>
      <c r="T1893" s="66">
        <v>45069</v>
      </c>
      <c r="U1893" s="66">
        <v>45070</v>
      </c>
      <c r="V1893" s="63">
        <f t="shared" si="207"/>
        <v>1</v>
      </c>
      <c r="W1893" s="65" t="s">
        <v>128</v>
      </c>
      <c r="X1893" s="64" t="b">
        <f t="shared" si="208"/>
        <v>0</v>
      </c>
      <c r="Y1893" s="67">
        <v>432</v>
      </c>
      <c r="Z1893" s="67">
        <v>113</v>
      </c>
      <c r="AA1893" s="65" t="s">
        <v>81</v>
      </c>
      <c r="AB1893" s="64" t="b">
        <f t="shared" si="209"/>
        <v>1</v>
      </c>
    </row>
    <row r="1894" spans="1:28" ht="15" customHeight="1" x14ac:dyDescent="0.3">
      <c r="A1894" s="57" t="s">
        <v>3899</v>
      </c>
      <c r="B1894" s="82">
        <v>45085</v>
      </c>
      <c r="C1894" s="59">
        <f t="shared" si="203"/>
        <v>2023</v>
      </c>
      <c r="D1894" s="59">
        <f t="shared" si="204"/>
        <v>6</v>
      </c>
      <c r="E1894" s="59">
        <f t="shared" si="205"/>
        <v>23</v>
      </c>
      <c r="F1894" s="57" t="s">
        <v>56</v>
      </c>
      <c r="G1894" s="57" t="s">
        <v>42</v>
      </c>
      <c r="H1894" s="57" t="s">
        <v>3900</v>
      </c>
      <c r="I1894" s="57" t="s">
        <v>64</v>
      </c>
      <c r="J1894" s="57" t="s">
        <v>112</v>
      </c>
      <c r="K1894" s="57" t="s">
        <v>72</v>
      </c>
      <c r="L1894" s="57" t="s">
        <v>124</v>
      </c>
      <c r="M1894" s="60">
        <v>436</v>
      </c>
      <c r="N1894" s="57" t="s">
        <v>114</v>
      </c>
      <c r="O1894" s="61">
        <v>117.98</v>
      </c>
      <c r="P1894" s="61">
        <v>51439.28</v>
      </c>
      <c r="Q1894" s="61">
        <v>2007.95</v>
      </c>
      <c r="R1894" s="62">
        <f t="shared" si="206"/>
        <v>3.9035344196108504E-2</v>
      </c>
      <c r="S1894" s="60">
        <v>27</v>
      </c>
      <c r="T1894" s="58">
        <v>45112</v>
      </c>
      <c r="U1894" s="58">
        <v>45117</v>
      </c>
      <c r="V1894" s="63">
        <f t="shared" si="207"/>
        <v>5</v>
      </c>
      <c r="W1894" s="57" t="s">
        <v>128</v>
      </c>
      <c r="X1894" s="64" t="b">
        <f t="shared" si="208"/>
        <v>0</v>
      </c>
      <c r="Y1894" s="60">
        <v>441</v>
      </c>
      <c r="Z1894" s="60">
        <v>173</v>
      </c>
      <c r="AA1894" s="57" t="s">
        <v>84</v>
      </c>
      <c r="AB1894" s="64" t="b">
        <f t="shared" si="209"/>
        <v>1</v>
      </c>
    </row>
    <row r="1895" spans="1:28" ht="15" customHeight="1" x14ac:dyDescent="0.3">
      <c r="A1895" s="65" t="s">
        <v>3901</v>
      </c>
      <c r="B1895" s="81">
        <v>45006</v>
      </c>
      <c r="C1895" s="59">
        <f t="shared" si="203"/>
        <v>2023</v>
      </c>
      <c r="D1895" s="59">
        <f t="shared" si="204"/>
        <v>3</v>
      </c>
      <c r="E1895" s="59">
        <f t="shared" si="205"/>
        <v>12</v>
      </c>
      <c r="F1895" s="65" t="s">
        <v>61</v>
      </c>
      <c r="G1895" s="65" t="s">
        <v>39</v>
      </c>
      <c r="H1895" s="65" t="s">
        <v>3902</v>
      </c>
      <c r="I1895" s="65" t="s">
        <v>66</v>
      </c>
      <c r="J1895" s="65" t="s">
        <v>123</v>
      </c>
      <c r="K1895" s="65" t="s">
        <v>74</v>
      </c>
      <c r="L1895" s="65" t="s">
        <v>113</v>
      </c>
      <c r="M1895" s="67">
        <v>34</v>
      </c>
      <c r="N1895" s="65" t="s">
        <v>140</v>
      </c>
      <c r="O1895" s="68">
        <v>1698.66</v>
      </c>
      <c r="P1895" s="68">
        <v>57754.44</v>
      </c>
      <c r="Q1895" s="68">
        <v>2132.0500000000002</v>
      </c>
      <c r="R1895" s="62">
        <f t="shared" si="206"/>
        <v>3.6915776518653805E-2</v>
      </c>
      <c r="S1895" s="67">
        <v>23</v>
      </c>
      <c r="T1895" s="66">
        <v>45029</v>
      </c>
      <c r="U1895" s="66">
        <v>45029</v>
      </c>
      <c r="V1895" s="63">
        <f t="shared" si="207"/>
        <v>0</v>
      </c>
      <c r="W1895" s="65" t="s">
        <v>125</v>
      </c>
      <c r="X1895" s="64" t="b">
        <f t="shared" si="208"/>
        <v>0</v>
      </c>
      <c r="Y1895" s="67">
        <v>162</v>
      </c>
      <c r="Z1895" s="67">
        <v>451</v>
      </c>
      <c r="AA1895" s="65" t="s">
        <v>116</v>
      </c>
      <c r="AB1895" s="64" t="b">
        <f t="shared" si="209"/>
        <v>0</v>
      </c>
    </row>
    <row r="1896" spans="1:28" ht="15" customHeight="1" x14ac:dyDescent="0.3">
      <c r="A1896" s="57" t="s">
        <v>3903</v>
      </c>
      <c r="B1896" s="82">
        <v>45229</v>
      </c>
      <c r="C1896" s="59">
        <f t="shared" si="203"/>
        <v>2023</v>
      </c>
      <c r="D1896" s="59">
        <f t="shared" si="204"/>
        <v>10</v>
      </c>
      <c r="E1896" s="59">
        <f t="shared" si="205"/>
        <v>44</v>
      </c>
      <c r="F1896" s="57" t="s">
        <v>59</v>
      </c>
      <c r="G1896" s="57" t="s">
        <v>46</v>
      </c>
      <c r="H1896" s="57" t="s">
        <v>3904</v>
      </c>
      <c r="I1896" s="57" t="s">
        <v>68</v>
      </c>
      <c r="J1896" s="57" t="s">
        <v>143</v>
      </c>
      <c r="K1896" s="57" t="s">
        <v>75</v>
      </c>
      <c r="L1896" s="57" t="s">
        <v>146</v>
      </c>
      <c r="M1896" s="60">
        <v>539</v>
      </c>
      <c r="N1896" s="57" t="s">
        <v>136</v>
      </c>
      <c r="O1896" s="61">
        <v>63.99</v>
      </c>
      <c r="P1896" s="61">
        <v>34490.61</v>
      </c>
      <c r="Q1896" s="61">
        <v>1788.39</v>
      </c>
      <c r="R1896" s="62">
        <f t="shared" si="206"/>
        <v>5.1851503931069937E-2</v>
      </c>
      <c r="S1896" s="60">
        <v>13</v>
      </c>
      <c r="T1896" s="58">
        <v>45242</v>
      </c>
      <c r="U1896" s="58">
        <v>45242</v>
      </c>
      <c r="V1896" s="63">
        <f t="shared" si="207"/>
        <v>0</v>
      </c>
      <c r="W1896" s="57" t="s">
        <v>115</v>
      </c>
      <c r="X1896" s="64" t="b">
        <f t="shared" si="208"/>
        <v>1</v>
      </c>
      <c r="Y1896" s="60">
        <v>433</v>
      </c>
      <c r="Z1896" s="60">
        <v>91</v>
      </c>
      <c r="AA1896" s="57" t="s">
        <v>81</v>
      </c>
      <c r="AB1896" s="64" t="b">
        <f t="shared" si="209"/>
        <v>1</v>
      </c>
    </row>
    <row r="1897" spans="1:28" ht="15" customHeight="1" x14ac:dyDescent="0.3">
      <c r="A1897" s="65" t="s">
        <v>3905</v>
      </c>
      <c r="B1897" s="81">
        <v>45030</v>
      </c>
      <c r="C1897" s="59">
        <f t="shared" si="203"/>
        <v>2023</v>
      </c>
      <c r="D1897" s="59">
        <f t="shared" si="204"/>
        <v>4</v>
      </c>
      <c r="E1897" s="59">
        <f t="shared" si="205"/>
        <v>15</v>
      </c>
      <c r="F1897" s="65" t="s">
        <v>61</v>
      </c>
      <c r="G1897" s="65" t="s">
        <v>46</v>
      </c>
      <c r="H1897" s="65" t="s">
        <v>3906</v>
      </c>
      <c r="I1897" s="65" t="s">
        <v>66</v>
      </c>
      <c r="J1897" s="65" t="s">
        <v>112</v>
      </c>
      <c r="K1897" s="65" t="s">
        <v>74</v>
      </c>
      <c r="L1897" s="65" t="s">
        <v>156</v>
      </c>
      <c r="M1897" s="67">
        <v>199</v>
      </c>
      <c r="N1897" s="65" t="s">
        <v>140</v>
      </c>
      <c r="O1897" s="68">
        <v>87.36</v>
      </c>
      <c r="P1897" s="68">
        <v>17384.64</v>
      </c>
      <c r="Q1897" s="68">
        <v>401.61</v>
      </c>
      <c r="R1897" s="62">
        <f t="shared" si="206"/>
        <v>2.3101427467005359E-2</v>
      </c>
      <c r="S1897" s="67">
        <v>13</v>
      </c>
      <c r="T1897" s="66">
        <v>45043</v>
      </c>
      <c r="U1897" s="66">
        <v>45038</v>
      </c>
      <c r="V1897" s="63">
        <f t="shared" si="207"/>
        <v>-5</v>
      </c>
      <c r="W1897" s="65" t="s">
        <v>128</v>
      </c>
      <c r="X1897" s="64" t="b">
        <f t="shared" si="208"/>
        <v>0</v>
      </c>
      <c r="Y1897" s="67">
        <v>39</v>
      </c>
      <c r="Z1897" s="67">
        <v>182</v>
      </c>
      <c r="AA1897" s="65" t="s">
        <v>83</v>
      </c>
      <c r="AB1897" s="64" t="b">
        <f t="shared" si="209"/>
        <v>1</v>
      </c>
    </row>
    <row r="1898" spans="1:28" ht="15" customHeight="1" x14ac:dyDescent="0.3">
      <c r="A1898" s="57" t="s">
        <v>3907</v>
      </c>
      <c r="B1898" s="82">
        <v>45446</v>
      </c>
      <c r="C1898" s="59">
        <f t="shared" si="203"/>
        <v>2024</v>
      </c>
      <c r="D1898" s="59">
        <f t="shared" si="204"/>
        <v>6</v>
      </c>
      <c r="E1898" s="59">
        <f t="shared" si="205"/>
        <v>23</v>
      </c>
      <c r="F1898" s="57" t="s">
        <v>54</v>
      </c>
      <c r="G1898" s="57" t="s">
        <v>41</v>
      </c>
      <c r="H1898" s="57" t="s">
        <v>3908</v>
      </c>
      <c r="I1898" s="57" t="s">
        <v>66</v>
      </c>
      <c r="J1898" s="57" t="s">
        <v>131</v>
      </c>
      <c r="K1898" s="57" t="s">
        <v>73</v>
      </c>
      <c r="L1898" s="57" t="s">
        <v>119</v>
      </c>
      <c r="M1898" s="60">
        <v>150</v>
      </c>
      <c r="N1898" s="57" t="s">
        <v>114</v>
      </c>
      <c r="O1898" s="61">
        <v>619.44000000000005</v>
      </c>
      <c r="P1898" s="61">
        <v>92916</v>
      </c>
      <c r="Q1898" s="61">
        <v>2742.15</v>
      </c>
      <c r="R1898" s="62">
        <f t="shared" si="206"/>
        <v>2.9512139997417024E-2</v>
      </c>
      <c r="S1898" s="60">
        <v>18</v>
      </c>
      <c r="T1898" s="58">
        <v>45464</v>
      </c>
      <c r="U1898" s="58">
        <v>45467</v>
      </c>
      <c r="V1898" s="63">
        <f t="shared" si="207"/>
        <v>3</v>
      </c>
      <c r="W1898" s="57" t="s">
        <v>125</v>
      </c>
      <c r="X1898" s="64" t="b">
        <f t="shared" si="208"/>
        <v>0</v>
      </c>
      <c r="Y1898" s="60">
        <v>253</v>
      </c>
      <c r="Z1898" s="60">
        <v>384</v>
      </c>
      <c r="AA1898" s="57" t="s">
        <v>116</v>
      </c>
      <c r="AB1898" s="64" t="b">
        <f t="shared" si="209"/>
        <v>0</v>
      </c>
    </row>
    <row r="1899" spans="1:28" ht="15" customHeight="1" x14ac:dyDescent="0.3">
      <c r="A1899" s="65" t="s">
        <v>3909</v>
      </c>
      <c r="B1899" s="81">
        <v>45479</v>
      </c>
      <c r="C1899" s="59">
        <f t="shared" si="203"/>
        <v>2024</v>
      </c>
      <c r="D1899" s="59">
        <f t="shared" si="204"/>
        <v>7</v>
      </c>
      <c r="E1899" s="59">
        <f t="shared" si="205"/>
        <v>27</v>
      </c>
      <c r="F1899" s="65" t="s">
        <v>56</v>
      </c>
      <c r="G1899" s="65" t="s">
        <v>46</v>
      </c>
      <c r="H1899" s="65" t="s">
        <v>3910</v>
      </c>
      <c r="I1899" s="65" t="s">
        <v>68</v>
      </c>
      <c r="J1899" s="65" t="s">
        <v>123</v>
      </c>
      <c r="K1899" s="65" t="s">
        <v>73</v>
      </c>
      <c r="L1899" s="65" t="s">
        <v>124</v>
      </c>
      <c r="M1899" s="67">
        <v>564</v>
      </c>
      <c r="N1899" s="65" t="s">
        <v>132</v>
      </c>
      <c r="O1899" s="68">
        <v>45.12</v>
      </c>
      <c r="P1899" s="68">
        <v>25447.68</v>
      </c>
      <c r="Q1899" s="68">
        <v>1749.82</v>
      </c>
      <c r="R1899" s="62">
        <f t="shared" si="206"/>
        <v>6.8761474523414315E-2</v>
      </c>
      <c r="S1899" s="67">
        <v>3</v>
      </c>
      <c r="T1899" s="66">
        <v>45482</v>
      </c>
      <c r="U1899" s="66">
        <v>45483</v>
      </c>
      <c r="V1899" s="63">
        <f t="shared" si="207"/>
        <v>1</v>
      </c>
      <c r="W1899" s="65" t="s">
        <v>128</v>
      </c>
      <c r="X1899" s="64" t="b">
        <f t="shared" si="208"/>
        <v>0</v>
      </c>
      <c r="Y1899" s="67">
        <v>395</v>
      </c>
      <c r="Z1899" s="67">
        <v>204</v>
      </c>
      <c r="AA1899" s="65" t="s">
        <v>81</v>
      </c>
      <c r="AB1899" s="64" t="b">
        <f t="shared" si="209"/>
        <v>1</v>
      </c>
    </row>
    <row r="1900" spans="1:28" ht="15" customHeight="1" x14ac:dyDescent="0.3">
      <c r="A1900" s="57" t="s">
        <v>3911</v>
      </c>
      <c r="B1900" s="82">
        <v>45466</v>
      </c>
      <c r="C1900" s="59">
        <f t="shared" si="203"/>
        <v>2024</v>
      </c>
      <c r="D1900" s="59">
        <f t="shared" si="204"/>
        <v>6</v>
      </c>
      <c r="E1900" s="59">
        <f t="shared" si="205"/>
        <v>26</v>
      </c>
      <c r="F1900" s="57" t="s">
        <v>55</v>
      </c>
      <c r="G1900" s="57" t="s">
        <v>45</v>
      </c>
      <c r="H1900" s="57" t="s">
        <v>3912</v>
      </c>
      <c r="I1900" s="57" t="s">
        <v>69</v>
      </c>
      <c r="J1900" s="57" t="s">
        <v>143</v>
      </c>
      <c r="K1900" s="57" t="s">
        <v>73</v>
      </c>
      <c r="L1900" s="57" t="s">
        <v>124</v>
      </c>
      <c r="M1900" s="60">
        <v>855</v>
      </c>
      <c r="N1900" s="57" t="s">
        <v>163</v>
      </c>
      <c r="O1900" s="61">
        <v>214.52</v>
      </c>
      <c r="P1900" s="61">
        <v>183414.6</v>
      </c>
      <c r="Q1900" s="61">
        <v>5127.58</v>
      </c>
      <c r="R1900" s="62">
        <f t="shared" si="206"/>
        <v>2.7956225949297382E-2</v>
      </c>
      <c r="S1900" s="60">
        <v>27</v>
      </c>
      <c r="T1900" s="58">
        <v>45493</v>
      </c>
      <c r="U1900" s="58">
        <v>45495</v>
      </c>
      <c r="V1900" s="63">
        <f t="shared" si="207"/>
        <v>2</v>
      </c>
      <c r="W1900" s="57" t="s">
        <v>125</v>
      </c>
      <c r="X1900" s="64" t="b">
        <f t="shared" si="208"/>
        <v>0</v>
      </c>
      <c r="Y1900" s="60">
        <v>84</v>
      </c>
      <c r="Z1900" s="60">
        <v>362</v>
      </c>
      <c r="AA1900" s="57" t="s">
        <v>82</v>
      </c>
      <c r="AB1900" s="64" t="b">
        <f t="shared" si="209"/>
        <v>1</v>
      </c>
    </row>
    <row r="1901" spans="1:28" ht="15" customHeight="1" x14ac:dyDescent="0.3">
      <c r="A1901" s="65" t="s">
        <v>3913</v>
      </c>
      <c r="B1901" s="81">
        <v>44965</v>
      </c>
      <c r="C1901" s="59">
        <f t="shared" si="203"/>
        <v>2023</v>
      </c>
      <c r="D1901" s="59">
        <f t="shared" si="204"/>
        <v>2</v>
      </c>
      <c r="E1901" s="59">
        <f t="shared" si="205"/>
        <v>6</v>
      </c>
      <c r="F1901" s="65" t="s">
        <v>55</v>
      </c>
      <c r="G1901" s="65" t="s">
        <v>41</v>
      </c>
      <c r="H1901" s="65" t="s">
        <v>3914</v>
      </c>
      <c r="I1901" s="65" t="s">
        <v>68</v>
      </c>
      <c r="J1901" s="65" t="s">
        <v>131</v>
      </c>
      <c r="K1901" s="65" t="s">
        <v>73</v>
      </c>
      <c r="L1901" s="65" t="s">
        <v>113</v>
      </c>
      <c r="M1901" s="67">
        <v>805</v>
      </c>
      <c r="N1901" s="65" t="s">
        <v>163</v>
      </c>
      <c r="O1901" s="68">
        <v>446.1</v>
      </c>
      <c r="P1901" s="68">
        <v>359110.5</v>
      </c>
      <c r="Q1901" s="68">
        <v>12211.11</v>
      </c>
      <c r="R1901" s="62">
        <f t="shared" si="206"/>
        <v>3.4003767642550135E-2</v>
      </c>
      <c r="S1901" s="67">
        <v>7</v>
      </c>
      <c r="T1901" s="66">
        <v>44972</v>
      </c>
      <c r="U1901" s="66">
        <v>44975</v>
      </c>
      <c r="V1901" s="63">
        <f t="shared" si="207"/>
        <v>3</v>
      </c>
      <c r="W1901" s="65" t="s">
        <v>125</v>
      </c>
      <c r="X1901" s="64" t="b">
        <f t="shared" si="208"/>
        <v>0</v>
      </c>
      <c r="Y1901" s="67">
        <v>271</v>
      </c>
      <c r="Z1901" s="67">
        <v>194</v>
      </c>
      <c r="AA1901" s="65" t="s">
        <v>83</v>
      </c>
      <c r="AB1901" s="64" t="b">
        <f t="shared" si="209"/>
        <v>1</v>
      </c>
    </row>
    <row r="1902" spans="1:28" ht="15" customHeight="1" x14ac:dyDescent="0.3">
      <c r="A1902" s="57" t="s">
        <v>3915</v>
      </c>
      <c r="B1902" s="82">
        <v>45604</v>
      </c>
      <c r="C1902" s="59">
        <f t="shared" si="203"/>
        <v>2024</v>
      </c>
      <c r="D1902" s="59">
        <f t="shared" si="204"/>
        <v>11</v>
      </c>
      <c r="E1902" s="59">
        <f t="shared" si="205"/>
        <v>45</v>
      </c>
      <c r="F1902" s="57" t="s">
        <v>57</v>
      </c>
      <c r="G1902" s="57" t="s">
        <v>39</v>
      </c>
      <c r="H1902" s="57" t="s">
        <v>3916</v>
      </c>
      <c r="I1902" s="57" t="s">
        <v>69</v>
      </c>
      <c r="J1902" s="57" t="s">
        <v>123</v>
      </c>
      <c r="K1902" s="57" t="s">
        <v>71</v>
      </c>
      <c r="L1902" s="57" t="s">
        <v>156</v>
      </c>
      <c r="M1902" s="60">
        <v>667</v>
      </c>
      <c r="N1902" s="57" t="s">
        <v>136</v>
      </c>
      <c r="O1902" s="61">
        <v>1613.77</v>
      </c>
      <c r="P1902" s="61">
        <v>1076384.5900000001</v>
      </c>
      <c r="Q1902" s="61">
        <v>50807.76</v>
      </c>
      <c r="R1902" s="62">
        <f t="shared" si="206"/>
        <v>4.7202236516596725E-2</v>
      </c>
      <c r="S1902" s="60">
        <v>14</v>
      </c>
      <c r="T1902" s="58">
        <v>45618</v>
      </c>
      <c r="U1902" s="58">
        <v>45618</v>
      </c>
      <c r="V1902" s="63">
        <f t="shared" si="207"/>
        <v>0</v>
      </c>
      <c r="W1902" s="57" t="s">
        <v>115</v>
      </c>
      <c r="X1902" s="64" t="b">
        <f t="shared" si="208"/>
        <v>1</v>
      </c>
      <c r="Y1902" s="60">
        <v>77</v>
      </c>
      <c r="Z1902" s="60">
        <v>304</v>
      </c>
      <c r="AA1902" s="57" t="s">
        <v>116</v>
      </c>
      <c r="AB1902" s="64" t="b">
        <f t="shared" si="209"/>
        <v>0</v>
      </c>
    </row>
    <row r="1903" spans="1:28" ht="15" customHeight="1" x14ac:dyDescent="0.3">
      <c r="A1903" s="65" t="s">
        <v>3917</v>
      </c>
      <c r="B1903" s="81">
        <v>45271</v>
      </c>
      <c r="C1903" s="59">
        <f t="shared" si="203"/>
        <v>2023</v>
      </c>
      <c r="D1903" s="59">
        <f t="shared" si="204"/>
        <v>12</v>
      </c>
      <c r="E1903" s="59">
        <f t="shared" si="205"/>
        <v>50</v>
      </c>
      <c r="F1903" s="65" t="s">
        <v>59</v>
      </c>
      <c r="G1903" s="65" t="s">
        <v>40</v>
      </c>
      <c r="H1903" s="65" t="s">
        <v>3918</v>
      </c>
      <c r="I1903" s="65" t="s">
        <v>67</v>
      </c>
      <c r="J1903" s="65" t="s">
        <v>123</v>
      </c>
      <c r="K1903" s="65" t="s">
        <v>74</v>
      </c>
      <c r="L1903" s="65" t="s">
        <v>146</v>
      </c>
      <c r="M1903" s="67">
        <v>324</v>
      </c>
      <c r="N1903" s="65" t="s">
        <v>132</v>
      </c>
      <c r="O1903" s="68">
        <v>851.5</v>
      </c>
      <c r="P1903" s="68">
        <v>275886</v>
      </c>
      <c r="Q1903" s="68">
        <v>14077.7</v>
      </c>
      <c r="R1903" s="62">
        <f t="shared" si="206"/>
        <v>5.1027235887286783E-2</v>
      </c>
      <c r="S1903" s="67">
        <v>20</v>
      </c>
      <c r="T1903" s="66">
        <v>45291</v>
      </c>
      <c r="U1903" s="66">
        <v>45303</v>
      </c>
      <c r="V1903" s="63">
        <f t="shared" si="207"/>
        <v>12</v>
      </c>
      <c r="W1903" s="65" t="s">
        <v>128</v>
      </c>
      <c r="X1903" s="64" t="b">
        <f t="shared" si="208"/>
        <v>0</v>
      </c>
      <c r="Y1903" s="67">
        <v>212</v>
      </c>
      <c r="Z1903" s="67">
        <v>497</v>
      </c>
      <c r="AA1903" s="65" t="s">
        <v>116</v>
      </c>
      <c r="AB1903" s="64" t="b">
        <f t="shared" si="209"/>
        <v>0</v>
      </c>
    </row>
    <row r="1904" spans="1:28" ht="15" customHeight="1" x14ac:dyDescent="0.3">
      <c r="A1904" s="57" t="s">
        <v>3919</v>
      </c>
      <c r="B1904" s="82">
        <v>45559</v>
      </c>
      <c r="C1904" s="59">
        <f t="shared" si="203"/>
        <v>2024</v>
      </c>
      <c r="D1904" s="59">
        <f t="shared" si="204"/>
        <v>9</v>
      </c>
      <c r="E1904" s="59">
        <f t="shared" si="205"/>
        <v>39</v>
      </c>
      <c r="F1904" s="57" t="s">
        <v>54</v>
      </c>
      <c r="G1904" s="57" t="s">
        <v>44</v>
      </c>
      <c r="H1904" s="57" t="s">
        <v>3920</v>
      </c>
      <c r="I1904" s="57" t="s">
        <v>69</v>
      </c>
      <c r="J1904" s="57" t="s">
        <v>131</v>
      </c>
      <c r="K1904" s="57" t="s">
        <v>73</v>
      </c>
      <c r="L1904" s="57" t="s">
        <v>146</v>
      </c>
      <c r="M1904" s="60">
        <v>453</v>
      </c>
      <c r="N1904" s="57" t="s">
        <v>120</v>
      </c>
      <c r="O1904" s="61">
        <v>139.88999999999999</v>
      </c>
      <c r="P1904" s="61">
        <v>63370.17</v>
      </c>
      <c r="Q1904" s="61">
        <v>4170.8100000000004</v>
      </c>
      <c r="R1904" s="62">
        <f t="shared" si="206"/>
        <v>6.5816613715885569E-2</v>
      </c>
      <c r="S1904" s="60">
        <v>29</v>
      </c>
      <c r="T1904" s="58">
        <v>45588</v>
      </c>
      <c r="U1904" s="58">
        <v>45588</v>
      </c>
      <c r="V1904" s="63">
        <f t="shared" si="207"/>
        <v>0</v>
      </c>
      <c r="W1904" s="57" t="s">
        <v>115</v>
      </c>
      <c r="X1904" s="64" t="b">
        <f t="shared" si="208"/>
        <v>1</v>
      </c>
      <c r="Y1904" s="60">
        <v>303</v>
      </c>
      <c r="Z1904" s="60">
        <v>24</v>
      </c>
      <c r="AA1904" s="57" t="s">
        <v>83</v>
      </c>
      <c r="AB1904" s="64" t="b">
        <f t="shared" si="209"/>
        <v>1</v>
      </c>
    </row>
    <row r="1905" spans="1:28" ht="15" customHeight="1" x14ac:dyDescent="0.3">
      <c r="A1905" s="65" t="s">
        <v>3921</v>
      </c>
      <c r="B1905" s="81">
        <v>45061</v>
      </c>
      <c r="C1905" s="59">
        <f t="shared" si="203"/>
        <v>2023</v>
      </c>
      <c r="D1905" s="59">
        <f t="shared" si="204"/>
        <v>5</v>
      </c>
      <c r="E1905" s="59">
        <f t="shared" si="205"/>
        <v>20</v>
      </c>
      <c r="F1905" s="65" t="s">
        <v>58</v>
      </c>
      <c r="G1905" s="65" t="s">
        <v>44</v>
      </c>
      <c r="H1905" s="65" t="s">
        <v>3922</v>
      </c>
      <c r="I1905" s="65" t="s">
        <v>65</v>
      </c>
      <c r="J1905" s="65" t="s">
        <v>131</v>
      </c>
      <c r="K1905" s="65" t="s">
        <v>72</v>
      </c>
      <c r="L1905" s="65" t="s">
        <v>119</v>
      </c>
      <c r="M1905" s="67">
        <v>328</v>
      </c>
      <c r="N1905" s="65" t="s">
        <v>140</v>
      </c>
      <c r="O1905" s="68">
        <v>118.25</v>
      </c>
      <c r="P1905" s="68">
        <v>38786</v>
      </c>
      <c r="Q1905" s="68">
        <v>1816.73</v>
      </c>
      <c r="R1905" s="62">
        <f t="shared" si="206"/>
        <v>4.6839839117207238E-2</v>
      </c>
      <c r="S1905" s="67">
        <v>17</v>
      </c>
      <c r="T1905" s="66">
        <v>45078</v>
      </c>
      <c r="U1905" s="66">
        <v>45078</v>
      </c>
      <c r="V1905" s="63">
        <f t="shared" si="207"/>
        <v>0</v>
      </c>
      <c r="W1905" s="65" t="s">
        <v>115</v>
      </c>
      <c r="X1905" s="64" t="b">
        <f t="shared" si="208"/>
        <v>1</v>
      </c>
      <c r="Y1905" s="67">
        <v>254</v>
      </c>
      <c r="Z1905" s="67">
        <v>233</v>
      </c>
      <c r="AA1905" s="65" t="s">
        <v>116</v>
      </c>
      <c r="AB1905" s="64" t="b">
        <f t="shared" si="209"/>
        <v>0</v>
      </c>
    </row>
    <row r="1906" spans="1:28" ht="15" customHeight="1" x14ac:dyDescent="0.3">
      <c r="A1906" s="57" t="s">
        <v>3923</v>
      </c>
      <c r="B1906" s="82">
        <v>45538</v>
      </c>
      <c r="C1906" s="59">
        <f t="shared" si="203"/>
        <v>2024</v>
      </c>
      <c r="D1906" s="59">
        <f t="shared" si="204"/>
        <v>9</v>
      </c>
      <c r="E1906" s="59">
        <f t="shared" si="205"/>
        <v>36</v>
      </c>
      <c r="F1906" s="57" t="s">
        <v>61</v>
      </c>
      <c r="G1906" s="57" t="s">
        <v>39</v>
      </c>
      <c r="H1906" s="57" t="s">
        <v>3924</v>
      </c>
      <c r="I1906" s="57" t="s">
        <v>65</v>
      </c>
      <c r="J1906" s="57" t="s">
        <v>143</v>
      </c>
      <c r="K1906" s="57" t="s">
        <v>72</v>
      </c>
      <c r="L1906" s="57" t="s">
        <v>146</v>
      </c>
      <c r="M1906" s="60">
        <v>450</v>
      </c>
      <c r="N1906" s="57" t="s">
        <v>120</v>
      </c>
      <c r="O1906" s="61">
        <v>1247.1199999999999</v>
      </c>
      <c r="P1906" s="61">
        <v>561204</v>
      </c>
      <c r="Q1906" s="61">
        <v>37820.589999999997</v>
      </c>
      <c r="R1906" s="62">
        <f t="shared" si="206"/>
        <v>6.7391875325193681E-2</v>
      </c>
      <c r="S1906" s="60">
        <v>29</v>
      </c>
      <c r="T1906" s="58">
        <v>45567</v>
      </c>
      <c r="U1906" s="58">
        <v>45575</v>
      </c>
      <c r="V1906" s="63">
        <f t="shared" si="207"/>
        <v>8</v>
      </c>
      <c r="W1906" s="57" t="s">
        <v>125</v>
      </c>
      <c r="X1906" s="64" t="b">
        <f t="shared" si="208"/>
        <v>0</v>
      </c>
      <c r="Y1906" s="60">
        <v>90</v>
      </c>
      <c r="Z1906" s="60">
        <v>15</v>
      </c>
      <c r="AA1906" s="57" t="s">
        <v>116</v>
      </c>
      <c r="AB1906" s="64" t="b">
        <f t="shared" si="209"/>
        <v>0</v>
      </c>
    </row>
    <row r="1907" spans="1:28" ht="15" customHeight="1" x14ac:dyDescent="0.3">
      <c r="A1907" s="65" t="s">
        <v>3925</v>
      </c>
      <c r="B1907" s="81">
        <v>45312</v>
      </c>
      <c r="C1907" s="59">
        <f t="shared" si="203"/>
        <v>2024</v>
      </c>
      <c r="D1907" s="59">
        <f t="shared" si="204"/>
        <v>1</v>
      </c>
      <c r="E1907" s="59">
        <f t="shared" si="205"/>
        <v>4</v>
      </c>
      <c r="F1907" s="65" t="s">
        <v>60</v>
      </c>
      <c r="G1907" s="65" t="s">
        <v>39</v>
      </c>
      <c r="H1907" s="65" t="s">
        <v>3926</v>
      </c>
      <c r="I1907" s="65" t="s">
        <v>68</v>
      </c>
      <c r="J1907" s="65" t="s">
        <v>123</v>
      </c>
      <c r="K1907" s="65" t="s">
        <v>71</v>
      </c>
      <c r="L1907" s="65" t="s">
        <v>146</v>
      </c>
      <c r="M1907" s="67">
        <v>101</v>
      </c>
      <c r="N1907" s="65" t="s">
        <v>132</v>
      </c>
      <c r="O1907" s="68">
        <v>1654.46</v>
      </c>
      <c r="P1907" s="68">
        <v>167100.46</v>
      </c>
      <c r="Q1907" s="68">
        <v>9541.57</v>
      </c>
      <c r="R1907" s="62">
        <f t="shared" si="206"/>
        <v>5.7100800320956629E-2</v>
      </c>
      <c r="S1907" s="67">
        <v>21</v>
      </c>
      <c r="T1907" s="66">
        <v>45333</v>
      </c>
      <c r="U1907" s="66">
        <v>45330</v>
      </c>
      <c r="V1907" s="63">
        <f t="shared" si="207"/>
        <v>-3</v>
      </c>
      <c r="W1907" s="65" t="s">
        <v>115</v>
      </c>
      <c r="X1907" s="64" t="b">
        <f t="shared" si="208"/>
        <v>1</v>
      </c>
      <c r="Y1907" s="67">
        <v>483</v>
      </c>
      <c r="Z1907" s="67">
        <v>468</v>
      </c>
      <c r="AA1907" s="65" t="s">
        <v>84</v>
      </c>
      <c r="AB1907" s="64" t="b">
        <f t="shared" si="209"/>
        <v>1</v>
      </c>
    </row>
    <row r="1908" spans="1:28" ht="15" customHeight="1" x14ac:dyDescent="0.3">
      <c r="A1908" s="57" t="s">
        <v>3927</v>
      </c>
      <c r="B1908" s="82">
        <v>45084</v>
      </c>
      <c r="C1908" s="59">
        <f t="shared" si="203"/>
        <v>2023</v>
      </c>
      <c r="D1908" s="59">
        <f t="shared" si="204"/>
        <v>6</v>
      </c>
      <c r="E1908" s="59">
        <f t="shared" si="205"/>
        <v>23</v>
      </c>
      <c r="F1908" s="57" t="s">
        <v>53</v>
      </c>
      <c r="G1908" s="57" t="s">
        <v>45</v>
      </c>
      <c r="H1908" s="57" t="s">
        <v>3928</v>
      </c>
      <c r="I1908" s="57" t="s">
        <v>65</v>
      </c>
      <c r="J1908" s="57" t="s">
        <v>143</v>
      </c>
      <c r="K1908" s="57" t="s">
        <v>74</v>
      </c>
      <c r="L1908" s="57" t="s">
        <v>156</v>
      </c>
      <c r="M1908" s="60">
        <v>188</v>
      </c>
      <c r="N1908" s="57" t="s">
        <v>136</v>
      </c>
      <c r="O1908" s="61">
        <v>272.83</v>
      </c>
      <c r="P1908" s="61">
        <v>51292.04</v>
      </c>
      <c r="Q1908" s="61">
        <v>1373.91</v>
      </c>
      <c r="R1908" s="62">
        <f t="shared" si="206"/>
        <v>2.6786027617540658E-2</v>
      </c>
      <c r="S1908" s="60">
        <v>12</v>
      </c>
      <c r="T1908" s="58">
        <v>45096</v>
      </c>
      <c r="U1908" s="58">
        <v>45096</v>
      </c>
      <c r="V1908" s="63">
        <f t="shared" si="207"/>
        <v>0</v>
      </c>
      <c r="W1908" s="57" t="s">
        <v>115</v>
      </c>
      <c r="X1908" s="64" t="b">
        <f t="shared" si="208"/>
        <v>1</v>
      </c>
      <c r="Y1908" s="60">
        <v>384</v>
      </c>
      <c r="Z1908" s="60">
        <v>140</v>
      </c>
      <c r="AA1908" s="57" t="s">
        <v>116</v>
      </c>
      <c r="AB1908" s="64" t="b">
        <f t="shared" si="209"/>
        <v>0</v>
      </c>
    </row>
    <row r="1909" spans="1:28" ht="15" customHeight="1" x14ac:dyDescent="0.3">
      <c r="A1909" s="65" t="s">
        <v>3929</v>
      </c>
      <c r="B1909" s="81">
        <v>45093</v>
      </c>
      <c r="C1909" s="59">
        <f t="shared" si="203"/>
        <v>2023</v>
      </c>
      <c r="D1909" s="59">
        <f t="shared" si="204"/>
        <v>6</v>
      </c>
      <c r="E1909" s="59">
        <f t="shared" si="205"/>
        <v>24</v>
      </c>
      <c r="F1909" s="65" t="s">
        <v>58</v>
      </c>
      <c r="G1909" s="65" t="s">
        <v>43</v>
      </c>
      <c r="H1909" s="65" t="s">
        <v>3930</v>
      </c>
      <c r="I1909" s="65" t="s">
        <v>65</v>
      </c>
      <c r="J1909" s="65" t="s">
        <v>123</v>
      </c>
      <c r="K1909" s="65" t="s">
        <v>74</v>
      </c>
      <c r="L1909" s="65" t="s">
        <v>156</v>
      </c>
      <c r="M1909" s="67">
        <v>65</v>
      </c>
      <c r="N1909" s="65" t="s">
        <v>132</v>
      </c>
      <c r="O1909" s="68">
        <v>246.24</v>
      </c>
      <c r="P1909" s="68">
        <v>16005.6</v>
      </c>
      <c r="Q1909" s="68">
        <v>470.24</v>
      </c>
      <c r="R1909" s="62">
        <f t="shared" si="206"/>
        <v>2.9379717099015344E-2</v>
      </c>
      <c r="S1909" s="67">
        <v>25</v>
      </c>
      <c r="T1909" s="66">
        <v>45118</v>
      </c>
      <c r="U1909" s="66">
        <v>45117</v>
      </c>
      <c r="V1909" s="63">
        <f t="shared" si="207"/>
        <v>-1</v>
      </c>
      <c r="W1909" s="65" t="s">
        <v>115</v>
      </c>
      <c r="X1909" s="64" t="b">
        <f t="shared" si="208"/>
        <v>1</v>
      </c>
      <c r="Y1909" s="67">
        <v>192</v>
      </c>
      <c r="Z1909" s="67">
        <v>435</v>
      </c>
      <c r="AA1909" s="65" t="s">
        <v>83</v>
      </c>
      <c r="AB1909" s="64" t="b">
        <f t="shared" si="209"/>
        <v>1</v>
      </c>
    </row>
    <row r="1910" spans="1:28" ht="15" customHeight="1" x14ac:dyDescent="0.3">
      <c r="A1910" s="57" t="s">
        <v>3931</v>
      </c>
      <c r="B1910" s="82">
        <v>45112</v>
      </c>
      <c r="C1910" s="59">
        <f t="shared" si="203"/>
        <v>2023</v>
      </c>
      <c r="D1910" s="59">
        <f t="shared" si="204"/>
        <v>7</v>
      </c>
      <c r="E1910" s="59">
        <f t="shared" si="205"/>
        <v>27</v>
      </c>
      <c r="F1910" s="57" t="s">
        <v>57</v>
      </c>
      <c r="G1910" s="57" t="s">
        <v>40</v>
      </c>
      <c r="H1910" s="57" t="s">
        <v>3932</v>
      </c>
      <c r="I1910" s="57" t="s">
        <v>67</v>
      </c>
      <c r="J1910" s="57" t="s">
        <v>143</v>
      </c>
      <c r="K1910" s="57" t="s">
        <v>74</v>
      </c>
      <c r="L1910" s="57" t="s">
        <v>119</v>
      </c>
      <c r="M1910" s="60">
        <v>164</v>
      </c>
      <c r="N1910" s="57" t="s">
        <v>136</v>
      </c>
      <c r="O1910" s="61">
        <v>776.56</v>
      </c>
      <c r="P1910" s="61">
        <v>127355.84</v>
      </c>
      <c r="Q1910" s="61">
        <v>5886.64</v>
      </c>
      <c r="R1910" s="62">
        <f t="shared" si="206"/>
        <v>4.6221987150334057E-2</v>
      </c>
      <c r="S1910" s="60">
        <v>16</v>
      </c>
      <c r="T1910" s="58">
        <v>45128</v>
      </c>
      <c r="U1910" s="58">
        <v>45129</v>
      </c>
      <c r="V1910" s="63">
        <f t="shared" si="207"/>
        <v>1</v>
      </c>
      <c r="W1910" s="57" t="s">
        <v>125</v>
      </c>
      <c r="X1910" s="64" t="b">
        <f t="shared" si="208"/>
        <v>0</v>
      </c>
      <c r="Y1910" s="60">
        <v>252</v>
      </c>
      <c r="Z1910" s="60">
        <v>107</v>
      </c>
      <c r="AA1910" s="57" t="s">
        <v>116</v>
      </c>
      <c r="AB1910" s="64" t="b">
        <f t="shared" si="209"/>
        <v>0</v>
      </c>
    </row>
    <row r="1911" spans="1:28" ht="15" customHeight="1" x14ac:dyDescent="0.3">
      <c r="A1911" s="65" t="s">
        <v>3933</v>
      </c>
      <c r="B1911" s="81">
        <v>45636</v>
      </c>
      <c r="C1911" s="59">
        <f t="shared" si="203"/>
        <v>2024</v>
      </c>
      <c r="D1911" s="59">
        <f t="shared" si="204"/>
        <v>12</v>
      </c>
      <c r="E1911" s="59">
        <f t="shared" si="205"/>
        <v>50</v>
      </c>
      <c r="F1911" s="65" t="s">
        <v>61</v>
      </c>
      <c r="G1911" s="65" t="s">
        <v>39</v>
      </c>
      <c r="H1911" s="65" t="s">
        <v>3934</v>
      </c>
      <c r="I1911" s="65" t="s">
        <v>65</v>
      </c>
      <c r="J1911" s="65" t="s">
        <v>131</v>
      </c>
      <c r="K1911" s="65" t="s">
        <v>71</v>
      </c>
      <c r="L1911" s="65" t="s">
        <v>124</v>
      </c>
      <c r="M1911" s="67">
        <v>681</v>
      </c>
      <c r="N1911" s="65" t="s">
        <v>120</v>
      </c>
      <c r="O1911" s="68">
        <v>2172.63</v>
      </c>
      <c r="P1911" s="68">
        <v>1479561.03</v>
      </c>
      <c r="Q1911" s="68">
        <v>64824.55</v>
      </c>
      <c r="R1911" s="62">
        <f t="shared" si="206"/>
        <v>4.3813366725399629E-2</v>
      </c>
      <c r="S1911" s="67">
        <v>24</v>
      </c>
      <c r="T1911" s="66">
        <v>45660</v>
      </c>
      <c r="U1911" s="66">
        <v>45663</v>
      </c>
      <c r="V1911" s="63">
        <f t="shared" si="207"/>
        <v>3</v>
      </c>
      <c r="W1911" s="65" t="s">
        <v>128</v>
      </c>
      <c r="X1911" s="64" t="b">
        <f t="shared" si="208"/>
        <v>0</v>
      </c>
      <c r="Y1911" s="67">
        <v>277</v>
      </c>
      <c r="Z1911" s="67">
        <v>419</v>
      </c>
      <c r="AA1911" s="65" t="s">
        <v>82</v>
      </c>
      <c r="AB1911" s="64" t="b">
        <f t="shared" si="209"/>
        <v>1</v>
      </c>
    </row>
    <row r="1912" spans="1:28" ht="15" customHeight="1" x14ac:dyDescent="0.3">
      <c r="A1912" s="57" t="s">
        <v>3935</v>
      </c>
      <c r="B1912" s="82">
        <v>45566</v>
      </c>
      <c r="C1912" s="59">
        <f t="shared" si="203"/>
        <v>2024</v>
      </c>
      <c r="D1912" s="59">
        <f t="shared" si="204"/>
        <v>10</v>
      </c>
      <c r="E1912" s="59">
        <f t="shared" si="205"/>
        <v>40</v>
      </c>
      <c r="F1912" s="57" t="s">
        <v>60</v>
      </c>
      <c r="G1912" s="57" t="s">
        <v>46</v>
      </c>
      <c r="H1912" s="57" t="s">
        <v>3936</v>
      </c>
      <c r="I1912" s="57" t="s">
        <v>64</v>
      </c>
      <c r="J1912" s="57" t="s">
        <v>131</v>
      </c>
      <c r="K1912" s="57" t="s">
        <v>74</v>
      </c>
      <c r="L1912" s="57" t="s">
        <v>113</v>
      </c>
      <c r="M1912" s="60">
        <v>120</v>
      </c>
      <c r="N1912" s="57" t="s">
        <v>120</v>
      </c>
      <c r="O1912" s="61">
        <v>85.79</v>
      </c>
      <c r="P1912" s="61">
        <v>10294.799999999999</v>
      </c>
      <c r="Q1912" s="61">
        <v>665.17</v>
      </c>
      <c r="R1912" s="62">
        <f t="shared" si="206"/>
        <v>6.4612231417803159E-2</v>
      </c>
      <c r="S1912" s="60">
        <v>12</v>
      </c>
      <c r="T1912" s="58">
        <v>45578</v>
      </c>
      <c r="U1912" s="58">
        <v>45578</v>
      </c>
      <c r="V1912" s="63">
        <f t="shared" si="207"/>
        <v>0</v>
      </c>
      <c r="W1912" s="57" t="s">
        <v>115</v>
      </c>
      <c r="X1912" s="64" t="b">
        <f t="shared" si="208"/>
        <v>1</v>
      </c>
      <c r="Y1912" s="60">
        <v>142</v>
      </c>
      <c r="Z1912" s="60">
        <v>455</v>
      </c>
      <c r="AA1912" s="57" t="s">
        <v>116</v>
      </c>
      <c r="AB1912" s="64" t="b">
        <f t="shared" si="209"/>
        <v>0</v>
      </c>
    </row>
    <row r="1913" spans="1:28" ht="15" customHeight="1" x14ac:dyDescent="0.3">
      <c r="A1913" s="65" t="s">
        <v>3937</v>
      </c>
      <c r="B1913" s="81">
        <v>45096</v>
      </c>
      <c r="C1913" s="59">
        <f t="shared" si="203"/>
        <v>2023</v>
      </c>
      <c r="D1913" s="59">
        <f t="shared" si="204"/>
        <v>6</v>
      </c>
      <c r="E1913" s="59">
        <f t="shared" si="205"/>
        <v>25</v>
      </c>
      <c r="F1913" s="65" t="s">
        <v>57</v>
      </c>
      <c r="G1913" s="65" t="s">
        <v>45</v>
      </c>
      <c r="H1913" s="65" t="s">
        <v>3938</v>
      </c>
      <c r="I1913" s="65" t="s">
        <v>64</v>
      </c>
      <c r="J1913" s="65" t="s">
        <v>151</v>
      </c>
      <c r="K1913" s="65" t="s">
        <v>74</v>
      </c>
      <c r="L1913" s="65" t="s">
        <v>119</v>
      </c>
      <c r="M1913" s="67">
        <v>146</v>
      </c>
      <c r="N1913" s="65" t="s">
        <v>132</v>
      </c>
      <c r="O1913" s="68">
        <v>173.5</v>
      </c>
      <c r="P1913" s="68">
        <v>25331</v>
      </c>
      <c r="Q1913" s="68">
        <v>1389.26</v>
      </c>
      <c r="R1913" s="62">
        <f t="shared" si="206"/>
        <v>5.4844261971497374E-2</v>
      </c>
      <c r="S1913" s="67">
        <v>15</v>
      </c>
      <c r="T1913" s="66">
        <v>45111</v>
      </c>
      <c r="U1913" s="66">
        <v>45111</v>
      </c>
      <c r="V1913" s="63">
        <f t="shared" si="207"/>
        <v>0</v>
      </c>
      <c r="W1913" s="65" t="s">
        <v>115</v>
      </c>
      <c r="X1913" s="64" t="b">
        <f t="shared" si="208"/>
        <v>1</v>
      </c>
      <c r="Y1913" s="67">
        <v>243</v>
      </c>
      <c r="Z1913" s="67">
        <v>299</v>
      </c>
      <c r="AA1913" s="65" t="s">
        <v>81</v>
      </c>
      <c r="AB1913" s="64" t="b">
        <f t="shared" si="209"/>
        <v>1</v>
      </c>
    </row>
    <row r="1914" spans="1:28" ht="15" customHeight="1" x14ac:dyDescent="0.3">
      <c r="A1914" s="57" t="s">
        <v>3939</v>
      </c>
      <c r="B1914" s="82">
        <v>45375</v>
      </c>
      <c r="C1914" s="59">
        <f t="shared" si="203"/>
        <v>2024</v>
      </c>
      <c r="D1914" s="59">
        <f t="shared" si="204"/>
        <v>3</v>
      </c>
      <c r="E1914" s="59">
        <f t="shared" si="205"/>
        <v>13</v>
      </c>
      <c r="F1914" s="57" t="s">
        <v>53</v>
      </c>
      <c r="G1914" s="57" t="s">
        <v>44</v>
      </c>
      <c r="H1914" s="57" t="s">
        <v>3940</v>
      </c>
      <c r="I1914" s="57" t="s">
        <v>64</v>
      </c>
      <c r="J1914" s="57" t="s">
        <v>143</v>
      </c>
      <c r="K1914" s="57" t="s">
        <v>73</v>
      </c>
      <c r="L1914" s="57" t="s">
        <v>135</v>
      </c>
      <c r="M1914" s="60">
        <v>241</v>
      </c>
      <c r="N1914" s="57" t="s">
        <v>132</v>
      </c>
      <c r="O1914" s="61">
        <v>87.78</v>
      </c>
      <c r="P1914" s="61">
        <v>21154.98</v>
      </c>
      <c r="Q1914" s="61">
        <v>915.76</v>
      </c>
      <c r="R1914" s="62">
        <f t="shared" si="206"/>
        <v>4.3288152482299676E-2</v>
      </c>
      <c r="S1914" s="60">
        <v>25</v>
      </c>
      <c r="T1914" s="58">
        <v>45400</v>
      </c>
      <c r="U1914" s="58">
        <v>45405</v>
      </c>
      <c r="V1914" s="63">
        <f t="shared" si="207"/>
        <v>5</v>
      </c>
      <c r="W1914" s="57" t="s">
        <v>125</v>
      </c>
      <c r="X1914" s="64" t="b">
        <f t="shared" si="208"/>
        <v>0</v>
      </c>
      <c r="Y1914" s="60">
        <v>211</v>
      </c>
      <c r="Z1914" s="60">
        <v>338</v>
      </c>
      <c r="AA1914" s="57" t="s">
        <v>81</v>
      </c>
      <c r="AB1914" s="64" t="b">
        <f t="shared" si="209"/>
        <v>1</v>
      </c>
    </row>
    <row r="1915" spans="1:28" ht="15" customHeight="1" x14ac:dyDescent="0.3">
      <c r="A1915" s="65" t="s">
        <v>3941</v>
      </c>
      <c r="B1915" s="81">
        <v>44971</v>
      </c>
      <c r="C1915" s="59">
        <f t="shared" si="203"/>
        <v>2023</v>
      </c>
      <c r="D1915" s="59">
        <f t="shared" si="204"/>
        <v>2</v>
      </c>
      <c r="E1915" s="59">
        <f t="shared" si="205"/>
        <v>7</v>
      </c>
      <c r="F1915" s="65" t="s">
        <v>56</v>
      </c>
      <c r="G1915" s="65" t="s">
        <v>42</v>
      </c>
      <c r="H1915" s="65" t="s">
        <v>3942</v>
      </c>
      <c r="I1915" s="65" t="s">
        <v>69</v>
      </c>
      <c r="J1915" s="65" t="s">
        <v>151</v>
      </c>
      <c r="K1915" s="65" t="s">
        <v>74</v>
      </c>
      <c r="L1915" s="65" t="s">
        <v>146</v>
      </c>
      <c r="M1915" s="67">
        <v>477</v>
      </c>
      <c r="N1915" s="65" t="s">
        <v>163</v>
      </c>
      <c r="O1915" s="68">
        <v>103.44</v>
      </c>
      <c r="P1915" s="68">
        <v>49340.88</v>
      </c>
      <c r="Q1915" s="68">
        <v>1492.35</v>
      </c>
      <c r="R1915" s="62">
        <f t="shared" si="206"/>
        <v>3.024571106149708E-2</v>
      </c>
      <c r="S1915" s="67">
        <v>10</v>
      </c>
      <c r="T1915" s="66">
        <v>44981</v>
      </c>
      <c r="U1915" s="66">
        <v>44993</v>
      </c>
      <c r="V1915" s="63">
        <f t="shared" si="207"/>
        <v>12</v>
      </c>
      <c r="W1915" s="65" t="s">
        <v>125</v>
      </c>
      <c r="X1915" s="64" t="b">
        <f t="shared" si="208"/>
        <v>0</v>
      </c>
      <c r="Y1915" s="67">
        <v>194</v>
      </c>
      <c r="Z1915" s="67">
        <v>302</v>
      </c>
      <c r="AA1915" s="65" t="s">
        <v>116</v>
      </c>
      <c r="AB1915" s="64" t="b">
        <f t="shared" si="209"/>
        <v>0</v>
      </c>
    </row>
    <row r="1916" spans="1:28" ht="15" customHeight="1" x14ac:dyDescent="0.3">
      <c r="A1916" s="57" t="s">
        <v>3943</v>
      </c>
      <c r="B1916" s="82">
        <v>45347</v>
      </c>
      <c r="C1916" s="59">
        <f t="shared" si="203"/>
        <v>2024</v>
      </c>
      <c r="D1916" s="59">
        <f t="shared" si="204"/>
        <v>2</v>
      </c>
      <c r="E1916" s="59">
        <f t="shared" si="205"/>
        <v>9</v>
      </c>
      <c r="F1916" s="57" t="s">
        <v>59</v>
      </c>
      <c r="G1916" s="57" t="s">
        <v>45</v>
      </c>
      <c r="H1916" s="57" t="s">
        <v>3944</v>
      </c>
      <c r="I1916" s="57" t="s">
        <v>68</v>
      </c>
      <c r="J1916" s="57" t="s">
        <v>151</v>
      </c>
      <c r="K1916" s="57" t="s">
        <v>73</v>
      </c>
      <c r="L1916" s="57" t="s">
        <v>113</v>
      </c>
      <c r="M1916" s="60">
        <v>741</v>
      </c>
      <c r="N1916" s="57" t="s">
        <v>136</v>
      </c>
      <c r="O1916" s="61">
        <v>272.42</v>
      </c>
      <c r="P1916" s="61">
        <v>201863.22</v>
      </c>
      <c r="Q1916" s="61">
        <v>6784.67</v>
      </c>
      <c r="R1916" s="62">
        <f t="shared" si="206"/>
        <v>3.3610233701810564E-2</v>
      </c>
      <c r="S1916" s="60">
        <v>25</v>
      </c>
      <c r="T1916" s="58">
        <v>45372</v>
      </c>
      <c r="U1916" s="58">
        <v>45384</v>
      </c>
      <c r="V1916" s="63">
        <f t="shared" si="207"/>
        <v>12</v>
      </c>
      <c r="W1916" s="57" t="s">
        <v>128</v>
      </c>
      <c r="X1916" s="64" t="b">
        <f t="shared" si="208"/>
        <v>0</v>
      </c>
      <c r="Y1916" s="60">
        <v>269</v>
      </c>
      <c r="Z1916" s="60">
        <v>379</v>
      </c>
      <c r="AA1916" s="57" t="s">
        <v>82</v>
      </c>
      <c r="AB1916" s="64" t="b">
        <f t="shared" si="209"/>
        <v>1</v>
      </c>
    </row>
    <row r="1917" spans="1:28" ht="15" customHeight="1" x14ac:dyDescent="0.3">
      <c r="A1917" s="65" t="s">
        <v>3945</v>
      </c>
      <c r="B1917" s="81">
        <v>45300</v>
      </c>
      <c r="C1917" s="59">
        <f t="shared" si="203"/>
        <v>2024</v>
      </c>
      <c r="D1917" s="59">
        <f t="shared" si="204"/>
        <v>1</v>
      </c>
      <c r="E1917" s="59">
        <f t="shared" si="205"/>
        <v>2</v>
      </c>
      <c r="F1917" s="65" t="s">
        <v>56</v>
      </c>
      <c r="G1917" s="65" t="s">
        <v>44</v>
      </c>
      <c r="H1917" s="65" t="s">
        <v>3946</v>
      </c>
      <c r="I1917" s="65" t="s">
        <v>68</v>
      </c>
      <c r="J1917" s="65" t="s">
        <v>112</v>
      </c>
      <c r="K1917" s="65" t="s">
        <v>73</v>
      </c>
      <c r="L1917" s="65" t="s">
        <v>124</v>
      </c>
      <c r="M1917" s="67">
        <v>490</v>
      </c>
      <c r="N1917" s="65" t="s">
        <v>163</v>
      </c>
      <c r="O1917" s="68">
        <v>176.91</v>
      </c>
      <c r="P1917" s="68">
        <v>86685.9</v>
      </c>
      <c r="Q1917" s="68">
        <v>4726.99</v>
      </c>
      <c r="R1917" s="62">
        <f t="shared" si="206"/>
        <v>5.4530090822152162E-2</v>
      </c>
      <c r="S1917" s="67">
        <v>7</v>
      </c>
      <c r="T1917" s="66">
        <v>45307</v>
      </c>
      <c r="U1917" s="66">
        <v>45304</v>
      </c>
      <c r="V1917" s="63">
        <f t="shared" si="207"/>
        <v>-3</v>
      </c>
      <c r="W1917" s="65" t="s">
        <v>115</v>
      </c>
      <c r="X1917" s="64" t="b">
        <f t="shared" si="208"/>
        <v>1</v>
      </c>
      <c r="Y1917" s="67">
        <v>328</v>
      </c>
      <c r="Z1917" s="67">
        <v>79</v>
      </c>
      <c r="AA1917" s="65" t="s">
        <v>83</v>
      </c>
      <c r="AB1917" s="64" t="b">
        <f t="shared" si="209"/>
        <v>1</v>
      </c>
    </row>
    <row r="1918" spans="1:28" ht="15" customHeight="1" x14ac:dyDescent="0.3">
      <c r="A1918" s="57" t="s">
        <v>3947</v>
      </c>
      <c r="B1918" s="82">
        <v>45619</v>
      </c>
      <c r="C1918" s="59">
        <f t="shared" si="203"/>
        <v>2024</v>
      </c>
      <c r="D1918" s="59">
        <f t="shared" si="204"/>
        <v>11</v>
      </c>
      <c r="E1918" s="59">
        <f t="shared" si="205"/>
        <v>47</v>
      </c>
      <c r="F1918" s="57" t="s">
        <v>60</v>
      </c>
      <c r="G1918" s="57" t="s">
        <v>41</v>
      </c>
      <c r="H1918" s="57" t="s">
        <v>3948</v>
      </c>
      <c r="I1918" s="57" t="s">
        <v>66</v>
      </c>
      <c r="J1918" s="57" t="s">
        <v>123</v>
      </c>
      <c r="K1918" s="57" t="s">
        <v>74</v>
      </c>
      <c r="L1918" s="57" t="s">
        <v>124</v>
      </c>
      <c r="M1918" s="60">
        <v>77</v>
      </c>
      <c r="N1918" s="57" t="s">
        <v>140</v>
      </c>
      <c r="O1918" s="61">
        <v>705.93</v>
      </c>
      <c r="P1918" s="61">
        <v>54356.61</v>
      </c>
      <c r="Q1918" s="61">
        <v>2468.13</v>
      </c>
      <c r="R1918" s="62">
        <f t="shared" si="206"/>
        <v>4.5406253259723153E-2</v>
      </c>
      <c r="S1918" s="60">
        <v>20</v>
      </c>
      <c r="T1918" s="58">
        <v>45639</v>
      </c>
      <c r="U1918" s="58">
        <v>45638</v>
      </c>
      <c r="V1918" s="63">
        <f t="shared" si="207"/>
        <v>-1</v>
      </c>
      <c r="W1918" s="57" t="s">
        <v>115</v>
      </c>
      <c r="X1918" s="64" t="b">
        <f t="shared" si="208"/>
        <v>1</v>
      </c>
      <c r="Y1918" s="60">
        <v>18</v>
      </c>
      <c r="Z1918" s="60">
        <v>75</v>
      </c>
      <c r="AA1918" s="57" t="s">
        <v>81</v>
      </c>
      <c r="AB1918" s="64" t="b">
        <f t="shared" si="209"/>
        <v>1</v>
      </c>
    </row>
    <row r="1919" spans="1:28" ht="15" customHeight="1" x14ac:dyDescent="0.3">
      <c r="A1919" s="65" t="s">
        <v>3949</v>
      </c>
      <c r="B1919" s="81">
        <v>45170</v>
      </c>
      <c r="C1919" s="59">
        <f t="shared" si="203"/>
        <v>2023</v>
      </c>
      <c r="D1919" s="59">
        <f t="shared" si="204"/>
        <v>9</v>
      </c>
      <c r="E1919" s="59">
        <f t="shared" si="205"/>
        <v>35</v>
      </c>
      <c r="F1919" s="65" t="s">
        <v>56</v>
      </c>
      <c r="G1919" s="65" t="s">
        <v>45</v>
      </c>
      <c r="H1919" s="65" t="s">
        <v>3950</v>
      </c>
      <c r="I1919" s="65" t="s">
        <v>67</v>
      </c>
      <c r="J1919" s="65" t="s">
        <v>139</v>
      </c>
      <c r="K1919" s="65" t="s">
        <v>72</v>
      </c>
      <c r="L1919" s="65" t="s">
        <v>156</v>
      </c>
      <c r="M1919" s="67">
        <v>823</v>
      </c>
      <c r="N1919" s="65" t="s">
        <v>140</v>
      </c>
      <c r="O1919" s="68">
        <v>236.09</v>
      </c>
      <c r="P1919" s="68">
        <v>194302.07</v>
      </c>
      <c r="Q1919" s="68">
        <v>9889.1299999999992</v>
      </c>
      <c r="R1919" s="62">
        <f t="shared" si="206"/>
        <v>5.0895649233175945E-2</v>
      </c>
      <c r="S1919" s="67">
        <v>5</v>
      </c>
      <c r="T1919" s="66">
        <v>45175</v>
      </c>
      <c r="U1919" s="66">
        <v>45174</v>
      </c>
      <c r="V1919" s="63">
        <f t="shared" si="207"/>
        <v>-1</v>
      </c>
      <c r="W1919" s="65" t="s">
        <v>115</v>
      </c>
      <c r="X1919" s="64" t="b">
        <f t="shared" si="208"/>
        <v>1</v>
      </c>
      <c r="Y1919" s="67">
        <v>39</v>
      </c>
      <c r="Z1919" s="67">
        <v>275</v>
      </c>
      <c r="AA1919" s="65" t="s">
        <v>83</v>
      </c>
      <c r="AB1919" s="64" t="b">
        <f t="shared" si="209"/>
        <v>1</v>
      </c>
    </row>
    <row r="1920" spans="1:28" ht="15" customHeight="1" x14ac:dyDescent="0.3">
      <c r="A1920" s="57" t="s">
        <v>3951</v>
      </c>
      <c r="B1920" s="82">
        <v>45381</v>
      </c>
      <c r="C1920" s="59">
        <f t="shared" si="203"/>
        <v>2024</v>
      </c>
      <c r="D1920" s="59">
        <f t="shared" si="204"/>
        <v>3</v>
      </c>
      <c r="E1920" s="59">
        <f t="shared" si="205"/>
        <v>13</v>
      </c>
      <c r="F1920" s="57" t="s">
        <v>60</v>
      </c>
      <c r="G1920" s="57" t="s">
        <v>44</v>
      </c>
      <c r="H1920" s="57" t="s">
        <v>3952</v>
      </c>
      <c r="I1920" s="57" t="s">
        <v>64</v>
      </c>
      <c r="J1920" s="57" t="s">
        <v>112</v>
      </c>
      <c r="K1920" s="57" t="s">
        <v>75</v>
      </c>
      <c r="L1920" s="57" t="s">
        <v>135</v>
      </c>
      <c r="M1920" s="60">
        <v>258</v>
      </c>
      <c r="N1920" s="57" t="s">
        <v>132</v>
      </c>
      <c r="O1920" s="61">
        <v>134.88999999999999</v>
      </c>
      <c r="P1920" s="61">
        <v>34801.620000000003</v>
      </c>
      <c r="Q1920" s="61">
        <v>1052.42</v>
      </c>
      <c r="R1920" s="62">
        <f t="shared" si="206"/>
        <v>3.0240546273420606E-2</v>
      </c>
      <c r="S1920" s="60">
        <v>1</v>
      </c>
      <c r="T1920" s="58">
        <v>45382</v>
      </c>
      <c r="U1920" s="58">
        <v>45394</v>
      </c>
      <c r="V1920" s="63">
        <f t="shared" si="207"/>
        <v>12</v>
      </c>
      <c r="W1920" s="57" t="s">
        <v>125</v>
      </c>
      <c r="X1920" s="64" t="b">
        <f t="shared" si="208"/>
        <v>0</v>
      </c>
      <c r="Y1920" s="60">
        <v>97</v>
      </c>
      <c r="Z1920" s="60">
        <v>401</v>
      </c>
      <c r="AA1920" s="57" t="s">
        <v>116</v>
      </c>
      <c r="AB1920" s="64" t="b">
        <f t="shared" si="209"/>
        <v>0</v>
      </c>
    </row>
    <row r="1921" spans="1:28" ht="15" customHeight="1" x14ac:dyDescent="0.3">
      <c r="A1921" s="65" t="s">
        <v>3953</v>
      </c>
      <c r="B1921" s="81">
        <v>45552</v>
      </c>
      <c r="C1921" s="59">
        <f t="shared" si="203"/>
        <v>2024</v>
      </c>
      <c r="D1921" s="59">
        <f t="shared" si="204"/>
        <v>9</v>
      </c>
      <c r="E1921" s="59">
        <f t="shared" si="205"/>
        <v>38</v>
      </c>
      <c r="F1921" s="65" t="s">
        <v>54</v>
      </c>
      <c r="G1921" s="65" t="s">
        <v>43</v>
      </c>
      <c r="H1921" s="65" t="s">
        <v>3954</v>
      </c>
      <c r="I1921" s="65" t="s">
        <v>64</v>
      </c>
      <c r="J1921" s="65" t="s">
        <v>123</v>
      </c>
      <c r="K1921" s="65" t="s">
        <v>72</v>
      </c>
      <c r="L1921" s="65" t="s">
        <v>124</v>
      </c>
      <c r="M1921" s="67">
        <v>332</v>
      </c>
      <c r="N1921" s="65" t="s">
        <v>120</v>
      </c>
      <c r="O1921" s="68">
        <v>144.44999999999999</v>
      </c>
      <c r="P1921" s="68">
        <v>47957.4</v>
      </c>
      <c r="Q1921" s="68">
        <v>2866.62</v>
      </c>
      <c r="R1921" s="62">
        <f t="shared" si="206"/>
        <v>5.9774299690975738E-2</v>
      </c>
      <c r="S1921" s="67">
        <v>17</v>
      </c>
      <c r="T1921" s="66">
        <v>45569</v>
      </c>
      <c r="U1921" s="66">
        <v>45581</v>
      </c>
      <c r="V1921" s="63">
        <f t="shared" si="207"/>
        <v>12</v>
      </c>
      <c r="W1921" s="65" t="s">
        <v>128</v>
      </c>
      <c r="X1921" s="64" t="b">
        <f t="shared" si="208"/>
        <v>0</v>
      </c>
      <c r="Y1921" s="67">
        <v>3</v>
      </c>
      <c r="Z1921" s="67">
        <v>437</v>
      </c>
      <c r="AA1921" s="65" t="s">
        <v>116</v>
      </c>
      <c r="AB1921" s="64" t="b">
        <f t="shared" si="209"/>
        <v>0</v>
      </c>
    </row>
    <row r="1922" spans="1:28" ht="15" customHeight="1" x14ac:dyDescent="0.3">
      <c r="A1922" s="57" t="s">
        <v>3955</v>
      </c>
      <c r="B1922" s="82">
        <v>45218</v>
      </c>
      <c r="C1922" s="59">
        <f t="shared" ref="C1922:C1985" si="210">YEAR(B1922)</f>
        <v>2023</v>
      </c>
      <c r="D1922" s="59">
        <f t="shared" ref="D1922:D1985" si="211">MONTH(B1922)</f>
        <v>10</v>
      </c>
      <c r="E1922" s="59">
        <f t="shared" ref="E1922:E1985" si="212">WEEKNUM(B1922,1)</f>
        <v>42</v>
      </c>
      <c r="F1922" s="57" t="s">
        <v>54</v>
      </c>
      <c r="G1922" s="57" t="s">
        <v>45</v>
      </c>
      <c r="H1922" s="57" t="s">
        <v>3956</v>
      </c>
      <c r="I1922" s="57" t="s">
        <v>65</v>
      </c>
      <c r="J1922" s="57" t="s">
        <v>139</v>
      </c>
      <c r="K1922" s="57" t="s">
        <v>74</v>
      </c>
      <c r="L1922" s="57" t="s">
        <v>135</v>
      </c>
      <c r="M1922" s="60">
        <v>931</v>
      </c>
      <c r="N1922" s="57" t="s">
        <v>140</v>
      </c>
      <c r="O1922" s="61">
        <v>179.47</v>
      </c>
      <c r="P1922" s="61">
        <v>167086.57</v>
      </c>
      <c r="Q1922" s="61">
        <v>11888.6</v>
      </c>
      <c r="R1922" s="62">
        <f t="shared" ref="R1922:R1985" si="213">Q1922/P1922</f>
        <v>7.1152337378162706E-2</v>
      </c>
      <c r="S1922" s="60">
        <v>3</v>
      </c>
      <c r="T1922" s="58">
        <v>45221</v>
      </c>
      <c r="U1922" s="58">
        <v>45224</v>
      </c>
      <c r="V1922" s="63">
        <f t="shared" ref="V1922:V1985" si="214">U1922-T1922</f>
        <v>3</v>
      </c>
      <c r="W1922" s="57" t="s">
        <v>128</v>
      </c>
      <c r="X1922" s="64" t="b">
        <f t="shared" ref="X1922:X1985" si="215">IF(W1922="Entregado", TRUE(), FALSE())</f>
        <v>0</v>
      </c>
      <c r="Y1922" s="60">
        <v>32</v>
      </c>
      <c r="Z1922" s="60">
        <v>267</v>
      </c>
      <c r="AA1922" s="57" t="s">
        <v>116</v>
      </c>
      <c r="AB1922" s="64" t="b">
        <f t="shared" ref="AB1922:AB1985" si="216">IF(AA1922="Ninguna",FALSE(),TRUE())</f>
        <v>0</v>
      </c>
    </row>
    <row r="1923" spans="1:28" ht="15" customHeight="1" x14ac:dyDescent="0.3">
      <c r="A1923" s="65" t="s">
        <v>3957</v>
      </c>
      <c r="B1923" s="81">
        <v>45386</v>
      </c>
      <c r="C1923" s="59">
        <f t="shared" si="210"/>
        <v>2024</v>
      </c>
      <c r="D1923" s="59">
        <f t="shared" si="211"/>
        <v>4</v>
      </c>
      <c r="E1923" s="59">
        <f t="shared" si="212"/>
        <v>14</v>
      </c>
      <c r="F1923" s="65" t="s">
        <v>52</v>
      </c>
      <c r="G1923" s="65" t="s">
        <v>45</v>
      </c>
      <c r="H1923" s="65" t="s">
        <v>3958</v>
      </c>
      <c r="I1923" s="65" t="s">
        <v>64</v>
      </c>
      <c r="J1923" s="65" t="s">
        <v>151</v>
      </c>
      <c r="K1923" s="65" t="s">
        <v>74</v>
      </c>
      <c r="L1923" s="65" t="s">
        <v>146</v>
      </c>
      <c r="M1923" s="67">
        <v>913</v>
      </c>
      <c r="N1923" s="65" t="s">
        <v>140</v>
      </c>
      <c r="O1923" s="68">
        <v>213.54</v>
      </c>
      <c r="P1923" s="68">
        <v>194962.02</v>
      </c>
      <c r="Q1923" s="68">
        <v>6916.54</v>
      </c>
      <c r="R1923" s="62">
        <f t="shared" si="213"/>
        <v>3.547634559797852E-2</v>
      </c>
      <c r="S1923" s="67">
        <v>13</v>
      </c>
      <c r="T1923" s="66">
        <v>45399</v>
      </c>
      <c r="U1923" s="66">
        <v>45400</v>
      </c>
      <c r="V1923" s="63">
        <f t="shared" si="214"/>
        <v>1</v>
      </c>
      <c r="W1923" s="65" t="s">
        <v>128</v>
      </c>
      <c r="X1923" s="64" t="b">
        <f t="shared" si="215"/>
        <v>0</v>
      </c>
      <c r="Y1923" s="67">
        <v>298</v>
      </c>
      <c r="Z1923" s="67">
        <v>111</v>
      </c>
      <c r="AA1923" s="65" t="s">
        <v>84</v>
      </c>
      <c r="AB1923" s="64" t="b">
        <f t="shared" si="216"/>
        <v>1</v>
      </c>
    </row>
    <row r="1924" spans="1:28" ht="15" customHeight="1" x14ac:dyDescent="0.3">
      <c r="A1924" s="57" t="s">
        <v>3959</v>
      </c>
      <c r="B1924" s="82">
        <v>45166</v>
      </c>
      <c r="C1924" s="59">
        <f t="shared" si="210"/>
        <v>2023</v>
      </c>
      <c r="D1924" s="59">
        <f t="shared" si="211"/>
        <v>8</v>
      </c>
      <c r="E1924" s="59">
        <f t="shared" si="212"/>
        <v>35</v>
      </c>
      <c r="F1924" s="57" t="s">
        <v>52</v>
      </c>
      <c r="G1924" s="57" t="s">
        <v>40</v>
      </c>
      <c r="H1924" s="57" t="s">
        <v>3960</v>
      </c>
      <c r="I1924" s="57" t="s">
        <v>65</v>
      </c>
      <c r="J1924" s="57" t="s">
        <v>139</v>
      </c>
      <c r="K1924" s="57" t="s">
        <v>72</v>
      </c>
      <c r="L1924" s="57" t="s">
        <v>156</v>
      </c>
      <c r="M1924" s="60">
        <v>527</v>
      </c>
      <c r="N1924" s="57" t="s">
        <v>163</v>
      </c>
      <c r="O1924" s="61">
        <v>962.24</v>
      </c>
      <c r="P1924" s="61">
        <v>507100.48</v>
      </c>
      <c r="Q1924" s="61">
        <v>25096.84</v>
      </c>
      <c r="R1924" s="62">
        <f t="shared" si="213"/>
        <v>4.949086224489474E-2</v>
      </c>
      <c r="S1924" s="60">
        <v>14</v>
      </c>
      <c r="T1924" s="58">
        <v>45180</v>
      </c>
      <c r="U1924" s="58">
        <v>45182</v>
      </c>
      <c r="V1924" s="63">
        <f t="shared" si="214"/>
        <v>2</v>
      </c>
      <c r="W1924" s="57" t="s">
        <v>125</v>
      </c>
      <c r="X1924" s="64" t="b">
        <f t="shared" si="215"/>
        <v>0</v>
      </c>
      <c r="Y1924" s="60">
        <v>164</v>
      </c>
      <c r="Z1924" s="60">
        <v>408</v>
      </c>
      <c r="AA1924" s="57" t="s">
        <v>81</v>
      </c>
      <c r="AB1924" s="64" t="b">
        <f t="shared" si="216"/>
        <v>1</v>
      </c>
    </row>
    <row r="1925" spans="1:28" ht="15" customHeight="1" x14ac:dyDescent="0.3">
      <c r="A1925" s="65" t="s">
        <v>3961</v>
      </c>
      <c r="B1925" s="81">
        <v>45473</v>
      </c>
      <c r="C1925" s="59">
        <f t="shared" si="210"/>
        <v>2024</v>
      </c>
      <c r="D1925" s="59">
        <f t="shared" si="211"/>
        <v>6</v>
      </c>
      <c r="E1925" s="59">
        <f t="shared" si="212"/>
        <v>27</v>
      </c>
      <c r="F1925" s="65" t="s">
        <v>56</v>
      </c>
      <c r="G1925" s="65" t="s">
        <v>39</v>
      </c>
      <c r="H1925" s="65" t="s">
        <v>3962</v>
      </c>
      <c r="I1925" s="65" t="s">
        <v>65</v>
      </c>
      <c r="J1925" s="65" t="s">
        <v>131</v>
      </c>
      <c r="K1925" s="65" t="s">
        <v>74</v>
      </c>
      <c r="L1925" s="65" t="s">
        <v>113</v>
      </c>
      <c r="M1925" s="67">
        <v>985</v>
      </c>
      <c r="N1925" s="65" t="s">
        <v>163</v>
      </c>
      <c r="O1925" s="68">
        <v>1718.7</v>
      </c>
      <c r="P1925" s="68">
        <v>1639255.3774000001</v>
      </c>
      <c r="Q1925" s="68">
        <v>96548.6302</v>
      </c>
      <c r="R1925" s="62">
        <f t="shared" si="213"/>
        <v>5.8897857851248549E-2</v>
      </c>
      <c r="S1925" s="67">
        <v>24</v>
      </c>
      <c r="T1925" s="66">
        <v>45497</v>
      </c>
      <c r="U1925" s="66">
        <v>45505</v>
      </c>
      <c r="V1925" s="63">
        <f t="shared" si="214"/>
        <v>8</v>
      </c>
      <c r="W1925" s="65" t="s">
        <v>125</v>
      </c>
      <c r="X1925" s="64" t="b">
        <f t="shared" si="215"/>
        <v>0</v>
      </c>
      <c r="Y1925" s="67">
        <v>449</v>
      </c>
      <c r="Z1925" s="67">
        <v>315</v>
      </c>
      <c r="AA1925" s="65" t="s">
        <v>84</v>
      </c>
      <c r="AB1925" s="64" t="b">
        <f t="shared" si="216"/>
        <v>1</v>
      </c>
    </row>
    <row r="1926" spans="1:28" ht="15" customHeight="1" x14ac:dyDescent="0.3">
      <c r="A1926" s="57" t="s">
        <v>3963</v>
      </c>
      <c r="B1926" s="82">
        <v>45171</v>
      </c>
      <c r="C1926" s="59">
        <f t="shared" si="210"/>
        <v>2023</v>
      </c>
      <c r="D1926" s="59">
        <f t="shared" si="211"/>
        <v>9</v>
      </c>
      <c r="E1926" s="59">
        <f t="shared" si="212"/>
        <v>35</v>
      </c>
      <c r="F1926" s="57" t="s">
        <v>55</v>
      </c>
      <c r="G1926" s="57" t="s">
        <v>40</v>
      </c>
      <c r="H1926" s="57" t="s">
        <v>3964</v>
      </c>
      <c r="I1926" s="57" t="s">
        <v>66</v>
      </c>
      <c r="J1926" s="57" t="s">
        <v>131</v>
      </c>
      <c r="K1926" s="57" t="s">
        <v>73</v>
      </c>
      <c r="L1926" s="57" t="s">
        <v>156</v>
      </c>
      <c r="M1926" s="60">
        <v>801</v>
      </c>
      <c r="N1926" s="57" t="s">
        <v>140</v>
      </c>
      <c r="O1926" s="61">
        <v>1035.29</v>
      </c>
      <c r="P1926" s="61">
        <v>829267.29</v>
      </c>
      <c r="Q1926" s="61">
        <v>33166.129999999997</v>
      </c>
      <c r="R1926" s="62">
        <f t="shared" si="213"/>
        <v>3.9994499240407752E-2</v>
      </c>
      <c r="S1926" s="60">
        <v>18</v>
      </c>
      <c r="T1926" s="58">
        <v>45189</v>
      </c>
      <c r="U1926" s="58">
        <v>45194</v>
      </c>
      <c r="V1926" s="63">
        <f t="shared" si="214"/>
        <v>5</v>
      </c>
      <c r="W1926" s="57" t="s">
        <v>128</v>
      </c>
      <c r="X1926" s="64" t="b">
        <f t="shared" si="215"/>
        <v>0</v>
      </c>
      <c r="Y1926" s="60">
        <v>26</v>
      </c>
      <c r="Z1926" s="60">
        <v>499</v>
      </c>
      <c r="AA1926" s="57" t="s">
        <v>116</v>
      </c>
      <c r="AB1926" s="64" t="b">
        <f t="shared" si="216"/>
        <v>0</v>
      </c>
    </row>
    <row r="1927" spans="1:28" ht="15" customHeight="1" x14ac:dyDescent="0.3">
      <c r="A1927" s="65" t="s">
        <v>3965</v>
      </c>
      <c r="B1927" s="81">
        <v>45243</v>
      </c>
      <c r="C1927" s="59">
        <f t="shared" si="210"/>
        <v>2023</v>
      </c>
      <c r="D1927" s="59">
        <f t="shared" si="211"/>
        <v>11</v>
      </c>
      <c r="E1927" s="59">
        <f t="shared" si="212"/>
        <v>46</v>
      </c>
      <c r="F1927" s="65" t="s">
        <v>56</v>
      </c>
      <c r="G1927" s="65" t="s">
        <v>45</v>
      </c>
      <c r="H1927" s="65" t="s">
        <v>3966</v>
      </c>
      <c r="I1927" s="65" t="s">
        <v>69</v>
      </c>
      <c r="J1927" s="65" t="s">
        <v>143</v>
      </c>
      <c r="K1927" s="65" t="s">
        <v>71</v>
      </c>
      <c r="L1927" s="65" t="s">
        <v>146</v>
      </c>
      <c r="M1927" s="67">
        <v>441</v>
      </c>
      <c r="N1927" s="65" t="s">
        <v>132</v>
      </c>
      <c r="O1927" s="68">
        <v>184.76</v>
      </c>
      <c r="P1927" s="68">
        <v>81479.16</v>
      </c>
      <c r="Q1927" s="68">
        <v>4538.62</v>
      </c>
      <c r="R1927" s="62">
        <f t="shared" si="213"/>
        <v>5.5702832478881713E-2</v>
      </c>
      <c r="S1927" s="67">
        <v>4</v>
      </c>
      <c r="T1927" s="66">
        <v>45247</v>
      </c>
      <c r="U1927" s="66">
        <v>45255</v>
      </c>
      <c r="V1927" s="63">
        <f t="shared" si="214"/>
        <v>8</v>
      </c>
      <c r="W1927" s="65" t="s">
        <v>125</v>
      </c>
      <c r="X1927" s="64" t="b">
        <f t="shared" si="215"/>
        <v>0</v>
      </c>
      <c r="Y1927" s="67">
        <v>172</v>
      </c>
      <c r="Z1927" s="67">
        <v>74</v>
      </c>
      <c r="AA1927" s="65" t="s">
        <v>84</v>
      </c>
      <c r="AB1927" s="64" t="b">
        <f t="shared" si="216"/>
        <v>1</v>
      </c>
    </row>
    <row r="1928" spans="1:28" ht="15" customHeight="1" x14ac:dyDescent="0.3">
      <c r="A1928" s="57" t="s">
        <v>3967</v>
      </c>
      <c r="B1928" s="82">
        <v>45407</v>
      </c>
      <c r="C1928" s="59">
        <f t="shared" si="210"/>
        <v>2024</v>
      </c>
      <c r="D1928" s="59">
        <f t="shared" si="211"/>
        <v>4</v>
      </c>
      <c r="E1928" s="59">
        <f t="shared" si="212"/>
        <v>17</v>
      </c>
      <c r="F1928" s="57" t="s">
        <v>56</v>
      </c>
      <c r="G1928" s="57" t="s">
        <v>39</v>
      </c>
      <c r="H1928" s="57" t="s">
        <v>3968</v>
      </c>
      <c r="I1928" s="57" t="s">
        <v>65</v>
      </c>
      <c r="J1928" s="57" t="s">
        <v>123</v>
      </c>
      <c r="K1928" s="57" t="s">
        <v>74</v>
      </c>
      <c r="L1928" s="57" t="s">
        <v>124</v>
      </c>
      <c r="M1928" s="60">
        <v>496</v>
      </c>
      <c r="N1928" s="57" t="s">
        <v>163</v>
      </c>
      <c r="O1928" s="61">
        <v>1727.94</v>
      </c>
      <c r="P1928" s="61">
        <v>857058.24</v>
      </c>
      <c r="Q1928" s="61">
        <v>21779.34</v>
      </c>
      <c r="R1928" s="62">
        <f t="shared" si="213"/>
        <v>2.5411738646839217E-2</v>
      </c>
      <c r="S1928" s="60">
        <v>18</v>
      </c>
      <c r="T1928" s="58">
        <v>45425</v>
      </c>
      <c r="U1928" s="58">
        <v>45428</v>
      </c>
      <c r="V1928" s="63">
        <f t="shared" si="214"/>
        <v>3</v>
      </c>
      <c r="W1928" s="57" t="s">
        <v>128</v>
      </c>
      <c r="X1928" s="64" t="b">
        <f t="shared" si="215"/>
        <v>0</v>
      </c>
      <c r="Y1928" s="60">
        <v>336</v>
      </c>
      <c r="Z1928" s="60">
        <v>213</v>
      </c>
      <c r="AA1928" s="57" t="s">
        <v>81</v>
      </c>
      <c r="AB1928" s="64" t="b">
        <f t="shared" si="216"/>
        <v>1</v>
      </c>
    </row>
    <row r="1929" spans="1:28" ht="15" customHeight="1" x14ac:dyDescent="0.3">
      <c r="A1929" s="65" t="s">
        <v>3969</v>
      </c>
      <c r="B1929" s="81">
        <v>45125</v>
      </c>
      <c r="C1929" s="59">
        <f t="shared" si="210"/>
        <v>2023</v>
      </c>
      <c r="D1929" s="59">
        <f t="shared" si="211"/>
        <v>7</v>
      </c>
      <c r="E1929" s="59">
        <f t="shared" si="212"/>
        <v>29</v>
      </c>
      <c r="F1929" s="65" t="s">
        <v>55</v>
      </c>
      <c r="G1929" s="65" t="s">
        <v>44</v>
      </c>
      <c r="H1929" s="65" t="s">
        <v>3970</v>
      </c>
      <c r="I1929" s="65" t="s">
        <v>65</v>
      </c>
      <c r="J1929" s="65" t="s">
        <v>112</v>
      </c>
      <c r="K1929" s="65" t="s">
        <v>74</v>
      </c>
      <c r="L1929" s="65" t="s">
        <v>135</v>
      </c>
      <c r="M1929" s="67">
        <v>615</v>
      </c>
      <c r="N1929" s="65" t="s">
        <v>140</v>
      </c>
      <c r="O1929" s="68">
        <v>92.46</v>
      </c>
      <c r="P1929" s="68">
        <v>56862.9</v>
      </c>
      <c r="Q1929" s="68">
        <v>3204.84</v>
      </c>
      <c r="R1929" s="62">
        <f t="shared" si="213"/>
        <v>5.6360825775681508E-2</v>
      </c>
      <c r="S1929" s="67">
        <v>5</v>
      </c>
      <c r="T1929" s="66">
        <v>45130</v>
      </c>
      <c r="U1929" s="66">
        <v>45130</v>
      </c>
      <c r="V1929" s="63">
        <f t="shared" si="214"/>
        <v>0</v>
      </c>
      <c r="W1929" s="65" t="s">
        <v>115</v>
      </c>
      <c r="X1929" s="64" t="b">
        <f t="shared" si="215"/>
        <v>1</v>
      </c>
      <c r="Y1929" s="67">
        <v>112</v>
      </c>
      <c r="Z1929" s="67">
        <v>499</v>
      </c>
      <c r="AA1929" s="65" t="s">
        <v>83</v>
      </c>
      <c r="AB1929" s="64" t="b">
        <f t="shared" si="216"/>
        <v>1</v>
      </c>
    </row>
    <row r="1930" spans="1:28" ht="15" customHeight="1" x14ac:dyDescent="0.3">
      <c r="A1930" s="57" t="s">
        <v>3971</v>
      </c>
      <c r="B1930" s="82">
        <v>45303</v>
      </c>
      <c r="C1930" s="59">
        <f t="shared" si="210"/>
        <v>2024</v>
      </c>
      <c r="D1930" s="59">
        <f t="shared" si="211"/>
        <v>1</v>
      </c>
      <c r="E1930" s="59">
        <f t="shared" si="212"/>
        <v>2</v>
      </c>
      <c r="F1930" s="57" t="s">
        <v>59</v>
      </c>
      <c r="G1930" s="57" t="s">
        <v>42</v>
      </c>
      <c r="H1930" s="57" t="s">
        <v>3972</v>
      </c>
      <c r="I1930" s="57" t="s">
        <v>68</v>
      </c>
      <c r="J1930" s="57" t="s">
        <v>151</v>
      </c>
      <c r="K1930" s="57" t="s">
        <v>72</v>
      </c>
      <c r="L1930" s="57" t="s">
        <v>146</v>
      </c>
      <c r="M1930" s="60">
        <v>438</v>
      </c>
      <c r="N1930" s="57" t="s">
        <v>120</v>
      </c>
      <c r="O1930" s="61">
        <v>82.47</v>
      </c>
      <c r="P1930" s="61">
        <v>36121.86</v>
      </c>
      <c r="Q1930" s="61">
        <v>916.7</v>
      </c>
      <c r="R1930" s="62">
        <f t="shared" si="213"/>
        <v>2.5377984411655435E-2</v>
      </c>
      <c r="S1930" s="60">
        <v>25</v>
      </c>
      <c r="T1930" s="58">
        <v>45328</v>
      </c>
      <c r="U1930" s="58">
        <v>45328</v>
      </c>
      <c r="V1930" s="63">
        <f t="shared" si="214"/>
        <v>0</v>
      </c>
      <c r="W1930" s="57" t="s">
        <v>115</v>
      </c>
      <c r="X1930" s="64" t="b">
        <f t="shared" si="215"/>
        <v>1</v>
      </c>
      <c r="Y1930" s="60">
        <v>433</v>
      </c>
      <c r="Z1930" s="60">
        <v>365</v>
      </c>
      <c r="AA1930" s="57" t="s">
        <v>84</v>
      </c>
      <c r="AB1930" s="64" t="b">
        <f t="shared" si="216"/>
        <v>1</v>
      </c>
    </row>
    <row r="1931" spans="1:28" ht="15" customHeight="1" x14ac:dyDescent="0.3">
      <c r="A1931" s="65" t="s">
        <v>3973</v>
      </c>
      <c r="B1931" s="81">
        <v>45621</v>
      </c>
      <c r="C1931" s="59">
        <f t="shared" si="210"/>
        <v>2024</v>
      </c>
      <c r="D1931" s="59">
        <f t="shared" si="211"/>
        <v>11</v>
      </c>
      <c r="E1931" s="59">
        <f t="shared" si="212"/>
        <v>48</v>
      </c>
      <c r="F1931" s="65" t="s">
        <v>61</v>
      </c>
      <c r="G1931" s="65" t="s">
        <v>42</v>
      </c>
      <c r="H1931" s="65" t="s">
        <v>3974</v>
      </c>
      <c r="I1931" s="65" t="s">
        <v>66</v>
      </c>
      <c r="J1931" s="65" t="s">
        <v>123</v>
      </c>
      <c r="K1931" s="65" t="s">
        <v>73</v>
      </c>
      <c r="L1931" s="65" t="s">
        <v>124</v>
      </c>
      <c r="M1931" s="67">
        <v>278</v>
      </c>
      <c r="N1931" s="65" t="s">
        <v>163</v>
      </c>
      <c r="O1931" s="68">
        <v>104.01</v>
      </c>
      <c r="P1931" s="68">
        <v>28914.78</v>
      </c>
      <c r="Q1931" s="68">
        <v>2242.46</v>
      </c>
      <c r="R1931" s="62">
        <f t="shared" si="213"/>
        <v>7.7554109005844071E-2</v>
      </c>
      <c r="S1931" s="67">
        <v>16</v>
      </c>
      <c r="T1931" s="66">
        <v>45637</v>
      </c>
      <c r="U1931" s="66">
        <v>45649</v>
      </c>
      <c r="V1931" s="63">
        <f t="shared" si="214"/>
        <v>12</v>
      </c>
      <c r="W1931" s="65" t="s">
        <v>128</v>
      </c>
      <c r="X1931" s="64" t="b">
        <f t="shared" si="215"/>
        <v>0</v>
      </c>
      <c r="Y1931" s="67">
        <v>372</v>
      </c>
      <c r="Z1931" s="67">
        <v>33</v>
      </c>
      <c r="AA1931" s="65" t="s">
        <v>83</v>
      </c>
      <c r="AB1931" s="64" t="b">
        <f t="shared" si="216"/>
        <v>1</v>
      </c>
    </row>
    <row r="1932" spans="1:28" ht="15" customHeight="1" x14ac:dyDescent="0.3">
      <c r="A1932" s="57" t="s">
        <v>3975</v>
      </c>
      <c r="B1932" s="82">
        <v>45511</v>
      </c>
      <c r="C1932" s="59">
        <f t="shared" si="210"/>
        <v>2024</v>
      </c>
      <c r="D1932" s="59">
        <f t="shared" si="211"/>
        <v>8</v>
      </c>
      <c r="E1932" s="59">
        <f t="shared" si="212"/>
        <v>32</v>
      </c>
      <c r="F1932" s="57" t="s">
        <v>55</v>
      </c>
      <c r="G1932" s="57" t="s">
        <v>45</v>
      </c>
      <c r="H1932" s="57" t="s">
        <v>3976</v>
      </c>
      <c r="I1932" s="57" t="s">
        <v>65</v>
      </c>
      <c r="J1932" s="57" t="s">
        <v>151</v>
      </c>
      <c r="K1932" s="57" t="s">
        <v>72</v>
      </c>
      <c r="L1932" s="57" t="s">
        <v>119</v>
      </c>
      <c r="M1932" s="60">
        <v>718</v>
      </c>
      <c r="N1932" s="57" t="s">
        <v>140</v>
      </c>
      <c r="O1932" s="61">
        <v>250.94</v>
      </c>
      <c r="P1932" s="61">
        <v>180174.92</v>
      </c>
      <c r="Q1932" s="61">
        <v>11340.17</v>
      </c>
      <c r="R1932" s="62">
        <f t="shared" si="213"/>
        <v>6.2939780963965464E-2</v>
      </c>
      <c r="S1932" s="60">
        <v>1</v>
      </c>
      <c r="T1932" s="58">
        <v>45512</v>
      </c>
      <c r="U1932" s="58">
        <v>45512</v>
      </c>
      <c r="V1932" s="63">
        <f t="shared" si="214"/>
        <v>0</v>
      </c>
      <c r="W1932" s="57" t="s">
        <v>115</v>
      </c>
      <c r="X1932" s="64" t="b">
        <f t="shared" si="215"/>
        <v>1</v>
      </c>
      <c r="Y1932" s="60">
        <v>379</v>
      </c>
      <c r="Z1932" s="60">
        <v>140</v>
      </c>
      <c r="AA1932" s="57" t="s">
        <v>84</v>
      </c>
      <c r="AB1932" s="64" t="b">
        <f t="shared" si="216"/>
        <v>1</v>
      </c>
    </row>
    <row r="1933" spans="1:28" ht="15" customHeight="1" x14ac:dyDescent="0.3">
      <c r="A1933" s="65" t="s">
        <v>3977</v>
      </c>
      <c r="B1933" s="81">
        <v>45378</v>
      </c>
      <c r="C1933" s="59">
        <f t="shared" si="210"/>
        <v>2024</v>
      </c>
      <c r="D1933" s="59">
        <f t="shared" si="211"/>
        <v>3</v>
      </c>
      <c r="E1933" s="59">
        <f t="shared" si="212"/>
        <v>13</v>
      </c>
      <c r="F1933" s="65" t="s">
        <v>60</v>
      </c>
      <c r="G1933" s="65" t="s">
        <v>43</v>
      </c>
      <c r="H1933" s="65" t="s">
        <v>3978</v>
      </c>
      <c r="I1933" s="65" t="s">
        <v>67</v>
      </c>
      <c r="J1933" s="65" t="s">
        <v>131</v>
      </c>
      <c r="K1933" s="65" t="s">
        <v>72</v>
      </c>
      <c r="L1933" s="65" t="s">
        <v>135</v>
      </c>
      <c r="M1933" s="67">
        <v>546</v>
      </c>
      <c r="N1933" s="65" t="s">
        <v>136</v>
      </c>
      <c r="O1933" s="68">
        <v>298.5</v>
      </c>
      <c r="P1933" s="68">
        <v>162981</v>
      </c>
      <c r="Q1933" s="68">
        <v>10966.92</v>
      </c>
      <c r="R1933" s="62">
        <f t="shared" si="213"/>
        <v>6.7289561359913125E-2</v>
      </c>
      <c r="S1933" s="67">
        <v>21</v>
      </c>
      <c r="T1933" s="66">
        <v>45399</v>
      </c>
      <c r="U1933" s="66">
        <v>45401</v>
      </c>
      <c r="V1933" s="63">
        <f t="shared" si="214"/>
        <v>2</v>
      </c>
      <c r="W1933" s="65" t="s">
        <v>125</v>
      </c>
      <c r="X1933" s="64" t="b">
        <f t="shared" si="215"/>
        <v>0</v>
      </c>
      <c r="Y1933" s="67">
        <v>94</v>
      </c>
      <c r="Z1933" s="67">
        <v>493</v>
      </c>
      <c r="AA1933" s="65" t="s">
        <v>116</v>
      </c>
      <c r="AB1933" s="64" t="b">
        <f t="shared" si="216"/>
        <v>0</v>
      </c>
    </row>
    <row r="1934" spans="1:28" ht="15" customHeight="1" x14ac:dyDescent="0.3">
      <c r="A1934" s="57" t="s">
        <v>3979</v>
      </c>
      <c r="B1934" s="82">
        <v>45399</v>
      </c>
      <c r="C1934" s="59">
        <f t="shared" si="210"/>
        <v>2024</v>
      </c>
      <c r="D1934" s="59">
        <f t="shared" si="211"/>
        <v>4</v>
      </c>
      <c r="E1934" s="59">
        <f t="shared" si="212"/>
        <v>16</v>
      </c>
      <c r="F1934" s="57" t="s">
        <v>61</v>
      </c>
      <c r="G1934" s="57" t="s">
        <v>41</v>
      </c>
      <c r="H1934" s="57" t="s">
        <v>3980</v>
      </c>
      <c r="I1934" s="57" t="s">
        <v>69</v>
      </c>
      <c r="J1934" s="57" t="s">
        <v>112</v>
      </c>
      <c r="K1934" s="57" t="s">
        <v>74</v>
      </c>
      <c r="L1934" s="57" t="s">
        <v>146</v>
      </c>
      <c r="M1934" s="60">
        <v>157</v>
      </c>
      <c r="N1934" s="57" t="s">
        <v>163</v>
      </c>
      <c r="O1934" s="61">
        <v>461.16</v>
      </c>
      <c r="P1934" s="61">
        <v>72402.12</v>
      </c>
      <c r="Q1934" s="61">
        <v>4506.76</v>
      </c>
      <c r="R1934" s="62">
        <f t="shared" si="213"/>
        <v>6.2246243618280794E-2</v>
      </c>
      <c r="S1934" s="60">
        <v>14</v>
      </c>
      <c r="T1934" s="58">
        <v>45413</v>
      </c>
      <c r="U1934" s="58">
        <v>45414</v>
      </c>
      <c r="V1934" s="63">
        <f t="shared" si="214"/>
        <v>1</v>
      </c>
      <c r="W1934" s="57" t="s">
        <v>125</v>
      </c>
      <c r="X1934" s="64" t="b">
        <f t="shared" si="215"/>
        <v>0</v>
      </c>
      <c r="Y1934" s="60">
        <v>318</v>
      </c>
      <c r="Z1934" s="60">
        <v>165</v>
      </c>
      <c r="AA1934" s="57" t="s">
        <v>82</v>
      </c>
      <c r="AB1934" s="64" t="b">
        <f t="shared" si="216"/>
        <v>1</v>
      </c>
    </row>
    <row r="1935" spans="1:28" ht="15" customHeight="1" x14ac:dyDescent="0.3">
      <c r="A1935" s="65" t="s">
        <v>3981</v>
      </c>
      <c r="B1935" s="81">
        <v>45215</v>
      </c>
      <c r="C1935" s="59">
        <f t="shared" si="210"/>
        <v>2023</v>
      </c>
      <c r="D1935" s="59">
        <f t="shared" si="211"/>
        <v>10</v>
      </c>
      <c r="E1935" s="59">
        <f t="shared" si="212"/>
        <v>42</v>
      </c>
      <c r="F1935" s="65" t="s">
        <v>53</v>
      </c>
      <c r="G1935" s="65" t="s">
        <v>44</v>
      </c>
      <c r="H1935" s="65" t="s">
        <v>3982</v>
      </c>
      <c r="I1935" s="65" t="s">
        <v>67</v>
      </c>
      <c r="J1935" s="65" t="s">
        <v>112</v>
      </c>
      <c r="K1935" s="65" t="s">
        <v>73</v>
      </c>
      <c r="L1935" s="65" t="s">
        <v>113</v>
      </c>
      <c r="M1935" s="67">
        <v>127</v>
      </c>
      <c r="N1935" s="65" t="s">
        <v>136</v>
      </c>
      <c r="O1935" s="68">
        <v>131.83000000000001</v>
      </c>
      <c r="P1935" s="68">
        <v>16742.41</v>
      </c>
      <c r="Q1935" s="68">
        <v>927.26</v>
      </c>
      <c r="R1935" s="62">
        <f t="shared" si="213"/>
        <v>5.5383902317527767E-2</v>
      </c>
      <c r="S1935" s="67">
        <v>15</v>
      </c>
      <c r="T1935" s="66">
        <v>45230</v>
      </c>
      <c r="U1935" s="66">
        <v>45227</v>
      </c>
      <c r="V1935" s="63">
        <f t="shared" si="214"/>
        <v>-3</v>
      </c>
      <c r="W1935" s="65" t="s">
        <v>115</v>
      </c>
      <c r="X1935" s="64" t="b">
        <f t="shared" si="215"/>
        <v>1</v>
      </c>
      <c r="Y1935" s="67">
        <v>232</v>
      </c>
      <c r="Z1935" s="67">
        <v>395</v>
      </c>
      <c r="AA1935" s="65" t="s">
        <v>116</v>
      </c>
      <c r="AB1935" s="64" t="b">
        <f t="shared" si="216"/>
        <v>0</v>
      </c>
    </row>
    <row r="1936" spans="1:28" ht="15" customHeight="1" x14ac:dyDescent="0.3">
      <c r="A1936" s="57" t="s">
        <v>3983</v>
      </c>
      <c r="B1936" s="82">
        <v>45318</v>
      </c>
      <c r="C1936" s="59">
        <f t="shared" si="210"/>
        <v>2024</v>
      </c>
      <c r="D1936" s="59">
        <f t="shared" si="211"/>
        <v>1</v>
      </c>
      <c r="E1936" s="59">
        <f t="shared" si="212"/>
        <v>4</v>
      </c>
      <c r="F1936" s="57" t="s">
        <v>59</v>
      </c>
      <c r="G1936" s="57" t="s">
        <v>39</v>
      </c>
      <c r="H1936" s="57" t="s">
        <v>3984</v>
      </c>
      <c r="I1936" s="57" t="s">
        <v>64</v>
      </c>
      <c r="J1936" s="57" t="s">
        <v>131</v>
      </c>
      <c r="K1936" s="57" t="s">
        <v>74</v>
      </c>
      <c r="L1936" s="57" t="s">
        <v>113</v>
      </c>
      <c r="M1936" s="60">
        <v>859</v>
      </c>
      <c r="N1936" s="57" t="s">
        <v>163</v>
      </c>
      <c r="O1936" s="61">
        <v>1445.44</v>
      </c>
      <c r="P1936" s="61">
        <v>1241632.96</v>
      </c>
      <c r="Q1936" s="61">
        <v>58350.25</v>
      </c>
      <c r="R1936" s="62">
        <f t="shared" si="213"/>
        <v>4.6994765667303165E-2</v>
      </c>
      <c r="S1936" s="60">
        <v>9</v>
      </c>
      <c r="T1936" s="58">
        <v>45327</v>
      </c>
      <c r="U1936" s="58">
        <v>45329</v>
      </c>
      <c r="V1936" s="63">
        <f t="shared" si="214"/>
        <v>2</v>
      </c>
      <c r="W1936" s="57" t="s">
        <v>125</v>
      </c>
      <c r="X1936" s="64" t="b">
        <f t="shared" si="215"/>
        <v>0</v>
      </c>
      <c r="Y1936" s="60">
        <v>133</v>
      </c>
      <c r="Z1936" s="60">
        <v>230</v>
      </c>
      <c r="AA1936" s="57" t="s">
        <v>116</v>
      </c>
      <c r="AB1936" s="64" t="b">
        <f t="shared" si="216"/>
        <v>0</v>
      </c>
    </row>
    <row r="1937" spans="1:28" ht="15" customHeight="1" x14ac:dyDescent="0.3">
      <c r="A1937" s="65" t="s">
        <v>3985</v>
      </c>
      <c r="B1937" s="81">
        <v>45441</v>
      </c>
      <c r="C1937" s="59">
        <f t="shared" si="210"/>
        <v>2024</v>
      </c>
      <c r="D1937" s="59">
        <f t="shared" si="211"/>
        <v>5</v>
      </c>
      <c r="E1937" s="59">
        <f t="shared" si="212"/>
        <v>22</v>
      </c>
      <c r="F1937" s="65" t="s">
        <v>53</v>
      </c>
      <c r="G1937" s="65" t="s">
        <v>45</v>
      </c>
      <c r="H1937" s="65" t="s">
        <v>3986</v>
      </c>
      <c r="I1937" s="65" t="s">
        <v>69</v>
      </c>
      <c r="J1937" s="65" t="s">
        <v>139</v>
      </c>
      <c r="K1937" s="65" t="s">
        <v>74</v>
      </c>
      <c r="L1937" s="65" t="s">
        <v>124</v>
      </c>
      <c r="M1937" s="67">
        <v>376</v>
      </c>
      <c r="N1937" s="65" t="s">
        <v>163</v>
      </c>
      <c r="O1937" s="68">
        <v>210.5</v>
      </c>
      <c r="P1937" s="68">
        <v>79148</v>
      </c>
      <c r="Q1937" s="68">
        <v>5659.27</v>
      </c>
      <c r="R1937" s="62">
        <f t="shared" si="213"/>
        <v>7.1502375296912113E-2</v>
      </c>
      <c r="S1937" s="67">
        <v>15</v>
      </c>
      <c r="T1937" s="66">
        <v>45456</v>
      </c>
      <c r="U1937" s="66">
        <v>45468</v>
      </c>
      <c r="V1937" s="63">
        <f t="shared" si="214"/>
        <v>12</v>
      </c>
      <c r="W1937" s="65" t="s">
        <v>125</v>
      </c>
      <c r="X1937" s="64" t="b">
        <f t="shared" si="215"/>
        <v>0</v>
      </c>
      <c r="Y1937" s="67">
        <v>123</v>
      </c>
      <c r="Z1937" s="67">
        <v>291</v>
      </c>
      <c r="AA1937" s="65" t="s">
        <v>84</v>
      </c>
      <c r="AB1937" s="64" t="b">
        <f t="shared" si="216"/>
        <v>1</v>
      </c>
    </row>
    <row r="1938" spans="1:28" ht="15" customHeight="1" x14ac:dyDescent="0.3">
      <c r="A1938" s="57" t="s">
        <v>3987</v>
      </c>
      <c r="B1938" s="82">
        <v>45467</v>
      </c>
      <c r="C1938" s="59">
        <f t="shared" si="210"/>
        <v>2024</v>
      </c>
      <c r="D1938" s="59">
        <f t="shared" si="211"/>
        <v>6</v>
      </c>
      <c r="E1938" s="59">
        <f t="shared" si="212"/>
        <v>26</v>
      </c>
      <c r="F1938" s="57" t="s">
        <v>52</v>
      </c>
      <c r="G1938" s="57" t="s">
        <v>44</v>
      </c>
      <c r="H1938" s="57" t="s">
        <v>3988</v>
      </c>
      <c r="I1938" s="57" t="s">
        <v>64</v>
      </c>
      <c r="J1938" s="57" t="s">
        <v>112</v>
      </c>
      <c r="K1938" s="57" t="s">
        <v>74</v>
      </c>
      <c r="L1938" s="57" t="s">
        <v>124</v>
      </c>
      <c r="M1938" s="60">
        <v>859</v>
      </c>
      <c r="N1938" s="57" t="s">
        <v>114</v>
      </c>
      <c r="O1938" s="61">
        <v>166.27</v>
      </c>
      <c r="P1938" s="61">
        <v>142825.93</v>
      </c>
      <c r="Q1938" s="61">
        <v>11056.18</v>
      </c>
      <c r="R1938" s="62">
        <f t="shared" si="213"/>
        <v>7.741017334877498E-2</v>
      </c>
      <c r="S1938" s="60">
        <v>17</v>
      </c>
      <c r="T1938" s="58">
        <v>45484</v>
      </c>
      <c r="U1938" s="58">
        <v>45484</v>
      </c>
      <c r="V1938" s="63">
        <f t="shared" si="214"/>
        <v>0</v>
      </c>
      <c r="W1938" s="57" t="s">
        <v>115</v>
      </c>
      <c r="X1938" s="64" t="b">
        <f t="shared" si="215"/>
        <v>1</v>
      </c>
      <c r="Y1938" s="60">
        <v>371</v>
      </c>
      <c r="Z1938" s="60">
        <v>27</v>
      </c>
      <c r="AA1938" s="57" t="s">
        <v>116</v>
      </c>
      <c r="AB1938" s="64" t="b">
        <f t="shared" si="216"/>
        <v>0</v>
      </c>
    </row>
    <row r="1939" spans="1:28" ht="15" customHeight="1" x14ac:dyDescent="0.3">
      <c r="A1939" s="65" t="s">
        <v>3989</v>
      </c>
      <c r="B1939" s="81">
        <v>45355</v>
      </c>
      <c r="C1939" s="59">
        <f t="shared" si="210"/>
        <v>2024</v>
      </c>
      <c r="D1939" s="59">
        <f t="shared" si="211"/>
        <v>3</v>
      </c>
      <c r="E1939" s="59">
        <f t="shared" si="212"/>
        <v>10</v>
      </c>
      <c r="F1939" s="65" t="s">
        <v>58</v>
      </c>
      <c r="G1939" s="65" t="s">
        <v>45</v>
      </c>
      <c r="H1939" s="65" t="s">
        <v>3990</v>
      </c>
      <c r="I1939" s="65" t="s">
        <v>68</v>
      </c>
      <c r="J1939" s="65" t="s">
        <v>139</v>
      </c>
      <c r="K1939" s="65" t="s">
        <v>74</v>
      </c>
      <c r="L1939" s="65" t="s">
        <v>113</v>
      </c>
      <c r="M1939" s="67">
        <v>75</v>
      </c>
      <c r="N1939" s="65" t="s">
        <v>114</v>
      </c>
      <c r="O1939" s="68">
        <v>249.47</v>
      </c>
      <c r="P1939" s="68">
        <v>18710.25</v>
      </c>
      <c r="Q1939" s="68">
        <v>934.43</v>
      </c>
      <c r="R1939" s="62">
        <f t="shared" si="213"/>
        <v>4.9942144011972042E-2</v>
      </c>
      <c r="S1939" s="67">
        <v>25</v>
      </c>
      <c r="T1939" s="66">
        <v>45380</v>
      </c>
      <c r="U1939" s="66">
        <v>45381</v>
      </c>
      <c r="V1939" s="63">
        <f t="shared" si="214"/>
        <v>1</v>
      </c>
      <c r="W1939" s="65" t="s">
        <v>125</v>
      </c>
      <c r="X1939" s="64" t="b">
        <f t="shared" si="215"/>
        <v>0</v>
      </c>
      <c r="Y1939" s="67">
        <v>350</v>
      </c>
      <c r="Z1939" s="67">
        <v>474</v>
      </c>
      <c r="AA1939" s="65" t="s">
        <v>83</v>
      </c>
      <c r="AB1939" s="64" t="b">
        <f t="shared" si="216"/>
        <v>1</v>
      </c>
    </row>
    <row r="1940" spans="1:28" ht="15" customHeight="1" x14ac:dyDescent="0.3">
      <c r="A1940" s="57" t="s">
        <v>3991</v>
      </c>
      <c r="B1940" s="82">
        <v>45092</v>
      </c>
      <c r="C1940" s="59">
        <f t="shared" si="210"/>
        <v>2023</v>
      </c>
      <c r="D1940" s="59">
        <f t="shared" si="211"/>
        <v>6</v>
      </c>
      <c r="E1940" s="59">
        <f t="shared" si="212"/>
        <v>24</v>
      </c>
      <c r="F1940" s="57" t="s">
        <v>54</v>
      </c>
      <c r="G1940" s="57" t="s">
        <v>43</v>
      </c>
      <c r="H1940" s="57" t="s">
        <v>3992</v>
      </c>
      <c r="I1940" s="57" t="s">
        <v>65</v>
      </c>
      <c r="J1940" s="57" t="s">
        <v>151</v>
      </c>
      <c r="K1940" s="57" t="s">
        <v>71</v>
      </c>
      <c r="L1940" s="57" t="s">
        <v>119</v>
      </c>
      <c r="M1940" s="60">
        <v>979</v>
      </c>
      <c r="N1940" s="57" t="s">
        <v>136</v>
      </c>
      <c r="O1940" s="61">
        <v>281.19</v>
      </c>
      <c r="P1940" s="61">
        <v>275285.01</v>
      </c>
      <c r="Q1940" s="61">
        <v>20891.96</v>
      </c>
      <c r="R1940" s="62">
        <f t="shared" si="213"/>
        <v>7.5892109054539511E-2</v>
      </c>
      <c r="S1940" s="60">
        <v>24</v>
      </c>
      <c r="T1940" s="58">
        <v>45116</v>
      </c>
      <c r="U1940" s="58">
        <v>45116</v>
      </c>
      <c r="V1940" s="63">
        <f t="shared" si="214"/>
        <v>0</v>
      </c>
      <c r="W1940" s="57" t="s">
        <v>115</v>
      </c>
      <c r="X1940" s="64" t="b">
        <f t="shared" si="215"/>
        <v>1</v>
      </c>
      <c r="Y1940" s="60">
        <v>322</v>
      </c>
      <c r="Z1940" s="60">
        <v>294</v>
      </c>
      <c r="AA1940" s="57" t="s">
        <v>83</v>
      </c>
      <c r="AB1940" s="64" t="b">
        <f t="shared" si="216"/>
        <v>1</v>
      </c>
    </row>
    <row r="1941" spans="1:28" ht="15" customHeight="1" x14ac:dyDescent="0.3">
      <c r="A1941" s="65" t="s">
        <v>3993</v>
      </c>
      <c r="B1941" s="81">
        <v>45131</v>
      </c>
      <c r="C1941" s="59">
        <f t="shared" si="210"/>
        <v>2023</v>
      </c>
      <c r="D1941" s="59">
        <f t="shared" si="211"/>
        <v>7</v>
      </c>
      <c r="E1941" s="59">
        <f t="shared" si="212"/>
        <v>30</v>
      </c>
      <c r="F1941" s="65" t="s">
        <v>53</v>
      </c>
      <c r="G1941" s="65" t="s">
        <v>46</v>
      </c>
      <c r="H1941" s="65" t="s">
        <v>3994</v>
      </c>
      <c r="I1941" s="65" t="s">
        <v>66</v>
      </c>
      <c r="J1941" s="65" t="s">
        <v>112</v>
      </c>
      <c r="K1941" s="65" t="s">
        <v>75</v>
      </c>
      <c r="L1941" s="65" t="s">
        <v>156</v>
      </c>
      <c r="M1941" s="67">
        <v>822</v>
      </c>
      <c r="N1941" s="65" t="s">
        <v>132</v>
      </c>
      <c r="O1941" s="68">
        <v>51.77</v>
      </c>
      <c r="P1941" s="68">
        <v>42554.94</v>
      </c>
      <c r="Q1941" s="68">
        <v>2340.52</v>
      </c>
      <c r="R1941" s="62">
        <f t="shared" si="213"/>
        <v>5.4999960051641476E-2</v>
      </c>
      <c r="S1941" s="67">
        <v>4</v>
      </c>
      <c r="T1941" s="66">
        <v>45135</v>
      </c>
      <c r="U1941" s="66">
        <v>45135</v>
      </c>
      <c r="V1941" s="63">
        <f t="shared" si="214"/>
        <v>0</v>
      </c>
      <c r="W1941" s="65" t="s">
        <v>115</v>
      </c>
      <c r="X1941" s="64" t="b">
        <f t="shared" si="215"/>
        <v>1</v>
      </c>
      <c r="Y1941" s="67">
        <v>487</v>
      </c>
      <c r="Z1941" s="67">
        <v>332</v>
      </c>
      <c r="AA1941" s="65" t="s">
        <v>116</v>
      </c>
      <c r="AB1941" s="64" t="b">
        <f t="shared" si="216"/>
        <v>0</v>
      </c>
    </row>
    <row r="1942" spans="1:28" ht="15" customHeight="1" x14ac:dyDescent="0.3">
      <c r="A1942" s="57" t="s">
        <v>3995</v>
      </c>
      <c r="B1942" s="82">
        <v>45546</v>
      </c>
      <c r="C1942" s="59">
        <f t="shared" si="210"/>
        <v>2024</v>
      </c>
      <c r="D1942" s="59">
        <f t="shared" si="211"/>
        <v>9</v>
      </c>
      <c r="E1942" s="59">
        <f t="shared" si="212"/>
        <v>37</v>
      </c>
      <c r="F1942" s="57" t="s">
        <v>57</v>
      </c>
      <c r="G1942" s="57" t="s">
        <v>46</v>
      </c>
      <c r="H1942" s="57" t="s">
        <v>3996</v>
      </c>
      <c r="I1942" s="57" t="s">
        <v>67</v>
      </c>
      <c r="J1942" s="57" t="s">
        <v>143</v>
      </c>
      <c r="K1942" s="57" t="s">
        <v>73</v>
      </c>
      <c r="L1942" s="57" t="s">
        <v>113</v>
      </c>
      <c r="M1942" s="60">
        <v>379</v>
      </c>
      <c r="N1942" s="57" t="s">
        <v>140</v>
      </c>
      <c r="O1942" s="61">
        <v>83.92</v>
      </c>
      <c r="P1942" s="61">
        <v>31805.68</v>
      </c>
      <c r="Q1942" s="61">
        <v>1663.53</v>
      </c>
      <c r="R1942" s="62">
        <f t="shared" si="213"/>
        <v>5.2302921993807393E-2</v>
      </c>
      <c r="S1942" s="60">
        <v>12</v>
      </c>
      <c r="T1942" s="58">
        <v>45558</v>
      </c>
      <c r="U1942" s="58">
        <v>45560</v>
      </c>
      <c r="V1942" s="63">
        <f t="shared" si="214"/>
        <v>2</v>
      </c>
      <c r="W1942" s="57" t="s">
        <v>128</v>
      </c>
      <c r="X1942" s="64" t="b">
        <f t="shared" si="215"/>
        <v>0</v>
      </c>
      <c r="Y1942" s="60">
        <v>450</v>
      </c>
      <c r="Z1942" s="60">
        <v>426</v>
      </c>
      <c r="AA1942" s="57" t="s">
        <v>116</v>
      </c>
      <c r="AB1942" s="64" t="b">
        <f t="shared" si="216"/>
        <v>0</v>
      </c>
    </row>
    <row r="1943" spans="1:28" ht="15" customHeight="1" x14ac:dyDescent="0.3">
      <c r="A1943" s="65" t="s">
        <v>3997</v>
      </c>
      <c r="B1943" s="81">
        <v>45068</v>
      </c>
      <c r="C1943" s="59">
        <f t="shared" si="210"/>
        <v>2023</v>
      </c>
      <c r="D1943" s="59">
        <f t="shared" si="211"/>
        <v>5</v>
      </c>
      <c r="E1943" s="59">
        <f t="shared" si="212"/>
        <v>21</v>
      </c>
      <c r="F1943" s="65" t="s">
        <v>56</v>
      </c>
      <c r="G1943" s="65" t="s">
        <v>43</v>
      </c>
      <c r="H1943" s="65" t="s">
        <v>3998</v>
      </c>
      <c r="I1943" s="65" t="s">
        <v>64</v>
      </c>
      <c r="J1943" s="65" t="s">
        <v>131</v>
      </c>
      <c r="K1943" s="65" t="s">
        <v>71</v>
      </c>
      <c r="L1943" s="65" t="s">
        <v>124</v>
      </c>
      <c r="M1943" s="67">
        <v>184</v>
      </c>
      <c r="N1943" s="65" t="s">
        <v>132</v>
      </c>
      <c r="O1943" s="68">
        <v>149.56</v>
      </c>
      <c r="P1943" s="68">
        <v>27519.040000000001</v>
      </c>
      <c r="Q1943" s="68">
        <v>1300.8</v>
      </c>
      <c r="R1943" s="62">
        <f t="shared" si="213"/>
        <v>4.7269090782236588E-2</v>
      </c>
      <c r="S1943" s="67">
        <v>27</v>
      </c>
      <c r="T1943" s="66">
        <v>45095</v>
      </c>
      <c r="U1943" s="66">
        <v>45090</v>
      </c>
      <c r="V1943" s="63">
        <f t="shared" si="214"/>
        <v>-5</v>
      </c>
      <c r="W1943" s="65" t="s">
        <v>115</v>
      </c>
      <c r="X1943" s="64" t="b">
        <f t="shared" si="215"/>
        <v>1</v>
      </c>
      <c r="Y1943" s="67">
        <v>352</v>
      </c>
      <c r="Z1943" s="67">
        <v>359</v>
      </c>
      <c r="AA1943" s="65" t="s">
        <v>83</v>
      </c>
      <c r="AB1943" s="64" t="b">
        <f t="shared" si="216"/>
        <v>1</v>
      </c>
    </row>
    <row r="1944" spans="1:28" ht="15" customHeight="1" x14ac:dyDescent="0.3">
      <c r="A1944" s="57" t="s">
        <v>3999</v>
      </c>
      <c r="B1944" s="82">
        <v>45183</v>
      </c>
      <c r="C1944" s="59">
        <f t="shared" si="210"/>
        <v>2023</v>
      </c>
      <c r="D1944" s="59">
        <f t="shared" si="211"/>
        <v>9</v>
      </c>
      <c r="E1944" s="59">
        <f t="shared" si="212"/>
        <v>37</v>
      </c>
      <c r="F1944" s="57" t="s">
        <v>60</v>
      </c>
      <c r="G1944" s="57" t="s">
        <v>39</v>
      </c>
      <c r="H1944" s="57" t="s">
        <v>4000</v>
      </c>
      <c r="I1944" s="57" t="s">
        <v>65</v>
      </c>
      <c r="J1944" s="57" t="s">
        <v>139</v>
      </c>
      <c r="K1944" s="57" t="s">
        <v>75</v>
      </c>
      <c r="L1944" s="57" t="s">
        <v>124</v>
      </c>
      <c r="M1944" s="60">
        <v>840</v>
      </c>
      <c r="N1944" s="57" t="s">
        <v>132</v>
      </c>
      <c r="O1944" s="61">
        <v>2116.3200000000002</v>
      </c>
      <c r="P1944" s="61">
        <v>1639255.3774000001</v>
      </c>
      <c r="Q1944" s="61">
        <v>57877.34</v>
      </c>
      <c r="R1944" s="62">
        <f t="shared" si="213"/>
        <v>3.5307091742958582E-2</v>
      </c>
      <c r="S1944" s="60">
        <v>26</v>
      </c>
      <c r="T1944" s="58">
        <v>45209</v>
      </c>
      <c r="U1944" s="58">
        <v>45204</v>
      </c>
      <c r="V1944" s="63">
        <f t="shared" si="214"/>
        <v>-5</v>
      </c>
      <c r="W1944" s="57" t="s">
        <v>125</v>
      </c>
      <c r="X1944" s="64" t="b">
        <f t="shared" si="215"/>
        <v>0</v>
      </c>
      <c r="Y1944" s="60">
        <v>115</v>
      </c>
      <c r="Z1944" s="60">
        <v>90</v>
      </c>
      <c r="AA1944" s="57" t="s">
        <v>84</v>
      </c>
      <c r="AB1944" s="64" t="b">
        <f t="shared" si="216"/>
        <v>1</v>
      </c>
    </row>
    <row r="1945" spans="1:28" ht="15" customHeight="1" x14ac:dyDescent="0.3">
      <c r="A1945" s="65" t="s">
        <v>4001</v>
      </c>
      <c r="B1945" s="81">
        <v>44980</v>
      </c>
      <c r="C1945" s="59">
        <f t="shared" si="210"/>
        <v>2023</v>
      </c>
      <c r="D1945" s="59">
        <f t="shared" si="211"/>
        <v>2</v>
      </c>
      <c r="E1945" s="59">
        <f t="shared" si="212"/>
        <v>8</v>
      </c>
      <c r="F1945" s="65" t="s">
        <v>53</v>
      </c>
      <c r="G1945" s="65" t="s">
        <v>40</v>
      </c>
      <c r="H1945" s="65" t="s">
        <v>4002</v>
      </c>
      <c r="I1945" s="65" t="s">
        <v>67</v>
      </c>
      <c r="J1945" s="65" t="s">
        <v>143</v>
      </c>
      <c r="K1945" s="65" t="s">
        <v>75</v>
      </c>
      <c r="L1945" s="65" t="s">
        <v>119</v>
      </c>
      <c r="M1945" s="67">
        <v>597</v>
      </c>
      <c r="N1945" s="65" t="s">
        <v>114</v>
      </c>
      <c r="O1945" s="68">
        <v>770.61</v>
      </c>
      <c r="P1945" s="68">
        <v>460054.17</v>
      </c>
      <c r="Q1945" s="68">
        <v>9303.76</v>
      </c>
      <c r="R1945" s="62">
        <f t="shared" si="213"/>
        <v>2.0223183717691332E-2</v>
      </c>
      <c r="S1945" s="67">
        <v>5</v>
      </c>
      <c r="T1945" s="66">
        <v>44985</v>
      </c>
      <c r="U1945" s="66">
        <v>44985</v>
      </c>
      <c r="V1945" s="63">
        <f t="shared" si="214"/>
        <v>0</v>
      </c>
      <c r="W1945" s="65" t="s">
        <v>115</v>
      </c>
      <c r="X1945" s="64" t="b">
        <f t="shared" si="215"/>
        <v>1</v>
      </c>
      <c r="Y1945" s="67">
        <v>442</v>
      </c>
      <c r="Z1945" s="67">
        <v>114</v>
      </c>
      <c r="AA1945" s="65" t="s">
        <v>81</v>
      </c>
      <c r="AB1945" s="64" t="b">
        <f t="shared" si="216"/>
        <v>1</v>
      </c>
    </row>
    <row r="1946" spans="1:28" ht="15" customHeight="1" x14ac:dyDescent="0.3">
      <c r="A1946" s="57" t="s">
        <v>4003</v>
      </c>
      <c r="B1946" s="82">
        <v>45583</v>
      </c>
      <c r="C1946" s="59">
        <f t="shared" si="210"/>
        <v>2024</v>
      </c>
      <c r="D1946" s="59">
        <f t="shared" si="211"/>
        <v>10</v>
      </c>
      <c r="E1946" s="59">
        <f t="shared" si="212"/>
        <v>42</v>
      </c>
      <c r="F1946" s="57" t="s">
        <v>53</v>
      </c>
      <c r="G1946" s="57" t="s">
        <v>43</v>
      </c>
      <c r="H1946" s="57" t="s">
        <v>4004</v>
      </c>
      <c r="I1946" s="57" t="s">
        <v>67</v>
      </c>
      <c r="J1946" s="57" t="s">
        <v>151</v>
      </c>
      <c r="K1946" s="57" t="s">
        <v>75</v>
      </c>
      <c r="L1946" s="57" t="s">
        <v>113</v>
      </c>
      <c r="M1946" s="60">
        <v>504</v>
      </c>
      <c r="N1946" s="57" t="s">
        <v>140</v>
      </c>
      <c r="O1946" s="61">
        <v>190.33</v>
      </c>
      <c r="P1946" s="61">
        <v>95926.32</v>
      </c>
      <c r="Q1946" s="61">
        <v>3308.53</v>
      </c>
      <c r="R1946" s="62">
        <f t="shared" si="213"/>
        <v>3.4490325491481379E-2</v>
      </c>
      <c r="S1946" s="60">
        <v>29</v>
      </c>
      <c r="T1946" s="58">
        <v>45612</v>
      </c>
      <c r="U1946" s="58">
        <v>45611</v>
      </c>
      <c r="V1946" s="63">
        <f t="shared" si="214"/>
        <v>-1</v>
      </c>
      <c r="W1946" s="57" t="s">
        <v>115</v>
      </c>
      <c r="X1946" s="64" t="b">
        <f t="shared" si="215"/>
        <v>1</v>
      </c>
      <c r="Y1946" s="60">
        <v>12</v>
      </c>
      <c r="Z1946" s="60">
        <v>158</v>
      </c>
      <c r="AA1946" s="57" t="s">
        <v>82</v>
      </c>
      <c r="AB1946" s="64" t="b">
        <f t="shared" si="216"/>
        <v>1</v>
      </c>
    </row>
    <row r="1947" spans="1:28" ht="15" customHeight="1" x14ac:dyDescent="0.3">
      <c r="A1947" s="65" t="s">
        <v>4005</v>
      </c>
      <c r="B1947" s="81">
        <v>45419</v>
      </c>
      <c r="C1947" s="59">
        <f t="shared" si="210"/>
        <v>2024</v>
      </c>
      <c r="D1947" s="59">
        <f t="shared" si="211"/>
        <v>5</v>
      </c>
      <c r="E1947" s="59">
        <f t="shared" si="212"/>
        <v>19</v>
      </c>
      <c r="F1947" s="65" t="s">
        <v>58</v>
      </c>
      <c r="G1947" s="65" t="s">
        <v>45</v>
      </c>
      <c r="H1947" s="65" t="s">
        <v>4006</v>
      </c>
      <c r="I1947" s="65" t="s">
        <v>68</v>
      </c>
      <c r="J1947" s="65" t="s">
        <v>151</v>
      </c>
      <c r="K1947" s="65" t="s">
        <v>71</v>
      </c>
      <c r="L1947" s="65" t="s">
        <v>119</v>
      </c>
      <c r="M1947" s="67">
        <v>982</v>
      </c>
      <c r="N1947" s="65" t="s">
        <v>114</v>
      </c>
      <c r="O1947" s="68">
        <v>221.93</v>
      </c>
      <c r="P1947" s="68">
        <v>217935.26</v>
      </c>
      <c r="Q1947" s="68">
        <v>11023.9</v>
      </c>
      <c r="R1947" s="62">
        <f t="shared" si="213"/>
        <v>5.0583370492686679E-2</v>
      </c>
      <c r="S1947" s="67">
        <v>5</v>
      </c>
      <c r="T1947" s="66">
        <v>45424</v>
      </c>
      <c r="U1947" s="66">
        <v>45429</v>
      </c>
      <c r="V1947" s="63">
        <f t="shared" si="214"/>
        <v>5</v>
      </c>
      <c r="W1947" s="65" t="s">
        <v>125</v>
      </c>
      <c r="X1947" s="64" t="b">
        <f t="shared" si="215"/>
        <v>0</v>
      </c>
      <c r="Y1947" s="67">
        <v>404</v>
      </c>
      <c r="Z1947" s="67">
        <v>257</v>
      </c>
      <c r="AA1947" s="65" t="s">
        <v>83</v>
      </c>
      <c r="AB1947" s="64" t="b">
        <f t="shared" si="216"/>
        <v>1</v>
      </c>
    </row>
    <row r="1948" spans="1:28" ht="15" customHeight="1" x14ac:dyDescent="0.3">
      <c r="A1948" s="57" t="s">
        <v>4007</v>
      </c>
      <c r="B1948" s="82">
        <v>45307</v>
      </c>
      <c r="C1948" s="59">
        <f t="shared" si="210"/>
        <v>2024</v>
      </c>
      <c r="D1948" s="59">
        <f t="shared" si="211"/>
        <v>1</v>
      </c>
      <c r="E1948" s="59">
        <f t="shared" si="212"/>
        <v>3</v>
      </c>
      <c r="F1948" s="57" t="s">
        <v>52</v>
      </c>
      <c r="G1948" s="57" t="s">
        <v>39</v>
      </c>
      <c r="H1948" s="57" t="s">
        <v>4008</v>
      </c>
      <c r="I1948" s="57" t="s">
        <v>68</v>
      </c>
      <c r="J1948" s="57" t="s">
        <v>112</v>
      </c>
      <c r="K1948" s="57" t="s">
        <v>73</v>
      </c>
      <c r="L1948" s="57" t="s">
        <v>113</v>
      </c>
      <c r="M1948" s="60">
        <v>123</v>
      </c>
      <c r="N1948" s="57" t="s">
        <v>114</v>
      </c>
      <c r="O1948" s="61">
        <v>2178.83</v>
      </c>
      <c r="P1948" s="61">
        <v>267996.09000000003</v>
      </c>
      <c r="Q1948" s="61">
        <v>11469.59</v>
      </c>
      <c r="R1948" s="62">
        <f t="shared" si="213"/>
        <v>4.2797602009790513E-2</v>
      </c>
      <c r="S1948" s="60">
        <v>11</v>
      </c>
      <c r="T1948" s="58">
        <v>45318</v>
      </c>
      <c r="U1948" s="58">
        <v>45330</v>
      </c>
      <c r="V1948" s="63">
        <f t="shared" si="214"/>
        <v>12</v>
      </c>
      <c r="W1948" s="57" t="s">
        <v>125</v>
      </c>
      <c r="X1948" s="64" t="b">
        <f t="shared" si="215"/>
        <v>0</v>
      </c>
      <c r="Y1948" s="60">
        <v>319</v>
      </c>
      <c r="Z1948" s="60">
        <v>372</v>
      </c>
      <c r="AA1948" s="57" t="s">
        <v>81</v>
      </c>
      <c r="AB1948" s="64" t="b">
        <f t="shared" si="216"/>
        <v>1</v>
      </c>
    </row>
    <row r="1949" spans="1:28" ht="15" customHeight="1" x14ac:dyDescent="0.3">
      <c r="A1949" s="65" t="s">
        <v>4009</v>
      </c>
      <c r="B1949" s="81">
        <v>45494</v>
      </c>
      <c r="C1949" s="59">
        <f t="shared" si="210"/>
        <v>2024</v>
      </c>
      <c r="D1949" s="59">
        <f t="shared" si="211"/>
        <v>7</v>
      </c>
      <c r="E1949" s="59">
        <f t="shared" si="212"/>
        <v>30</v>
      </c>
      <c r="F1949" s="65" t="s">
        <v>56</v>
      </c>
      <c r="G1949" s="65" t="s">
        <v>42</v>
      </c>
      <c r="H1949" s="65" t="s">
        <v>4010</v>
      </c>
      <c r="I1949" s="65" t="s">
        <v>64</v>
      </c>
      <c r="J1949" s="65" t="s">
        <v>112</v>
      </c>
      <c r="K1949" s="65" t="s">
        <v>72</v>
      </c>
      <c r="L1949" s="65" t="s">
        <v>156</v>
      </c>
      <c r="M1949" s="67">
        <v>120</v>
      </c>
      <c r="N1949" s="65" t="s">
        <v>114</v>
      </c>
      <c r="O1949" s="68">
        <v>59.06</v>
      </c>
      <c r="P1949" s="68">
        <v>7087.2</v>
      </c>
      <c r="Q1949" s="68">
        <v>332.45</v>
      </c>
      <c r="R1949" s="62">
        <f t="shared" si="213"/>
        <v>4.6908511118636413E-2</v>
      </c>
      <c r="S1949" s="67">
        <v>28</v>
      </c>
      <c r="T1949" s="66">
        <v>45522</v>
      </c>
      <c r="U1949" s="66">
        <v>45519</v>
      </c>
      <c r="V1949" s="63">
        <f t="shared" si="214"/>
        <v>-3</v>
      </c>
      <c r="W1949" s="65" t="s">
        <v>115</v>
      </c>
      <c r="X1949" s="64" t="b">
        <f t="shared" si="215"/>
        <v>1</v>
      </c>
      <c r="Y1949" s="67">
        <v>164</v>
      </c>
      <c r="Z1949" s="67">
        <v>337</v>
      </c>
      <c r="AA1949" s="65" t="s">
        <v>81</v>
      </c>
      <c r="AB1949" s="64" t="b">
        <f t="shared" si="216"/>
        <v>1</v>
      </c>
    </row>
    <row r="1950" spans="1:28" ht="15" customHeight="1" x14ac:dyDescent="0.3">
      <c r="A1950" s="57" t="s">
        <v>4011</v>
      </c>
      <c r="B1950" s="82">
        <v>45032</v>
      </c>
      <c r="C1950" s="59">
        <f t="shared" si="210"/>
        <v>2023</v>
      </c>
      <c r="D1950" s="59">
        <f t="shared" si="211"/>
        <v>4</v>
      </c>
      <c r="E1950" s="59">
        <f t="shared" si="212"/>
        <v>16</v>
      </c>
      <c r="F1950" s="57" t="s">
        <v>56</v>
      </c>
      <c r="G1950" s="57" t="s">
        <v>43</v>
      </c>
      <c r="H1950" s="57" t="s">
        <v>4012</v>
      </c>
      <c r="I1950" s="57" t="s">
        <v>65</v>
      </c>
      <c r="J1950" s="57" t="s">
        <v>143</v>
      </c>
      <c r="K1950" s="57" t="s">
        <v>75</v>
      </c>
      <c r="L1950" s="57" t="s">
        <v>146</v>
      </c>
      <c r="M1950" s="60">
        <v>770</v>
      </c>
      <c r="N1950" s="57" t="s">
        <v>120</v>
      </c>
      <c r="O1950" s="61">
        <v>196.36</v>
      </c>
      <c r="P1950" s="61">
        <v>151197.20000000001</v>
      </c>
      <c r="Q1950" s="61">
        <v>11920.22</v>
      </c>
      <c r="R1950" s="62">
        <f t="shared" si="213"/>
        <v>7.8838893841949448E-2</v>
      </c>
      <c r="S1950" s="60">
        <v>6</v>
      </c>
      <c r="T1950" s="58">
        <v>45038</v>
      </c>
      <c r="U1950" s="58">
        <v>45050</v>
      </c>
      <c r="V1950" s="63">
        <f t="shared" si="214"/>
        <v>12</v>
      </c>
      <c r="W1950" s="57" t="s">
        <v>125</v>
      </c>
      <c r="X1950" s="64" t="b">
        <f t="shared" si="215"/>
        <v>0</v>
      </c>
      <c r="Y1950" s="60">
        <v>207</v>
      </c>
      <c r="Z1950" s="60">
        <v>89</v>
      </c>
      <c r="AA1950" s="57" t="s">
        <v>116</v>
      </c>
      <c r="AB1950" s="64" t="b">
        <f t="shared" si="216"/>
        <v>0</v>
      </c>
    </row>
    <row r="1951" spans="1:28" ht="15" customHeight="1" x14ac:dyDescent="0.3">
      <c r="A1951" s="65" t="s">
        <v>4013</v>
      </c>
      <c r="B1951" s="81">
        <v>45655</v>
      </c>
      <c r="C1951" s="59">
        <f t="shared" si="210"/>
        <v>2024</v>
      </c>
      <c r="D1951" s="59">
        <f t="shared" si="211"/>
        <v>12</v>
      </c>
      <c r="E1951" s="59">
        <f t="shared" si="212"/>
        <v>53</v>
      </c>
      <c r="F1951" s="65" t="s">
        <v>58</v>
      </c>
      <c r="G1951" s="65" t="s">
        <v>39</v>
      </c>
      <c r="H1951" s="65" t="s">
        <v>4014</v>
      </c>
      <c r="I1951" s="65" t="s">
        <v>66</v>
      </c>
      <c r="J1951" s="65" t="s">
        <v>123</v>
      </c>
      <c r="K1951" s="65" t="s">
        <v>72</v>
      </c>
      <c r="L1951" s="65" t="s">
        <v>113</v>
      </c>
      <c r="M1951" s="67">
        <v>448</v>
      </c>
      <c r="N1951" s="65" t="s">
        <v>132</v>
      </c>
      <c r="O1951" s="68">
        <v>2077.89</v>
      </c>
      <c r="P1951" s="68">
        <v>930894.72</v>
      </c>
      <c r="Q1951" s="68">
        <v>38181.9</v>
      </c>
      <c r="R1951" s="62">
        <f t="shared" si="213"/>
        <v>4.1016346080467621E-2</v>
      </c>
      <c r="S1951" s="67">
        <v>7</v>
      </c>
      <c r="T1951" s="66">
        <v>45662</v>
      </c>
      <c r="U1951" s="66">
        <v>45661</v>
      </c>
      <c r="V1951" s="63">
        <f t="shared" si="214"/>
        <v>-1</v>
      </c>
      <c r="W1951" s="65" t="s">
        <v>115</v>
      </c>
      <c r="X1951" s="64" t="b">
        <f t="shared" si="215"/>
        <v>1</v>
      </c>
      <c r="Y1951" s="67">
        <v>84</v>
      </c>
      <c r="Z1951" s="67">
        <v>244</v>
      </c>
      <c r="AA1951" s="65" t="s">
        <v>82</v>
      </c>
      <c r="AB1951" s="64" t="b">
        <f t="shared" si="216"/>
        <v>1</v>
      </c>
    </row>
    <row r="1952" spans="1:28" ht="15" customHeight="1" x14ac:dyDescent="0.3">
      <c r="A1952" s="57" t="s">
        <v>4015</v>
      </c>
      <c r="B1952" s="82">
        <v>45455</v>
      </c>
      <c r="C1952" s="59">
        <f t="shared" si="210"/>
        <v>2024</v>
      </c>
      <c r="D1952" s="59">
        <f t="shared" si="211"/>
        <v>6</v>
      </c>
      <c r="E1952" s="59">
        <f t="shared" si="212"/>
        <v>24</v>
      </c>
      <c r="F1952" s="57" t="s">
        <v>55</v>
      </c>
      <c r="G1952" s="57" t="s">
        <v>43</v>
      </c>
      <c r="H1952" s="57" t="s">
        <v>4016</v>
      </c>
      <c r="I1952" s="57" t="s">
        <v>64</v>
      </c>
      <c r="J1952" s="57" t="s">
        <v>123</v>
      </c>
      <c r="K1952" s="57" t="s">
        <v>72</v>
      </c>
      <c r="L1952" s="57" t="s">
        <v>146</v>
      </c>
      <c r="M1952" s="60">
        <v>724</v>
      </c>
      <c r="N1952" s="57" t="s">
        <v>132</v>
      </c>
      <c r="O1952" s="61">
        <v>203.37</v>
      </c>
      <c r="P1952" s="61">
        <v>147239.88</v>
      </c>
      <c r="Q1952" s="61">
        <v>6939.56</v>
      </c>
      <c r="R1952" s="62">
        <f t="shared" si="213"/>
        <v>4.7130981090177472E-2</v>
      </c>
      <c r="S1952" s="60">
        <v>24</v>
      </c>
      <c r="T1952" s="58">
        <v>45479</v>
      </c>
      <c r="U1952" s="58">
        <v>45487</v>
      </c>
      <c r="V1952" s="63">
        <f t="shared" si="214"/>
        <v>8</v>
      </c>
      <c r="W1952" s="57" t="s">
        <v>128</v>
      </c>
      <c r="X1952" s="64" t="b">
        <f t="shared" si="215"/>
        <v>0</v>
      </c>
      <c r="Y1952" s="60">
        <v>247</v>
      </c>
      <c r="Z1952" s="60">
        <v>297</v>
      </c>
      <c r="AA1952" s="57" t="s">
        <v>116</v>
      </c>
      <c r="AB1952" s="64" t="b">
        <f t="shared" si="216"/>
        <v>0</v>
      </c>
    </row>
    <row r="1953" spans="1:28" ht="15" customHeight="1" x14ac:dyDescent="0.3">
      <c r="A1953" s="65" t="s">
        <v>4017</v>
      </c>
      <c r="B1953" s="81">
        <v>45054</v>
      </c>
      <c r="C1953" s="59">
        <f t="shared" si="210"/>
        <v>2023</v>
      </c>
      <c r="D1953" s="59">
        <f t="shared" si="211"/>
        <v>5</v>
      </c>
      <c r="E1953" s="59">
        <f t="shared" si="212"/>
        <v>19</v>
      </c>
      <c r="F1953" s="65" t="s">
        <v>58</v>
      </c>
      <c r="G1953" s="65" t="s">
        <v>43</v>
      </c>
      <c r="H1953" s="65" t="s">
        <v>4018</v>
      </c>
      <c r="I1953" s="65" t="s">
        <v>67</v>
      </c>
      <c r="J1953" s="65" t="s">
        <v>112</v>
      </c>
      <c r="K1953" s="65" t="s">
        <v>74</v>
      </c>
      <c r="L1953" s="65" t="s">
        <v>113</v>
      </c>
      <c r="M1953" s="67">
        <v>156</v>
      </c>
      <c r="N1953" s="65" t="s">
        <v>132</v>
      </c>
      <c r="O1953" s="68">
        <v>171.87</v>
      </c>
      <c r="P1953" s="68">
        <v>26811.72</v>
      </c>
      <c r="Q1953" s="68">
        <v>751.02</v>
      </c>
      <c r="R1953" s="62">
        <f t="shared" si="213"/>
        <v>2.8010884792172973E-2</v>
      </c>
      <c r="S1953" s="67">
        <v>14</v>
      </c>
      <c r="T1953" s="66">
        <v>45068</v>
      </c>
      <c r="U1953" s="66">
        <v>45076</v>
      </c>
      <c r="V1953" s="63">
        <f t="shared" si="214"/>
        <v>8</v>
      </c>
      <c r="W1953" s="65" t="s">
        <v>125</v>
      </c>
      <c r="X1953" s="64" t="b">
        <f t="shared" si="215"/>
        <v>0</v>
      </c>
      <c r="Y1953" s="67">
        <v>431</v>
      </c>
      <c r="Z1953" s="67">
        <v>30</v>
      </c>
      <c r="AA1953" s="65" t="s">
        <v>116</v>
      </c>
      <c r="AB1953" s="64" t="b">
        <f t="shared" si="216"/>
        <v>0</v>
      </c>
    </row>
    <row r="1954" spans="1:28" ht="15" customHeight="1" x14ac:dyDescent="0.3">
      <c r="A1954" s="57" t="s">
        <v>4019</v>
      </c>
      <c r="B1954" s="82">
        <v>45218</v>
      </c>
      <c r="C1954" s="59">
        <f t="shared" si="210"/>
        <v>2023</v>
      </c>
      <c r="D1954" s="59">
        <f t="shared" si="211"/>
        <v>10</v>
      </c>
      <c r="E1954" s="59">
        <f t="shared" si="212"/>
        <v>42</v>
      </c>
      <c r="F1954" s="57" t="s">
        <v>57</v>
      </c>
      <c r="G1954" s="57" t="s">
        <v>40</v>
      </c>
      <c r="H1954" s="57" t="s">
        <v>4020</v>
      </c>
      <c r="I1954" s="57" t="s">
        <v>67</v>
      </c>
      <c r="J1954" s="57" t="s">
        <v>123</v>
      </c>
      <c r="K1954" s="57" t="s">
        <v>72</v>
      </c>
      <c r="L1954" s="57" t="s">
        <v>156</v>
      </c>
      <c r="M1954" s="60">
        <v>44</v>
      </c>
      <c r="N1954" s="57" t="s">
        <v>120</v>
      </c>
      <c r="O1954" s="61">
        <v>831.87</v>
      </c>
      <c r="P1954" s="61">
        <v>36602.28</v>
      </c>
      <c r="Q1954" s="61">
        <v>837.37</v>
      </c>
      <c r="R1954" s="62">
        <f t="shared" si="213"/>
        <v>2.2877536590616761E-2</v>
      </c>
      <c r="S1954" s="60">
        <v>24</v>
      </c>
      <c r="T1954" s="58">
        <v>45242</v>
      </c>
      <c r="U1954" s="58">
        <v>45250</v>
      </c>
      <c r="V1954" s="63">
        <f t="shared" si="214"/>
        <v>8</v>
      </c>
      <c r="W1954" s="57" t="s">
        <v>128</v>
      </c>
      <c r="X1954" s="64" t="b">
        <f t="shared" si="215"/>
        <v>0</v>
      </c>
      <c r="Y1954" s="60">
        <v>55</v>
      </c>
      <c r="Z1954" s="60">
        <v>316</v>
      </c>
      <c r="AA1954" s="57" t="s">
        <v>116</v>
      </c>
      <c r="AB1954" s="64" t="b">
        <f t="shared" si="216"/>
        <v>0</v>
      </c>
    </row>
    <row r="1955" spans="1:28" ht="15" customHeight="1" x14ac:dyDescent="0.3">
      <c r="A1955" s="65" t="s">
        <v>4021</v>
      </c>
      <c r="B1955" s="81">
        <v>45012</v>
      </c>
      <c r="C1955" s="59">
        <f t="shared" si="210"/>
        <v>2023</v>
      </c>
      <c r="D1955" s="59">
        <f t="shared" si="211"/>
        <v>3</v>
      </c>
      <c r="E1955" s="59">
        <f t="shared" si="212"/>
        <v>13</v>
      </c>
      <c r="F1955" s="65" t="s">
        <v>61</v>
      </c>
      <c r="G1955" s="65" t="s">
        <v>40</v>
      </c>
      <c r="H1955" s="65" t="s">
        <v>3236</v>
      </c>
      <c r="I1955" s="65" t="s">
        <v>69</v>
      </c>
      <c r="J1955" s="65" t="s">
        <v>131</v>
      </c>
      <c r="K1955" s="65" t="s">
        <v>74</v>
      </c>
      <c r="L1955" s="65" t="s">
        <v>124</v>
      </c>
      <c r="M1955" s="67">
        <v>318</v>
      </c>
      <c r="N1955" s="65" t="s">
        <v>163</v>
      </c>
      <c r="O1955" s="68">
        <v>806.75</v>
      </c>
      <c r="P1955" s="68">
        <v>256546.5</v>
      </c>
      <c r="Q1955" s="68">
        <v>17066.650000000001</v>
      </c>
      <c r="R1955" s="62">
        <f t="shared" si="213"/>
        <v>6.6524587160612214E-2</v>
      </c>
      <c r="S1955" s="67">
        <v>11</v>
      </c>
      <c r="T1955" s="66">
        <v>45023</v>
      </c>
      <c r="U1955" s="66">
        <v>45018</v>
      </c>
      <c r="V1955" s="63">
        <f t="shared" si="214"/>
        <v>-5</v>
      </c>
      <c r="W1955" s="65" t="s">
        <v>115</v>
      </c>
      <c r="X1955" s="64" t="b">
        <f t="shared" si="215"/>
        <v>1</v>
      </c>
      <c r="Y1955" s="67">
        <v>171</v>
      </c>
      <c r="Z1955" s="67">
        <v>357</v>
      </c>
      <c r="AA1955" s="65" t="s">
        <v>116</v>
      </c>
      <c r="AB1955" s="64" t="b">
        <f t="shared" si="216"/>
        <v>0</v>
      </c>
    </row>
    <row r="1956" spans="1:28" ht="15" customHeight="1" x14ac:dyDescent="0.3">
      <c r="A1956" s="57" t="s">
        <v>4022</v>
      </c>
      <c r="B1956" s="82">
        <v>45091</v>
      </c>
      <c r="C1956" s="59">
        <f t="shared" si="210"/>
        <v>2023</v>
      </c>
      <c r="D1956" s="59">
        <f t="shared" si="211"/>
        <v>6</v>
      </c>
      <c r="E1956" s="59">
        <f t="shared" si="212"/>
        <v>24</v>
      </c>
      <c r="F1956" s="57" t="s">
        <v>57</v>
      </c>
      <c r="G1956" s="57" t="s">
        <v>45</v>
      </c>
      <c r="H1956" s="57" t="s">
        <v>4023</v>
      </c>
      <c r="I1956" s="57" t="s">
        <v>65</v>
      </c>
      <c r="J1956" s="57" t="s">
        <v>143</v>
      </c>
      <c r="K1956" s="57" t="s">
        <v>73</v>
      </c>
      <c r="L1956" s="57" t="s">
        <v>146</v>
      </c>
      <c r="M1956" s="60">
        <v>547</v>
      </c>
      <c r="N1956" s="57" t="s">
        <v>136</v>
      </c>
      <c r="O1956" s="61">
        <v>286.47000000000003</v>
      </c>
      <c r="P1956" s="61">
        <v>156699.09</v>
      </c>
      <c r="Q1956" s="61">
        <v>8499.51</v>
      </c>
      <c r="R1956" s="62">
        <f t="shared" si="213"/>
        <v>5.4240965917542981E-2</v>
      </c>
      <c r="S1956" s="60">
        <v>13</v>
      </c>
      <c r="T1956" s="58">
        <v>45104</v>
      </c>
      <c r="U1956" s="58">
        <v>45099</v>
      </c>
      <c r="V1956" s="63">
        <f t="shared" si="214"/>
        <v>-5</v>
      </c>
      <c r="W1956" s="57" t="s">
        <v>115</v>
      </c>
      <c r="X1956" s="64" t="b">
        <f t="shared" si="215"/>
        <v>1</v>
      </c>
      <c r="Y1956" s="60">
        <v>140</v>
      </c>
      <c r="Z1956" s="60">
        <v>311</v>
      </c>
      <c r="AA1956" s="57" t="s">
        <v>116</v>
      </c>
      <c r="AB1956" s="64" t="b">
        <f t="shared" si="216"/>
        <v>0</v>
      </c>
    </row>
    <row r="1957" spans="1:28" ht="15" customHeight="1" x14ac:dyDescent="0.3">
      <c r="A1957" s="65" t="s">
        <v>4024</v>
      </c>
      <c r="B1957" s="81">
        <v>45206</v>
      </c>
      <c r="C1957" s="59">
        <f t="shared" si="210"/>
        <v>2023</v>
      </c>
      <c r="D1957" s="59">
        <f t="shared" si="211"/>
        <v>10</v>
      </c>
      <c r="E1957" s="59">
        <f t="shared" si="212"/>
        <v>40</v>
      </c>
      <c r="F1957" s="65" t="s">
        <v>58</v>
      </c>
      <c r="G1957" s="65" t="s">
        <v>39</v>
      </c>
      <c r="H1957" s="65" t="s">
        <v>4025</v>
      </c>
      <c r="I1957" s="65" t="s">
        <v>69</v>
      </c>
      <c r="J1957" s="65" t="s">
        <v>131</v>
      </c>
      <c r="K1957" s="65" t="s">
        <v>73</v>
      </c>
      <c r="L1957" s="65" t="s">
        <v>119</v>
      </c>
      <c r="M1957" s="67">
        <v>759</v>
      </c>
      <c r="N1957" s="65" t="s">
        <v>136</v>
      </c>
      <c r="O1957" s="68">
        <v>1964.32</v>
      </c>
      <c r="P1957" s="68">
        <v>1490918.88</v>
      </c>
      <c r="Q1957" s="68">
        <v>96548.6302</v>
      </c>
      <c r="R1957" s="62">
        <f t="shared" si="213"/>
        <v>6.4757802382917048E-2</v>
      </c>
      <c r="S1957" s="67">
        <v>2</v>
      </c>
      <c r="T1957" s="66">
        <v>45208</v>
      </c>
      <c r="U1957" s="66">
        <v>45208</v>
      </c>
      <c r="V1957" s="63">
        <f t="shared" si="214"/>
        <v>0</v>
      </c>
      <c r="W1957" s="65" t="s">
        <v>115</v>
      </c>
      <c r="X1957" s="64" t="b">
        <f t="shared" si="215"/>
        <v>1</v>
      </c>
      <c r="Y1957" s="67">
        <v>131</v>
      </c>
      <c r="Z1957" s="67">
        <v>469</v>
      </c>
      <c r="AA1957" s="65" t="s">
        <v>116</v>
      </c>
      <c r="AB1957" s="64" t="b">
        <f t="shared" si="216"/>
        <v>0</v>
      </c>
    </row>
    <row r="1958" spans="1:28" ht="15" customHeight="1" x14ac:dyDescent="0.3">
      <c r="A1958" s="57" t="s">
        <v>4026</v>
      </c>
      <c r="B1958" s="82">
        <v>45387</v>
      </c>
      <c r="C1958" s="59">
        <f t="shared" si="210"/>
        <v>2024</v>
      </c>
      <c r="D1958" s="59">
        <f t="shared" si="211"/>
        <v>4</v>
      </c>
      <c r="E1958" s="59">
        <f t="shared" si="212"/>
        <v>14</v>
      </c>
      <c r="F1958" s="57" t="s">
        <v>54</v>
      </c>
      <c r="G1958" s="57" t="s">
        <v>39</v>
      </c>
      <c r="H1958" s="57" t="s">
        <v>4027</v>
      </c>
      <c r="I1958" s="57" t="s">
        <v>68</v>
      </c>
      <c r="J1958" s="57" t="s">
        <v>123</v>
      </c>
      <c r="K1958" s="57" t="s">
        <v>74</v>
      </c>
      <c r="L1958" s="57" t="s">
        <v>113</v>
      </c>
      <c r="M1958" s="60">
        <v>23</v>
      </c>
      <c r="N1958" s="57" t="s">
        <v>120</v>
      </c>
      <c r="O1958" s="61">
        <v>1656.14</v>
      </c>
      <c r="P1958" s="61">
        <v>38091.22</v>
      </c>
      <c r="Q1958" s="61">
        <v>1104.33</v>
      </c>
      <c r="R1958" s="62">
        <f t="shared" si="213"/>
        <v>2.8991720401709369E-2</v>
      </c>
      <c r="S1958" s="60">
        <v>25</v>
      </c>
      <c r="T1958" s="58">
        <v>45412</v>
      </c>
      <c r="U1958" s="58">
        <v>45412</v>
      </c>
      <c r="V1958" s="63">
        <f t="shared" si="214"/>
        <v>0</v>
      </c>
      <c r="W1958" s="57" t="s">
        <v>115</v>
      </c>
      <c r="X1958" s="64" t="b">
        <f t="shared" si="215"/>
        <v>1</v>
      </c>
      <c r="Y1958" s="60">
        <v>478</v>
      </c>
      <c r="Z1958" s="60">
        <v>227</v>
      </c>
      <c r="AA1958" s="57" t="s">
        <v>82</v>
      </c>
      <c r="AB1958" s="64" t="b">
        <f t="shared" si="216"/>
        <v>1</v>
      </c>
    </row>
    <row r="1959" spans="1:28" ht="15" customHeight="1" x14ac:dyDescent="0.3">
      <c r="A1959" s="65" t="s">
        <v>4028</v>
      </c>
      <c r="B1959" s="81">
        <v>45452</v>
      </c>
      <c r="C1959" s="59">
        <f t="shared" si="210"/>
        <v>2024</v>
      </c>
      <c r="D1959" s="59">
        <f t="shared" si="211"/>
        <v>6</v>
      </c>
      <c r="E1959" s="59">
        <f t="shared" si="212"/>
        <v>24</v>
      </c>
      <c r="F1959" s="65" t="s">
        <v>55</v>
      </c>
      <c r="G1959" s="65" t="s">
        <v>41</v>
      </c>
      <c r="H1959" s="65" t="s">
        <v>4029</v>
      </c>
      <c r="I1959" s="65" t="s">
        <v>66</v>
      </c>
      <c r="J1959" s="65" t="s">
        <v>112</v>
      </c>
      <c r="K1959" s="65" t="s">
        <v>73</v>
      </c>
      <c r="L1959" s="65" t="s">
        <v>124</v>
      </c>
      <c r="M1959" s="67">
        <v>383</v>
      </c>
      <c r="N1959" s="65" t="s">
        <v>132</v>
      </c>
      <c r="O1959" s="68">
        <v>745.35</v>
      </c>
      <c r="P1959" s="68">
        <v>285469.05</v>
      </c>
      <c r="Q1959" s="68">
        <v>15503.75</v>
      </c>
      <c r="R1959" s="62">
        <f t="shared" si="213"/>
        <v>5.4309740407935646E-2</v>
      </c>
      <c r="S1959" s="67">
        <v>7</v>
      </c>
      <c r="T1959" s="66">
        <v>45459</v>
      </c>
      <c r="U1959" s="66">
        <v>45461</v>
      </c>
      <c r="V1959" s="63">
        <f t="shared" si="214"/>
        <v>2</v>
      </c>
      <c r="W1959" s="65" t="s">
        <v>128</v>
      </c>
      <c r="X1959" s="64" t="b">
        <f t="shared" si="215"/>
        <v>0</v>
      </c>
      <c r="Y1959" s="67">
        <v>200</v>
      </c>
      <c r="Z1959" s="67">
        <v>338</v>
      </c>
      <c r="AA1959" s="65" t="s">
        <v>82</v>
      </c>
      <c r="AB1959" s="64" t="b">
        <f t="shared" si="216"/>
        <v>1</v>
      </c>
    </row>
    <row r="1960" spans="1:28" ht="15" customHeight="1" x14ac:dyDescent="0.3">
      <c r="A1960" s="57" t="s">
        <v>4030</v>
      </c>
      <c r="B1960" s="82">
        <v>45077</v>
      </c>
      <c r="C1960" s="59">
        <f t="shared" si="210"/>
        <v>2023</v>
      </c>
      <c r="D1960" s="59">
        <f t="shared" si="211"/>
        <v>5</v>
      </c>
      <c r="E1960" s="59">
        <f t="shared" si="212"/>
        <v>22</v>
      </c>
      <c r="F1960" s="57" t="s">
        <v>54</v>
      </c>
      <c r="G1960" s="57" t="s">
        <v>43</v>
      </c>
      <c r="H1960" s="57" t="s">
        <v>4031</v>
      </c>
      <c r="I1960" s="57" t="s">
        <v>64</v>
      </c>
      <c r="J1960" s="57" t="s">
        <v>131</v>
      </c>
      <c r="K1960" s="57" t="s">
        <v>75</v>
      </c>
      <c r="L1960" s="57" t="s">
        <v>113</v>
      </c>
      <c r="M1960" s="60">
        <v>566</v>
      </c>
      <c r="N1960" s="57" t="s">
        <v>136</v>
      </c>
      <c r="O1960" s="61">
        <v>214.44</v>
      </c>
      <c r="P1960" s="61">
        <v>121373.04</v>
      </c>
      <c r="Q1960" s="61">
        <v>4274.58</v>
      </c>
      <c r="R1960" s="62">
        <f t="shared" si="213"/>
        <v>3.5218529584494215E-2</v>
      </c>
      <c r="S1960" s="60">
        <v>20</v>
      </c>
      <c r="T1960" s="58">
        <v>45097</v>
      </c>
      <c r="U1960" s="58">
        <v>45094</v>
      </c>
      <c r="V1960" s="63">
        <f t="shared" si="214"/>
        <v>-3</v>
      </c>
      <c r="W1960" s="57" t="s">
        <v>115</v>
      </c>
      <c r="X1960" s="64" t="b">
        <f t="shared" si="215"/>
        <v>1</v>
      </c>
      <c r="Y1960" s="60">
        <v>367</v>
      </c>
      <c r="Z1960" s="60">
        <v>127</v>
      </c>
      <c r="AA1960" s="57" t="s">
        <v>116</v>
      </c>
      <c r="AB1960" s="64" t="b">
        <f t="shared" si="216"/>
        <v>0</v>
      </c>
    </row>
    <row r="1961" spans="1:28" ht="15" customHeight="1" x14ac:dyDescent="0.3">
      <c r="A1961" s="65" t="s">
        <v>4032</v>
      </c>
      <c r="B1961" s="81">
        <v>45374</v>
      </c>
      <c r="C1961" s="59">
        <f t="shared" si="210"/>
        <v>2024</v>
      </c>
      <c r="D1961" s="59">
        <f t="shared" si="211"/>
        <v>3</v>
      </c>
      <c r="E1961" s="59">
        <f t="shared" si="212"/>
        <v>12</v>
      </c>
      <c r="F1961" s="65" t="s">
        <v>57</v>
      </c>
      <c r="G1961" s="65" t="s">
        <v>46</v>
      </c>
      <c r="H1961" s="65" t="s">
        <v>4033</v>
      </c>
      <c r="I1961" s="65" t="s">
        <v>67</v>
      </c>
      <c r="J1961" s="65" t="s">
        <v>151</v>
      </c>
      <c r="K1961" s="65" t="s">
        <v>73</v>
      </c>
      <c r="L1961" s="65" t="s">
        <v>119</v>
      </c>
      <c r="M1961" s="67">
        <v>437</v>
      </c>
      <c r="N1961" s="65" t="s">
        <v>120</v>
      </c>
      <c r="O1961" s="68">
        <v>44.8</v>
      </c>
      <c r="P1961" s="68">
        <v>19577.599999999999</v>
      </c>
      <c r="Q1961" s="68">
        <v>659.45</v>
      </c>
      <c r="R1961" s="62">
        <f t="shared" si="213"/>
        <v>3.3683904053612296E-2</v>
      </c>
      <c r="S1961" s="67">
        <v>4</v>
      </c>
      <c r="T1961" s="66">
        <v>45378</v>
      </c>
      <c r="U1961" s="66">
        <v>45378</v>
      </c>
      <c r="V1961" s="63">
        <f t="shared" si="214"/>
        <v>0</v>
      </c>
      <c r="W1961" s="65" t="s">
        <v>115</v>
      </c>
      <c r="X1961" s="64" t="b">
        <f t="shared" si="215"/>
        <v>1</v>
      </c>
      <c r="Y1961" s="67">
        <v>288</v>
      </c>
      <c r="Z1961" s="67">
        <v>269</v>
      </c>
      <c r="AA1961" s="65" t="s">
        <v>83</v>
      </c>
      <c r="AB1961" s="64" t="b">
        <f t="shared" si="216"/>
        <v>1</v>
      </c>
    </row>
    <row r="1962" spans="1:28" ht="15" customHeight="1" x14ac:dyDescent="0.3">
      <c r="A1962" s="57" t="s">
        <v>4034</v>
      </c>
      <c r="B1962" s="82">
        <v>45020</v>
      </c>
      <c r="C1962" s="59">
        <f t="shared" si="210"/>
        <v>2023</v>
      </c>
      <c r="D1962" s="59">
        <f t="shared" si="211"/>
        <v>4</v>
      </c>
      <c r="E1962" s="59">
        <f t="shared" si="212"/>
        <v>14</v>
      </c>
      <c r="F1962" s="57" t="s">
        <v>56</v>
      </c>
      <c r="G1962" s="57" t="s">
        <v>43</v>
      </c>
      <c r="H1962" s="57" t="s">
        <v>4035</v>
      </c>
      <c r="I1962" s="57" t="s">
        <v>65</v>
      </c>
      <c r="J1962" s="57" t="s">
        <v>112</v>
      </c>
      <c r="K1962" s="57" t="s">
        <v>74</v>
      </c>
      <c r="L1962" s="57" t="s">
        <v>156</v>
      </c>
      <c r="M1962" s="60">
        <v>737</v>
      </c>
      <c r="N1962" s="57" t="s">
        <v>114</v>
      </c>
      <c r="O1962" s="61">
        <v>181.96</v>
      </c>
      <c r="P1962" s="61">
        <v>134104.51999999999</v>
      </c>
      <c r="Q1962" s="61">
        <v>2774.83</v>
      </c>
      <c r="R1962" s="62">
        <f t="shared" si="213"/>
        <v>2.0691547160379086E-2</v>
      </c>
      <c r="S1962" s="60">
        <v>27</v>
      </c>
      <c r="T1962" s="58">
        <v>45047</v>
      </c>
      <c r="U1962" s="58">
        <v>45049</v>
      </c>
      <c r="V1962" s="63">
        <f t="shared" si="214"/>
        <v>2</v>
      </c>
      <c r="W1962" s="57" t="s">
        <v>128</v>
      </c>
      <c r="X1962" s="64" t="b">
        <f t="shared" si="215"/>
        <v>0</v>
      </c>
      <c r="Y1962" s="60">
        <v>420</v>
      </c>
      <c r="Z1962" s="60">
        <v>269</v>
      </c>
      <c r="AA1962" s="57" t="s">
        <v>84</v>
      </c>
      <c r="AB1962" s="64" t="b">
        <f t="shared" si="216"/>
        <v>1</v>
      </c>
    </row>
    <row r="1963" spans="1:28" ht="15" customHeight="1" x14ac:dyDescent="0.3">
      <c r="A1963" s="65" t="s">
        <v>4036</v>
      </c>
      <c r="B1963" s="81">
        <v>45154</v>
      </c>
      <c r="C1963" s="59">
        <f t="shared" si="210"/>
        <v>2023</v>
      </c>
      <c r="D1963" s="59">
        <f t="shared" si="211"/>
        <v>8</v>
      </c>
      <c r="E1963" s="59">
        <f t="shared" si="212"/>
        <v>33</v>
      </c>
      <c r="F1963" s="65" t="s">
        <v>57</v>
      </c>
      <c r="G1963" s="65" t="s">
        <v>43</v>
      </c>
      <c r="H1963" s="65" t="s">
        <v>4037</v>
      </c>
      <c r="I1963" s="65" t="s">
        <v>67</v>
      </c>
      <c r="J1963" s="65" t="s">
        <v>143</v>
      </c>
      <c r="K1963" s="65" t="s">
        <v>75</v>
      </c>
      <c r="L1963" s="65" t="s">
        <v>135</v>
      </c>
      <c r="M1963" s="67">
        <v>242</v>
      </c>
      <c r="N1963" s="65" t="s">
        <v>140</v>
      </c>
      <c r="O1963" s="68">
        <v>209.77</v>
      </c>
      <c r="P1963" s="68">
        <v>50764.34</v>
      </c>
      <c r="Q1963" s="68">
        <v>1412.29</v>
      </c>
      <c r="R1963" s="62">
        <f t="shared" si="213"/>
        <v>2.7820513376121903E-2</v>
      </c>
      <c r="S1963" s="67">
        <v>8</v>
      </c>
      <c r="T1963" s="66">
        <v>45162</v>
      </c>
      <c r="U1963" s="66">
        <v>45174</v>
      </c>
      <c r="V1963" s="63">
        <f t="shared" si="214"/>
        <v>12</v>
      </c>
      <c r="W1963" s="65" t="s">
        <v>128</v>
      </c>
      <c r="X1963" s="64" t="b">
        <f t="shared" si="215"/>
        <v>0</v>
      </c>
      <c r="Y1963" s="67">
        <v>308</v>
      </c>
      <c r="Z1963" s="67">
        <v>497</v>
      </c>
      <c r="AA1963" s="65" t="s">
        <v>116</v>
      </c>
      <c r="AB1963" s="64" t="b">
        <f t="shared" si="216"/>
        <v>0</v>
      </c>
    </row>
    <row r="1964" spans="1:28" ht="15" customHeight="1" x14ac:dyDescent="0.3">
      <c r="A1964" s="57" t="s">
        <v>4038</v>
      </c>
      <c r="B1964" s="82">
        <v>45388</v>
      </c>
      <c r="C1964" s="59">
        <f t="shared" si="210"/>
        <v>2024</v>
      </c>
      <c r="D1964" s="59">
        <f t="shared" si="211"/>
        <v>4</v>
      </c>
      <c r="E1964" s="59">
        <f t="shared" si="212"/>
        <v>14</v>
      </c>
      <c r="F1964" s="57" t="s">
        <v>59</v>
      </c>
      <c r="G1964" s="57" t="s">
        <v>39</v>
      </c>
      <c r="H1964" s="57" t="s">
        <v>4039</v>
      </c>
      <c r="I1964" s="57" t="s">
        <v>68</v>
      </c>
      <c r="J1964" s="57" t="s">
        <v>139</v>
      </c>
      <c r="K1964" s="57" t="s">
        <v>72</v>
      </c>
      <c r="L1964" s="57" t="s">
        <v>113</v>
      </c>
      <c r="M1964" s="60">
        <v>714</v>
      </c>
      <c r="N1964" s="57" t="s">
        <v>136</v>
      </c>
      <c r="O1964" s="61">
        <v>1238.28</v>
      </c>
      <c r="P1964" s="61">
        <v>884131.92</v>
      </c>
      <c r="Q1964" s="61">
        <v>34088.67</v>
      </c>
      <c r="R1964" s="62">
        <f t="shared" si="213"/>
        <v>3.8556090136413125E-2</v>
      </c>
      <c r="S1964" s="60">
        <v>20</v>
      </c>
      <c r="T1964" s="58">
        <v>45408</v>
      </c>
      <c r="U1964" s="58">
        <v>45408</v>
      </c>
      <c r="V1964" s="63">
        <f t="shared" si="214"/>
        <v>0</v>
      </c>
      <c r="W1964" s="57" t="s">
        <v>115</v>
      </c>
      <c r="X1964" s="64" t="b">
        <f t="shared" si="215"/>
        <v>1</v>
      </c>
      <c r="Y1964" s="60">
        <v>356</v>
      </c>
      <c r="Z1964" s="60">
        <v>412</v>
      </c>
      <c r="AA1964" s="57" t="s">
        <v>82</v>
      </c>
      <c r="AB1964" s="64" t="b">
        <f t="shared" si="216"/>
        <v>1</v>
      </c>
    </row>
    <row r="1965" spans="1:28" ht="15" customHeight="1" x14ac:dyDescent="0.3">
      <c r="A1965" s="65" t="s">
        <v>4040</v>
      </c>
      <c r="B1965" s="81">
        <v>45284</v>
      </c>
      <c r="C1965" s="59">
        <f t="shared" si="210"/>
        <v>2023</v>
      </c>
      <c r="D1965" s="59">
        <f t="shared" si="211"/>
        <v>12</v>
      </c>
      <c r="E1965" s="59">
        <f t="shared" si="212"/>
        <v>52</v>
      </c>
      <c r="F1965" s="65" t="s">
        <v>52</v>
      </c>
      <c r="G1965" s="65" t="s">
        <v>43</v>
      </c>
      <c r="H1965" s="65" t="s">
        <v>4041</v>
      </c>
      <c r="I1965" s="65" t="s">
        <v>69</v>
      </c>
      <c r="J1965" s="65" t="s">
        <v>139</v>
      </c>
      <c r="K1965" s="65" t="s">
        <v>72</v>
      </c>
      <c r="L1965" s="65" t="s">
        <v>119</v>
      </c>
      <c r="M1965" s="67">
        <v>572</v>
      </c>
      <c r="N1965" s="65" t="s">
        <v>140</v>
      </c>
      <c r="O1965" s="68">
        <v>291.61</v>
      </c>
      <c r="P1965" s="68">
        <v>166800.92000000001</v>
      </c>
      <c r="Q1965" s="68">
        <v>4505.75</v>
      </c>
      <c r="R1965" s="62">
        <f t="shared" si="213"/>
        <v>2.7012740697113659E-2</v>
      </c>
      <c r="S1965" s="67">
        <v>29</v>
      </c>
      <c r="T1965" s="66">
        <v>45313</v>
      </c>
      <c r="U1965" s="66">
        <v>45308</v>
      </c>
      <c r="V1965" s="63">
        <f t="shared" si="214"/>
        <v>-5</v>
      </c>
      <c r="W1965" s="65" t="s">
        <v>115</v>
      </c>
      <c r="X1965" s="64" t="b">
        <f t="shared" si="215"/>
        <v>1</v>
      </c>
      <c r="Y1965" s="67">
        <v>407</v>
      </c>
      <c r="Z1965" s="67">
        <v>208</v>
      </c>
      <c r="AA1965" s="65" t="s">
        <v>84</v>
      </c>
      <c r="AB1965" s="64" t="b">
        <f t="shared" si="216"/>
        <v>1</v>
      </c>
    </row>
    <row r="1966" spans="1:28" ht="15" customHeight="1" x14ac:dyDescent="0.3">
      <c r="A1966" s="57" t="s">
        <v>4042</v>
      </c>
      <c r="B1966" s="82">
        <v>44954</v>
      </c>
      <c r="C1966" s="59">
        <f t="shared" si="210"/>
        <v>2023</v>
      </c>
      <c r="D1966" s="59">
        <f t="shared" si="211"/>
        <v>1</v>
      </c>
      <c r="E1966" s="59">
        <f t="shared" si="212"/>
        <v>4</v>
      </c>
      <c r="F1966" s="57" t="s">
        <v>60</v>
      </c>
      <c r="G1966" s="57" t="s">
        <v>44</v>
      </c>
      <c r="H1966" s="57" t="s">
        <v>4043</v>
      </c>
      <c r="I1966" s="57" t="s">
        <v>69</v>
      </c>
      <c r="J1966" s="57" t="s">
        <v>112</v>
      </c>
      <c r="K1966" s="57" t="s">
        <v>72</v>
      </c>
      <c r="L1966" s="57" t="s">
        <v>135</v>
      </c>
      <c r="M1966" s="60">
        <v>948</v>
      </c>
      <c r="N1966" s="57" t="s">
        <v>132</v>
      </c>
      <c r="O1966" s="61">
        <v>157.62</v>
      </c>
      <c r="P1966" s="61">
        <v>149423.76</v>
      </c>
      <c r="Q1966" s="61">
        <v>11827.12</v>
      </c>
      <c r="R1966" s="62">
        <f t="shared" si="213"/>
        <v>7.9151535204307538E-2</v>
      </c>
      <c r="S1966" s="60">
        <v>22</v>
      </c>
      <c r="T1966" s="58">
        <v>44976</v>
      </c>
      <c r="U1966" s="58">
        <v>44976</v>
      </c>
      <c r="V1966" s="63">
        <f t="shared" si="214"/>
        <v>0</v>
      </c>
      <c r="W1966" s="57" t="s">
        <v>115</v>
      </c>
      <c r="X1966" s="64" t="b">
        <f t="shared" si="215"/>
        <v>1</v>
      </c>
      <c r="Y1966" s="60">
        <v>344</v>
      </c>
      <c r="Z1966" s="60">
        <v>177</v>
      </c>
      <c r="AA1966" s="57" t="s">
        <v>116</v>
      </c>
      <c r="AB1966" s="64" t="b">
        <f t="shared" si="216"/>
        <v>0</v>
      </c>
    </row>
    <row r="1967" spans="1:28" ht="15" customHeight="1" x14ac:dyDescent="0.3">
      <c r="A1967" s="65" t="s">
        <v>4044</v>
      </c>
      <c r="B1967" s="81">
        <v>45351</v>
      </c>
      <c r="C1967" s="59">
        <f t="shared" si="210"/>
        <v>2024</v>
      </c>
      <c r="D1967" s="59">
        <f t="shared" si="211"/>
        <v>2</v>
      </c>
      <c r="E1967" s="59">
        <f t="shared" si="212"/>
        <v>9</v>
      </c>
      <c r="F1967" s="65" t="s">
        <v>59</v>
      </c>
      <c r="G1967" s="65" t="s">
        <v>43</v>
      </c>
      <c r="H1967" s="65" t="s">
        <v>4045</v>
      </c>
      <c r="I1967" s="65" t="s">
        <v>64</v>
      </c>
      <c r="J1967" s="65" t="s">
        <v>123</v>
      </c>
      <c r="K1967" s="65" t="s">
        <v>74</v>
      </c>
      <c r="L1967" s="65" t="s">
        <v>113</v>
      </c>
      <c r="M1967" s="67">
        <v>896</v>
      </c>
      <c r="N1967" s="65" t="s">
        <v>136</v>
      </c>
      <c r="O1967" s="68">
        <v>182.93</v>
      </c>
      <c r="P1967" s="68">
        <v>163905.28</v>
      </c>
      <c r="Q1967" s="68">
        <v>6313.3</v>
      </c>
      <c r="R1967" s="62">
        <f t="shared" si="213"/>
        <v>3.8517978188378071E-2</v>
      </c>
      <c r="S1967" s="67">
        <v>21</v>
      </c>
      <c r="T1967" s="66">
        <v>45372</v>
      </c>
      <c r="U1967" s="66">
        <v>45367</v>
      </c>
      <c r="V1967" s="63">
        <f t="shared" si="214"/>
        <v>-5</v>
      </c>
      <c r="W1967" s="65" t="s">
        <v>115</v>
      </c>
      <c r="X1967" s="64" t="b">
        <f t="shared" si="215"/>
        <v>1</v>
      </c>
      <c r="Y1967" s="67">
        <v>178</v>
      </c>
      <c r="Z1967" s="67">
        <v>305</v>
      </c>
      <c r="AA1967" s="65" t="s">
        <v>81</v>
      </c>
      <c r="AB1967" s="64" t="b">
        <f t="shared" si="216"/>
        <v>1</v>
      </c>
    </row>
    <row r="1968" spans="1:28" ht="15" customHeight="1" x14ac:dyDescent="0.3">
      <c r="A1968" s="57" t="s">
        <v>4046</v>
      </c>
      <c r="B1968" s="82">
        <v>44981</v>
      </c>
      <c r="C1968" s="59">
        <f t="shared" si="210"/>
        <v>2023</v>
      </c>
      <c r="D1968" s="59">
        <f t="shared" si="211"/>
        <v>2</v>
      </c>
      <c r="E1968" s="59">
        <f t="shared" si="212"/>
        <v>8</v>
      </c>
      <c r="F1968" s="57" t="s">
        <v>58</v>
      </c>
      <c r="G1968" s="57" t="s">
        <v>44</v>
      </c>
      <c r="H1968" s="57" t="s">
        <v>4047</v>
      </c>
      <c r="I1968" s="57" t="s">
        <v>65</v>
      </c>
      <c r="J1968" s="57" t="s">
        <v>131</v>
      </c>
      <c r="K1968" s="57" t="s">
        <v>72</v>
      </c>
      <c r="L1968" s="57" t="s">
        <v>146</v>
      </c>
      <c r="M1968" s="60">
        <v>735</v>
      </c>
      <c r="N1968" s="57" t="s">
        <v>120</v>
      </c>
      <c r="O1968" s="61">
        <v>140.72</v>
      </c>
      <c r="P1968" s="61">
        <v>103429.2</v>
      </c>
      <c r="Q1968" s="61">
        <v>2877.34</v>
      </c>
      <c r="R1968" s="62">
        <f t="shared" si="213"/>
        <v>2.7819416567081638E-2</v>
      </c>
      <c r="S1968" s="60">
        <v>19</v>
      </c>
      <c r="T1968" s="58">
        <v>45000</v>
      </c>
      <c r="U1968" s="58">
        <v>44997</v>
      </c>
      <c r="V1968" s="63">
        <f t="shared" si="214"/>
        <v>-3</v>
      </c>
      <c r="W1968" s="57" t="s">
        <v>115</v>
      </c>
      <c r="X1968" s="64" t="b">
        <f t="shared" si="215"/>
        <v>1</v>
      </c>
      <c r="Y1968" s="60">
        <v>424</v>
      </c>
      <c r="Z1968" s="60">
        <v>190</v>
      </c>
      <c r="AA1968" s="57" t="s">
        <v>116</v>
      </c>
      <c r="AB1968" s="64" t="b">
        <f t="shared" si="216"/>
        <v>0</v>
      </c>
    </row>
    <row r="1969" spans="1:28" ht="15" customHeight="1" x14ac:dyDescent="0.3">
      <c r="A1969" s="65" t="s">
        <v>4048</v>
      </c>
      <c r="B1969" s="81">
        <v>45332</v>
      </c>
      <c r="C1969" s="59">
        <f t="shared" si="210"/>
        <v>2024</v>
      </c>
      <c r="D1969" s="59">
        <f t="shared" si="211"/>
        <v>2</v>
      </c>
      <c r="E1969" s="59">
        <f t="shared" si="212"/>
        <v>6</v>
      </c>
      <c r="F1969" s="65" t="s">
        <v>53</v>
      </c>
      <c r="G1969" s="65" t="s">
        <v>40</v>
      </c>
      <c r="H1969" s="65" t="s">
        <v>4049</v>
      </c>
      <c r="I1969" s="65" t="s">
        <v>68</v>
      </c>
      <c r="J1969" s="65" t="s">
        <v>131</v>
      </c>
      <c r="K1969" s="65" t="s">
        <v>73</v>
      </c>
      <c r="L1969" s="65" t="s">
        <v>124</v>
      </c>
      <c r="M1969" s="67">
        <v>672</v>
      </c>
      <c r="N1969" s="65" t="s">
        <v>163</v>
      </c>
      <c r="O1969" s="68">
        <v>1021.73</v>
      </c>
      <c r="P1969" s="68">
        <v>686602.56</v>
      </c>
      <c r="Q1969" s="68">
        <v>21933.48</v>
      </c>
      <c r="R1969" s="62">
        <f t="shared" si="213"/>
        <v>3.1944943520163978E-2</v>
      </c>
      <c r="S1969" s="67">
        <v>13</v>
      </c>
      <c r="T1969" s="66">
        <v>45345</v>
      </c>
      <c r="U1969" s="66">
        <v>45345</v>
      </c>
      <c r="V1969" s="63">
        <f t="shared" si="214"/>
        <v>0</v>
      </c>
      <c r="W1969" s="65" t="s">
        <v>115</v>
      </c>
      <c r="X1969" s="64" t="b">
        <f t="shared" si="215"/>
        <v>1</v>
      </c>
      <c r="Y1969" s="67">
        <v>28</v>
      </c>
      <c r="Z1969" s="67">
        <v>356</v>
      </c>
      <c r="AA1969" s="65" t="s">
        <v>116</v>
      </c>
      <c r="AB1969" s="64" t="b">
        <f t="shared" si="216"/>
        <v>0</v>
      </c>
    </row>
    <row r="1970" spans="1:28" ht="15" customHeight="1" x14ac:dyDescent="0.3">
      <c r="A1970" s="57" t="s">
        <v>4050</v>
      </c>
      <c r="B1970" s="82">
        <v>45441</v>
      </c>
      <c r="C1970" s="59">
        <f t="shared" si="210"/>
        <v>2024</v>
      </c>
      <c r="D1970" s="59">
        <f t="shared" si="211"/>
        <v>5</v>
      </c>
      <c r="E1970" s="59">
        <f t="shared" si="212"/>
        <v>22</v>
      </c>
      <c r="F1970" s="57" t="s">
        <v>54</v>
      </c>
      <c r="G1970" s="57" t="s">
        <v>46</v>
      </c>
      <c r="H1970" s="57" t="s">
        <v>4051</v>
      </c>
      <c r="I1970" s="57" t="s">
        <v>65</v>
      </c>
      <c r="J1970" s="57" t="s">
        <v>112</v>
      </c>
      <c r="K1970" s="57" t="s">
        <v>72</v>
      </c>
      <c r="L1970" s="57" t="s">
        <v>124</v>
      </c>
      <c r="M1970" s="60">
        <v>449</v>
      </c>
      <c r="N1970" s="57" t="s">
        <v>136</v>
      </c>
      <c r="O1970" s="61">
        <v>87.18</v>
      </c>
      <c r="P1970" s="61">
        <v>39143.82</v>
      </c>
      <c r="Q1970" s="61">
        <v>2163.17</v>
      </c>
      <c r="R1970" s="62">
        <f t="shared" si="213"/>
        <v>5.5262107786107746E-2</v>
      </c>
      <c r="S1970" s="60">
        <v>14</v>
      </c>
      <c r="T1970" s="58">
        <v>45455</v>
      </c>
      <c r="U1970" s="58">
        <v>45457</v>
      </c>
      <c r="V1970" s="63">
        <f t="shared" si="214"/>
        <v>2</v>
      </c>
      <c r="W1970" s="57" t="s">
        <v>125</v>
      </c>
      <c r="X1970" s="64" t="b">
        <f t="shared" si="215"/>
        <v>0</v>
      </c>
      <c r="Y1970" s="60">
        <v>442</v>
      </c>
      <c r="Z1970" s="60">
        <v>456</v>
      </c>
      <c r="AA1970" s="57" t="s">
        <v>84</v>
      </c>
      <c r="AB1970" s="64" t="b">
        <f t="shared" si="216"/>
        <v>1</v>
      </c>
    </row>
    <row r="1971" spans="1:28" ht="15" customHeight="1" x14ac:dyDescent="0.3">
      <c r="A1971" s="65" t="s">
        <v>4052</v>
      </c>
      <c r="B1971" s="81">
        <v>45309</v>
      </c>
      <c r="C1971" s="59">
        <f t="shared" si="210"/>
        <v>2024</v>
      </c>
      <c r="D1971" s="59">
        <f t="shared" si="211"/>
        <v>1</v>
      </c>
      <c r="E1971" s="59">
        <f t="shared" si="212"/>
        <v>3</v>
      </c>
      <c r="F1971" s="65" t="s">
        <v>61</v>
      </c>
      <c r="G1971" s="65" t="s">
        <v>45</v>
      </c>
      <c r="H1971" s="65" t="s">
        <v>4053</v>
      </c>
      <c r="I1971" s="65" t="s">
        <v>64</v>
      </c>
      <c r="J1971" s="65" t="s">
        <v>151</v>
      </c>
      <c r="K1971" s="65" t="s">
        <v>71</v>
      </c>
      <c r="L1971" s="65" t="s">
        <v>119</v>
      </c>
      <c r="M1971" s="67">
        <v>511</v>
      </c>
      <c r="N1971" s="65" t="s">
        <v>136</v>
      </c>
      <c r="O1971" s="68">
        <v>281.06</v>
      </c>
      <c r="P1971" s="68">
        <v>143621.66</v>
      </c>
      <c r="Q1971" s="68">
        <v>3424.32</v>
      </c>
      <c r="R1971" s="62">
        <f t="shared" si="213"/>
        <v>2.3842643233618104E-2</v>
      </c>
      <c r="S1971" s="67">
        <v>10</v>
      </c>
      <c r="T1971" s="66">
        <v>45319</v>
      </c>
      <c r="U1971" s="66">
        <v>45321</v>
      </c>
      <c r="V1971" s="63">
        <f t="shared" si="214"/>
        <v>2</v>
      </c>
      <c r="W1971" s="65" t="s">
        <v>125</v>
      </c>
      <c r="X1971" s="64" t="b">
        <f t="shared" si="215"/>
        <v>0</v>
      </c>
      <c r="Y1971" s="67">
        <v>423</v>
      </c>
      <c r="Z1971" s="67">
        <v>448</v>
      </c>
      <c r="AA1971" s="65" t="s">
        <v>82</v>
      </c>
      <c r="AB1971" s="64" t="b">
        <f t="shared" si="216"/>
        <v>1</v>
      </c>
    </row>
    <row r="1972" spans="1:28" ht="15" customHeight="1" x14ac:dyDescent="0.3">
      <c r="A1972" s="57" t="s">
        <v>4054</v>
      </c>
      <c r="B1972" s="82">
        <v>45168</v>
      </c>
      <c r="C1972" s="59">
        <f t="shared" si="210"/>
        <v>2023</v>
      </c>
      <c r="D1972" s="59">
        <f t="shared" si="211"/>
        <v>8</v>
      </c>
      <c r="E1972" s="59">
        <f t="shared" si="212"/>
        <v>35</v>
      </c>
      <c r="F1972" s="57" t="s">
        <v>59</v>
      </c>
      <c r="G1972" s="57" t="s">
        <v>39</v>
      </c>
      <c r="H1972" s="57" t="s">
        <v>4055</v>
      </c>
      <c r="I1972" s="57" t="s">
        <v>68</v>
      </c>
      <c r="J1972" s="57" t="s">
        <v>143</v>
      </c>
      <c r="K1972" s="57" t="s">
        <v>71</v>
      </c>
      <c r="L1972" s="57" t="s">
        <v>146</v>
      </c>
      <c r="M1972" s="60">
        <v>284</v>
      </c>
      <c r="N1972" s="57" t="s">
        <v>136</v>
      </c>
      <c r="O1972" s="61">
        <v>1668.23</v>
      </c>
      <c r="P1972" s="61">
        <v>473777.32</v>
      </c>
      <c r="Q1972" s="61">
        <v>33991.65</v>
      </c>
      <c r="R1972" s="62">
        <f t="shared" si="213"/>
        <v>7.1746047278075709E-2</v>
      </c>
      <c r="S1972" s="60">
        <v>11</v>
      </c>
      <c r="T1972" s="58">
        <v>45179</v>
      </c>
      <c r="U1972" s="58">
        <v>45187</v>
      </c>
      <c r="V1972" s="63">
        <f t="shared" si="214"/>
        <v>8</v>
      </c>
      <c r="W1972" s="57" t="s">
        <v>125</v>
      </c>
      <c r="X1972" s="64" t="b">
        <f t="shared" si="215"/>
        <v>0</v>
      </c>
      <c r="Y1972" s="60">
        <v>306</v>
      </c>
      <c r="Z1972" s="60">
        <v>67</v>
      </c>
      <c r="AA1972" s="57" t="s">
        <v>82</v>
      </c>
      <c r="AB1972" s="64" t="b">
        <f t="shared" si="216"/>
        <v>1</v>
      </c>
    </row>
    <row r="1973" spans="1:28" ht="15" customHeight="1" x14ac:dyDescent="0.3">
      <c r="A1973" s="65" t="s">
        <v>4056</v>
      </c>
      <c r="B1973" s="81">
        <v>45322</v>
      </c>
      <c r="C1973" s="59">
        <f t="shared" si="210"/>
        <v>2024</v>
      </c>
      <c r="D1973" s="59">
        <f t="shared" si="211"/>
        <v>1</v>
      </c>
      <c r="E1973" s="59">
        <f t="shared" si="212"/>
        <v>5</v>
      </c>
      <c r="F1973" s="65" t="s">
        <v>55</v>
      </c>
      <c r="G1973" s="65" t="s">
        <v>43</v>
      </c>
      <c r="H1973" s="65" t="s">
        <v>4057</v>
      </c>
      <c r="I1973" s="65" t="s">
        <v>68</v>
      </c>
      <c r="J1973" s="65" t="s">
        <v>123</v>
      </c>
      <c r="K1973" s="65" t="s">
        <v>72</v>
      </c>
      <c r="L1973" s="65" t="s">
        <v>156</v>
      </c>
      <c r="M1973" s="67">
        <v>859</v>
      </c>
      <c r="N1973" s="65" t="s">
        <v>136</v>
      </c>
      <c r="O1973" s="68">
        <v>263.94</v>
      </c>
      <c r="P1973" s="68">
        <v>226724.46</v>
      </c>
      <c r="Q1973" s="68">
        <v>17614.22</v>
      </c>
      <c r="R1973" s="62">
        <f t="shared" si="213"/>
        <v>7.7689985456355262E-2</v>
      </c>
      <c r="S1973" s="67">
        <v>2</v>
      </c>
      <c r="T1973" s="66">
        <v>45324</v>
      </c>
      <c r="U1973" s="66">
        <v>45323</v>
      </c>
      <c r="V1973" s="63">
        <f t="shared" si="214"/>
        <v>-1</v>
      </c>
      <c r="W1973" s="65" t="s">
        <v>115</v>
      </c>
      <c r="X1973" s="64" t="b">
        <f t="shared" si="215"/>
        <v>1</v>
      </c>
      <c r="Y1973" s="67">
        <v>305</v>
      </c>
      <c r="Z1973" s="67">
        <v>326</v>
      </c>
      <c r="AA1973" s="65" t="s">
        <v>81</v>
      </c>
      <c r="AB1973" s="64" t="b">
        <f t="shared" si="216"/>
        <v>1</v>
      </c>
    </row>
    <row r="1974" spans="1:28" ht="15" customHeight="1" x14ac:dyDescent="0.3">
      <c r="A1974" s="57" t="s">
        <v>4058</v>
      </c>
      <c r="B1974" s="82">
        <v>45010</v>
      </c>
      <c r="C1974" s="59">
        <f t="shared" si="210"/>
        <v>2023</v>
      </c>
      <c r="D1974" s="59">
        <f t="shared" si="211"/>
        <v>3</v>
      </c>
      <c r="E1974" s="59">
        <f t="shared" si="212"/>
        <v>12</v>
      </c>
      <c r="F1974" s="57" t="s">
        <v>54</v>
      </c>
      <c r="G1974" s="57" t="s">
        <v>44</v>
      </c>
      <c r="H1974" s="57" t="s">
        <v>4059</v>
      </c>
      <c r="I1974" s="57" t="s">
        <v>69</v>
      </c>
      <c r="J1974" s="57" t="s">
        <v>151</v>
      </c>
      <c r="K1974" s="57" t="s">
        <v>72</v>
      </c>
      <c r="L1974" s="57" t="s">
        <v>135</v>
      </c>
      <c r="M1974" s="60">
        <v>85</v>
      </c>
      <c r="N1974" s="57" t="s">
        <v>120</v>
      </c>
      <c r="O1974" s="61">
        <v>137.97</v>
      </c>
      <c r="P1974" s="61">
        <v>11727.45</v>
      </c>
      <c r="Q1974" s="61">
        <v>408.17</v>
      </c>
      <c r="R1974" s="62">
        <f t="shared" si="213"/>
        <v>3.4804667681380012E-2</v>
      </c>
      <c r="S1974" s="60">
        <v>25</v>
      </c>
      <c r="T1974" s="58">
        <v>45035</v>
      </c>
      <c r="U1974" s="58">
        <v>45043</v>
      </c>
      <c r="V1974" s="63">
        <f t="shared" si="214"/>
        <v>8</v>
      </c>
      <c r="W1974" s="57" t="s">
        <v>125</v>
      </c>
      <c r="X1974" s="64" t="b">
        <f t="shared" si="215"/>
        <v>0</v>
      </c>
      <c r="Y1974" s="60">
        <v>366</v>
      </c>
      <c r="Z1974" s="60">
        <v>266</v>
      </c>
      <c r="AA1974" s="57" t="s">
        <v>116</v>
      </c>
      <c r="AB1974" s="64" t="b">
        <f t="shared" si="216"/>
        <v>0</v>
      </c>
    </row>
    <row r="1975" spans="1:28" ht="15" customHeight="1" x14ac:dyDescent="0.3">
      <c r="A1975" s="65" t="s">
        <v>4060</v>
      </c>
      <c r="B1975" s="81">
        <v>45310</v>
      </c>
      <c r="C1975" s="59">
        <f t="shared" si="210"/>
        <v>2024</v>
      </c>
      <c r="D1975" s="59">
        <f t="shared" si="211"/>
        <v>1</v>
      </c>
      <c r="E1975" s="59">
        <f t="shared" si="212"/>
        <v>3</v>
      </c>
      <c r="F1975" s="65" t="s">
        <v>59</v>
      </c>
      <c r="G1975" s="65" t="s">
        <v>44</v>
      </c>
      <c r="H1975" s="65" t="s">
        <v>4061</v>
      </c>
      <c r="I1975" s="65" t="s">
        <v>69</v>
      </c>
      <c r="J1975" s="65" t="s">
        <v>112</v>
      </c>
      <c r="K1975" s="65" t="s">
        <v>71</v>
      </c>
      <c r="L1975" s="65" t="s">
        <v>119</v>
      </c>
      <c r="M1975" s="67">
        <v>448</v>
      </c>
      <c r="N1975" s="65" t="s">
        <v>120</v>
      </c>
      <c r="O1975" s="68">
        <v>137.06</v>
      </c>
      <c r="P1975" s="68">
        <v>61402.879999999997</v>
      </c>
      <c r="Q1975" s="68">
        <v>2886.29</v>
      </c>
      <c r="R1975" s="62">
        <f t="shared" si="213"/>
        <v>4.7005775624856687E-2</v>
      </c>
      <c r="S1975" s="67">
        <v>26</v>
      </c>
      <c r="T1975" s="66">
        <v>45336</v>
      </c>
      <c r="U1975" s="66">
        <v>45336</v>
      </c>
      <c r="V1975" s="63">
        <f t="shared" si="214"/>
        <v>0</v>
      </c>
      <c r="W1975" s="65" t="s">
        <v>115</v>
      </c>
      <c r="X1975" s="64" t="b">
        <f t="shared" si="215"/>
        <v>1</v>
      </c>
      <c r="Y1975" s="67">
        <v>35</v>
      </c>
      <c r="Z1975" s="67">
        <v>269</v>
      </c>
      <c r="AA1975" s="65" t="s">
        <v>116</v>
      </c>
      <c r="AB1975" s="64" t="b">
        <f t="shared" si="216"/>
        <v>0</v>
      </c>
    </row>
    <row r="1976" spans="1:28" ht="15" customHeight="1" x14ac:dyDescent="0.3">
      <c r="A1976" s="57" t="s">
        <v>4062</v>
      </c>
      <c r="B1976" s="82">
        <v>45156</v>
      </c>
      <c r="C1976" s="59">
        <f t="shared" si="210"/>
        <v>2023</v>
      </c>
      <c r="D1976" s="59">
        <f t="shared" si="211"/>
        <v>8</v>
      </c>
      <c r="E1976" s="59">
        <f t="shared" si="212"/>
        <v>33</v>
      </c>
      <c r="F1976" s="57" t="s">
        <v>56</v>
      </c>
      <c r="G1976" s="57" t="s">
        <v>40</v>
      </c>
      <c r="H1976" s="57" t="s">
        <v>4063</v>
      </c>
      <c r="I1976" s="57" t="s">
        <v>69</v>
      </c>
      <c r="J1976" s="57" t="s">
        <v>112</v>
      </c>
      <c r="K1976" s="57" t="s">
        <v>72</v>
      </c>
      <c r="L1976" s="57" t="s">
        <v>113</v>
      </c>
      <c r="M1976" s="60">
        <v>741</v>
      </c>
      <c r="N1976" s="57" t="s">
        <v>163</v>
      </c>
      <c r="O1976" s="61">
        <v>633.42999999999995</v>
      </c>
      <c r="P1976" s="61">
        <v>469371.63</v>
      </c>
      <c r="Q1976" s="61">
        <v>10010.790000000001</v>
      </c>
      <c r="R1976" s="62">
        <f t="shared" si="213"/>
        <v>2.1328067910708622E-2</v>
      </c>
      <c r="S1976" s="60">
        <v>9</v>
      </c>
      <c r="T1976" s="58">
        <v>45165</v>
      </c>
      <c r="U1976" s="58">
        <v>45170</v>
      </c>
      <c r="V1976" s="63">
        <f t="shared" si="214"/>
        <v>5</v>
      </c>
      <c r="W1976" s="57" t="s">
        <v>128</v>
      </c>
      <c r="X1976" s="64" t="b">
        <f t="shared" si="215"/>
        <v>0</v>
      </c>
      <c r="Y1976" s="60">
        <v>462</v>
      </c>
      <c r="Z1976" s="60">
        <v>361</v>
      </c>
      <c r="AA1976" s="57" t="s">
        <v>83</v>
      </c>
      <c r="AB1976" s="64" t="b">
        <f t="shared" si="216"/>
        <v>1</v>
      </c>
    </row>
    <row r="1977" spans="1:28" ht="15" customHeight="1" x14ac:dyDescent="0.3">
      <c r="A1977" s="65" t="s">
        <v>4064</v>
      </c>
      <c r="B1977" s="81">
        <v>44955</v>
      </c>
      <c r="C1977" s="59">
        <f t="shared" si="210"/>
        <v>2023</v>
      </c>
      <c r="D1977" s="59">
        <f t="shared" si="211"/>
        <v>1</v>
      </c>
      <c r="E1977" s="59">
        <f t="shared" si="212"/>
        <v>5</v>
      </c>
      <c r="F1977" s="65" t="s">
        <v>60</v>
      </c>
      <c r="G1977" s="65" t="s">
        <v>44</v>
      </c>
      <c r="H1977" s="65" t="s">
        <v>4065</v>
      </c>
      <c r="I1977" s="65" t="s">
        <v>67</v>
      </c>
      <c r="J1977" s="65" t="s">
        <v>151</v>
      </c>
      <c r="K1977" s="65" t="s">
        <v>75</v>
      </c>
      <c r="L1977" s="65" t="s">
        <v>124</v>
      </c>
      <c r="M1977" s="67">
        <v>869</v>
      </c>
      <c r="N1977" s="65" t="s">
        <v>120</v>
      </c>
      <c r="O1977" s="68">
        <v>96.11</v>
      </c>
      <c r="P1977" s="68">
        <v>83519.59</v>
      </c>
      <c r="Q1977" s="68">
        <v>4881.1000000000004</v>
      </c>
      <c r="R1977" s="62">
        <f t="shared" si="213"/>
        <v>5.8442576166860979E-2</v>
      </c>
      <c r="S1977" s="67">
        <v>17</v>
      </c>
      <c r="T1977" s="66">
        <v>44972</v>
      </c>
      <c r="U1977" s="66">
        <v>44980</v>
      </c>
      <c r="V1977" s="63">
        <f t="shared" si="214"/>
        <v>8</v>
      </c>
      <c r="W1977" s="65" t="s">
        <v>128</v>
      </c>
      <c r="X1977" s="64" t="b">
        <f t="shared" si="215"/>
        <v>0</v>
      </c>
      <c r="Y1977" s="67">
        <v>108</v>
      </c>
      <c r="Z1977" s="67">
        <v>466</v>
      </c>
      <c r="AA1977" s="65" t="s">
        <v>116</v>
      </c>
      <c r="AB1977" s="64" t="b">
        <f t="shared" si="216"/>
        <v>0</v>
      </c>
    </row>
    <row r="1978" spans="1:28" ht="15" customHeight="1" x14ac:dyDescent="0.3">
      <c r="A1978" s="57" t="s">
        <v>4066</v>
      </c>
      <c r="B1978" s="82">
        <v>45253</v>
      </c>
      <c r="C1978" s="59">
        <f t="shared" si="210"/>
        <v>2023</v>
      </c>
      <c r="D1978" s="59">
        <f t="shared" si="211"/>
        <v>11</v>
      </c>
      <c r="E1978" s="59">
        <f t="shared" si="212"/>
        <v>47</v>
      </c>
      <c r="F1978" s="57" t="s">
        <v>57</v>
      </c>
      <c r="G1978" s="57" t="s">
        <v>45</v>
      </c>
      <c r="H1978" s="57" t="s">
        <v>4067</v>
      </c>
      <c r="I1978" s="57" t="s">
        <v>66</v>
      </c>
      <c r="J1978" s="57" t="s">
        <v>139</v>
      </c>
      <c r="K1978" s="57" t="s">
        <v>71</v>
      </c>
      <c r="L1978" s="57" t="s">
        <v>113</v>
      </c>
      <c r="M1978" s="60">
        <v>965</v>
      </c>
      <c r="N1978" s="57" t="s">
        <v>120</v>
      </c>
      <c r="O1978" s="61">
        <v>224.73</v>
      </c>
      <c r="P1978" s="61">
        <v>216864.45</v>
      </c>
      <c r="Q1978" s="61">
        <v>9723.24</v>
      </c>
      <c r="R1978" s="62">
        <f t="shared" si="213"/>
        <v>4.4835564335233363E-2</v>
      </c>
      <c r="S1978" s="60">
        <v>26</v>
      </c>
      <c r="T1978" s="58">
        <v>45279</v>
      </c>
      <c r="U1978" s="58">
        <v>45279</v>
      </c>
      <c r="V1978" s="63">
        <f t="shared" si="214"/>
        <v>0</v>
      </c>
      <c r="W1978" s="57" t="s">
        <v>115</v>
      </c>
      <c r="X1978" s="64" t="b">
        <f t="shared" si="215"/>
        <v>1</v>
      </c>
      <c r="Y1978" s="60">
        <v>315</v>
      </c>
      <c r="Z1978" s="60">
        <v>359</v>
      </c>
      <c r="AA1978" s="57" t="s">
        <v>116</v>
      </c>
      <c r="AB1978" s="64" t="b">
        <f t="shared" si="216"/>
        <v>0</v>
      </c>
    </row>
    <row r="1979" spans="1:28" ht="15" customHeight="1" x14ac:dyDescent="0.3">
      <c r="A1979" s="65" t="s">
        <v>4068</v>
      </c>
      <c r="B1979" s="81">
        <v>45028</v>
      </c>
      <c r="C1979" s="59">
        <f t="shared" si="210"/>
        <v>2023</v>
      </c>
      <c r="D1979" s="59">
        <f t="shared" si="211"/>
        <v>4</v>
      </c>
      <c r="E1979" s="59">
        <f t="shared" si="212"/>
        <v>15</v>
      </c>
      <c r="F1979" s="65" t="s">
        <v>57</v>
      </c>
      <c r="G1979" s="65" t="s">
        <v>42</v>
      </c>
      <c r="H1979" s="65" t="s">
        <v>4069</v>
      </c>
      <c r="I1979" s="65" t="s">
        <v>69</v>
      </c>
      <c r="J1979" s="65" t="s">
        <v>112</v>
      </c>
      <c r="K1979" s="65" t="s">
        <v>74</v>
      </c>
      <c r="L1979" s="65" t="s">
        <v>135</v>
      </c>
      <c r="M1979" s="67">
        <v>708</v>
      </c>
      <c r="N1979" s="65" t="s">
        <v>132</v>
      </c>
      <c r="O1979" s="68">
        <v>73.209999999999994</v>
      </c>
      <c r="P1979" s="68">
        <v>51832.68</v>
      </c>
      <c r="Q1979" s="68">
        <v>1876.52</v>
      </c>
      <c r="R1979" s="62">
        <f t="shared" si="213"/>
        <v>3.62034145253535E-2</v>
      </c>
      <c r="S1979" s="67">
        <v>3</v>
      </c>
      <c r="T1979" s="66">
        <v>45031</v>
      </c>
      <c r="U1979" s="66">
        <v>45039</v>
      </c>
      <c r="V1979" s="63">
        <f t="shared" si="214"/>
        <v>8</v>
      </c>
      <c r="W1979" s="65" t="s">
        <v>128</v>
      </c>
      <c r="X1979" s="64" t="b">
        <f t="shared" si="215"/>
        <v>0</v>
      </c>
      <c r="Y1979" s="67">
        <v>145</v>
      </c>
      <c r="Z1979" s="67">
        <v>386</v>
      </c>
      <c r="AA1979" s="65" t="s">
        <v>82</v>
      </c>
      <c r="AB1979" s="64" t="b">
        <f t="shared" si="216"/>
        <v>1</v>
      </c>
    </row>
    <row r="1980" spans="1:28" ht="15" customHeight="1" x14ac:dyDescent="0.3">
      <c r="A1980" s="57" t="s">
        <v>4070</v>
      </c>
      <c r="B1980" s="82">
        <v>45592</v>
      </c>
      <c r="C1980" s="59">
        <f t="shared" si="210"/>
        <v>2024</v>
      </c>
      <c r="D1980" s="59">
        <f t="shared" si="211"/>
        <v>10</v>
      </c>
      <c r="E1980" s="59">
        <f t="shared" si="212"/>
        <v>44</v>
      </c>
      <c r="F1980" s="57" t="s">
        <v>59</v>
      </c>
      <c r="G1980" s="57" t="s">
        <v>41</v>
      </c>
      <c r="H1980" s="57" t="s">
        <v>4071</v>
      </c>
      <c r="I1980" s="57" t="s">
        <v>66</v>
      </c>
      <c r="J1980" s="57" t="s">
        <v>143</v>
      </c>
      <c r="K1980" s="57" t="s">
        <v>71</v>
      </c>
      <c r="L1980" s="57" t="s">
        <v>146</v>
      </c>
      <c r="M1980" s="60">
        <v>298</v>
      </c>
      <c r="N1980" s="57" t="s">
        <v>132</v>
      </c>
      <c r="O1980" s="61">
        <v>358.41</v>
      </c>
      <c r="P1980" s="61">
        <v>106806.18</v>
      </c>
      <c r="Q1980" s="61">
        <v>3461.61</v>
      </c>
      <c r="R1980" s="62">
        <f t="shared" si="213"/>
        <v>3.2410203229813112E-2</v>
      </c>
      <c r="S1980" s="60">
        <v>24</v>
      </c>
      <c r="T1980" s="58">
        <v>45616</v>
      </c>
      <c r="U1980" s="58">
        <v>45624</v>
      </c>
      <c r="V1980" s="63">
        <f t="shared" si="214"/>
        <v>8</v>
      </c>
      <c r="W1980" s="57" t="s">
        <v>128</v>
      </c>
      <c r="X1980" s="64" t="b">
        <f t="shared" si="215"/>
        <v>0</v>
      </c>
      <c r="Y1980" s="60">
        <v>275</v>
      </c>
      <c r="Z1980" s="60">
        <v>127</v>
      </c>
      <c r="AA1980" s="57" t="s">
        <v>81</v>
      </c>
      <c r="AB1980" s="64" t="b">
        <f t="shared" si="216"/>
        <v>1</v>
      </c>
    </row>
    <row r="1981" spans="1:28" ht="15" customHeight="1" x14ac:dyDescent="0.3">
      <c r="A1981" s="65" t="s">
        <v>4072</v>
      </c>
      <c r="B1981" s="81">
        <v>45270</v>
      </c>
      <c r="C1981" s="59">
        <f t="shared" si="210"/>
        <v>2023</v>
      </c>
      <c r="D1981" s="59">
        <f t="shared" si="211"/>
        <v>12</v>
      </c>
      <c r="E1981" s="59">
        <f t="shared" si="212"/>
        <v>50</v>
      </c>
      <c r="F1981" s="65" t="s">
        <v>58</v>
      </c>
      <c r="G1981" s="65" t="s">
        <v>45</v>
      </c>
      <c r="H1981" s="65" t="s">
        <v>4073</v>
      </c>
      <c r="I1981" s="65" t="s">
        <v>66</v>
      </c>
      <c r="J1981" s="65" t="s">
        <v>123</v>
      </c>
      <c r="K1981" s="65" t="s">
        <v>73</v>
      </c>
      <c r="L1981" s="65" t="s">
        <v>146</v>
      </c>
      <c r="M1981" s="67">
        <v>924</v>
      </c>
      <c r="N1981" s="65" t="s">
        <v>140</v>
      </c>
      <c r="O1981" s="68">
        <v>255.65</v>
      </c>
      <c r="P1981" s="68">
        <v>236220.6</v>
      </c>
      <c r="Q1981" s="68">
        <v>13994.04</v>
      </c>
      <c r="R1981" s="62">
        <f t="shared" si="213"/>
        <v>5.924140400964184E-2</v>
      </c>
      <c r="S1981" s="67">
        <v>6</v>
      </c>
      <c r="T1981" s="66">
        <v>45276</v>
      </c>
      <c r="U1981" s="66">
        <v>45281</v>
      </c>
      <c r="V1981" s="63">
        <f t="shared" si="214"/>
        <v>5</v>
      </c>
      <c r="W1981" s="65" t="s">
        <v>125</v>
      </c>
      <c r="X1981" s="64" t="b">
        <f t="shared" si="215"/>
        <v>0</v>
      </c>
      <c r="Y1981" s="67">
        <v>388</v>
      </c>
      <c r="Z1981" s="67">
        <v>263</v>
      </c>
      <c r="AA1981" s="65" t="s">
        <v>116</v>
      </c>
      <c r="AB1981" s="64" t="b">
        <f t="shared" si="216"/>
        <v>0</v>
      </c>
    </row>
    <row r="1982" spans="1:28" ht="15" customHeight="1" x14ac:dyDescent="0.3">
      <c r="A1982" s="57" t="s">
        <v>4074</v>
      </c>
      <c r="B1982" s="82">
        <v>45076</v>
      </c>
      <c r="C1982" s="59">
        <f t="shared" si="210"/>
        <v>2023</v>
      </c>
      <c r="D1982" s="59">
        <f t="shared" si="211"/>
        <v>5</v>
      </c>
      <c r="E1982" s="59">
        <f t="shared" si="212"/>
        <v>22</v>
      </c>
      <c r="F1982" s="57" t="s">
        <v>55</v>
      </c>
      <c r="G1982" s="57" t="s">
        <v>46</v>
      </c>
      <c r="H1982" s="57" t="s">
        <v>4075</v>
      </c>
      <c r="I1982" s="57" t="s">
        <v>65</v>
      </c>
      <c r="J1982" s="57" t="s">
        <v>151</v>
      </c>
      <c r="K1982" s="57" t="s">
        <v>75</v>
      </c>
      <c r="L1982" s="57" t="s">
        <v>119</v>
      </c>
      <c r="M1982" s="60">
        <v>549</v>
      </c>
      <c r="N1982" s="57" t="s">
        <v>163</v>
      </c>
      <c r="O1982" s="61">
        <v>43.56</v>
      </c>
      <c r="P1982" s="61">
        <v>23914.44</v>
      </c>
      <c r="Q1982" s="61">
        <v>1075.5</v>
      </c>
      <c r="R1982" s="62">
        <f t="shared" si="213"/>
        <v>4.4972828132291622E-2</v>
      </c>
      <c r="S1982" s="60">
        <v>5</v>
      </c>
      <c r="T1982" s="58">
        <v>45081</v>
      </c>
      <c r="U1982" s="58">
        <v>45080</v>
      </c>
      <c r="V1982" s="63">
        <f t="shared" si="214"/>
        <v>-1</v>
      </c>
      <c r="W1982" s="57" t="s">
        <v>115</v>
      </c>
      <c r="X1982" s="64" t="b">
        <f t="shared" si="215"/>
        <v>1</v>
      </c>
      <c r="Y1982" s="60">
        <v>145</v>
      </c>
      <c r="Z1982" s="60">
        <v>220</v>
      </c>
      <c r="AA1982" s="57" t="s">
        <v>83</v>
      </c>
      <c r="AB1982" s="64" t="b">
        <f t="shared" si="216"/>
        <v>1</v>
      </c>
    </row>
    <row r="1983" spans="1:28" ht="15" customHeight="1" x14ac:dyDescent="0.3">
      <c r="A1983" s="65" t="s">
        <v>4076</v>
      </c>
      <c r="B1983" s="81">
        <v>45067</v>
      </c>
      <c r="C1983" s="59">
        <f t="shared" si="210"/>
        <v>2023</v>
      </c>
      <c r="D1983" s="59">
        <f t="shared" si="211"/>
        <v>5</v>
      </c>
      <c r="E1983" s="59">
        <f t="shared" si="212"/>
        <v>21</v>
      </c>
      <c r="F1983" s="65" t="s">
        <v>58</v>
      </c>
      <c r="G1983" s="65" t="s">
        <v>45</v>
      </c>
      <c r="H1983" s="65" t="s">
        <v>4077</v>
      </c>
      <c r="I1983" s="65" t="s">
        <v>64</v>
      </c>
      <c r="J1983" s="65" t="s">
        <v>139</v>
      </c>
      <c r="K1983" s="65" t="s">
        <v>74</v>
      </c>
      <c r="L1983" s="65" t="s">
        <v>119</v>
      </c>
      <c r="M1983" s="67">
        <v>900</v>
      </c>
      <c r="N1983" s="65" t="s">
        <v>132</v>
      </c>
      <c r="O1983" s="68">
        <v>235.24</v>
      </c>
      <c r="P1983" s="68">
        <v>211716</v>
      </c>
      <c r="Q1983" s="68">
        <v>6516.52</v>
      </c>
      <c r="R1983" s="62">
        <f t="shared" si="213"/>
        <v>3.0779534848570728E-2</v>
      </c>
      <c r="S1983" s="67">
        <v>5</v>
      </c>
      <c r="T1983" s="66">
        <v>45072</v>
      </c>
      <c r="U1983" s="66">
        <v>45069</v>
      </c>
      <c r="V1983" s="63">
        <f t="shared" si="214"/>
        <v>-3</v>
      </c>
      <c r="W1983" s="65" t="s">
        <v>115</v>
      </c>
      <c r="X1983" s="64" t="b">
        <f t="shared" si="215"/>
        <v>1</v>
      </c>
      <c r="Y1983" s="67">
        <v>379</v>
      </c>
      <c r="Z1983" s="67">
        <v>241</v>
      </c>
      <c r="AA1983" s="65" t="s">
        <v>116</v>
      </c>
      <c r="AB1983" s="64" t="b">
        <f t="shared" si="216"/>
        <v>0</v>
      </c>
    </row>
    <row r="1984" spans="1:28" ht="15" customHeight="1" x14ac:dyDescent="0.3">
      <c r="A1984" s="57" t="s">
        <v>4078</v>
      </c>
      <c r="B1984" s="82">
        <v>44966</v>
      </c>
      <c r="C1984" s="59">
        <f t="shared" si="210"/>
        <v>2023</v>
      </c>
      <c r="D1984" s="59">
        <f t="shared" si="211"/>
        <v>2</v>
      </c>
      <c r="E1984" s="59">
        <f t="shared" si="212"/>
        <v>6</v>
      </c>
      <c r="F1984" s="57" t="s">
        <v>54</v>
      </c>
      <c r="G1984" s="57" t="s">
        <v>40</v>
      </c>
      <c r="H1984" s="57" t="s">
        <v>4079</v>
      </c>
      <c r="I1984" s="57" t="s">
        <v>67</v>
      </c>
      <c r="J1984" s="57" t="s">
        <v>151</v>
      </c>
      <c r="K1984" s="57" t="s">
        <v>72</v>
      </c>
      <c r="L1984" s="57" t="s">
        <v>146</v>
      </c>
      <c r="M1984" s="60">
        <v>701</v>
      </c>
      <c r="N1984" s="57" t="s">
        <v>163</v>
      </c>
      <c r="O1984" s="61">
        <v>905.08</v>
      </c>
      <c r="P1984" s="61">
        <v>634461.07999999996</v>
      </c>
      <c r="Q1984" s="61">
        <v>38922</v>
      </c>
      <c r="R1984" s="62">
        <f t="shared" si="213"/>
        <v>6.1346552573406085E-2</v>
      </c>
      <c r="S1984" s="60">
        <v>22</v>
      </c>
      <c r="T1984" s="58">
        <v>44988</v>
      </c>
      <c r="U1984" s="58">
        <v>44988</v>
      </c>
      <c r="V1984" s="63">
        <f t="shared" si="214"/>
        <v>0</v>
      </c>
      <c r="W1984" s="57" t="s">
        <v>115</v>
      </c>
      <c r="X1984" s="64" t="b">
        <f t="shared" si="215"/>
        <v>1</v>
      </c>
      <c r="Y1984" s="60">
        <v>167</v>
      </c>
      <c r="Z1984" s="60">
        <v>484</v>
      </c>
      <c r="AA1984" s="57" t="s">
        <v>116</v>
      </c>
      <c r="AB1984" s="64" t="b">
        <f t="shared" si="216"/>
        <v>0</v>
      </c>
    </row>
    <row r="1985" spans="1:28" ht="15" customHeight="1" x14ac:dyDescent="0.3">
      <c r="A1985" s="65" t="s">
        <v>4080</v>
      </c>
      <c r="B1985" s="81">
        <v>45220</v>
      </c>
      <c r="C1985" s="59">
        <f t="shared" si="210"/>
        <v>2023</v>
      </c>
      <c r="D1985" s="59">
        <f t="shared" si="211"/>
        <v>10</v>
      </c>
      <c r="E1985" s="59">
        <f t="shared" si="212"/>
        <v>42</v>
      </c>
      <c r="F1985" s="65" t="s">
        <v>52</v>
      </c>
      <c r="G1985" s="65" t="s">
        <v>40</v>
      </c>
      <c r="H1985" s="65" t="s">
        <v>4081</v>
      </c>
      <c r="I1985" s="65" t="s">
        <v>66</v>
      </c>
      <c r="J1985" s="65" t="s">
        <v>139</v>
      </c>
      <c r="K1985" s="65" t="s">
        <v>73</v>
      </c>
      <c r="L1985" s="65" t="s">
        <v>119</v>
      </c>
      <c r="M1985" s="67">
        <v>262</v>
      </c>
      <c r="N1985" s="65" t="s">
        <v>163</v>
      </c>
      <c r="O1985" s="68">
        <v>1180.04</v>
      </c>
      <c r="P1985" s="68">
        <v>309170.48</v>
      </c>
      <c r="Q1985" s="68">
        <v>16665.63</v>
      </c>
      <c r="R1985" s="62">
        <f t="shared" si="213"/>
        <v>5.3904337826819693E-2</v>
      </c>
      <c r="S1985" s="67">
        <v>15</v>
      </c>
      <c r="T1985" s="66">
        <v>45235</v>
      </c>
      <c r="U1985" s="66">
        <v>45243</v>
      </c>
      <c r="V1985" s="63">
        <f t="shared" si="214"/>
        <v>8</v>
      </c>
      <c r="W1985" s="65" t="s">
        <v>125</v>
      </c>
      <c r="X1985" s="64" t="b">
        <f t="shared" si="215"/>
        <v>0</v>
      </c>
      <c r="Y1985" s="67">
        <v>256</v>
      </c>
      <c r="Z1985" s="67">
        <v>243</v>
      </c>
      <c r="AA1985" s="65" t="s">
        <v>81</v>
      </c>
      <c r="AB1985" s="64" t="b">
        <f t="shared" si="216"/>
        <v>1</v>
      </c>
    </row>
    <row r="1986" spans="1:28" ht="15" customHeight="1" x14ac:dyDescent="0.3">
      <c r="A1986" s="57" t="s">
        <v>4082</v>
      </c>
      <c r="B1986" s="82">
        <v>45410</v>
      </c>
      <c r="C1986" s="59">
        <f t="shared" ref="C1986:C2001" si="217">YEAR(B1986)</f>
        <v>2024</v>
      </c>
      <c r="D1986" s="59">
        <f t="shared" ref="D1986:D2001" si="218">MONTH(B1986)</f>
        <v>4</v>
      </c>
      <c r="E1986" s="59">
        <f t="shared" ref="E1986:E2001" si="219">WEEKNUM(B1986,1)</f>
        <v>18</v>
      </c>
      <c r="F1986" s="57" t="s">
        <v>60</v>
      </c>
      <c r="G1986" s="57" t="s">
        <v>45</v>
      </c>
      <c r="H1986" s="57" t="s">
        <v>4083</v>
      </c>
      <c r="I1986" s="57" t="s">
        <v>67</v>
      </c>
      <c r="J1986" s="57" t="s">
        <v>139</v>
      </c>
      <c r="K1986" s="57" t="s">
        <v>73</v>
      </c>
      <c r="L1986" s="57" t="s">
        <v>146</v>
      </c>
      <c r="M1986" s="60">
        <v>135</v>
      </c>
      <c r="N1986" s="57" t="s">
        <v>136</v>
      </c>
      <c r="O1986" s="61">
        <v>217.47</v>
      </c>
      <c r="P1986" s="61">
        <v>29358.45</v>
      </c>
      <c r="Q1986" s="61">
        <v>2099.73</v>
      </c>
      <c r="R1986" s="62">
        <f t="shared" ref="R1986:R2001" si="220">Q1986/P1986</f>
        <v>7.152046514717228E-2</v>
      </c>
      <c r="S1986" s="60">
        <v>23</v>
      </c>
      <c r="T1986" s="58">
        <v>45433</v>
      </c>
      <c r="U1986" s="58">
        <v>45433</v>
      </c>
      <c r="V1986" s="63">
        <f t="shared" ref="V1986:V2001" si="221">U1986-T1986</f>
        <v>0</v>
      </c>
      <c r="W1986" s="57" t="s">
        <v>115</v>
      </c>
      <c r="X1986" s="64" t="b">
        <f t="shared" ref="X1986:X2001" si="222">IF(W1986="Entregado", TRUE(), FALSE())</f>
        <v>1</v>
      </c>
      <c r="Y1986" s="60">
        <v>274</v>
      </c>
      <c r="Z1986" s="60">
        <v>426</v>
      </c>
      <c r="AA1986" s="57" t="s">
        <v>84</v>
      </c>
      <c r="AB1986" s="64" t="b">
        <f t="shared" ref="AB1986:AB2001" si="223">IF(AA1986="Ninguna",FALSE(),TRUE())</f>
        <v>1</v>
      </c>
    </row>
    <row r="1987" spans="1:28" ht="15" customHeight="1" x14ac:dyDescent="0.3">
      <c r="A1987" s="65" t="s">
        <v>4084</v>
      </c>
      <c r="B1987" s="81">
        <v>45639</v>
      </c>
      <c r="C1987" s="59">
        <f t="shared" si="217"/>
        <v>2024</v>
      </c>
      <c r="D1987" s="59">
        <f t="shared" si="218"/>
        <v>12</v>
      </c>
      <c r="E1987" s="59">
        <f t="shared" si="219"/>
        <v>50</v>
      </c>
      <c r="F1987" s="65" t="s">
        <v>60</v>
      </c>
      <c r="G1987" s="65" t="s">
        <v>43</v>
      </c>
      <c r="H1987" s="65" t="s">
        <v>4085</v>
      </c>
      <c r="I1987" s="65" t="s">
        <v>65</v>
      </c>
      <c r="J1987" s="65" t="s">
        <v>143</v>
      </c>
      <c r="K1987" s="65" t="s">
        <v>75</v>
      </c>
      <c r="L1987" s="65" t="s">
        <v>135</v>
      </c>
      <c r="M1987" s="67">
        <v>186</v>
      </c>
      <c r="N1987" s="65" t="s">
        <v>114</v>
      </c>
      <c r="O1987" s="68">
        <v>150.18</v>
      </c>
      <c r="P1987" s="68">
        <v>27933.48</v>
      </c>
      <c r="Q1987" s="68">
        <v>755.56</v>
      </c>
      <c r="R1987" s="62">
        <f t="shared" si="220"/>
        <v>2.7048545329833588E-2</v>
      </c>
      <c r="S1987" s="67">
        <v>17</v>
      </c>
      <c r="T1987" s="66">
        <v>45656</v>
      </c>
      <c r="U1987" s="66">
        <v>45661</v>
      </c>
      <c r="V1987" s="63">
        <f t="shared" si="221"/>
        <v>5</v>
      </c>
      <c r="W1987" s="65" t="s">
        <v>125</v>
      </c>
      <c r="X1987" s="64" t="b">
        <f t="shared" si="222"/>
        <v>0</v>
      </c>
      <c r="Y1987" s="67">
        <v>86</v>
      </c>
      <c r="Z1987" s="67">
        <v>392</v>
      </c>
      <c r="AA1987" s="65" t="s">
        <v>116</v>
      </c>
      <c r="AB1987" s="64" t="b">
        <f t="shared" si="223"/>
        <v>0</v>
      </c>
    </row>
    <row r="1988" spans="1:28" ht="15" customHeight="1" x14ac:dyDescent="0.3">
      <c r="A1988" s="57" t="s">
        <v>4086</v>
      </c>
      <c r="B1988" s="82">
        <v>45069</v>
      </c>
      <c r="C1988" s="59">
        <f t="shared" si="217"/>
        <v>2023</v>
      </c>
      <c r="D1988" s="59">
        <f t="shared" si="218"/>
        <v>5</v>
      </c>
      <c r="E1988" s="59">
        <f t="shared" si="219"/>
        <v>21</v>
      </c>
      <c r="F1988" s="57" t="s">
        <v>57</v>
      </c>
      <c r="G1988" s="57" t="s">
        <v>42</v>
      </c>
      <c r="H1988" s="57" t="s">
        <v>4087</v>
      </c>
      <c r="I1988" s="57" t="s">
        <v>69</v>
      </c>
      <c r="J1988" s="57" t="s">
        <v>123</v>
      </c>
      <c r="K1988" s="57" t="s">
        <v>74</v>
      </c>
      <c r="L1988" s="57" t="s">
        <v>119</v>
      </c>
      <c r="M1988" s="60">
        <v>46</v>
      </c>
      <c r="N1988" s="57" t="s">
        <v>114</v>
      </c>
      <c r="O1988" s="61">
        <v>91.31</v>
      </c>
      <c r="P1988" s="61">
        <v>4200.26</v>
      </c>
      <c r="Q1988" s="61">
        <v>282.01</v>
      </c>
      <c r="R1988" s="62">
        <f t="shared" si="220"/>
        <v>6.7141081742558784E-2</v>
      </c>
      <c r="S1988" s="60">
        <v>9</v>
      </c>
      <c r="T1988" s="58">
        <v>45078</v>
      </c>
      <c r="U1988" s="58">
        <v>45078</v>
      </c>
      <c r="V1988" s="63">
        <f t="shared" si="221"/>
        <v>0</v>
      </c>
      <c r="W1988" s="57" t="s">
        <v>115</v>
      </c>
      <c r="X1988" s="64" t="b">
        <f t="shared" si="222"/>
        <v>1</v>
      </c>
      <c r="Y1988" s="60">
        <v>153</v>
      </c>
      <c r="Z1988" s="60">
        <v>18</v>
      </c>
      <c r="AA1988" s="57" t="s">
        <v>83</v>
      </c>
      <c r="AB1988" s="64" t="b">
        <f t="shared" si="223"/>
        <v>1</v>
      </c>
    </row>
    <row r="1989" spans="1:28" ht="15" customHeight="1" x14ac:dyDescent="0.3">
      <c r="A1989" s="65" t="s">
        <v>4088</v>
      </c>
      <c r="B1989" s="81">
        <v>45649</v>
      </c>
      <c r="C1989" s="59">
        <f t="shared" si="217"/>
        <v>2024</v>
      </c>
      <c r="D1989" s="59">
        <f t="shared" si="218"/>
        <v>12</v>
      </c>
      <c r="E1989" s="59">
        <f t="shared" si="219"/>
        <v>52</v>
      </c>
      <c r="F1989" s="65" t="s">
        <v>60</v>
      </c>
      <c r="G1989" s="65" t="s">
        <v>43</v>
      </c>
      <c r="H1989" s="65" t="s">
        <v>4089</v>
      </c>
      <c r="I1989" s="65" t="s">
        <v>68</v>
      </c>
      <c r="J1989" s="65" t="s">
        <v>112</v>
      </c>
      <c r="K1989" s="65" t="s">
        <v>73</v>
      </c>
      <c r="L1989" s="65" t="s">
        <v>146</v>
      </c>
      <c r="M1989" s="67">
        <v>419</v>
      </c>
      <c r="N1989" s="65" t="s">
        <v>114</v>
      </c>
      <c r="O1989" s="68">
        <v>274.58</v>
      </c>
      <c r="P1989" s="68">
        <v>115049.02</v>
      </c>
      <c r="Q1989" s="68">
        <v>6950.23</v>
      </c>
      <c r="R1989" s="62">
        <f t="shared" si="220"/>
        <v>6.0411031749770659E-2</v>
      </c>
      <c r="S1989" s="67">
        <v>3</v>
      </c>
      <c r="T1989" s="66">
        <v>45652</v>
      </c>
      <c r="U1989" s="66">
        <v>45657</v>
      </c>
      <c r="V1989" s="63">
        <f t="shared" si="221"/>
        <v>5</v>
      </c>
      <c r="W1989" s="65" t="s">
        <v>125</v>
      </c>
      <c r="X1989" s="64" t="b">
        <f t="shared" si="222"/>
        <v>0</v>
      </c>
      <c r="Y1989" s="67">
        <v>496</v>
      </c>
      <c r="Z1989" s="67">
        <v>395</v>
      </c>
      <c r="AA1989" s="65" t="s">
        <v>81</v>
      </c>
      <c r="AB1989" s="64" t="b">
        <f t="shared" si="223"/>
        <v>1</v>
      </c>
    </row>
    <row r="1990" spans="1:28" ht="15" customHeight="1" x14ac:dyDescent="0.3">
      <c r="A1990" s="57" t="s">
        <v>4090</v>
      </c>
      <c r="B1990" s="82">
        <v>45407</v>
      </c>
      <c r="C1990" s="59">
        <f t="shared" si="217"/>
        <v>2024</v>
      </c>
      <c r="D1990" s="59">
        <f t="shared" si="218"/>
        <v>4</v>
      </c>
      <c r="E1990" s="59">
        <f t="shared" si="219"/>
        <v>17</v>
      </c>
      <c r="F1990" s="57" t="s">
        <v>58</v>
      </c>
      <c r="G1990" s="57" t="s">
        <v>43</v>
      </c>
      <c r="H1990" s="57" t="s">
        <v>4091</v>
      </c>
      <c r="I1990" s="57" t="s">
        <v>66</v>
      </c>
      <c r="J1990" s="57" t="s">
        <v>139</v>
      </c>
      <c r="K1990" s="57" t="s">
        <v>74</v>
      </c>
      <c r="L1990" s="57" t="s">
        <v>119</v>
      </c>
      <c r="M1990" s="60">
        <v>620</v>
      </c>
      <c r="N1990" s="57" t="s">
        <v>163</v>
      </c>
      <c r="O1990" s="61">
        <v>299.5</v>
      </c>
      <c r="P1990" s="61">
        <v>185690</v>
      </c>
      <c r="Q1990" s="61">
        <v>4995.18</v>
      </c>
      <c r="R1990" s="62">
        <f t="shared" si="220"/>
        <v>2.6900640853034629E-2</v>
      </c>
      <c r="S1990" s="60">
        <v>20</v>
      </c>
      <c r="T1990" s="58">
        <v>45427</v>
      </c>
      <c r="U1990" s="58">
        <v>45427</v>
      </c>
      <c r="V1990" s="63">
        <f t="shared" si="221"/>
        <v>0</v>
      </c>
      <c r="W1990" s="57" t="s">
        <v>115</v>
      </c>
      <c r="X1990" s="64" t="b">
        <f t="shared" si="222"/>
        <v>1</v>
      </c>
      <c r="Y1990" s="60">
        <v>284</v>
      </c>
      <c r="Z1990" s="60">
        <v>154</v>
      </c>
      <c r="AA1990" s="57" t="s">
        <v>81</v>
      </c>
      <c r="AB1990" s="64" t="b">
        <f t="shared" si="223"/>
        <v>1</v>
      </c>
    </row>
    <row r="1991" spans="1:28" ht="15" customHeight="1" x14ac:dyDescent="0.3">
      <c r="A1991" s="65" t="s">
        <v>4092</v>
      </c>
      <c r="B1991" s="81">
        <v>45386</v>
      </c>
      <c r="C1991" s="59">
        <f t="shared" si="217"/>
        <v>2024</v>
      </c>
      <c r="D1991" s="59">
        <f t="shared" si="218"/>
        <v>4</v>
      </c>
      <c r="E1991" s="59">
        <f t="shared" si="219"/>
        <v>14</v>
      </c>
      <c r="F1991" s="65" t="s">
        <v>55</v>
      </c>
      <c r="G1991" s="65" t="s">
        <v>45</v>
      </c>
      <c r="H1991" s="65" t="s">
        <v>4093</v>
      </c>
      <c r="I1991" s="65" t="s">
        <v>64</v>
      </c>
      <c r="J1991" s="65" t="s">
        <v>112</v>
      </c>
      <c r="K1991" s="65" t="s">
        <v>74</v>
      </c>
      <c r="L1991" s="65" t="s">
        <v>113</v>
      </c>
      <c r="M1991" s="67">
        <v>619</v>
      </c>
      <c r="N1991" s="65" t="s">
        <v>136</v>
      </c>
      <c r="O1991" s="68">
        <v>208.85</v>
      </c>
      <c r="P1991" s="68">
        <v>129278.15</v>
      </c>
      <c r="Q1991" s="68">
        <v>7975.07</v>
      </c>
      <c r="R1991" s="62">
        <f t="shared" si="220"/>
        <v>6.1689233640796995E-2</v>
      </c>
      <c r="S1991" s="67">
        <v>26</v>
      </c>
      <c r="T1991" s="66">
        <v>45412</v>
      </c>
      <c r="U1991" s="66">
        <v>45417</v>
      </c>
      <c r="V1991" s="63">
        <f t="shared" si="221"/>
        <v>5</v>
      </c>
      <c r="W1991" s="65" t="s">
        <v>125</v>
      </c>
      <c r="X1991" s="64" t="b">
        <f t="shared" si="222"/>
        <v>0</v>
      </c>
      <c r="Y1991" s="67">
        <v>314</v>
      </c>
      <c r="Z1991" s="67">
        <v>228</v>
      </c>
      <c r="AA1991" s="65" t="s">
        <v>83</v>
      </c>
      <c r="AB1991" s="64" t="b">
        <f t="shared" si="223"/>
        <v>1</v>
      </c>
    </row>
    <row r="1992" spans="1:28" ht="15" customHeight="1" x14ac:dyDescent="0.3">
      <c r="A1992" s="57" t="s">
        <v>4094</v>
      </c>
      <c r="B1992" s="82">
        <v>45557</v>
      </c>
      <c r="C1992" s="59">
        <f t="shared" si="217"/>
        <v>2024</v>
      </c>
      <c r="D1992" s="59">
        <f t="shared" si="218"/>
        <v>9</v>
      </c>
      <c r="E1992" s="59">
        <f t="shared" si="219"/>
        <v>39</v>
      </c>
      <c r="F1992" s="57" t="s">
        <v>55</v>
      </c>
      <c r="G1992" s="57" t="s">
        <v>39</v>
      </c>
      <c r="H1992" s="57" t="s">
        <v>4095</v>
      </c>
      <c r="I1992" s="57" t="s">
        <v>68</v>
      </c>
      <c r="J1992" s="57" t="s">
        <v>123</v>
      </c>
      <c r="K1992" s="57" t="s">
        <v>73</v>
      </c>
      <c r="L1992" s="57" t="s">
        <v>124</v>
      </c>
      <c r="M1992" s="60">
        <v>136</v>
      </c>
      <c r="N1992" s="57" t="s">
        <v>140</v>
      </c>
      <c r="O1992" s="61">
        <v>1434.36</v>
      </c>
      <c r="P1992" s="61">
        <v>195072.96</v>
      </c>
      <c r="Q1992" s="61">
        <v>9069.5</v>
      </c>
      <c r="R1992" s="62">
        <f t="shared" si="220"/>
        <v>4.6492860927521681E-2</v>
      </c>
      <c r="S1992" s="60">
        <v>17</v>
      </c>
      <c r="T1992" s="58">
        <v>45574</v>
      </c>
      <c r="U1992" s="58">
        <v>45586</v>
      </c>
      <c r="V1992" s="63">
        <f t="shared" si="221"/>
        <v>12</v>
      </c>
      <c r="W1992" s="57" t="s">
        <v>125</v>
      </c>
      <c r="X1992" s="64" t="b">
        <f t="shared" si="222"/>
        <v>0</v>
      </c>
      <c r="Y1992" s="60">
        <v>318</v>
      </c>
      <c r="Z1992" s="60">
        <v>367</v>
      </c>
      <c r="AA1992" s="57" t="s">
        <v>116</v>
      </c>
      <c r="AB1992" s="64" t="b">
        <f t="shared" si="223"/>
        <v>0</v>
      </c>
    </row>
    <row r="1993" spans="1:28" ht="15" customHeight="1" x14ac:dyDescent="0.3">
      <c r="A1993" s="65" t="s">
        <v>4096</v>
      </c>
      <c r="B1993" s="81">
        <v>44932</v>
      </c>
      <c r="C1993" s="59">
        <f t="shared" si="217"/>
        <v>2023</v>
      </c>
      <c r="D1993" s="59">
        <f t="shared" si="218"/>
        <v>1</v>
      </c>
      <c r="E1993" s="59">
        <f t="shared" si="219"/>
        <v>1</v>
      </c>
      <c r="F1993" s="65" t="s">
        <v>57</v>
      </c>
      <c r="G1993" s="65" t="s">
        <v>39</v>
      </c>
      <c r="H1993" s="65" t="s">
        <v>4097</v>
      </c>
      <c r="I1993" s="65" t="s">
        <v>65</v>
      </c>
      <c r="J1993" s="65" t="s">
        <v>112</v>
      </c>
      <c r="K1993" s="65" t="s">
        <v>74</v>
      </c>
      <c r="L1993" s="65" t="s">
        <v>113</v>
      </c>
      <c r="M1993" s="67">
        <v>492</v>
      </c>
      <c r="N1993" s="65" t="s">
        <v>140</v>
      </c>
      <c r="O1993" s="68">
        <v>2137.98</v>
      </c>
      <c r="P1993" s="68">
        <v>1051886.1599999999</v>
      </c>
      <c r="Q1993" s="68">
        <v>80678.710000000006</v>
      </c>
      <c r="R1993" s="62">
        <f t="shared" si="220"/>
        <v>7.6699088806340049E-2</v>
      </c>
      <c r="S1993" s="67">
        <v>29</v>
      </c>
      <c r="T1993" s="66">
        <v>44961</v>
      </c>
      <c r="U1993" s="66">
        <v>44961</v>
      </c>
      <c r="V1993" s="63">
        <f t="shared" si="221"/>
        <v>0</v>
      </c>
      <c r="W1993" s="65" t="s">
        <v>115</v>
      </c>
      <c r="X1993" s="64" t="b">
        <f t="shared" si="222"/>
        <v>1</v>
      </c>
      <c r="Y1993" s="67">
        <v>97</v>
      </c>
      <c r="Z1993" s="67">
        <v>57</v>
      </c>
      <c r="AA1993" s="65" t="s">
        <v>81</v>
      </c>
      <c r="AB1993" s="64" t="b">
        <f t="shared" si="223"/>
        <v>1</v>
      </c>
    </row>
    <row r="1994" spans="1:28" ht="15" customHeight="1" x14ac:dyDescent="0.3">
      <c r="A1994" s="57" t="s">
        <v>4098</v>
      </c>
      <c r="B1994" s="82">
        <v>45008</v>
      </c>
      <c r="C1994" s="59">
        <f t="shared" si="217"/>
        <v>2023</v>
      </c>
      <c r="D1994" s="59">
        <f t="shared" si="218"/>
        <v>3</v>
      </c>
      <c r="E1994" s="59">
        <f t="shared" si="219"/>
        <v>12</v>
      </c>
      <c r="F1994" s="57" t="s">
        <v>59</v>
      </c>
      <c r="G1994" s="57" t="s">
        <v>39</v>
      </c>
      <c r="H1994" s="57" t="s">
        <v>4099</v>
      </c>
      <c r="I1994" s="57" t="s">
        <v>67</v>
      </c>
      <c r="J1994" s="57" t="s">
        <v>143</v>
      </c>
      <c r="K1994" s="57" t="s">
        <v>75</v>
      </c>
      <c r="L1994" s="57" t="s">
        <v>156</v>
      </c>
      <c r="M1994" s="60">
        <v>177</v>
      </c>
      <c r="N1994" s="57" t="s">
        <v>114</v>
      </c>
      <c r="O1994" s="61">
        <v>1279.49</v>
      </c>
      <c r="P1994" s="61">
        <v>226469.73</v>
      </c>
      <c r="Q1994" s="61">
        <v>6453.64</v>
      </c>
      <c r="R1994" s="62">
        <f t="shared" si="220"/>
        <v>2.8496700199183354E-2</v>
      </c>
      <c r="S1994" s="60">
        <v>27</v>
      </c>
      <c r="T1994" s="58">
        <v>45035</v>
      </c>
      <c r="U1994" s="58">
        <v>45034</v>
      </c>
      <c r="V1994" s="63">
        <f t="shared" si="221"/>
        <v>-1</v>
      </c>
      <c r="W1994" s="57" t="s">
        <v>115</v>
      </c>
      <c r="X1994" s="64" t="b">
        <f t="shared" si="222"/>
        <v>1</v>
      </c>
      <c r="Y1994" s="60">
        <v>210</v>
      </c>
      <c r="Z1994" s="60">
        <v>280</v>
      </c>
      <c r="AA1994" s="57" t="s">
        <v>83</v>
      </c>
      <c r="AB1994" s="64" t="b">
        <f t="shared" si="223"/>
        <v>1</v>
      </c>
    </row>
    <row r="1995" spans="1:28" ht="15" customHeight="1" x14ac:dyDescent="0.3">
      <c r="A1995" s="65" t="s">
        <v>4100</v>
      </c>
      <c r="B1995" s="81">
        <v>44946</v>
      </c>
      <c r="C1995" s="59">
        <f t="shared" si="217"/>
        <v>2023</v>
      </c>
      <c r="D1995" s="59">
        <f t="shared" si="218"/>
        <v>1</v>
      </c>
      <c r="E1995" s="59">
        <f t="shared" si="219"/>
        <v>3</v>
      </c>
      <c r="F1995" s="65" t="s">
        <v>55</v>
      </c>
      <c r="G1995" s="65" t="s">
        <v>42</v>
      </c>
      <c r="H1995" s="65" t="s">
        <v>4101</v>
      </c>
      <c r="I1995" s="65" t="s">
        <v>69</v>
      </c>
      <c r="J1995" s="65" t="s">
        <v>143</v>
      </c>
      <c r="K1995" s="65" t="s">
        <v>73</v>
      </c>
      <c r="L1995" s="65" t="s">
        <v>146</v>
      </c>
      <c r="M1995" s="67">
        <v>601</v>
      </c>
      <c r="N1995" s="65" t="s">
        <v>140</v>
      </c>
      <c r="O1995" s="68">
        <v>95.39</v>
      </c>
      <c r="P1995" s="68">
        <v>57329.39</v>
      </c>
      <c r="Q1995" s="68">
        <v>3357.78</v>
      </c>
      <c r="R1995" s="62">
        <f t="shared" si="220"/>
        <v>5.8569958619828333E-2</v>
      </c>
      <c r="S1995" s="67">
        <v>10</v>
      </c>
      <c r="T1995" s="66">
        <v>44956</v>
      </c>
      <c r="U1995" s="66">
        <v>44957</v>
      </c>
      <c r="V1995" s="63">
        <f t="shared" si="221"/>
        <v>1</v>
      </c>
      <c r="W1995" s="65" t="s">
        <v>128</v>
      </c>
      <c r="X1995" s="64" t="b">
        <f t="shared" si="222"/>
        <v>0</v>
      </c>
      <c r="Y1995" s="67">
        <v>445</v>
      </c>
      <c r="Z1995" s="67">
        <v>44</v>
      </c>
      <c r="AA1995" s="65" t="s">
        <v>81</v>
      </c>
      <c r="AB1995" s="64" t="b">
        <f t="shared" si="223"/>
        <v>1</v>
      </c>
    </row>
    <row r="1996" spans="1:28" ht="15" customHeight="1" x14ac:dyDescent="0.3">
      <c r="A1996" s="57" t="s">
        <v>4102</v>
      </c>
      <c r="B1996" s="82">
        <v>45189</v>
      </c>
      <c r="C1996" s="59">
        <f t="shared" si="217"/>
        <v>2023</v>
      </c>
      <c r="D1996" s="59">
        <f t="shared" si="218"/>
        <v>9</v>
      </c>
      <c r="E1996" s="59">
        <f t="shared" si="219"/>
        <v>38</v>
      </c>
      <c r="F1996" s="57" t="s">
        <v>58</v>
      </c>
      <c r="G1996" s="57" t="s">
        <v>43</v>
      </c>
      <c r="H1996" s="57" t="s">
        <v>4103</v>
      </c>
      <c r="I1996" s="57" t="s">
        <v>67</v>
      </c>
      <c r="J1996" s="57" t="s">
        <v>131</v>
      </c>
      <c r="K1996" s="57" t="s">
        <v>75</v>
      </c>
      <c r="L1996" s="57" t="s">
        <v>156</v>
      </c>
      <c r="M1996" s="60">
        <v>303</v>
      </c>
      <c r="N1996" s="57" t="s">
        <v>136</v>
      </c>
      <c r="O1996" s="61">
        <v>204.91</v>
      </c>
      <c r="P1996" s="61">
        <v>62087.73</v>
      </c>
      <c r="Q1996" s="61">
        <v>2664.73</v>
      </c>
      <c r="R1996" s="62">
        <f t="shared" si="220"/>
        <v>4.291878604677607E-2</v>
      </c>
      <c r="S1996" s="60">
        <v>3</v>
      </c>
      <c r="T1996" s="58">
        <v>45192</v>
      </c>
      <c r="U1996" s="58">
        <v>45192</v>
      </c>
      <c r="V1996" s="63">
        <f t="shared" si="221"/>
        <v>0</v>
      </c>
      <c r="W1996" s="57" t="s">
        <v>115</v>
      </c>
      <c r="X1996" s="64" t="b">
        <f t="shared" si="222"/>
        <v>1</v>
      </c>
      <c r="Y1996" s="60">
        <v>47</v>
      </c>
      <c r="Z1996" s="60">
        <v>101</v>
      </c>
      <c r="AA1996" s="57" t="s">
        <v>116</v>
      </c>
      <c r="AB1996" s="64" t="b">
        <f t="shared" si="223"/>
        <v>0</v>
      </c>
    </row>
    <row r="1997" spans="1:28" ht="15" customHeight="1" x14ac:dyDescent="0.3">
      <c r="A1997" s="65" t="s">
        <v>4104</v>
      </c>
      <c r="B1997" s="81">
        <v>45147</v>
      </c>
      <c r="C1997" s="59">
        <f t="shared" si="217"/>
        <v>2023</v>
      </c>
      <c r="D1997" s="59">
        <f t="shared" si="218"/>
        <v>8</v>
      </c>
      <c r="E1997" s="59">
        <f t="shared" si="219"/>
        <v>32</v>
      </c>
      <c r="F1997" s="65" t="s">
        <v>53</v>
      </c>
      <c r="G1997" s="65" t="s">
        <v>41</v>
      </c>
      <c r="H1997" s="65" t="s">
        <v>4105</v>
      </c>
      <c r="I1997" s="65" t="s">
        <v>64</v>
      </c>
      <c r="J1997" s="65" t="s">
        <v>143</v>
      </c>
      <c r="K1997" s="65" t="s">
        <v>75</v>
      </c>
      <c r="L1997" s="65" t="s">
        <v>146</v>
      </c>
      <c r="M1997" s="67">
        <v>854</v>
      </c>
      <c r="N1997" s="65" t="s">
        <v>114</v>
      </c>
      <c r="O1997" s="68">
        <v>366.43</v>
      </c>
      <c r="P1997" s="68">
        <v>312931.21999999997</v>
      </c>
      <c r="Q1997" s="68">
        <v>24223.66</v>
      </c>
      <c r="R1997" s="62">
        <f t="shared" si="220"/>
        <v>7.7408895155938739E-2</v>
      </c>
      <c r="S1997" s="67">
        <v>18</v>
      </c>
      <c r="T1997" s="66">
        <v>45165</v>
      </c>
      <c r="U1997" s="66">
        <v>45165</v>
      </c>
      <c r="V1997" s="63">
        <f t="shared" si="221"/>
        <v>0</v>
      </c>
      <c r="W1997" s="65" t="s">
        <v>115</v>
      </c>
      <c r="X1997" s="64" t="b">
        <f t="shared" si="222"/>
        <v>1</v>
      </c>
      <c r="Y1997" s="67">
        <v>317</v>
      </c>
      <c r="Z1997" s="67">
        <v>47</v>
      </c>
      <c r="AA1997" s="65" t="s">
        <v>116</v>
      </c>
      <c r="AB1997" s="64" t="b">
        <f t="shared" si="223"/>
        <v>0</v>
      </c>
    </row>
    <row r="1998" spans="1:28" ht="15" customHeight="1" x14ac:dyDescent="0.3">
      <c r="A1998" s="57" t="s">
        <v>4106</v>
      </c>
      <c r="B1998" s="82">
        <v>45080</v>
      </c>
      <c r="C1998" s="59">
        <f t="shared" si="217"/>
        <v>2023</v>
      </c>
      <c r="D1998" s="59">
        <f t="shared" si="218"/>
        <v>6</v>
      </c>
      <c r="E1998" s="59">
        <f t="shared" si="219"/>
        <v>22</v>
      </c>
      <c r="F1998" s="57" t="s">
        <v>59</v>
      </c>
      <c r="G1998" s="57" t="s">
        <v>46</v>
      </c>
      <c r="H1998" s="57" t="s">
        <v>4107</v>
      </c>
      <c r="I1998" s="57" t="s">
        <v>66</v>
      </c>
      <c r="J1998" s="57" t="s">
        <v>139</v>
      </c>
      <c r="K1998" s="57" t="s">
        <v>74</v>
      </c>
      <c r="L1998" s="57" t="s">
        <v>124</v>
      </c>
      <c r="M1998" s="60">
        <v>647</v>
      </c>
      <c r="N1998" s="57" t="s">
        <v>136</v>
      </c>
      <c r="O1998" s="61">
        <v>58.67</v>
      </c>
      <c r="P1998" s="61">
        <v>37959.49</v>
      </c>
      <c r="Q1998" s="61">
        <v>1510.73</v>
      </c>
      <c r="R1998" s="62">
        <f t="shared" si="220"/>
        <v>3.9798479905815386E-2</v>
      </c>
      <c r="S1998" s="60">
        <v>18</v>
      </c>
      <c r="T1998" s="58">
        <v>45098</v>
      </c>
      <c r="U1998" s="58">
        <v>45095</v>
      </c>
      <c r="V1998" s="63">
        <f t="shared" si="221"/>
        <v>-3</v>
      </c>
      <c r="W1998" s="57" t="s">
        <v>115</v>
      </c>
      <c r="X1998" s="64" t="b">
        <f t="shared" si="222"/>
        <v>1</v>
      </c>
      <c r="Y1998" s="60">
        <v>273</v>
      </c>
      <c r="Z1998" s="60">
        <v>49</v>
      </c>
      <c r="AA1998" s="57" t="s">
        <v>84</v>
      </c>
      <c r="AB1998" s="64" t="b">
        <f t="shared" si="223"/>
        <v>1</v>
      </c>
    </row>
    <row r="1999" spans="1:28" ht="15" customHeight="1" x14ac:dyDescent="0.3">
      <c r="A1999" s="65" t="s">
        <v>4108</v>
      </c>
      <c r="B1999" s="81">
        <v>45488</v>
      </c>
      <c r="C1999" s="59">
        <f t="shared" si="217"/>
        <v>2024</v>
      </c>
      <c r="D1999" s="59">
        <f t="shared" si="218"/>
        <v>7</v>
      </c>
      <c r="E1999" s="59">
        <f t="shared" si="219"/>
        <v>29</v>
      </c>
      <c r="F1999" s="65" t="s">
        <v>52</v>
      </c>
      <c r="G1999" s="65" t="s">
        <v>39</v>
      </c>
      <c r="H1999" s="65" t="s">
        <v>4109</v>
      </c>
      <c r="I1999" s="65" t="s">
        <v>64</v>
      </c>
      <c r="J1999" s="65" t="s">
        <v>123</v>
      </c>
      <c r="K1999" s="65" t="s">
        <v>74</v>
      </c>
      <c r="L1999" s="65" t="s">
        <v>119</v>
      </c>
      <c r="M1999" s="67">
        <v>352</v>
      </c>
      <c r="N1999" s="65" t="s">
        <v>140</v>
      </c>
      <c r="O1999" s="68">
        <v>1368.27</v>
      </c>
      <c r="P1999" s="68">
        <v>481631.04</v>
      </c>
      <c r="Q1999" s="68">
        <v>37437.74</v>
      </c>
      <c r="R1999" s="62">
        <f t="shared" si="220"/>
        <v>7.7731161180973715E-2</v>
      </c>
      <c r="S1999" s="67">
        <v>17</v>
      </c>
      <c r="T1999" s="66">
        <v>45505</v>
      </c>
      <c r="U1999" s="66">
        <v>45517</v>
      </c>
      <c r="V1999" s="63">
        <f t="shared" si="221"/>
        <v>12</v>
      </c>
      <c r="W1999" s="65" t="s">
        <v>128</v>
      </c>
      <c r="X1999" s="64" t="b">
        <f t="shared" si="222"/>
        <v>0</v>
      </c>
      <c r="Y1999" s="67">
        <v>193</v>
      </c>
      <c r="Z1999" s="67">
        <v>80</v>
      </c>
      <c r="AA1999" s="65" t="s">
        <v>82</v>
      </c>
      <c r="AB1999" s="64" t="b">
        <f t="shared" si="223"/>
        <v>1</v>
      </c>
    </row>
    <row r="2000" spans="1:28" ht="15" customHeight="1" x14ac:dyDescent="0.3">
      <c r="A2000" s="57" t="s">
        <v>4110</v>
      </c>
      <c r="B2000" s="82">
        <v>45550</v>
      </c>
      <c r="C2000" s="59">
        <f t="shared" si="217"/>
        <v>2024</v>
      </c>
      <c r="D2000" s="59">
        <f t="shared" si="218"/>
        <v>9</v>
      </c>
      <c r="E2000" s="59">
        <f t="shared" si="219"/>
        <v>38</v>
      </c>
      <c r="F2000" s="57" t="s">
        <v>61</v>
      </c>
      <c r="G2000" s="57" t="s">
        <v>39</v>
      </c>
      <c r="H2000" s="57" t="s">
        <v>3583</v>
      </c>
      <c r="I2000" s="57" t="s">
        <v>67</v>
      </c>
      <c r="J2000" s="57" t="s">
        <v>143</v>
      </c>
      <c r="K2000" s="57" t="s">
        <v>73</v>
      </c>
      <c r="L2000" s="57" t="s">
        <v>146</v>
      </c>
      <c r="M2000" s="60">
        <v>319</v>
      </c>
      <c r="N2000" s="57" t="s">
        <v>114</v>
      </c>
      <c r="O2000" s="61">
        <v>1873.31</v>
      </c>
      <c r="P2000" s="61">
        <v>597585.89</v>
      </c>
      <c r="Q2000" s="61">
        <v>44274.63</v>
      </c>
      <c r="R2000" s="62">
        <f t="shared" si="220"/>
        <v>7.4089148925520973E-2</v>
      </c>
      <c r="S2000" s="60">
        <v>24</v>
      </c>
      <c r="T2000" s="58">
        <v>45574</v>
      </c>
      <c r="U2000" s="58">
        <v>45577</v>
      </c>
      <c r="V2000" s="63">
        <f t="shared" si="221"/>
        <v>3</v>
      </c>
      <c r="W2000" s="57" t="s">
        <v>128</v>
      </c>
      <c r="X2000" s="64" t="b">
        <f t="shared" si="222"/>
        <v>0</v>
      </c>
      <c r="Y2000" s="60">
        <v>251</v>
      </c>
      <c r="Z2000" s="60">
        <v>299</v>
      </c>
      <c r="AA2000" s="57" t="s">
        <v>116</v>
      </c>
      <c r="AB2000" s="64" t="b">
        <f t="shared" si="223"/>
        <v>0</v>
      </c>
    </row>
    <row r="2001" spans="1:28" ht="15" customHeight="1" x14ac:dyDescent="0.3">
      <c r="A2001" s="65" t="s">
        <v>4111</v>
      </c>
      <c r="B2001" s="81">
        <v>45467</v>
      </c>
      <c r="C2001" s="59">
        <f t="shared" si="217"/>
        <v>2024</v>
      </c>
      <c r="D2001" s="59">
        <f t="shared" si="218"/>
        <v>6</v>
      </c>
      <c r="E2001" s="59">
        <f t="shared" si="219"/>
        <v>26</v>
      </c>
      <c r="F2001" s="65" t="s">
        <v>56</v>
      </c>
      <c r="G2001" s="65" t="s">
        <v>40</v>
      </c>
      <c r="H2001" s="65" t="s">
        <v>4112</v>
      </c>
      <c r="I2001" s="65" t="s">
        <v>67</v>
      </c>
      <c r="J2001" s="65" t="s">
        <v>151</v>
      </c>
      <c r="K2001" s="65" t="s">
        <v>72</v>
      </c>
      <c r="L2001" s="65" t="s">
        <v>113</v>
      </c>
      <c r="M2001" s="67">
        <v>671</v>
      </c>
      <c r="N2001" s="65" t="s">
        <v>136</v>
      </c>
      <c r="O2001" s="68">
        <v>1167.23</v>
      </c>
      <c r="P2001" s="68">
        <v>783211.33</v>
      </c>
      <c r="Q2001" s="68">
        <v>28370.26</v>
      </c>
      <c r="R2001" s="62">
        <f t="shared" si="220"/>
        <v>3.6222994884407507E-2</v>
      </c>
      <c r="S2001" s="67">
        <v>3</v>
      </c>
      <c r="T2001" s="66">
        <v>45470</v>
      </c>
      <c r="U2001" s="66">
        <v>45470</v>
      </c>
      <c r="V2001" s="63">
        <f t="shared" si="221"/>
        <v>0</v>
      </c>
      <c r="W2001" s="65" t="s">
        <v>115</v>
      </c>
      <c r="X2001" s="64" t="b">
        <f t="shared" si="222"/>
        <v>1</v>
      </c>
      <c r="Y2001" s="67">
        <v>282</v>
      </c>
      <c r="Z2001" s="67">
        <v>58</v>
      </c>
      <c r="AA2001" s="65" t="s">
        <v>81</v>
      </c>
      <c r="AB2001" s="64" t="b">
        <f t="shared" si="223"/>
        <v>1</v>
      </c>
    </row>
    <row r="2002" spans="1:28" ht="14.25" customHeight="1" x14ac:dyDescent="0.3">
      <c r="V2002" s="54"/>
    </row>
  </sheetData>
  <autoFilter ref="A1:AB20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J117"/>
  <sheetViews>
    <sheetView zoomScale="80" zoomScaleNormal="80" workbookViewId="0">
      <pane ySplit="8" topLeftCell="A9" activePane="bottomLeft" state="frozen"/>
      <selection pane="bottomLeft" activeCell="B88" sqref="B88"/>
    </sheetView>
  </sheetViews>
  <sheetFormatPr baseColWidth="10" defaultColWidth="8.6640625" defaultRowHeight="14.4" x14ac:dyDescent="0.3"/>
  <cols>
    <col min="1" max="1" width="2" style="1" customWidth="1"/>
    <col min="2" max="2" width="30" style="1" customWidth="1"/>
    <col min="3" max="3" width="22" style="1" customWidth="1"/>
    <col min="4" max="6" width="20" style="1" customWidth="1"/>
    <col min="7" max="9" width="18" style="1" customWidth="1"/>
    <col min="10" max="10" width="11.77734375" style="1" customWidth="1"/>
  </cols>
  <sheetData>
    <row r="1" spans="2:10" ht="7.5" customHeight="1" x14ac:dyDescent="0.3"/>
    <row r="2" spans="2:10" ht="33.75" customHeight="1" x14ac:dyDescent="0.3">
      <c r="B2" s="83" t="s">
        <v>0</v>
      </c>
      <c r="C2" s="83"/>
      <c r="D2" s="83"/>
      <c r="E2" s="83"/>
      <c r="F2" s="83"/>
      <c r="G2" s="83"/>
      <c r="H2" s="83"/>
      <c r="I2" s="83"/>
      <c r="J2" s="83"/>
    </row>
    <row r="4" spans="2:10" ht="24" customHeight="1" x14ac:dyDescent="0.3">
      <c r="B4" s="89" t="s">
        <v>1</v>
      </c>
      <c r="C4" s="90"/>
      <c r="D4" s="90"/>
      <c r="E4" s="90"/>
      <c r="F4" s="90"/>
      <c r="G4" s="90"/>
      <c r="H4" s="90"/>
      <c r="I4" s="91"/>
      <c r="J4"/>
    </row>
    <row r="5" spans="2:10" ht="15.75" customHeight="1" x14ac:dyDescent="0.3">
      <c r="B5" s="84" t="s">
        <v>2</v>
      </c>
      <c r="C5" s="84"/>
      <c r="D5" s="85" t="s">
        <v>3</v>
      </c>
      <c r="E5" s="85"/>
      <c r="F5" s="86" t="s">
        <v>4</v>
      </c>
      <c r="G5" s="86"/>
      <c r="H5" s="87" t="s">
        <v>5</v>
      </c>
      <c r="I5" s="88"/>
    </row>
    <row r="6" spans="2:10" ht="27.75" customHeight="1" x14ac:dyDescent="0.3">
      <c r="B6" s="92">
        <f>COUNTA('Dataset Limpio'!A2:A2001)</f>
        <v>2000</v>
      </c>
      <c r="C6" s="92"/>
      <c r="D6" s="93">
        <f>SUM('Dataset Limpio'!P2:P2001)</f>
        <v>502280155.85599983</v>
      </c>
      <c r="E6" s="93"/>
      <c r="F6" s="94">
        <f>SUM('Dataset Limpio'!Q2:Q2001)</f>
        <v>25014695.995999988</v>
      </c>
      <c r="G6" s="94"/>
      <c r="H6" s="95">
        <f>SUM('Dataset Limpio'!Q2:Q2001)/SUM('Dataset Limpio'!P2:P2001)</f>
        <v>4.9802278079987543E-2</v>
      </c>
      <c r="I6" s="96"/>
    </row>
    <row r="7" spans="2:10" ht="15.75" customHeight="1" x14ac:dyDescent="0.3">
      <c r="B7" s="97" t="s">
        <v>6</v>
      </c>
      <c r="C7" s="97"/>
      <c r="D7" s="98" t="s">
        <v>7</v>
      </c>
      <c r="E7" s="98"/>
      <c r="F7" s="98" t="s">
        <v>8</v>
      </c>
      <c r="G7" s="98"/>
      <c r="H7" s="99" t="s">
        <v>9</v>
      </c>
      <c r="I7" s="100"/>
    </row>
    <row r="8" spans="2:10" ht="27.75" customHeight="1" x14ac:dyDescent="0.3">
      <c r="B8" s="101">
        <f>COUNTIF('Dataset Limpio'!X2:X2001,"VERDADERO")/COUNTA('Dataset Limpio'!A2:A2001)</f>
        <v>0.48499999999999999</v>
      </c>
      <c r="C8" s="101"/>
      <c r="D8" s="102">
        <f>COUNTIF('Dataset Limpio'!W2:W2001,"Retrasado")/COUNTA('Dataset Limpio'!A2:A2001)</f>
        <v>0.26500000000000001</v>
      </c>
      <c r="E8" s="102"/>
      <c r="F8" s="102">
        <f>COUNTIF('Dataset Limpio'!AB2:AB2001,"VERDADERO")/COUNTA('Dataset Limpio'!A2:A2001)</f>
        <v>0.57650000000000001</v>
      </c>
      <c r="G8" s="102"/>
      <c r="H8" s="103">
        <f>AVERAGE('Dataset Limpio'!S2:S2001)</f>
        <v>15.115500000000001</v>
      </c>
      <c r="I8" s="104"/>
    </row>
    <row r="11" spans="2:10" ht="24" customHeight="1" x14ac:dyDescent="0.3">
      <c r="B11" s="105" t="s">
        <v>10</v>
      </c>
      <c r="C11" s="106"/>
      <c r="D11" s="106"/>
      <c r="E11" s="106"/>
      <c r="F11" s="106"/>
      <c r="G11" s="106"/>
      <c r="H11" s="106"/>
      <c r="I11" s="106"/>
      <c r="J11"/>
    </row>
    <row r="12" spans="2:10" ht="19.5" customHeight="1" x14ac:dyDescent="0.3">
      <c r="B12" s="2" t="s">
        <v>11</v>
      </c>
      <c r="C12" s="2" t="s">
        <v>12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17</v>
      </c>
      <c r="I12" s="2" t="s">
        <v>18</v>
      </c>
    </row>
    <row r="13" spans="2:10" ht="18" customHeight="1" x14ac:dyDescent="0.3">
      <c r="B13" s="3" t="s">
        <v>19</v>
      </c>
      <c r="C13" s="4">
        <f>MIN('Dataset Limpio'!P2:P2001)</f>
        <v>3302.8089</v>
      </c>
      <c r="D13" s="4">
        <f>MAX('Dataset Limpio'!P2:P2001)</f>
        <v>1639255.3774000001</v>
      </c>
      <c r="E13" s="4">
        <f>AVERAGE('Dataset Limpio'!P2:P2001)</f>
        <v>251140.07792799993</v>
      </c>
      <c r="F13" s="4">
        <f>MEDIAN('Dataset Limpio'!P2:P2001)</f>
        <v>107129.73000000001</v>
      </c>
      <c r="G13" s="4">
        <f>STDEV('Dataset Limpio'!P2:P2001)</f>
        <v>341334.2665182557</v>
      </c>
      <c r="H13" s="4">
        <f>PERCENTILE('Dataset Limpio'!P2:P2001,0.25)</f>
        <v>42362.84</v>
      </c>
      <c r="I13" s="4">
        <f>PERCENTILE('Dataset Limpio'!P2:P2001,0.75)</f>
        <v>307872.54749999999</v>
      </c>
    </row>
    <row r="14" spans="2:10" ht="18" customHeight="1" x14ac:dyDescent="0.3">
      <c r="B14" s="5" t="s">
        <v>20</v>
      </c>
      <c r="C14" s="6">
        <f>MIN('Dataset Limpio'!Q2:Q2001)</f>
        <v>142.36009999999999</v>
      </c>
      <c r="D14" s="6">
        <f>MAX('Dataset Limpio'!Q2:Q2001)</f>
        <v>96548.6302</v>
      </c>
      <c r="E14" s="6">
        <f>AVERAGE('Dataset Limpio'!Q2:Q2001)</f>
        <v>12507.347997999994</v>
      </c>
      <c r="F14" s="6">
        <f>MEDIAN('Dataset Limpio'!Q2:Q2001)</f>
        <v>4822.05</v>
      </c>
      <c r="G14" s="6">
        <f>STDEV('Dataset Limpio'!Q2:Q2001)</f>
        <v>18336.369903646428</v>
      </c>
      <c r="H14" s="6">
        <f>PERCENTILE('Dataset Limpio'!Q2:Q2001,0.25)</f>
        <v>1904.9825000000001</v>
      </c>
      <c r="I14" s="6">
        <f>PERCENTILE('Dataset Limpio'!Q2:Q2001,0.75)</f>
        <v>14163.814999999999</v>
      </c>
    </row>
    <row r="15" spans="2:10" ht="18" customHeight="1" x14ac:dyDescent="0.3">
      <c r="B15" s="3" t="s">
        <v>21</v>
      </c>
      <c r="C15" s="7">
        <f>MIN('Dataset Limpio'!S2:S2001)</f>
        <v>1</v>
      </c>
      <c r="D15" s="7">
        <f>MAX('Dataset Limpio'!S2:S2001)</f>
        <v>29</v>
      </c>
      <c r="E15" s="7">
        <f>AVERAGE('Dataset Limpio'!S2:S2001)</f>
        <v>15.115500000000001</v>
      </c>
      <c r="F15" s="7">
        <f>MEDIAN('Dataset Limpio'!S2:S2001)</f>
        <v>15</v>
      </c>
      <c r="G15" s="7">
        <f>STDEV('Dataset Limpio'!S2:S2001)</f>
        <v>8.5583165483096337</v>
      </c>
      <c r="H15" s="7">
        <f>PERCENTILE('Dataset Limpio'!S2:S2001,0.25)</f>
        <v>8</v>
      </c>
      <c r="I15" s="7">
        <f>PERCENTILE('Dataset Limpio'!S2:S2001,0.75)</f>
        <v>23</v>
      </c>
    </row>
    <row r="16" spans="2:10" ht="18" customHeight="1" x14ac:dyDescent="0.3">
      <c r="B16" s="5" t="s">
        <v>22</v>
      </c>
      <c r="C16" s="8">
        <f>MIN('Dataset Limpio'!V2:V2001)</f>
        <v>-5</v>
      </c>
      <c r="D16" s="8">
        <f>MAX('Dataset Limpio'!V2:V2001)</f>
        <v>12</v>
      </c>
      <c r="E16" s="8">
        <f>AVERAGE('Dataset Limpio'!V2:V2001)</f>
        <v>1.97</v>
      </c>
      <c r="F16" s="8">
        <f>MEDIAN('Dataset Limpio'!V2:V2001)</f>
        <v>0</v>
      </c>
      <c r="G16" s="8">
        <f>STDEV('Dataset Limpio'!V2:V2001)</f>
        <v>4.5207652736378234</v>
      </c>
      <c r="H16" s="8">
        <f>PERCENTILE('Dataset Limpio'!V2:V2001,0.25)</f>
        <v>0</v>
      </c>
      <c r="I16" s="8">
        <f>PERCENTILE('Dataset Limpio'!V2:V2001,0.75)</f>
        <v>3</v>
      </c>
    </row>
    <row r="17" spans="2:10" ht="18" customHeight="1" x14ac:dyDescent="0.3">
      <c r="B17" s="3" t="s">
        <v>23</v>
      </c>
      <c r="C17" s="7">
        <f>MIN('Dataset Limpio'!M2:M2001)</f>
        <v>10</v>
      </c>
      <c r="D17" s="7">
        <f>MAX('Dataset Limpio'!M2:M2001)</f>
        <v>998</v>
      </c>
      <c r="E17" s="7">
        <f>AVERAGE('Dataset Limpio'!M2:M2001)</f>
        <v>514.35199999999998</v>
      </c>
      <c r="F17" s="7">
        <f>MEDIAN('Dataset Limpio'!M2:M2001)</f>
        <v>505.5</v>
      </c>
      <c r="G17" s="7">
        <f>STDEV('Dataset Limpio'!M2:M2001)</f>
        <v>289.75719786203138</v>
      </c>
      <c r="H17" s="7">
        <f>PERCENTILE('Dataset Limpio'!M2:M2001,0.25)</f>
        <v>258.75</v>
      </c>
      <c r="I17" s="7">
        <f>PERCENTILE('Dataset Limpio'!M2:M2001,0.75)</f>
        <v>771.25</v>
      </c>
    </row>
    <row r="18" spans="2:10" ht="18" customHeight="1" x14ac:dyDescent="0.3">
      <c r="B18" s="5" t="s">
        <v>24</v>
      </c>
      <c r="C18" s="6">
        <f>MIN('Dataset Limpio'!O2:O2001)</f>
        <v>42.03</v>
      </c>
      <c r="D18" s="6">
        <f>MAX('Dataset Limpio'!O2:O2001)</f>
        <v>2235.75</v>
      </c>
      <c r="E18" s="6">
        <f>AVERAGE('Dataset Limpio'!O2:O2001)</f>
        <v>485.90730500000109</v>
      </c>
      <c r="F18" s="6">
        <f>MEDIAN('Dataset Limpio'!O2:O2001)</f>
        <v>221.66499999999999</v>
      </c>
      <c r="G18" s="6">
        <f>STDEV('Dataset Limpio'!O2:O2001)</f>
        <v>542.49147169178218</v>
      </c>
      <c r="H18" s="6">
        <f>PERCENTILE('Dataset Limpio'!O2:O2001,0.25)</f>
        <v>109.50749999999999</v>
      </c>
      <c r="I18" s="6">
        <f>PERCENTILE('Dataset Limpio'!O2:O2001,0.75)</f>
        <v>672.27499999999998</v>
      </c>
    </row>
    <row r="19" spans="2:10" ht="18" customHeight="1" x14ac:dyDescent="0.3">
      <c r="B19" s="3" t="s">
        <v>25</v>
      </c>
      <c r="C19" s="9">
        <f>MIN('Dataset Limpio'!R2:R2001)</f>
        <v>2.0014463915663992E-2</v>
      </c>
      <c r="D19" s="9">
        <f>MAX('Dataset Limpio'!R2:R2001)</f>
        <v>7.9952419100824304E-2</v>
      </c>
      <c r="E19" s="9">
        <f>AVERAGE('Dataset Limpio'!R2:R2001)</f>
        <v>4.9084173052580414E-2</v>
      </c>
      <c r="F19" s="9">
        <f>MEDIAN('Dataset Limpio'!R2:R2001)</f>
        <v>4.858430796977635E-2</v>
      </c>
      <c r="G19" s="9">
        <f>STDEV('Dataset Limpio'!R2:R2001)</f>
        <v>1.7020969760709763E-2</v>
      </c>
      <c r="H19" s="9">
        <f>PERCENTILE('Dataset Limpio'!R2:R2001,0.25)</f>
        <v>3.4479401691256524E-2</v>
      </c>
      <c r="I19" s="9">
        <f>PERCENTILE('Dataset Limpio'!R2:R2001,0.75)</f>
        <v>6.3226021082884651E-2</v>
      </c>
    </row>
    <row r="20" spans="2:10" ht="18" customHeight="1" x14ac:dyDescent="0.3">
      <c r="B20" s="5" t="s">
        <v>26</v>
      </c>
      <c r="C20" s="10">
        <f>MIN('Dataset Limpio'!Y2:Y2001)</f>
        <v>0</v>
      </c>
      <c r="D20" s="10">
        <f>MAX('Dataset Limpio'!Y2:Y2001)</f>
        <v>499</v>
      </c>
      <c r="E20" s="10">
        <f>AVERAGE('Dataset Limpio'!Y2:Y2001)</f>
        <v>250.5745</v>
      </c>
      <c r="F20" s="10">
        <f>MEDIAN('Dataset Limpio'!Y2:Y2001)</f>
        <v>252</v>
      </c>
      <c r="G20" s="10">
        <f>STDEV('Dataset Limpio'!Y2:Y2001)</f>
        <v>145.65721561934717</v>
      </c>
      <c r="H20" s="10">
        <f>PERCENTILE('Dataset Limpio'!Y2:Y2001,0.25)</f>
        <v>125</v>
      </c>
      <c r="I20" s="10">
        <f>PERCENTILE('Dataset Limpio'!Y2:Y2001,0.75)</f>
        <v>377</v>
      </c>
    </row>
    <row r="21" spans="2:10" ht="18" customHeight="1" x14ac:dyDescent="0.3">
      <c r="B21" s="3" t="s">
        <v>27</v>
      </c>
      <c r="C21" s="7">
        <f>MIN('Dataset Limpio'!Z2:Z2001)</f>
        <v>0</v>
      </c>
      <c r="D21" s="7">
        <f>MAX('Dataset Limpio'!Z2:Z2001)</f>
        <v>499</v>
      </c>
      <c r="E21" s="7">
        <f>AVERAGE('Dataset Limpio'!Z2:Z2001)</f>
        <v>253.78399999999999</v>
      </c>
      <c r="F21" s="7">
        <f>MEDIAN('Dataset Limpio'!Z2:Z2001)</f>
        <v>258</v>
      </c>
      <c r="G21" s="7">
        <f>STDEV('Dataset Limpio'!Z2:Z2001)</f>
        <v>145.83047901006205</v>
      </c>
      <c r="H21" s="7">
        <f>PERCENTILE('Dataset Limpio'!Z2:Z2001,0.25)</f>
        <v>124</v>
      </c>
      <c r="I21" s="7">
        <f>PERCENTILE('Dataset Limpio'!Z2:Z2001,0.75)</f>
        <v>382</v>
      </c>
    </row>
    <row r="23" spans="2:10" ht="24" customHeight="1" x14ac:dyDescent="0.3">
      <c r="B23" s="109" t="s">
        <v>28</v>
      </c>
      <c r="C23" s="109"/>
      <c r="D23" s="109"/>
      <c r="E23" s="109"/>
      <c r="F23" s="109"/>
      <c r="G23" s="109"/>
      <c r="H23" s="109"/>
      <c r="I23" s="109"/>
      <c r="J23" s="109"/>
    </row>
    <row r="24" spans="2:10" ht="21.75" customHeight="1" x14ac:dyDescent="0.3">
      <c r="B24" s="11" t="s">
        <v>29</v>
      </c>
      <c r="C24" s="11" t="s">
        <v>30</v>
      </c>
      <c r="D24" s="11" t="s">
        <v>31</v>
      </c>
      <c r="E24" s="11" t="s">
        <v>32</v>
      </c>
      <c r="F24" s="11" t="s">
        <v>33</v>
      </c>
      <c r="G24" s="11" t="s">
        <v>34</v>
      </c>
      <c r="H24" s="11" t="s">
        <v>35</v>
      </c>
      <c r="I24" s="11" t="s">
        <v>36</v>
      </c>
      <c r="J24" s="11" t="s">
        <v>38</v>
      </c>
    </row>
    <row r="25" spans="2:10" ht="18" customHeight="1" x14ac:dyDescent="0.3">
      <c r="B25" s="3" t="s">
        <v>39</v>
      </c>
      <c r="C25" s="7">
        <f>COUNTIF('Dataset Limpio'!G2:G2001,"Maquinaria")</f>
        <v>266</v>
      </c>
      <c r="D25" s="12">
        <f>COUNTIF('Dataset Limpio'!G2:G2001,"Maquinaria")/COUNTA('Dataset Limpio'!A2:A2001)</f>
        <v>0.13300000000000001</v>
      </c>
      <c r="E25" s="13">
        <f>SUMIF('Dataset Limpio'!G2:G2001,"Maquinaria",'Dataset Limpio'!P2:P2001)</f>
        <v>223239975.24800006</v>
      </c>
      <c r="F25" s="12">
        <f>SUMIF('Dataset Limpio'!G2:G2001,"Maquinaria",'Dataset Limpio'!P2:P2001)/SUM('Dataset Limpio'!P2:P2001)</f>
        <v>0.44445310579222125</v>
      </c>
      <c r="G25" s="13">
        <f>SUMIF('Dataset Limpio'!G2:G2001,"Maquinaria",'Dataset Limpio'!Q2:Q2001)</f>
        <v>11030531.413999997</v>
      </c>
      <c r="H25" s="12">
        <f>IFERROR(COUNTIFS('Dataset Limpio'!G2:G2001,"Maquinaria",'Dataset Limpio'!X2:X2001,"VERDADERO")/COUNTIF('Dataset Limpio'!G2:G2001,"Maquinaria"),0)</f>
        <v>0.50375939849624063</v>
      </c>
      <c r="I25" s="14">
        <f>AVERAGEIF('Dataset Limpio'!G2:G2001,"Maquinaria",'Dataset Limpio'!S2:S2001)</f>
        <v>15.909774436090226</v>
      </c>
      <c r="J25" s="12">
        <f>IFERROR(COUNTIFS('Dataset Limpio'!G2:G2001,"Maquinaria",'Dataset Limpio'!AB2:AB2001,"VERDADERO")/COUNTIF('Dataset Limpio'!G2:G2001,"Maquinaria"),0)</f>
        <v>0.56390977443609025</v>
      </c>
    </row>
    <row r="26" spans="2:10" ht="18" customHeight="1" x14ac:dyDescent="0.3">
      <c r="B26" s="5" t="s">
        <v>40</v>
      </c>
      <c r="C26" s="10">
        <f>COUNTIF('Dataset Limpio'!G2:G2001,"Automoción")</f>
        <v>238</v>
      </c>
      <c r="D26" s="16">
        <f>COUNTIF('Dataset Limpio'!G2:G2001,"Automoción")/COUNTA('Dataset Limpio'!A2:A2001)</f>
        <v>0.11899999999999999</v>
      </c>
      <c r="E26" s="17">
        <f>SUMIF('Dataset Limpio'!G2:G2001,"Automoción",'Dataset Limpio'!P2:P2001)</f>
        <v>108738945.73000005</v>
      </c>
      <c r="F26" s="16">
        <f>SUMIF('Dataset Limpio'!G2:G2001,"Automoción",'Dataset Limpio'!P2:P2001)/SUM('Dataset Limpio'!P2:P2001)</f>
        <v>0.21649062671943331</v>
      </c>
      <c r="G26" s="17">
        <f>SUMIF('Dataset Limpio'!G2:G2001,"Automoción",'Dataset Limpio'!Q2:Q2001)</f>
        <v>5616696.9599999981</v>
      </c>
      <c r="H26" s="16">
        <f>IFERROR(COUNTIFS('Dataset Limpio'!G2:G2001,"Automoción",'Dataset Limpio'!X2:X2001,"VERDADERO")/COUNTIF('Dataset Limpio'!G2:G2001,"Automoción"),0)</f>
        <v>0.45378151260504201</v>
      </c>
      <c r="I26" s="18">
        <f>AVERAGEIF('Dataset Limpio'!G2:G2001,"Automoción",'Dataset Limpio'!S2:S2001)</f>
        <v>15.201680672268907</v>
      </c>
      <c r="J26" s="16">
        <f>IFERROR(COUNTIFS('Dataset Limpio'!G2:G2001,"Automoción",'Dataset Limpio'!AB2:AB2001,"VERDADERO")/COUNTIF('Dataset Limpio'!G2:G2001,"Automoción"),0)</f>
        <v>0.5672268907563025</v>
      </c>
    </row>
    <row r="27" spans="2:10" ht="18" customHeight="1" x14ac:dyDescent="0.3">
      <c r="B27" s="3" t="s">
        <v>41</v>
      </c>
      <c r="C27" s="7">
        <f>COUNTIF('Dataset Limpio'!G2:G2001,"Electrónica")</f>
        <v>262</v>
      </c>
      <c r="D27" s="12">
        <f>COUNTIF('Dataset Limpio'!G2:G2001,"Electrónica")/COUNTA('Dataset Limpio'!A2:A2001)</f>
        <v>0.13100000000000001</v>
      </c>
      <c r="E27" s="13">
        <f>SUMIF('Dataset Limpio'!G2:G2001,"Electrónica",'Dataset Limpio'!P2:P2001)</f>
        <v>77619394.939999983</v>
      </c>
      <c r="F27" s="12">
        <f>SUMIF('Dataset Limpio'!G2:G2001,"Electrónica",'Dataset Limpio'!P2:P2001)/SUM('Dataset Limpio'!P2:P2001)</f>
        <v>0.15453406636724248</v>
      </c>
      <c r="G27" s="13">
        <f>SUMIF('Dataset Limpio'!G2:G2001,"Electrónica",'Dataset Limpio'!Q2:Q2001)</f>
        <v>3855910.4799999995</v>
      </c>
      <c r="H27" s="12">
        <f>IFERROR(COUNTIFS('Dataset Limpio'!G2:G2001,"Electrónica",'Dataset Limpio'!X2:X2001,"VERDADERO")/COUNTIF('Dataset Limpio'!G2:G2001,"Electrónica"),0)</f>
        <v>0.48854961832061067</v>
      </c>
      <c r="I27" s="14">
        <f>AVERAGEIF('Dataset Limpio'!G2:G2001,"Electrónica",'Dataset Limpio'!S2:S2001)</f>
        <v>14.961832061068701</v>
      </c>
      <c r="J27" s="12">
        <f>IFERROR(COUNTIFS('Dataset Limpio'!G2:G2001,"Electrónica",'Dataset Limpio'!AB2:AB2001,"VERDADERO")/COUNTIF('Dataset Limpio'!G2:G2001,"Electrónica"),0)</f>
        <v>0.5725190839694656</v>
      </c>
    </row>
    <row r="28" spans="2:10" ht="18" customHeight="1" x14ac:dyDescent="0.3">
      <c r="B28" s="5" t="s">
        <v>42</v>
      </c>
      <c r="C28" s="10">
        <f>COUNTIF('Dataset Limpio'!G2:G2001,"Alimentación")</f>
        <v>235</v>
      </c>
      <c r="D28" s="16">
        <f>COUNTIF('Dataset Limpio'!G2:G2001,"Alimentación")/COUNTA('Dataset Limpio'!A2:A2001)</f>
        <v>0.11749999999999999</v>
      </c>
      <c r="E28" s="17">
        <f>SUMIF('Dataset Limpio'!G2:G2001,"Alimentación",'Dataset Limpio'!P2:P2001)</f>
        <v>10687789.475599997</v>
      </c>
      <c r="F28" s="16">
        <f>SUMIF('Dataset Limpio'!G2:G2001,"Alimentación",'Dataset Limpio'!P2:P2001)/SUM('Dataset Limpio'!P2:P2001)</f>
        <v>2.1278542166145442E-2</v>
      </c>
      <c r="G28" s="17">
        <f>SUMIF('Dataset Limpio'!G2:G2001,"Alimentación",'Dataset Limpio'!Q2:Q2001)</f>
        <v>522883.59040000039</v>
      </c>
      <c r="H28" s="16">
        <f>IFERROR(COUNTIFS('Dataset Limpio'!G2:G2001,"Alimentación",'Dataset Limpio'!X2:X2001,"VERDADERO")/COUNTIF('Dataset Limpio'!G2:G2001,"Alimentación"),0)</f>
        <v>0.48936170212765956</v>
      </c>
      <c r="I28" s="18">
        <f>AVERAGEIF('Dataset Limpio'!G2:G2001,"Alimentación",'Dataset Limpio'!S2:S2001)</f>
        <v>15.74468085106383</v>
      </c>
      <c r="J28" s="16">
        <f>IFERROR(COUNTIFS('Dataset Limpio'!G2:G2001,"Alimentación",'Dataset Limpio'!AB2:AB2001,"VERDADERO")/COUNTIF('Dataset Limpio'!G2:G2001,"Alimentación"),0)</f>
        <v>0.63404255319148939</v>
      </c>
    </row>
    <row r="29" spans="2:10" ht="18" customHeight="1" x14ac:dyDescent="0.3">
      <c r="B29" s="3" t="s">
        <v>43</v>
      </c>
      <c r="C29" s="7">
        <f>COUNTIF('Dataset Limpio'!G2:G2001,"Farmacia")</f>
        <v>269</v>
      </c>
      <c r="D29" s="12">
        <f>COUNTIF('Dataset Limpio'!G2:G2001,"Farmacia")/COUNTA('Dataset Limpio'!A2:A2001)</f>
        <v>0.13450000000000001</v>
      </c>
      <c r="E29" s="13">
        <f>SUMIF('Dataset Limpio'!G2:G2001,"Farmacia",'Dataset Limpio'!P2:P2001)</f>
        <v>30309925.239999995</v>
      </c>
      <c r="F29" s="12">
        <f>SUMIF('Dataset Limpio'!G2:G2001,"Farmacia",'Dataset Limpio'!P2:P2001)/SUM('Dataset Limpio'!P2:P2001)</f>
        <v>6.0344660020153443E-2</v>
      </c>
      <c r="G29" s="13">
        <f>SUMIF('Dataset Limpio'!G2:G2001,"Farmacia",'Dataset Limpio'!Q2:Q2001)</f>
        <v>1438830.5700999999</v>
      </c>
      <c r="H29" s="12">
        <f>IFERROR(COUNTIFS('Dataset Limpio'!G2:G2001,"Farmacia",'Dataset Limpio'!X2:X2001,"VERDADERO")/COUNTIF('Dataset Limpio'!G2:G2001,"Farmacia"),0)</f>
        <v>0.45724907063197023</v>
      </c>
      <c r="I29" s="14">
        <f>AVERAGEIF('Dataset Limpio'!G2:G2001,"Farmacia",'Dataset Limpio'!S2:S2001)</f>
        <v>14.486988847583643</v>
      </c>
      <c r="J29" s="12">
        <f>IFERROR(COUNTIFS('Dataset Limpio'!G2:G2001,"Farmacia",'Dataset Limpio'!AB2:AB2001,"VERDADERO")/COUNTIF('Dataset Limpio'!G2:G2001,"Farmacia"),0)</f>
        <v>0.57620817843866168</v>
      </c>
    </row>
    <row r="30" spans="2:10" ht="18" customHeight="1" x14ac:dyDescent="0.3">
      <c r="B30" s="5" t="s">
        <v>44</v>
      </c>
      <c r="C30" s="10">
        <f>COUNTIF('Dataset Limpio'!G2:G2001,"Químicos")</f>
        <v>243</v>
      </c>
      <c r="D30" s="16">
        <f>COUNTIF('Dataset Limpio'!G2:G2001,"Químicos")/COUNTA('Dataset Limpio'!A2:A2001)</f>
        <v>0.1215</v>
      </c>
      <c r="E30" s="17">
        <f>SUMIF('Dataset Limpio'!G2:G2001,"Químicos",'Dataset Limpio'!P2:P2001)</f>
        <v>16057312.274500007</v>
      </c>
      <c r="F30" s="16">
        <f>SUMIF('Dataset Limpio'!G2:G2001,"Químicos",'Dataset Limpio'!P2:P2001)/SUM('Dataset Limpio'!P2:P2001)</f>
        <v>3.1968836688629848E-2</v>
      </c>
      <c r="G30" s="17">
        <f>SUMIF('Dataset Limpio'!G2:G2001,"Químicos",'Dataset Limpio'!Q2:Q2001)</f>
        <v>802542.35039999988</v>
      </c>
      <c r="H30" s="16">
        <f>IFERROR(COUNTIFS('Dataset Limpio'!G2:G2001,"Químicos",'Dataset Limpio'!X2:X2001,"VERDADERO")/COUNTIF('Dataset Limpio'!G2:G2001,"Químicos"),0)</f>
        <v>0.53497942386831276</v>
      </c>
      <c r="I30" s="18">
        <f>AVERAGEIF('Dataset Limpio'!G2:G2001,"Químicos",'Dataset Limpio'!S2:S2001)</f>
        <v>15.563786008230453</v>
      </c>
      <c r="J30" s="16">
        <f>IFERROR(COUNTIFS('Dataset Limpio'!G2:G2001,"Químicos",'Dataset Limpio'!AB2:AB2001,"VERDADERO")/COUNTIF('Dataset Limpio'!G2:G2001,"Químicos"),0)</f>
        <v>0.53086419753086422</v>
      </c>
    </row>
    <row r="31" spans="2:10" ht="18" customHeight="1" x14ac:dyDescent="0.3">
      <c r="B31" s="3" t="s">
        <v>45</v>
      </c>
      <c r="C31" s="7">
        <f>COUNTIF('Dataset Limpio'!G2:G2001,"Construcción")</f>
        <v>249</v>
      </c>
      <c r="D31" s="12">
        <f>COUNTIF('Dataset Limpio'!G2:G2001,"Construcción")/COUNTA('Dataset Limpio'!A2:A2001)</f>
        <v>0.1245</v>
      </c>
      <c r="E31" s="13">
        <f>SUMIF('Dataset Limpio'!G2:G2001,"Construcción",'Dataset Limpio'!P2:P2001)</f>
        <v>27974409.995599996</v>
      </c>
      <c r="F31" s="12">
        <f>SUMIF('Dataset Limpio'!G2:G2001,"Construcción",'Dataset Limpio'!P2:P2001)/SUM('Dataset Limpio'!P2:P2001)</f>
        <v>5.569483418656114E-2</v>
      </c>
      <c r="G31" s="13">
        <f>SUMIF('Dataset Limpio'!G2:G2001,"Construcción",'Dataset Limpio'!Q2:Q2001)</f>
        <v>1375369.2904000005</v>
      </c>
      <c r="H31" s="12">
        <f>IFERROR(COUNTIFS('Dataset Limpio'!G2:G2001,"Construcción",'Dataset Limpio'!X2:X2001,"VERDADERO")/COUNTIF('Dataset Limpio'!G2:G2001,"Construcción"),0)</f>
        <v>0.49397590361445781</v>
      </c>
      <c r="I31" s="14">
        <f>AVERAGEIF('Dataset Limpio'!G2:G2001,"Construcción",'Dataset Limpio'!S2:S2001)</f>
        <v>14.819277108433734</v>
      </c>
      <c r="J31" s="12">
        <f>IFERROR(COUNTIFS('Dataset Limpio'!G2:G2001,"Construcción",'Dataset Limpio'!AB2:AB2001,"VERDADERO")/COUNTIF('Dataset Limpio'!G2:G2001,"Construcción"),0)</f>
        <v>0.55823293172690758</v>
      </c>
    </row>
    <row r="32" spans="2:10" ht="18" customHeight="1" x14ac:dyDescent="0.3">
      <c r="B32" s="5" t="s">
        <v>46</v>
      </c>
      <c r="C32" s="10">
        <f>COUNTIF('Dataset Limpio'!G2:G2001,"Textil")</f>
        <v>238</v>
      </c>
      <c r="D32" s="16">
        <f>COUNTIF('Dataset Limpio'!G2:G2001,"Textil")/COUNTA('Dataset Limpio'!A2:A2001)</f>
        <v>0.11899999999999999</v>
      </c>
      <c r="E32" s="17">
        <f>SUMIF('Dataset Limpio'!G2:G2001,"Textil",'Dataset Limpio'!P2:P2001)</f>
        <v>7652402.9523</v>
      </c>
      <c r="F32" s="16">
        <f>SUMIF('Dataset Limpio'!G2:G2001,"Textil",'Dataset Limpio'!P2:P2001)/SUM('Dataset Limpio'!P2:P2001)</f>
        <v>1.5235328059613588E-2</v>
      </c>
      <c r="G32" s="17">
        <f>SUMIF('Dataset Limpio'!G2:G2001,"Textil",'Dataset Limpio'!Q2:Q2001)</f>
        <v>371931.34069999983</v>
      </c>
      <c r="H32" s="16">
        <f>IFERROR(COUNTIFS('Dataset Limpio'!G2:G2001,"Textil",'Dataset Limpio'!X2:X2001,"VERDADERO")/COUNTIF('Dataset Limpio'!G2:G2001,"Textil"),0)</f>
        <v>0.45798319327731091</v>
      </c>
      <c r="I32" s="18">
        <f>AVERAGEIF('Dataset Limpio'!G2:G2001,"Textil",'Dataset Limpio'!S2:S2001)</f>
        <v>14.252100840336135</v>
      </c>
      <c r="J32" s="16">
        <f>IFERROR(COUNTIFS('Dataset Limpio'!G2:G2001,"Textil",'Dataset Limpio'!AB2:AB2001,"VERDADERO")/COUNTIF('Dataset Limpio'!G2:G2001,"Textil"),0)</f>
        <v>0.61344537815126055</v>
      </c>
    </row>
    <row r="33" spans="2:10" ht="19.5" customHeight="1" x14ac:dyDescent="0.3">
      <c r="B33" s="20" t="s">
        <v>47</v>
      </c>
      <c r="C33" s="21">
        <f>COUNTA('Dataset Limpio'!A2:A2001)</f>
        <v>2000</v>
      </c>
      <c r="D33" s="22">
        <f>1</f>
        <v>1</v>
      </c>
      <c r="E33" s="23">
        <f>SUM('Dataset Limpio'!P2:P2001)</f>
        <v>502280155.85599983</v>
      </c>
      <c r="F33" s="22">
        <f>1</f>
        <v>1</v>
      </c>
      <c r="G33" s="23">
        <f>SUM('Dataset Limpio'!Q2:Q2001)</f>
        <v>25014695.995999988</v>
      </c>
      <c r="H33" s="22">
        <f>COUNTIF('Dataset Limpio'!X2:X2001,"VERDADERO")/COUNTA('Dataset Limpio'!A2:A2001)</f>
        <v>0.48499999999999999</v>
      </c>
      <c r="I33" s="24">
        <f>AVERAGE('Dataset Limpio'!S2:S2001)</f>
        <v>15.115500000000001</v>
      </c>
      <c r="J33" s="22">
        <f>COUNTIF('Dataset Limpio'!AB2:AB2001,"VERDADERO")/COUNTA('Dataset Limpio'!A2:A2001)</f>
        <v>0.57650000000000001</v>
      </c>
    </row>
    <row r="35" spans="2:10" ht="24" customHeight="1" x14ac:dyDescent="0.3">
      <c r="B35" s="110" t="s">
        <v>48</v>
      </c>
      <c r="C35" s="110"/>
      <c r="D35" s="110"/>
      <c r="E35" s="110"/>
      <c r="F35" s="110"/>
      <c r="G35" s="110"/>
      <c r="H35" s="110"/>
      <c r="I35" s="110"/>
      <c r="J35" s="110"/>
    </row>
    <row r="36" spans="2:10" ht="21.75" customHeight="1" x14ac:dyDescent="0.3">
      <c r="B36" s="25" t="s">
        <v>49</v>
      </c>
      <c r="C36" s="25" t="s">
        <v>30</v>
      </c>
      <c r="D36" s="25" t="s">
        <v>32</v>
      </c>
      <c r="E36" s="25" t="s">
        <v>35</v>
      </c>
      <c r="F36" s="25" t="s">
        <v>50</v>
      </c>
      <c r="G36" s="25" t="s">
        <v>38</v>
      </c>
      <c r="H36" s="25" t="s">
        <v>36</v>
      </c>
      <c r="I36" s="25" t="s">
        <v>34</v>
      </c>
      <c r="J36" s="25" t="s">
        <v>51</v>
      </c>
    </row>
    <row r="37" spans="2:10" ht="18" customHeight="1" x14ac:dyDescent="0.3">
      <c r="B37" s="3" t="s">
        <v>52</v>
      </c>
      <c r="C37" s="7">
        <f>COUNTIF('Dataset Limpio'!F2:F2001,"Valencia Port Traders")</f>
        <v>209</v>
      </c>
      <c r="D37" s="13">
        <f>SUMIF('Dataset Limpio'!F2:F2001,"Valencia Port Traders",'Dataset Limpio'!P2:P2001)</f>
        <v>57066672.387399971</v>
      </c>
      <c r="E37" s="12">
        <f>IFERROR(COUNTIFS('Dataset Limpio'!F2:F2001,"Valencia Port Traders",'Dataset Limpio'!X2:X2001,"VERDADERO")/COUNTIF('Dataset Limpio'!F2:F2001,"Valencia Port Traders"),0)</f>
        <v>0.50239234449760761</v>
      </c>
      <c r="F37" s="15">
        <f>AVERAGEIF('Dataset Limpio'!F2:F2001,"Valencia Port Traders",'Dataset Limpio'!V2:V2001)</f>
        <v>1.7846889952153111</v>
      </c>
      <c r="G37" s="12">
        <f>IFERROR(COUNTIFS('Dataset Limpio'!F2:F2001,"Valencia Port Traders",'Dataset Limpio'!AB2:AB2001,"VERDADERO")/COUNTIF('Dataset Limpio'!F2:F2001,"Valencia Port Traders"),0)</f>
        <v>0.55023923444976075</v>
      </c>
      <c r="H37" s="14">
        <f>AVERAGEIF('Dataset Limpio'!F2:F2001,"Valencia Port Traders",'Dataset Limpio'!S2:S2001)</f>
        <v>14.899521531100479</v>
      </c>
      <c r="I37" s="13">
        <f>SUMIF('Dataset Limpio'!F2:F2001,"Valencia Port Traders",'Dataset Limpio'!Q2:Q2001)</f>
        <v>2928631.4508000016</v>
      </c>
      <c r="J37" s="12">
        <f>IFERROR(SUMIF('Dataset Limpio'!F2:F2001,"Valencia Port Traders",'Dataset Limpio'!Q2:Q2001)/SUMIF('Dataset Limpio'!F2:F2001,"Valencia Port Traders",'Dataset Limpio'!P2:P2001),0)</f>
        <v>5.131947121287956E-2</v>
      </c>
    </row>
    <row r="38" spans="2:10" ht="18" customHeight="1" x14ac:dyDescent="0.3">
      <c r="B38" s="5" t="s">
        <v>53</v>
      </c>
      <c r="C38" s="10">
        <f>COUNTIF('Dataset Limpio'!F2:F2001,"LogiTech Supply S.L.")</f>
        <v>195</v>
      </c>
      <c r="D38" s="17">
        <f>SUMIF('Dataset Limpio'!F2:F2001,"LogiTech Supply S.L.",'Dataset Limpio'!P2:P2001)</f>
        <v>56835060.459600002</v>
      </c>
      <c r="E38" s="16">
        <f>IFERROR(COUNTIFS('Dataset Limpio'!F2:F2001,"LogiTech Supply S.L.",'Dataset Limpio'!X2:X2001,"VERDADERO")/COUNTIF('Dataset Limpio'!F2:F2001,"LogiTech Supply S.L."),0)</f>
        <v>0.49743589743589745</v>
      </c>
      <c r="F38" s="19">
        <f>AVERAGEIF('Dataset Limpio'!F2:F2001,"LogiTech Supply S.L.",'Dataset Limpio'!V2:V2001)</f>
        <v>1.7128205128205127</v>
      </c>
      <c r="G38" s="16">
        <f>IFERROR(COUNTIFS('Dataset Limpio'!F2:F2001,"LogiTech Supply S.L.",'Dataset Limpio'!AB2:AB2001,"VERDADERO")/COUNTIF('Dataset Limpio'!F2:F2001,"LogiTech Supply S.L."),0)</f>
        <v>0.61025641025641031</v>
      </c>
      <c r="H38" s="18">
        <f>AVERAGEIF('Dataset Limpio'!F2:F2001,"LogiTech Supply S.L.",'Dataset Limpio'!S2:S2001)</f>
        <v>14.912820512820513</v>
      </c>
      <c r="I38" s="17">
        <f>SUMIF('Dataset Limpio'!F2:F2001,"LogiTech Supply S.L.",'Dataset Limpio'!Q2:Q2001)</f>
        <v>2979690.9411999993</v>
      </c>
      <c r="J38" s="16">
        <f>IFERROR(SUMIF('Dataset Limpio'!F2:F2001,"LogiTech Supply S.L.",'Dataset Limpio'!Q2:Q2001)/SUMIF('Dataset Limpio'!F2:F2001,"LogiTech Supply S.L.",'Dataset Limpio'!P2:P2001),0)</f>
        <v>5.2426986390171071E-2</v>
      </c>
    </row>
    <row r="39" spans="2:10" ht="18" customHeight="1" x14ac:dyDescent="0.3">
      <c r="B39" s="3" t="s">
        <v>54</v>
      </c>
      <c r="C39" s="7">
        <f>COUNTIF('Dataset Limpio'!F2:F2001,"FastShip Iberia")</f>
        <v>225</v>
      </c>
      <c r="D39" s="13">
        <f>SUMIF('Dataset Limpio'!F2:F2001,"FastShip Iberia",'Dataset Limpio'!P2:P2001)</f>
        <v>53031676.252999991</v>
      </c>
      <c r="E39" s="12">
        <f>IFERROR(COUNTIFS('Dataset Limpio'!F2:F2001,"FastShip Iberia",'Dataset Limpio'!X2:X2001,"VERDADERO")/COUNTIF('Dataset Limpio'!F2:F2001,"FastShip Iberia"),0)</f>
        <v>0.52</v>
      </c>
      <c r="F39" s="15">
        <f>AVERAGEIF('Dataset Limpio'!F2:F2001,"FastShip Iberia",'Dataset Limpio'!V2:V2001)</f>
        <v>1.5866666666666667</v>
      </c>
      <c r="G39" s="12">
        <f>IFERROR(COUNTIFS('Dataset Limpio'!F2:F2001,"FastShip Iberia",'Dataset Limpio'!AB2:AB2001,"VERDADERO")/COUNTIF('Dataset Limpio'!F2:F2001,"FastShip Iberia"),0)</f>
        <v>0.51555555555555554</v>
      </c>
      <c r="H39" s="14">
        <f>AVERAGEIF('Dataset Limpio'!F2:F2001,"FastShip Iberia",'Dataset Limpio'!S2:S2001)</f>
        <v>14.782222222222222</v>
      </c>
      <c r="I39" s="13">
        <f>SUMIF('Dataset Limpio'!F2:F2001,"FastShip Iberia",'Dataset Limpio'!Q2:Q2001)</f>
        <v>2588353.1405000007</v>
      </c>
      <c r="J39" s="12">
        <f>IFERROR(SUMIF('Dataset Limpio'!F2:F2001,"FastShip Iberia",'Dataset Limpio'!Q2:Q2001)/SUMIF('Dataset Limpio'!F2:F2001,"FastShip Iberia",'Dataset Limpio'!P2:P2001),0)</f>
        <v>4.8807681057480776E-2</v>
      </c>
    </row>
    <row r="40" spans="2:10" ht="18" customHeight="1" x14ac:dyDescent="0.3">
      <c r="B40" s="5" t="s">
        <v>55</v>
      </c>
      <c r="C40" s="10">
        <f>COUNTIF('Dataset Limpio'!F2:F2001,"EuroDistrib S.A.")</f>
        <v>199</v>
      </c>
      <c r="D40" s="17">
        <f>SUMIF('Dataset Limpio'!F2:F2001,"EuroDistrib S.A.",'Dataset Limpio'!P2:P2001)</f>
        <v>48391808.033699997</v>
      </c>
      <c r="E40" s="16">
        <f>IFERROR(COUNTIFS('Dataset Limpio'!F2:F2001,"EuroDistrib S.A.",'Dataset Limpio'!X2:X2001,"VERDADERO")/COUNTIF('Dataset Limpio'!F2:F2001,"EuroDistrib S.A."),0)</f>
        <v>0.53768844221105527</v>
      </c>
      <c r="F40" s="19">
        <f>AVERAGEIF('Dataset Limpio'!F2:F2001,"EuroDistrib S.A.",'Dataset Limpio'!V2:V2001)</f>
        <v>1.9246231155778895</v>
      </c>
      <c r="G40" s="16">
        <f>IFERROR(COUNTIFS('Dataset Limpio'!F2:F2001,"EuroDistrib S.A.",'Dataset Limpio'!AB2:AB2001,"VERDADERO")/COUNTIF('Dataset Limpio'!F2:F2001,"EuroDistrib S.A."),0)</f>
        <v>0.61306532663316582</v>
      </c>
      <c r="H40" s="18">
        <f>AVERAGEIF('Dataset Limpio'!F2:F2001,"EuroDistrib S.A.",'Dataset Limpio'!S2:S2001)</f>
        <v>14.643216080402009</v>
      </c>
      <c r="I40" s="17">
        <f>SUMIF('Dataset Limpio'!F2:F2001,"EuroDistrib S.A.",'Dataset Limpio'!Q2:Q2001)</f>
        <v>2395368.2605999983</v>
      </c>
      <c r="J40" s="16">
        <f>IFERROR(SUMIF('Dataset Limpio'!F2:F2001,"EuroDistrib S.A.",'Dataset Limpio'!Q2:Q2001)/SUMIF('Dataset Limpio'!F2:F2001,"EuroDistrib S.A.",'Dataset Limpio'!P2:P2001),0)</f>
        <v>4.9499457820048109E-2</v>
      </c>
    </row>
    <row r="41" spans="2:10" ht="18" customHeight="1" x14ac:dyDescent="0.3">
      <c r="B41" s="3" t="s">
        <v>56</v>
      </c>
      <c r="C41" s="7">
        <f>COUNTIF('Dataset Limpio'!F2:F2001,"PenínsulaLogis")</f>
        <v>206</v>
      </c>
      <c r="D41" s="13">
        <f>SUMIF('Dataset Limpio'!F2:F2001,"PenínsulaLogis",'Dataset Limpio'!P2:P2001)</f>
        <v>49119204.416299976</v>
      </c>
      <c r="E41" s="12">
        <f>IFERROR(COUNTIFS('Dataset Limpio'!F2:F2001,"PenínsulaLogis",'Dataset Limpio'!X2:X2001,"VERDADERO")/COUNTIF('Dataset Limpio'!F2:F2001,"PenínsulaLogis"),0)</f>
        <v>0.52427184466019416</v>
      </c>
      <c r="F41" s="15">
        <f>AVERAGEIF('Dataset Limpio'!F2:F2001,"PenínsulaLogis",'Dataset Limpio'!V2:V2001)</f>
        <v>1.7475728155339805</v>
      </c>
      <c r="G41" s="12">
        <f>IFERROR(COUNTIFS('Dataset Limpio'!F2:F2001,"PenínsulaLogis",'Dataset Limpio'!AB2:AB2001,"VERDADERO")/COUNTIF('Dataset Limpio'!F2:F2001,"PenínsulaLogis"),0)</f>
        <v>0.56796116504854366</v>
      </c>
      <c r="H41" s="14">
        <f>AVERAGEIF('Dataset Limpio'!F2:F2001,"PenínsulaLogis",'Dataset Limpio'!S2:S2001)</f>
        <v>16.155339805825243</v>
      </c>
      <c r="I41" s="13">
        <f>SUMIF('Dataset Limpio'!F2:F2001,"PenínsulaLogis",'Dataset Limpio'!Q2:Q2001)</f>
        <v>2311265.1704000016</v>
      </c>
      <c r="J41" s="12">
        <f>IFERROR(SUMIF('Dataset Limpio'!F2:F2001,"PenínsulaLogis",'Dataset Limpio'!Q2:Q2001)/SUMIF('Dataset Limpio'!F2:F2001,"PenínsulaLogis",'Dataset Limpio'!P2:P2001),0)</f>
        <v>4.7054206147382531E-2</v>
      </c>
    </row>
    <row r="42" spans="2:10" ht="18" customHeight="1" x14ac:dyDescent="0.3">
      <c r="B42" s="5" t="s">
        <v>57</v>
      </c>
      <c r="C42" s="10">
        <f>COUNTIF('Dataset Limpio'!F2:F2001,"MadridPack S.A.")</f>
        <v>195</v>
      </c>
      <c r="D42" s="17">
        <f>SUMIF('Dataset Limpio'!F2:F2001,"MadridPack S.A.",'Dataset Limpio'!P2:P2001)</f>
        <v>48891141.13000001</v>
      </c>
      <c r="E42" s="16">
        <f>IFERROR(COUNTIFS('Dataset Limpio'!F2:F2001,"MadridPack S.A.",'Dataset Limpio'!X2:X2001,"VERDADERO")/COUNTIF('Dataset Limpio'!F2:F2001,"MadridPack S.A."),0)</f>
        <v>0.50256410256410255</v>
      </c>
      <c r="F42" s="19">
        <f>AVERAGEIF('Dataset Limpio'!F2:F2001,"MadridPack S.A.",'Dataset Limpio'!V2:V2001)</f>
        <v>1.7743589743589743</v>
      </c>
      <c r="G42" s="16">
        <f>IFERROR(COUNTIFS('Dataset Limpio'!F2:F2001,"MadridPack S.A.",'Dataset Limpio'!AB2:AB2001,"VERDADERO")/COUNTIF('Dataset Limpio'!F2:F2001,"MadridPack S.A."),0)</f>
        <v>0.54358974358974355</v>
      </c>
      <c r="H42" s="18">
        <f>AVERAGEIF('Dataset Limpio'!F2:F2001,"MadridPack S.A.",'Dataset Limpio'!S2:S2001)</f>
        <v>15.164102564102564</v>
      </c>
      <c r="I42" s="17">
        <f>SUMIF('Dataset Limpio'!F2:F2001,"MadridPack S.A.",'Dataset Limpio'!Q2:Q2001)</f>
        <v>2350290.1200000015</v>
      </c>
      <c r="J42" s="16">
        <f>IFERROR(SUMIF('Dataset Limpio'!F2:F2001,"MadridPack S.A.",'Dataset Limpio'!Q2:Q2001)/SUMIF('Dataset Limpio'!F2:F2001,"MadridPack S.A.",'Dataset Limpio'!P2:P2001),0)</f>
        <v>4.807190148723782E-2</v>
      </c>
    </row>
    <row r="43" spans="2:10" ht="18" customHeight="1" x14ac:dyDescent="0.3">
      <c r="B43" s="3" t="s">
        <v>58</v>
      </c>
      <c r="C43" s="7">
        <f>COUNTIF('Dataset Limpio'!F2:F2001,"TransEuro Logistics")</f>
        <v>192</v>
      </c>
      <c r="D43" s="13">
        <f>SUMIF('Dataset Limpio'!F2:F2001,"TransEuro Logistics",'Dataset Limpio'!P2:P2001)</f>
        <v>52666077.012999989</v>
      </c>
      <c r="E43" s="12">
        <f>IFERROR(COUNTIFS('Dataset Limpio'!F2:F2001,"TransEuro Logistics",'Dataset Limpio'!X2:X2001,"VERDADERO")/COUNTIF('Dataset Limpio'!F2:F2001,"TransEuro Logistics"),0)</f>
        <v>0.46354166666666669</v>
      </c>
      <c r="F43" s="15">
        <f>AVERAGEIF('Dataset Limpio'!F2:F2001,"TransEuro Logistics",'Dataset Limpio'!V2:V2001)</f>
        <v>2.1979166666666665</v>
      </c>
      <c r="G43" s="12">
        <f>IFERROR(COUNTIFS('Dataset Limpio'!F2:F2001,"TransEuro Logistics",'Dataset Limpio'!AB2:AB2001,"VERDADERO")/COUNTIF('Dataset Limpio'!F2:F2001,"TransEuro Logistics"),0)</f>
        <v>0.53645833333333337</v>
      </c>
      <c r="H43" s="14">
        <f>AVERAGEIF('Dataset Limpio'!F2:F2001,"TransEuro Logistics",'Dataset Limpio'!S2:S2001)</f>
        <v>15.375</v>
      </c>
      <c r="I43" s="13">
        <f>SUMIF('Dataset Limpio'!F2:F2001,"TransEuro Logistics",'Dataset Limpio'!Q2:Q2001)</f>
        <v>2684116.0810000002</v>
      </c>
      <c r="J43" s="12">
        <f>IFERROR(SUMIF('Dataset Limpio'!F2:F2001,"TransEuro Logistics",'Dataset Limpio'!Q2:Q2001)/SUMIF('Dataset Limpio'!F2:F2001,"TransEuro Logistics",'Dataset Limpio'!P2:P2001),0)</f>
        <v>5.0964799985718671E-2</v>
      </c>
    </row>
    <row r="44" spans="2:10" ht="18" customHeight="1" x14ac:dyDescent="0.3">
      <c r="B44" s="5" t="s">
        <v>59</v>
      </c>
      <c r="C44" s="10">
        <f>COUNTIF('Dataset Limpio'!F2:F2001,"Iberian Freight Co.")</f>
        <v>186</v>
      </c>
      <c r="D44" s="17">
        <f>SUMIF('Dataset Limpio'!F2:F2001,"Iberian Freight Co.",'Dataset Limpio'!P2:P2001)</f>
        <v>44190509.837400012</v>
      </c>
      <c r="E44" s="16">
        <f>IFERROR(COUNTIFS('Dataset Limpio'!F2:F2001,"Iberian Freight Co.",'Dataset Limpio'!X2:X2001,"VERDADERO")/COUNTIF('Dataset Limpio'!F2:F2001,"Iberian Freight Co."),0)</f>
        <v>0.46236559139784944</v>
      </c>
      <c r="F44" s="19">
        <f>AVERAGEIF('Dataset Limpio'!F2:F2001,"Iberian Freight Co.",'Dataset Limpio'!V2:V2001)</f>
        <v>2.1451612903225805</v>
      </c>
      <c r="G44" s="16">
        <f>IFERROR(COUNTIFS('Dataset Limpio'!F2:F2001,"Iberian Freight Co.",'Dataset Limpio'!AB2:AB2001,"VERDADERO")/COUNTIF('Dataset Limpio'!F2:F2001,"Iberian Freight Co."),0)</f>
        <v>0.66129032258064513</v>
      </c>
      <c r="H44" s="18">
        <f>AVERAGEIF('Dataset Limpio'!F2:F2001,"Iberian Freight Co.",'Dataset Limpio'!S2:S2001)</f>
        <v>14.82258064516129</v>
      </c>
      <c r="I44" s="17">
        <f>SUMIF('Dataset Limpio'!F2:F2001,"Iberian Freight Co.",'Dataset Limpio'!Q2:Q2001)</f>
        <v>2187540.6906000003</v>
      </c>
      <c r="J44" s="16">
        <f>IFERROR(SUMIF('Dataset Limpio'!F2:F2001,"Iberian Freight Co.",'Dataset Limpio'!Q2:Q2001)/SUMIF('Dataset Limpio'!F2:F2001,"Iberian Freight Co.",'Dataset Limpio'!P2:P2001),0)</f>
        <v>4.950249948799202E-2</v>
      </c>
    </row>
    <row r="45" spans="2:10" ht="18" customHeight="1" x14ac:dyDescent="0.3">
      <c r="B45" s="3" t="s">
        <v>60</v>
      </c>
      <c r="C45" s="7">
        <f>COUNTIF('Dataset Limpio'!F2:F2001,"Global Parts S.L.")</f>
        <v>209</v>
      </c>
      <c r="D45" s="13">
        <f>SUMIF('Dataset Limpio'!F2:F2001,"Global Parts S.L.",'Dataset Limpio'!P2:P2001)</f>
        <v>48417095.361499988</v>
      </c>
      <c r="E45" s="12">
        <f>IFERROR(COUNTIFS('Dataset Limpio'!F2:F2001,"Global Parts S.L.",'Dataset Limpio'!X2:X2001,"VERDADERO")/COUNTIF('Dataset Limpio'!F2:F2001,"Global Parts S.L."),0)</f>
        <v>0.44019138755980863</v>
      </c>
      <c r="F45" s="15">
        <f>AVERAGEIF('Dataset Limpio'!F2:F2001,"Global Parts S.L.",'Dataset Limpio'!V2:V2001)</f>
        <v>2.1435406698564594</v>
      </c>
      <c r="G45" s="12">
        <f>IFERROR(COUNTIFS('Dataset Limpio'!F2:F2001,"Global Parts S.L.",'Dataset Limpio'!AB2:AB2001,"VERDADERO")/COUNTIF('Dataset Limpio'!F2:F2001,"Global Parts S.L."),0)</f>
        <v>0.56937799043062198</v>
      </c>
      <c r="H45" s="14">
        <f>AVERAGEIF('Dataset Limpio'!F2:F2001,"Global Parts S.L.",'Dataset Limpio'!S2:S2001)</f>
        <v>14.779904306220097</v>
      </c>
      <c r="I45" s="13">
        <f>SUMIF('Dataset Limpio'!F2:F2001,"Global Parts S.L.",'Dataset Limpio'!Q2:Q2001)</f>
        <v>2494067.2706999993</v>
      </c>
      <c r="J45" s="12">
        <f>IFERROR(SUMIF('Dataset Limpio'!F2:F2001,"Global Parts S.L.",'Dataset Limpio'!Q2:Q2001)/SUMIF('Dataset Limpio'!F2:F2001,"Global Parts S.L.",'Dataset Limpio'!P2:P2001),0)</f>
        <v>5.151212091676232E-2</v>
      </c>
    </row>
    <row r="46" spans="2:10" ht="18" customHeight="1" x14ac:dyDescent="0.3">
      <c r="B46" s="5" t="s">
        <v>61</v>
      </c>
      <c r="C46" s="10">
        <f>COUNTIF('Dataset Limpio'!F2:F2001,"Almería Fresh Supply")</f>
        <v>184</v>
      </c>
      <c r="D46" s="17">
        <f>SUMIF('Dataset Limpio'!F2:F2001,"Almería Fresh Supply",'Dataset Limpio'!P2:P2001)</f>
        <v>43670910.964099988</v>
      </c>
      <c r="E46" s="16">
        <f>IFERROR(COUNTIFS('Dataset Limpio'!F2:F2001,"Almería Fresh Supply",'Dataset Limpio'!X2:X2001,"VERDADERO")/COUNTIF('Dataset Limpio'!F2:F2001,"Almería Fresh Supply"),0)</f>
        <v>0.3858695652173913</v>
      </c>
      <c r="F46" s="19">
        <f>AVERAGEIF('Dataset Limpio'!F2:F2001,"Almería Fresh Supply",'Dataset Limpio'!V2:V2001)</f>
        <v>2.8152173913043477</v>
      </c>
      <c r="G46" s="16">
        <f>IFERROR(COUNTIFS('Dataset Limpio'!F2:F2001,"Almería Fresh Supply",'Dataset Limpio'!AB2:AB2001,"VERDADERO")/COUNTIF('Dataset Limpio'!F2:F2001,"Almería Fresh Supply"),0)</f>
        <v>0.61413043478260865</v>
      </c>
      <c r="H46" s="18">
        <f>AVERAGEIF('Dataset Limpio'!F2:F2001,"Almería Fresh Supply",'Dataset Limpio'!S2:S2001)</f>
        <v>15.684782608695652</v>
      </c>
      <c r="I46" s="17">
        <f>SUMIF('Dataset Limpio'!F2:F2001,"Almería Fresh Supply",'Dataset Limpio'!Q2:Q2001)</f>
        <v>2095372.8701999998</v>
      </c>
      <c r="J46" s="16">
        <f>IFERROR(SUMIF('Dataset Limpio'!F2:F2001,"Almería Fresh Supply",'Dataset Limpio'!Q2:Q2001)/SUMIF('Dataset Limpio'!F2:F2001,"Almería Fresh Supply",'Dataset Limpio'!P2:P2001),0)</f>
        <v>4.7980974610823145E-2</v>
      </c>
    </row>
    <row r="48" spans="2:10" ht="24" customHeight="1" x14ac:dyDescent="0.3">
      <c r="B48" s="111" t="s">
        <v>62</v>
      </c>
      <c r="C48" s="111"/>
      <c r="D48" s="111"/>
      <c r="E48" s="111"/>
      <c r="F48" s="111"/>
      <c r="G48" s="111"/>
      <c r="H48" s="111"/>
      <c r="I48" s="111"/>
      <c r="J48" s="111"/>
    </row>
    <row r="49" spans="2:10" ht="21.75" customHeight="1" x14ac:dyDescent="0.3">
      <c r="B49" s="26" t="s">
        <v>63</v>
      </c>
      <c r="C49" s="26" t="s">
        <v>30</v>
      </c>
      <c r="D49" s="26" t="s">
        <v>31</v>
      </c>
      <c r="E49" s="26" t="s">
        <v>32</v>
      </c>
      <c r="F49" s="26" t="s">
        <v>34</v>
      </c>
      <c r="G49" s="26" t="s">
        <v>35</v>
      </c>
      <c r="H49" s="26" t="s">
        <v>36</v>
      </c>
      <c r="I49" s="26" t="s">
        <v>37</v>
      </c>
      <c r="J49" s="26" t="s">
        <v>38</v>
      </c>
    </row>
    <row r="50" spans="2:10" ht="18" customHeight="1" x14ac:dyDescent="0.3">
      <c r="B50" s="3" t="s">
        <v>64</v>
      </c>
      <c r="C50" s="7">
        <f>COUNTIF('Dataset Limpio'!I2:I2001,"ALM-VAL-01")</f>
        <v>342</v>
      </c>
      <c r="D50" s="12">
        <f>COUNTIF('Dataset Limpio'!I2:I2001,"ALM-VAL-01")/COUNTA('Dataset Limpio'!A2:A2001)</f>
        <v>0.17100000000000001</v>
      </c>
      <c r="E50" s="13">
        <f>SUMIF('Dataset Limpio'!I2:I2001,"ALM-VAL-01",'Dataset Limpio'!P2:P2001)</f>
        <v>87805788.636700034</v>
      </c>
      <c r="F50" s="13">
        <f>SUMIF('Dataset Limpio'!I2:I2001,"ALM-VAL-01",'Dataset Limpio'!Q2:Q2001)</f>
        <v>4405174.9107999988</v>
      </c>
      <c r="G50" s="12">
        <f>IFERROR(COUNTIFS('Dataset Limpio'!I2:I2001,"ALM-VAL-01",'Dataset Limpio'!X2:X2001,"VERDADERO")/COUNTIF('Dataset Limpio'!I2:I2001,"ALM-VAL-01"),0)</f>
        <v>0.51461988304093564</v>
      </c>
      <c r="H50" s="14">
        <f>AVERAGEIF('Dataset Limpio'!I2:I2001,"ALM-VAL-01",'Dataset Limpio'!S2:S2001)</f>
        <v>15.371345029239766</v>
      </c>
      <c r="I50" s="15">
        <f>AVERAGEIF('Dataset Limpio'!I2:I2001,"ALM-VAL-01",'Dataset Limpio'!V2:V2001)</f>
        <v>1.5</v>
      </c>
      <c r="J50" s="12">
        <f>IFERROR(COUNTIFS('Dataset Limpio'!I2:I2001,"ALM-VAL-01",'Dataset Limpio'!AB2:AB2001,"VERDADERO")/COUNTIF('Dataset Limpio'!I2:I2001,"ALM-VAL-01"),0)</f>
        <v>0.53801169590643272</v>
      </c>
    </row>
    <row r="51" spans="2:10" ht="18" customHeight="1" x14ac:dyDescent="0.3">
      <c r="B51" s="5" t="s">
        <v>65</v>
      </c>
      <c r="C51" s="10">
        <f>COUNTIF('Dataset Limpio'!I2:I2001,"ALM-MAD-02")</f>
        <v>346</v>
      </c>
      <c r="D51" s="16">
        <f>COUNTIF('Dataset Limpio'!I2:I2001,"ALM-MAD-02")/COUNTA('Dataset Limpio'!A2:A2001)</f>
        <v>0.17299999999999999</v>
      </c>
      <c r="E51" s="17">
        <f>SUMIF('Dataset Limpio'!I2:I2001,"ALM-MAD-02",'Dataset Limpio'!P2:P2001)</f>
        <v>86975155.60149999</v>
      </c>
      <c r="F51" s="17">
        <f>SUMIF('Dataset Limpio'!I2:I2001,"ALM-MAD-02",'Dataset Limpio'!Q2:Q2001)</f>
        <v>4251448.2915999973</v>
      </c>
      <c r="G51" s="16">
        <f>IFERROR(COUNTIFS('Dataset Limpio'!I2:I2001,"ALM-MAD-02",'Dataset Limpio'!X2:X2001,"VERDADERO")/COUNTIF('Dataset Limpio'!I2:I2001,"ALM-MAD-02"),0)</f>
        <v>0.45953757225433528</v>
      </c>
      <c r="H51" s="18">
        <f>AVERAGEIF('Dataset Limpio'!I2:I2001,"ALM-MAD-02",'Dataset Limpio'!S2:S2001)</f>
        <v>14.884393063583815</v>
      </c>
      <c r="I51" s="19">
        <f>AVERAGEIF('Dataset Limpio'!I2:I2001,"ALM-MAD-02",'Dataset Limpio'!V2:V2001)</f>
        <v>2.2832369942196533</v>
      </c>
      <c r="J51" s="16">
        <f>IFERROR(COUNTIFS('Dataset Limpio'!I2:I2001,"ALM-MAD-02",'Dataset Limpio'!AB2:AB2001,"VERDADERO")/COUNTIF('Dataset Limpio'!I2:I2001,"ALM-MAD-02"),0)</f>
        <v>0.55491329479768781</v>
      </c>
    </row>
    <row r="52" spans="2:10" ht="18" customHeight="1" x14ac:dyDescent="0.3">
      <c r="B52" s="3" t="s">
        <v>66</v>
      </c>
      <c r="C52" s="7">
        <f>COUNTIF('Dataset Limpio'!I2:I2001,"ALM-BCN-01")</f>
        <v>319</v>
      </c>
      <c r="D52" s="12">
        <f>COUNTIF('Dataset Limpio'!I2:I2001,"ALM-BCN-01")/COUNTA('Dataset Limpio'!A2:A2001)</f>
        <v>0.1595</v>
      </c>
      <c r="E52" s="13">
        <f>SUMIF('Dataset Limpio'!I2:I2001,"ALM-BCN-01",'Dataset Limpio'!P2:P2001)</f>
        <v>84453838.811499938</v>
      </c>
      <c r="F52" s="13">
        <f>SUMIF('Dataset Limpio'!I2:I2001,"ALM-BCN-01",'Dataset Limpio'!Q2:Q2001)</f>
        <v>4286721.5008000005</v>
      </c>
      <c r="G52" s="12">
        <f>IFERROR(COUNTIFS('Dataset Limpio'!I2:I2001,"ALM-BCN-01",'Dataset Limpio'!X2:X2001,"VERDADERO")/COUNTIF('Dataset Limpio'!I2:I2001,"ALM-BCN-01"),0)</f>
        <v>0.47962382445141066</v>
      </c>
      <c r="H52" s="14">
        <f>AVERAGEIF('Dataset Limpio'!I2:I2001,"ALM-BCN-01",'Dataset Limpio'!S2:S2001)</f>
        <v>15.197492163009404</v>
      </c>
      <c r="I52" s="15">
        <f>AVERAGEIF('Dataset Limpio'!I2:I2001,"ALM-BCN-01",'Dataset Limpio'!V2:V2001)</f>
        <v>2.018808777429467</v>
      </c>
      <c r="J52" s="12">
        <f>IFERROR(COUNTIFS('Dataset Limpio'!I2:I2001,"ALM-BCN-01",'Dataset Limpio'!AB2:AB2001,"VERDADERO")/COUNTIF('Dataset Limpio'!I2:I2001,"ALM-BCN-01"),0)</f>
        <v>0.53605015673981193</v>
      </c>
    </row>
    <row r="53" spans="2:10" ht="18" customHeight="1" x14ac:dyDescent="0.3">
      <c r="B53" s="5" t="s">
        <v>67</v>
      </c>
      <c r="C53" s="10">
        <f>COUNTIF('Dataset Limpio'!I2:I2001,"ALM-SEV-01")</f>
        <v>317</v>
      </c>
      <c r="D53" s="16">
        <f>COUNTIF('Dataset Limpio'!I2:I2001,"ALM-SEV-01")/COUNTA('Dataset Limpio'!A2:A2001)</f>
        <v>0.1585</v>
      </c>
      <c r="E53" s="17">
        <f>SUMIF('Dataset Limpio'!I2:I2001,"ALM-SEV-01",'Dataset Limpio'!P2:P2001)</f>
        <v>83792138.472599998</v>
      </c>
      <c r="F53" s="17">
        <f>SUMIF('Dataset Limpio'!I2:I2001,"ALM-SEV-01",'Dataset Limpio'!Q2:Q2001)</f>
        <v>4178275.2306999988</v>
      </c>
      <c r="G53" s="16">
        <f>IFERROR(COUNTIFS('Dataset Limpio'!I2:I2001,"ALM-SEV-01",'Dataset Limpio'!X2:X2001,"VERDADERO")/COUNTIF('Dataset Limpio'!I2:I2001,"ALM-SEV-01"),0)</f>
        <v>0.51104100946372244</v>
      </c>
      <c r="H53" s="18">
        <f>AVERAGEIF('Dataset Limpio'!I2:I2001,"ALM-SEV-01",'Dataset Limpio'!S2:S2001)</f>
        <v>15.447949526813881</v>
      </c>
      <c r="I53" s="19">
        <f>AVERAGEIF('Dataset Limpio'!I2:I2001,"ALM-SEV-01",'Dataset Limpio'!V2:V2001)</f>
        <v>1.9558359621451105</v>
      </c>
      <c r="J53" s="16">
        <f>IFERROR(COUNTIFS('Dataset Limpio'!I2:I2001,"ALM-SEV-01",'Dataset Limpio'!AB2:AB2001,"VERDADERO")/COUNTIF('Dataset Limpio'!I2:I2001,"ALM-SEV-01"),0)</f>
        <v>0.6182965299684543</v>
      </c>
    </row>
    <row r="54" spans="2:10" ht="18" customHeight="1" x14ac:dyDescent="0.3">
      <c r="B54" s="3" t="s">
        <v>68</v>
      </c>
      <c r="C54" s="7">
        <f>COUNTIF('Dataset Limpio'!I2:I2001,"ALM-ZGZ-01")</f>
        <v>352</v>
      </c>
      <c r="D54" s="12">
        <f>COUNTIF('Dataset Limpio'!I2:I2001,"ALM-ZGZ-01")/COUNTA('Dataset Limpio'!A2:A2001)</f>
        <v>0.17599999999999999</v>
      </c>
      <c r="E54" s="13">
        <f>SUMIF('Dataset Limpio'!I2:I2001,"ALM-ZGZ-01",'Dataset Limpio'!P2:P2001)</f>
        <v>80504591.116300017</v>
      </c>
      <c r="F54" s="13">
        <f>SUMIF('Dataset Limpio'!I2:I2001,"ALM-ZGZ-01",'Dataset Limpio'!Q2:Q2001)</f>
        <v>3952704.4507000027</v>
      </c>
      <c r="G54" s="12">
        <f>IFERROR(COUNTIFS('Dataset Limpio'!I2:I2001,"ALM-ZGZ-01",'Dataset Limpio'!X2:X2001,"VERDADERO")/COUNTIF('Dataset Limpio'!I2:I2001,"ALM-ZGZ-01"),0)</f>
        <v>0.47159090909090912</v>
      </c>
      <c r="H54" s="14">
        <f>AVERAGEIF('Dataset Limpio'!I2:I2001,"ALM-ZGZ-01",'Dataset Limpio'!S2:S2001)</f>
        <v>14.755681818181818</v>
      </c>
      <c r="I54" s="15">
        <f>AVERAGEIF('Dataset Limpio'!I2:I2001,"ALM-ZGZ-01",'Dataset Limpio'!V2:V2001)</f>
        <v>2.0767045454545454</v>
      </c>
      <c r="J54" s="12">
        <f>IFERROR(COUNTIFS('Dataset Limpio'!I2:I2001,"ALM-ZGZ-01",'Dataset Limpio'!AB2:AB2001,"VERDADERO")/COUNTIF('Dataset Limpio'!I2:I2001,"ALM-ZGZ-01"),0)</f>
        <v>0.63636363636363635</v>
      </c>
    </row>
    <row r="55" spans="2:10" ht="18" customHeight="1" x14ac:dyDescent="0.3">
      <c r="B55" s="5" t="s">
        <v>69</v>
      </c>
      <c r="C55" s="10">
        <f>COUNTIF('Dataset Limpio'!I2:I2001,"ALM-MAD-01")</f>
        <v>324</v>
      </c>
      <c r="D55" s="16">
        <f>COUNTIF('Dataset Limpio'!I2:I2001,"ALM-MAD-01")/COUNTA('Dataset Limpio'!A2:A2001)</f>
        <v>0.16200000000000001</v>
      </c>
      <c r="E55" s="17">
        <f>SUMIF('Dataset Limpio'!I2:I2001,"ALM-MAD-01",'Dataset Limpio'!P2:P2001)</f>
        <v>78748643.217400044</v>
      </c>
      <c r="F55" s="17">
        <f>SUMIF('Dataset Limpio'!I2:I2001,"ALM-MAD-01",'Dataset Limpio'!Q2:Q2001)</f>
        <v>3940371.6113999998</v>
      </c>
      <c r="G55" s="16">
        <f>IFERROR(COUNTIFS('Dataset Limpio'!I2:I2001,"ALM-MAD-01",'Dataset Limpio'!X2:X2001,"VERDADERO")/COUNTIF('Dataset Limpio'!I2:I2001,"ALM-MAD-01"),0)</f>
        <v>0.47530864197530864</v>
      </c>
      <c r="H55" s="18">
        <f>AVERAGEIF('Dataset Limpio'!I2:I2001,"ALM-MAD-01",'Dataset Limpio'!S2:S2001)</f>
        <v>15.07716049382716</v>
      </c>
      <c r="I55" s="19">
        <f>AVERAGEIF('Dataset Limpio'!I2:I2001,"ALM-MAD-01",'Dataset Limpio'!V2:V2001)</f>
        <v>1.9814814814814814</v>
      </c>
      <c r="J55" s="16">
        <f>IFERROR(COUNTIFS('Dataset Limpio'!I2:I2001,"ALM-MAD-01",'Dataset Limpio'!AB2:AB2001,"VERDADERO")/COUNTIF('Dataset Limpio'!I2:I2001,"ALM-MAD-01"),0)</f>
        <v>0.57407407407407407</v>
      </c>
    </row>
    <row r="57" spans="2:10" ht="24" customHeight="1" x14ac:dyDescent="0.3">
      <c r="B57" s="112" t="s">
        <v>4125</v>
      </c>
      <c r="C57" s="112"/>
      <c r="D57" s="112"/>
      <c r="E57" s="112"/>
      <c r="F57" s="112"/>
      <c r="G57" s="112"/>
      <c r="H57" s="112"/>
      <c r="I57" s="112"/>
      <c r="J57" s="112"/>
    </row>
    <row r="58" spans="2:10" ht="21.75" customHeight="1" x14ac:dyDescent="0.3">
      <c r="B58" s="27" t="s">
        <v>70</v>
      </c>
      <c r="C58" s="27" t="s">
        <v>30</v>
      </c>
      <c r="D58" s="27" t="s">
        <v>31</v>
      </c>
      <c r="E58" s="27" t="s">
        <v>32</v>
      </c>
      <c r="F58" s="27" t="s">
        <v>34</v>
      </c>
      <c r="G58" s="27" t="s">
        <v>51</v>
      </c>
      <c r="H58" s="27" t="s">
        <v>35</v>
      </c>
      <c r="I58" s="27" t="s">
        <v>36</v>
      </c>
      <c r="J58" s="27" t="s">
        <v>37</v>
      </c>
    </row>
    <row r="59" spans="2:10" ht="18" customHeight="1" x14ac:dyDescent="0.3">
      <c r="B59" s="3" t="s">
        <v>71</v>
      </c>
      <c r="C59" s="7">
        <f>COUNTIF('Dataset Limpio'!K2:K2001,"Marítimo")</f>
        <v>382</v>
      </c>
      <c r="D59" s="12">
        <f>COUNTIF('Dataset Limpio'!K2:K2001,"Marítimo")/COUNTA('Dataset Limpio'!A2:A2001)</f>
        <v>0.191</v>
      </c>
      <c r="E59" s="13">
        <f>SUMIF('Dataset Limpio'!K2:K2001,"Marítimo",'Dataset Limpio'!P2:P2001)</f>
        <v>95422706.832599923</v>
      </c>
      <c r="F59" s="13">
        <f>SUMIF('Dataset Limpio'!K2:K2001,"Marítimo",'Dataset Limpio'!Q2:Q2001)</f>
        <v>4572958.180800003</v>
      </c>
      <c r="G59" s="12">
        <f>IFERROR(SUMIF('Dataset Limpio'!K2:K2001,"Marítimo",'Dataset Limpio'!Q2:Q2001)/SUMIF('Dataset Limpio'!K2:K2001,"Marítimo",'Dataset Limpio'!P2:P2001),0)</f>
        <v>4.7923165592256199E-2</v>
      </c>
      <c r="H59" s="12">
        <f>IFERROR(COUNTIFS('Dataset Limpio'!K2:K2001,"Marítimo",'Dataset Limpio'!X2:X2001,"VERDADERO")/COUNTIF('Dataset Limpio'!K2:K2001,"Marítimo"),0)</f>
        <v>0.52094240837696337</v>
      </c>
      <c r="I59" s="14">
        <f>AVERAGEIF('Dataset Limpio'!K2:K2001,"Marítimo",'Dataset Limpio'!S2:S2001)</f>
        <v>15.11780104712042</v>
      </c>
      <c r="J59" s="15">
        <f>AVERAGEIF('Dataset Limpio'!K2:K2001,"Marítimo",'Dataset Limpio'!V2:V2001)</f>
        <v>1.5078534031413613</v>
      </c>
    </row>
    <row r="60" spans="2:10" ht="18" customHeight="1" x14ac:dyDescent="0.3">
      <c r="B60" s="5" t="s">
        <v>72</v>
      </c>
      <c r="C60" s="10">
        <f>COUNTIF('Dataset Limpio'!K2:K2001,"Camión LTL")</f>
        <v>391</v>
      </c>
      <c r="D60" s="16">
        <f>COUNTIF('Dataset Limpio'!K2:K2001,"Camión LTL")/COUNTA('Dataset Limpio'!A2:A2001)</f>
        <v>0.19550000000000001</v>
      </c>
      <c r="E60" s="17">
        <f>SUMIF('Dataset Limpio'!K2:K2001,"Camión LTL",'Dataset Limpio'!P2:P2001)</f>
        <v>93409905.480400085</v>
      </c>
      <c r="F60" s="17">
        <f>SUMIF('Dataset Limpio'!K2:K2001,"Camión LTL",'Dataset Limpio'!Q2:Q2001)</f>
        <v>4585060.7608999992</v>
      </c>
      <c r="G60" s="16">
        <f>IFERROR(SUMIF('Dataset Limpio'!K2:K2001,"Camión LTL",'Dataset Limpio'!Q2:Q2001)/SUMIF('Dataset Limpio'!K2:K2001,"Camión LTL",'Dataset Limpio'!P2:P2001),0)</f>
        <v>4.9085380584846738E-2</v>
      </c>
      <c r="H60" s="16">
        <f>IFERROR(COUNTIFS('Dataset Limpio'!K2:K2001,"Camión LTL",'Dataset Limpio'!X2:X2001,"VERDADERO")/COUNTIF('Dataset Limpio'!K2:K2001,"Camión LTL"),0)</f>
        <v>0.50895140664961636</v>
      </c>
      <c r="I60" s="18">
        <f>AVERAGEIF('Dataset Limpio'!K2:K2001,"Camión LTL",'Dataset Limpio'!S2:S2001)</f>
        <v>15.163682864450127</v>
      </c>
      <c r="J60" s="19">
        <f>AVERAGEIF('Dataset Limpio'!K2:K2001,"Camión LTL",'Dataset Limpio'!V2:V2001)</f>
        <v>1.9309462915601023</v>
      </c>
    </row>
    <row r="61" spans="2:10" ht="18" customHeight="1" x14ac:dyDescent="0.3">
      <c r="B61" s="3" t="s">
        <v>73</v>
      </c>
      <c r="C61" s="7">
        <f>COUNTIF('Dataset Limpio'!K2:K2001,"Camión FTL")</f>
        <v>435</v>
      </c>
      <c r="D61" s="12">
        <f>COUNTIF('Dataset Limpio'!K2:K2001,"Camión FTL")/COUNTA('Dataset Limpio'!A2:A2001)</f>
        <v>0.2175</v>
      </c>
      <c r="E61" s="13">
        <f>SUMIF('Dataset Limpio'!K2:K2001,"Camión FTL",'Dataset Limpio'!P2:P2001)</f>
        <v>110518801.13370004</v>
      </c>
      <c r="F61" s="13">
        <f>SUMIF('Dataset Limpio'!K2:K2001,"Camión FTL",'Dataset Limpio'!Q2:Q2001)</f>
        <v>5829619.7015999984</v>
      </c>
      <c r="G61" s="12">
        <f>IFERROR(SUMIF('Dataset Limpio'!K2:K2001,"Camión FTL",'Dataset Limpio'!Q2:Q2001)/SUMIF('Dataset Limpio'!K2:K2001,"Camión FTL",'Dataset Limpio'!P2:P2001),0)</f>
        <v>5.274776455951255E-2</v>
      </c>
      <c r="H61" s="12">
        <f>IFERROR(COUNTIFS('Dataset Limpio'!K2:K2001,"Camión FTL",'Dataset Limpio'!X2:X2001,"VERDADERO")/COUNTIF('Dataset Limpio'!K2:K2001,"Camión FTL"),0)</f>
        <v>0.48045977011494251</v>
      </c>
      <c r="I61" s="14">
        <f>AVERAGEIF('Dataset Limpio'!K2:K2001,"Camión FTL",'Dataset Limpio'!S2:S2001)</f>
        <v>14.714942528735632</v>
      </c>
      <c r="J61" s="15">
        <f>AVERAGEIF('Dataset Limpio'!K2:K2001,"Camión FTL",'Dataset Limpio'!V2:V2001)</f>
        <v>1.8459770114942529</v>
      </c>
    </row>
    <row r="62" spans="2:10" ht="18" customHeight="1" x14ac:dyDescent="0.3">
      <c r="B62" s="5" t="s">
        <v>74</v>
      </c>
      <c r="C62" s="10">
        <f>COUNTIF('Dataset Limpio'!K2:K2001,"Ferroviario")</f>
        <v>403</v>
      </c>
      <c r="D62" s="16">
        <f>COUNTIF('Dataset Limpio'!K2:K2001,"Ferroviario")/COUNTA('Dataset Limpio'!A2:A2001)</f>
        <v>0.20150000000000001</v>
      </c>
      <c r="E62" s="17">
        <f>SUMIF('Dataset Limpio'!K2:K2001,"Ferroviario",'Dataset Limpio'!P2:P2001)</f>
        <v>106715110.33149992</v>
      </c>
      <c r="F62" s="17">
        <f>SUMIF('Dataset Limpio'!K2:K2001,"Ferroviario",'Dataset Limpio'!Q2:Q2001)</f>
        <v>5515318.0319999922</v>
      </c>
      <c r="G62" s="16">
        <f>IFERROR(SUMIF('Dataset Limpio'!K2:K2001,"Ferroviario",'Dataset Limpio'!Q2:Q2001)/SUMIF('Dataset Limpio'!K2:K2001,"Ferroviario",'Dataset Limpio'!P2:P2001),0)</f>
        <v>5.1682634397951732E-2</v>
      </c>
      <c r="H62" s="16">
        <f>IFERROR(COUNTIFS('Dataset Limpio'!K2:K2001,"Ferroviario",'Dataset Limpio'!X2:X2001,"VERDADERO")/COUNTIF('Dataset Limpio'!K2:K2001,"Ferroviario"),0)</f>
        <v>0.47890818858560796</v>
      </c>
      <c r="I62" s="18">
        <f>AVERAGEIF('Dataset Limpio'!K2:K2001,"Ferroviario",'Dataset Limpio'!S2:S2001)</f>
        <v>15.295285359801488</v>
      </c>
      <c r="J62" s="19">
        <f>AVERAGEIF('Dataset Limpio'!K2:K2001,"Ferroviario",'Dataset Limpio'!V2:V2001)</f>
        <v>2.0918114143920596</v>
      </c>
    </row>
    <row r="63" spans="2:10" ht="18" customHeight="1" x14ac:dyDescent="0.3">
      <c r="B63" s="3" t="s">
        <v>75</v>
      </c>
      <c r="C63" s="7">
        <f>COUNTIF('Dataset Limpio'!K2:K2001,"Aéreo")</f>
        <v>389</v>
      </c>
      <c r="D63" s="12">
        <f>COUNTIF('Dataset Limpio'!K2:K2001,"Aéreo")/COUNTA('Dataset Limpio'!A2:A2001)</f>
        <v>0.19450000000000001</v>
      </c>
      <c r="E63" s="13">
        <f>SUMIF('Dataset Limpio'!K2:K2001,"Aéreo",'Dataset Limpio'!P2:P2001)</f>
        <v>96213632.077800021</v>
      </c>
      <c r="F63" s="13">
        <f>SUMIF('Dataset Limpio'!K2:K2001,"Aéreo",'Dataset Limpio'!Q2:Q2001)</f>
        <v>4511739.3206999982</v>
      </c>
      <c r="G63" s="12">
        <f>IFERROR(SUMIF('Dataset Limpio'!K2:K2001,"Aéreo",'Dataset Limpio'!Q2:Q2001)/SUMIF('Dataset Limpio'!K2:K2001,"Aéreo",'Dataset Limpio'!P2:P2001),0)</f>
        <v>4.6892932147616327E-2</v>
      </c>
      <c r="H63" s="12">
        <f>IFERROR(COUNTIFS('Dataset Limpio'!K2:K2001,"Aéreo",'Dataset Limpio'!X2:X2001,"VERDADERO")/COUNTIF('Dataset Limpio'!K2:K2001,"Aéreo"),0)</f>
        <v>0.43701799485861181</v>
      </c>
      <c r="I63" s="14">
        <f>AVERAGEIF('Dataset Limpio'!K2:K2001,"Aéreo",'Dataset Limpio'!S2:S2001)</f>
        <v>15.326478149100257</v>
      </c>
      <c r="J63" s="15">
        <f>AVERAGEIF('Dataset Limpio'!K2:K2001,"Aéreo",'Dataset Limpio'!V2:V2001)</f>
        <v>2.475578406169666</v>
      </c>
    </row>
    <row r="65" spans="2:10" ht="24" customHeight="1" x14ac:dyDescent="0.3">
      <c r="B65" s="113" t="s">
        <v>4126</v>
      </c>
      <c r="C65" s="113"/>
      <c r="D65" s="113"/>
      <c r="E65" s="113"/>
      <c r="F65" s="113"/>
      <c r="G65" s="113"/>
      <c r="H65" s="113"/>
      <c r="I65" s="113"/>
      <c r="J65" s="113"/>
    </row>
    <row r="66" spans="2:10" ht="21.75" customHeight="1" x14ac:dyDescent="0.3">
      <c r="B66" s="28" t="s">
        <v>76</v>
      </c>
      <c r="C66" s="28" t="s">
        <v>77</v>
      </c>
      <c r="D66" s="28" t="s">
        <v>78</v>
      </c>
      <c r="E66" s="28" t="s">
        <v>79</v>
      </c>
      <c r="F66" s="28" t="s">
        <v>80</v>
      </c>
      <c r="G66" s="28" t="s">
        <v>36</v>
      </c>
      <c r="H66" s="28" t="s">
        <v>50</v>
      </c>
    </row>
    <row r="67" spans="2:10" ht="18" customHeight="1" x14ac:dyDescent="0.3">
      <c r="B67" s="3" t="s">
        <v>81</v>
      </c>
      <c r="C67" s="7">
        <f>COUNTIF('Dataset Limpio'!AA2:AA2001,"Error de cantidad")</f>
        <v>300</v>
      </c>
      <c r="D67" s="12">
        <f>COUNTIF('Dataset Limpio'!AA2:AA2001,"Error de cantidad")/COUNTA('Dataset Limpio'!A2:A2001)</f>
        <v>0.15</v>
      </c>
      <c r="E67" s="12">
        <f>IFERROR(COUNTIF('Dataset Limpio'!AA2:AA2001,"Error de cantidad")/COUNTIF('Dataset Limpio'!AB2:AB2001,"VERDADERO"),0)</f>
        <v>0.26019080659150046</v>
      </c>
      <c r="F67" s="13">
        <f>SUMIF('Dataset Limpio'!AA2:AA2001,"Error de cantidad",'Dataset Limpio'!P2:P2001)</f>
        <v>72920558.971500039</v>
      </c>
      <c r="G67" s="14">
        <f>AVERAGEIF('Dataset Limpio'!AA2:AA2001,"Error de cantidad",'Dataset Limpio'!S2:S2001)</f>
        <v>15.146666666666667</v>
      </c>
      <c r="H67" s="15">
        <f>AVERAGEIF('Dataset Limpio'!AA2:AA2001,"Error de cantidad",'Dataset Limpio'!V2:V2001)</f>
        <v>2.23</v>
      </c>
    </row>
    <row r="68" spans="2:10" ht="18" customHeight="1" x14ac:dyDescent="0.3">
      <c r="B68" s="5" t="s">
        <v>82</v>
      </c>
      <c r="C68" s="10">
        <f>COUNTIF('Dataset Limpio'!AA2:AA2001,"Daño en mercancía")</f>
        <v>299</v>
      </c>
      <c r="D68" s="16">
        <f>COUNTIF('Dataset Limpio'!AA2:AA2001,"Daño en mercancía")/COUNTA('Dataset Limpio'!A2:A2001)</f>
        <v>0.14949999999999999</v>
      </c>
      <c r="E68" s="16">
        <f>IFERROR(COUNTIF('Dataset Limpio'!AA2:AA2001,"Daño en mercancía")/COUNTIF('Dataset Limpio'!AB2:AB2001,"VERDADERO"),0)</f>
        <v>0.25932350390286207</v>
      </c>
      <c r="F68" s="17">
        <f>SUMIF('Dataset Limpio'!AA2:AA2001,"Daño en mercancía",'Dataset Limpio'!P2:P2001)</f>
        <v>80252627.996299952</v>
      </c>
      <c r="G68" s="18">
        <f>AVERAGEIF('Dataset Limpio'!AA2:AA2001,"Daño en mercancía",'Dataset Limpio'!S2:S2001)</f>
        <v>15.05685618729097</v>
      </c>
      <c r="H68" s="19">
        <f>AVERAGEIF('Dataset Limpio'!AA2:AA2001,"Daño en mercancía",'Dataset Limpio'!V2:V2001)</f>
        <v>2.1270903010033444</v>
      </c>
    </row>
    <row r="69" spans="2:10" ht="18" customHeight="1" x14ac:dyDescent="0.3">
      <c r="B69" s="3" t="s">
        <v>83</v>
      </c>
      <c r="C69" s="7">
        <f>COUNTIF('Dataset Limpio'!AA2:AA2001,"Pérdida parcial")</f>
        <v>282</v>
      </c>
      <c r="D69" s="12">
        <f>COUNTIF('Dataset Limpio'!AA2:AA2001,"Pérdida parcial")/COUNTA('Dataset Limpio'!A2:A2001)</f>
        <v>0.14099999999999999</v>
      </c>
      <c r="E69" s="12">
        <f>IFERROR(COUNTIF('Dataset Limpio'!AA2:AA2001,"Pérdida parcial")/COUNTIF('Dataset Limpio'!AB2:AB2001,"VERDADERO"),0)</f>
        <v>0.2445793581960104</v>
      </c>
      <c r="F69" s="13">
        <f>SUMIF('Dataset Limpio'!AA2:AA2001,"Pérdida parcial",'Dataset Limpio'!P2:P2001)</f>
        <v>59868909.926699981</v>
      </c>
      <c r="G69" s="14">
        <f>AVERAGEIF('Dataset Limpio'!AA2:AA2001,"Pérdida parcial",'Dataset Limpio'!S2:S2001)</f>
        <v>14.652482269503546</v>
      </c>
      <c r="H69" s="15">
        <f>AVERAGEIF('Dataset Limpio'!AA2:AA2001,"Pérdida parcial",'Dataset Limpio'!V2:V2001)</f>
        <v>1.9964539007092199</v>
      </c>
    </row>
    <row r="70" spans="2:10" ht="18" customHeight="1" x14ac:dyDescent="0.3">
      <c r="B70" s="5" t="s">
        <v>84</v>
      </c>
      <c r="C70" s="10">
        <f>COUNTIF('Dataset Limpio'!AA2:AA2001,"Documentación incompleta")</f>
        <v>272</v>
      </c>
      <c r="D70" s="16">
        <f>COUNTIF('Dataset Limpio'!AA2:AA2001,"Documentación incompleta")/COUNTA('Dataset Limpio'!A2:A2001)</f>
        <v>0.13600000000000001</v>
      </c>
      <c r="E70" s="16">
        <f>IFERROR(COUNTIF('Dataset Limpio'!AA2:AA2001,"Documentación incompleta")/COUNTIF('Dataset Limpio'!AB2:AB2001,"VERDADERO"),0)</f>
        <v>0.23590633130962707</v>
      </c>
      <c r="F70" s="17">
        <f>SUMIF('Dataset Limpio'!AA2:AA2001,"Documentación incompleta",'Dataset Limpio'!P2:P2001)</f>
        <v>74234286.420699999</v>
      </c>
      <c r="G70" s="18">
        <f>AVERAGEIF('Dataset Limpio'!AA2:AA2001,"Documentación incompleta",'Dataset Limpio'!S2:S2001)</f>
        <v>15.569852941176471</v>
      </c>
      <c r="H70" s="19">
        <f>AVERAGEIF('Dataset Limpio'!AA2:AA2001,"Documentación incompleta",'Dataset Limpio'!V2:V2001)</f>
        <v>2.1066176470588234</v>
      </c>
    </row>
    <row r="71" spans="2:10" ht="19.5" customHeight="1" x14ac:dyDescent="0.3">
      <c r="B71" s="29" t="s">
        <v>85</v>
      </c>
      <c r="C71" s="30">
        <f>COUNTIF('Dataset Limpio'!AB2:AB2001,"VERDADERO")</f>
        <v>1153</v>
      </c>
      <c r="D71" s="31">
        <f>COUNTIF('Dataset Limpio'!AB2:AB2001,"VERDADERO")/COUNTA('Dataset Limpio'!A2:A2001)</f>
        <v>0.57650000000000001</v>
      </c>
      <c r="E71" s="31">
        <f>1</f>
        <v>1</v>
      </c>
      <c r="F71" s="32">
        <f>SUMIF('Dataset Limpio'!AB2:AB2001,"VERDADERO",'Dataset Limpio'!P2:P2001)</f>
        <v>287276383.31520021</v>
      </c>
      <c r="G71" s="33">
        <f>IFERROR(AVERAGEIFS('Dataset Limpio'!S2:S2001,'Dataset Limpio'!AB2:AB2001,"VERDADERO"),0)</f>
        <v>15.102341717259323</v>
      </c>
      <c r="H71" s="34">
        <f>IFERROR(AVERAGEIFS('Dataset Limpio'!V2:V2001,'Dataset Limpio'!AB2:AB2001,"VERDADERO"),0)</f>
        <v>2.1170858629661753</v>
      </c>
    </row>
    <row r="73" spans="2:10" ht="24" customHeight="1" x14ac:dyDescent="0.3">
      <c r="B73" s="107" t="s">
        <v>4127</v>
      </c>
      <c r="C73" s="107"/>
      <c r="D73" s="107"/>
      <c r="E73" s="107"/>
      <c r="F73" s="107"/>
      <c r="G73" s="107"/>
      <c r="H73" s="107"/>
      <c r="I73" s="107"/>
      <c r="J73" s="107"/>
    </row>
    <row r="74" spans="2:10" ht="21.75" customHeight="1" x14ac:dyDescent="0.3">
      <c r="B74" s="35" t="s">
        <v>86</v>
      </c>
      <c r="C74" s="35" t="s">
        <v>30</v>
      </c>
      <c r="D74" s="35" t="s">
        <v>32</v>
      </c>
      <c r="E74" s="35" t="s">
        <v>34</v>
      </c>
      <c r="F74" s="35" t="s">
        <v>35</v>
      </c>
      <c r="G74" s="35" t="s">
        <v>87</v>
      </c>
      <c r="H74" s="35" t="s">
        <v>37</v>
      </c>
      <c r="I74" s="35" t="s">
        <v>36</v>
      </c>
      <c r="J74" s="35" t="s">
        <v>38</v>
      </c>
    </row>
    <row r="75" spans="2:10" ht="18" customHeight="1" x14ac:dyDescent="0.3">
      <c r="B75" s="36" t="s">
        <v>88</v>
      </c>
      <c r="C75" s="7">
        <f>COUNTIF('Dataset Limpio'!C2:C2001,2023)</f>
        <v>981</v>
      </c>
      <c r="D75" s="13">
        <f>SUMIF('Dataset Limpio'!C2:C2001,2023,'Dataset Limpio'!P2:P2001)</f>
        <v>247699686.99779987</v>
      </c>
      <c r="E75" s="13">
        <f>SUMIF('Dataset Limpio'!C2:C2001,2023,'Dataset Limpio'!Q2:Q2001)</f>
        <v>12457901.172600005</v>
      </c>
      <c r="F75" s="12">
        <f>IFERROR(COUNTIFS('Dataset Limpio'!C2:C2001,2023,'Dataset Limpio'!X2:X2001,"VERDADERO")/COUNTIF('Dataset Limpio'!C2:C2001,2023),0)</f>
        <v>0.49643221202854232</v>
      </c>
      <c r="G75" s="12">
        <f>IFERROR(COUNTIFS('Dataset Limpio'!C2:C2001,2023,'Dataset Limpio'!W2:W2001,"Retrasado")/COUNTIF('Dataset Limpio'!C2:C2001,2023),0)</f>
        <v>0.2650356778797146</v>
      </c>
      <c r="H75" s="15">
        <f>AVERAGEIF('Dataset Limpio'!C2:C2001,2023,'Dataset Limpio'!V2:V2001)</f>
        <v>1.9215086646279307</v>
      </c>
      <c r="I75" s="14">
        <f>AVERAGEIF('Dataset Limpio'!C2:C2001,2023,'Dataset Limpio'!S2:S2001)</f>
        <v>14.958205912334353</v>
      </c>
      <c r="J75" s="12">
        <f>IFERROR(COUNTIFS('Dataset Limpio'!C2:C2001,2023,'Dataset Limpio'!AB2:AB2001,"VERDADERO")/COUNTIF('Dataset Limpio'!C2:C2001,2023),0)</f>
        <v>0.56371049949031604</v>
      </c>
    </row>
    <row r="76" spans="2:10" ht="18" customHeight="1" x14ac:dyDescent="0.3">
      <c r="B76" s="37" t="s">
        <v>89</v>
      </c>
      <c r="C76" s="10">
        <f>COUNTIF('Dataset Limpio'!C2:C2001,2024)</f>
        <v>1019</v>
      </c>
      <c r="D76" s="17">
        <f>SUMIF('Dataset Limpio'!C2:C2001,2024,'Dataset Limpio'!P2:P2001)</f>
        <v>254580468.85820028</v>
      </c>
      <c r="E76" s="17">
        <f>SUMIF('Dataset Limpio'!C2:C2001,2024,'Dataset Limpio'!Q2:Q2001)</f>
        <v>12556794.823399985</v>
      </c>
      <c r="F76" s="16">
        <f>IFERROR(COUNTIFS('Dataset Limpio'!C2:C2001,2024,'Dataset Limpio'!X2:X2001,"VERDADERO")/COUNTIF('Dataset Limpio'!C2:C2001,2024),0)</f>
        <v>0.47399411187438667</v>
      </c>
      <c r="G76" s="16">
        <f>IFERROR(COUNTIFS('Dataset Limpio'!C2:C2001,2024,'Dataset Limpio'!W2:W2001,"Retrasado")/COUNTIF('Dataset Limpio'!C2:C2001,2024),0)</f>
        <v>0.2649656526005888</v>
      </c>
      <c r="H76" s="19">
        <f>AVERAGEIF('Dataset Limpio'!C2:C2001,2024,'Dataset Limpio'!V2:V2001)</f>
        <v>2.0166830225711481</v>
      </c>
      <c r="I76" s="18">
        <f>AVERAGEIF('Dataset Limpio'!C2:C2001,2024,'Dataset Limpio'!S2:S2001)</f>
        <v>15.266928361138371</v>
      </c>
      <c r="J76" s="16">
        <f>IFERROR(COUNTIFS('Dataset Limpio'!C2:C2001,2024,'Dataset Limpio'!AB2:AB2001,"VERDADERO")/COUNTIF('Dataset Limpio'!C2:C2001,2024),0)</f>
        <v>0.58881256133464177</v>
      </c>
    </row>
    <row r="77" spans="2:10" ht="19.5" customHeight="1" x14ac:dyDescent="0.3">
      <c r="B77" s="38" t="s">
        <v>90</v>
      </c>
      <c r="C77" s="39">
        <f t="shared" ref="C77:J77" si="0">C76-C75</f>
        <v>38</v>
      </c>
      <c r="D77" s="40">
        <f t="shared" si="0"/>
        <v>6880781.8604004085</v>
      </c>
      <c r="E77" s="41">
        <f t="shared" si="0"/>
        <v>98893.650799980387</v>
      </c>
      <c r="F77" s="42">
        <f t="shared" si="0"/>
        <v>-2.2438100154155649E-2</v>
      </c>
      <c r="G77" s="42">
        <f t="shared" si="0"/>
        <v>-7.0025279125807138E-5</v>
      </c>
      <c r="H77" s="43">
        <f t="shared" si="0"/>
        <v>9.517435794321738E-2</v>
      </c>
      <c r="I77" s="43">
        <f t="shared" si="0"/>
        <v>0.30872244880401745</v>
      </c>
      <c r="J77" s="42">
        <f t="shared" si="0"/>
        <v>2.5102061844325729E-2</v>
      </c>
    </row>
    <row r="79" spans="2:10" ht="18" customHeight="1" x14ac:dyDescent="0.3">
      <c r="B79" s="108" t="s">
        <v>91</v>
      </c>
      <c r="C79" s="108"/>
      <c r="D79" s="108"/>
      <c r="E79" s="108"/>
      <c r="F79" s="108"/>
      <c r="G79" s="108"/>
      <c r="H79" s="108"/>
      <c r="I79" s="108"/>
      <c r="J79" s="108"/>
    </row>
    <row r="80" spans="2:10" ht="19.5" customHeight="1" x14ac:dyDescent="0.3">
      <c r="B80" s="44" t="s">
        <v>86</v>
      </c>
      <c r="C80" s="44" t="s">
        <v>92</v>
      </c>
      <c r="D80" s="44" t="s">
        <v>30</v>
      </c>
      <c r="E80" s="44" t="s">
        <v>32</v>
      </c>
      <c r="F80" s="44" t="s">
        <v>34</v>
      </c>
      <c r="G80" s="44" t="s">
        <v>35</v>
      </c>
      <c r="H80" s="44" t="s">
        <v>87</v>
      </c>
      <c r="I80" s="44" t="s">
        <v>38</v>
      </c>
      <c r="J80" s="44" t="s">
        <v>37</v>
      </c>
    </row>
    <row r="81" spans="2:10" ht="15.75" customHeight="1" x14ac:dyDescent="0.3">
      <c r="B81" s="80" t="s">
        <v>88</v>
      </c>
      <c r="C81" s="45">
        <v>1</v>
      </c>
      <c r="D81" s="7">
        <f>COUNTIFS('Dataset Limpio'!C2:C2001,2023,'Dataset Limpio'!D2:D2001,1)</f>
        <v>68</v>
      </c>
      <c r="E81" s="13">
        <f>SUMIFS('Dataset Limpio'!P2:P2001,'Dataset Limpio'!C2:C2001,2023,'Dataset Limpio'!D2:D2001,1)</f>
        <v>15714018.387800004</v>
      </c>
      <c r="F81" s="13">
        <f>SUMIFS('Dataset Limpio'!Q2:Q2001,'Dataset Limpio'!C2:C2001,2023,'Dataset Limpio'!D2:D2001,1)</f>
        <v>760487.07019999961</v>
      </c>
      <c r="G81" s="12">
        <f>IFERROR(COUNTIFS('Dataset Limpio'!C2:C2001,2023,'Dataset Limpio'!D2:D2001,1,'Dataset Limpio'!X2:X2001,"VERDADERO")/COUNTIFS('Dataset Limpio'!C2:C2001,2023,'Dataset Limpio'!D2:D2001,1),0)</f>
        <v>0.55882352941176472</v>
      </c>
      <c r="H81" s="12">
        <f>IFERROR(COUNTIFS('Dataset Limpio'!C2:C2001,2023,'Dataset Limpio'!D2:D2001,1,'Dataset Limpio'!W2:W2001,"Retrasado")/COUNTIFS('Dataset Limpio'!C2:C2001,2023,'Dataset Limpio'!D2:D2001,1),0)</f>
        <v>0.22058823529411764</v>
      </c>
      <c r="I81" s="12">
        <f>IFERROR(COUNTIFS('Dataset Limpio'!C2:C2001,2023,'Dataset Limpio'!D2:D2001,1,'Dataset Limpio'!AB2:AB2001,"VERDADERO")/COUNTIFS('Dataset Limpio'!C2:C2001,2023,'Dataset Limpio'!D2:D2001,1),0)</f>
        <v>0.52941176470588236</v>
      </c>
      <c r="J81" s="15">
        <f>IFERROR(AVERAGEIFS('Dataset Limpio'!V2:V2001,'Dataset Limpio'!C2:C2001,2023,'Dataset Limpio'!D2:D2001,1),0)</f>
        <v>1.6911764705882353</v>
      </c>
    </row>
    <row r="82" spans="2:10" ht="15.75" customHeight="1" x14ac:dyDescent="0.3">
      <c r="B82" s="80" t="s">
        <v>88</v>
      </c>
      <c r="C82" s="46">
        <v>2</v>
      </c>
      <c r="D82" s="10">
        <f>COUNTIFS('Dataset Limpio'!C2:C2001,2023,'Dataset Limpio'!D2:D2001,2)</f>
        <v>71</v>
      </c>
      <c r="E82" s="17">
        <f>SUMIFS('Dataset Limpio'!P2:P2001,'Dataset Limpio'!C2:C2001,2023,'Dataset Limpio'!D2:D2001,2)</f>
        <v>19739190.358900003</v>
      </c>
      <c r="F82" s="17">
        <f>SUMIFS('Dataset Limpio'!Q2:Q2001,'Dataset Limpio'!C2:C2001,2023,'Dataset Limpio'!D2:D2001,2)</f>
        <v>1018452.8001000001</v>
      </c>
      <c r="G82" s="16">
        <f>IFERROR(COUNTIFS('Dataset Limpio'!C2:C2001,2023,'Dataset Limpio'!D2:D2001,2,'Dataset Limpio'!X2:X2001,"VERDADERO")/COUNTIFS('Dataset Limpio'!C2:C2001,2023,'Dataset Limpio'!D2:D2001,2),0)</f>
        <v>0.45070422535211269</v>
      </c>
      <c r="H82" s="16">
        <f>IFERROR(COUNTIFS('Dataset Limpio'!C2:C2001,2023,'Dataset Limpio'!D2:D2001,2,'Dataset Limpio'!W2:W2001,"Retrasado")/COUNTIFS('Dataset Limpio'!C2:C2001,2023,'Dataset Limpio'!D2:D2001,2),0)</f>
        <v>0.28169014084507044</v>
      </c>
      <c r="I82" s="16">
        <f>IFERROR(COUNTIFS('Dataset Limpio'!C2:C2001,2023,'Dataset Limpio'!D2:D2001,2,'Dataset Limpio'!AB2:AB2001,"VERDADERO")/COUNTIFS('Dataset Limpio'!C2:C2001,2023,'Dataset Limpio'!D2:D2001,2),0)</f>
        <v>0.54929577464788737</v>
      </c>
      <c r="J82" s="19">
        <f>IFERROR(AVERAGEIFS('Dataset Limpio'!V2:V2001,'Dataset Limpio'!C2:C2001,2023,'Dataset Limpio'!D2:D2001,2),0)</f>
        <v>2.6619718309859155</v>
      </c>
    </row>
    <row r="83" spans="2:10" ht="15.75" customHeight="1" x14ac:dyDescent="0.3">
      <c r="B83" s="80" t="s">
        <v>88</v>
      </c>
      <c r="C83" s="45">
        <v>3</v>
      </c>
      <c r="D83" s="7">
        <f>COUNTIFS('Dataset Limpio'!C2:C2001,2023,'Dataset Limpio'!D2:D2001,3)</f>
        <v>92</v>
      </c>
      <c r="E83" s="13">
        <f>SUMIFS('Dataset Limpio'!P2:P2001,'Dataset Limpio'!C2:C2001,2023,'Dataset Limpio'!D2:D2001,3)</f>
        <v>24600375.780000001</v>
      </c>
      <c r="F83" s="13">
        <f>SUMIFS('Dataset Limpio'!Q2:Q2001,'Dataset Limpio'!C2:C2001,2023,'Dataset Limpio'!D2:D2001,3)</f>
        <v>1211038.1899999997</v>
      </c>
      <c r="G83" s="12">
        <f>IFERROR(COUNTIFS('Dataset Limpio'!C2:C2001,2023,'Dataset Limpio'!D2:D2001,3,'Dataset Limpio'!X2:X2001,"VERDADERO")/COUNTIFS('Dataset Limpio'!C2:C2001,2023,'Dataset Limpio'!D2:D2001,3),0)</f>
        <v>0.39130434782608697</v>
      </c>
      <c r="H83" s="12">
        <f>IFERROR(COUNTIFS('Dataset Limpio'!C2:C2001,2023,'Dataset Limpio'!D2:D2001,3,'Dataset Limpio'!W2:W2001,"Retrasado")/COUNTIFS('Dataset Limpio'!C2:C2001,2023,'Dataset Limpio'!D2:D2001,3),0)</f>
        <v>0.34782608695652173</v>
      </c>
      <c r="I83" s="12">
        <f>IFERROR(COUNTIFS('Dataset Limpio'!C2:C2001,2023,'Dataset Limpio'!D2:D2001,3,'Dataset Limpio'!AB2:AB2001,"VERDADERO")/COUNTIFS('Dataset Limpio'!C2:C2001,2023,'Dataset Limpio'!D2:D2001,3),0)</f>
        <v>0.61956521739130432</v>
      </c>
      <c r="J83" s="15">
        <f>IFERROR(AVERAGEIFS('Dataset Limpio'!V2:V2001,'Dataset Limpio'!C2:C2001,2023,'Dataset Limpio'!D2:D2001,3),0)</f>
        <v>2.4782608695652173</v>
      </c>
    </row>
    <row r="84" spans="2:10" ht="15.75" customHeight="1" x14ac:dyDescent="0.3">
      <c r="B84" s="80" t="s">
        <v>88</v>
      </c>
      <c r="C84" s="46">
        <v>4</v>
      </c>
      <c r="D84" s="10">
        <f>COUNTIFS('Dataset Limpio'!C2:C2001,2023,'Dataset Limpio'!D2:D2001,4)</f>
        <v>96</v>
      </c>
      <c r="E84" s="17">
        <f>SUMIFS('Dataset Limpio'!P2:P2001,'Dataset Limpio'!C2:C2001,2023,'Dataset Limpio'!D2:D2001,4)</f>
        <v>23362364.877400003</v>
      </c>
      <c r="F84" s="17">
        <f>SUMIFS('Dataset Limpio'!Q2:Q2001,'Dataset Limpio'!C2:C2001,2023,'Dataset Limpio'!D2:D2001,4)</f>
        <v>1220458.0801999997</v>
      </c>
      <c r="G84" s="16">
        <f>IFERROR(COUNTIFS('Dataset Limpio'!C2:C2001,2023,'Dataset Limpio'!D2:D2001,4,'Dataset Limpio'!X2:X2001,"VERDADERO")/COUNTIFS('Dataset Limpio'!C2:C2001,2023,'Dataset Limpio'!D2:D2001,4),0)</f>
        <v>0.59375</v>
      </c>
      <c r="H84" s="16">
        <f>IFERROR(COUNTIFS('Dataset Limpio'!C2:C2001,2023,'Dataset Limpio'!D2:D2001,4,'Dataset Limpio'!W2:W2001,"Retrasado")/COUNTIFS('Dataset Limpio'!C2:C2001,2023,'Dataset Limpio'!D2:D2001,4),0)</f>
        <v>0.20833333333333334</v>
      </c>
      <c r="I84" s="16">
        <f>IFERROR(COUNTIFS('Dataset Limpio'!C2:C2001,2023,'Dataset Limpio'!D2:D2001,4,'Dataset Limpio'!AB2:AB2001,"VERDADERO")/COUNTIFS('Dataset Limpio'!C2:C2001,2023,'Dataset Limpio'!D2:D2001,4),0)</f>
        <v>0.57291666666666663</v>
      </c>
      <c r="J84" s="19">
        <f>IFERROR(AVERAGEIFS('Dataset Limpio'!V2:V2001,'Dataset Limpio'!C2:C2001,2023,'Dataset Limpio'!D2:D2001,4),0)</f>
        <v>1.0833333333333333</v>
      </c>
    </row>
    <row r="85" spans="2:10" ht="15.75" customHeight="1" x14ac:dyDescent="0.3">
      <c r="B85" s="80" t="s">
        <v>88</v>
      </c>
      <c r="C85" s="45">
        <v>5</v>
      </c>
      <c r="D85" s="7">
        <f>COUNTIFS('Dataset Limpio'!C2:C2001,2023,'Dataset Limpio'!D2:D2001,5)</f>
        <v>75</v>
      </c>
      <c r="E85" s="13">
        <f>SUMIFS('Dataset Limpio'!P2:P2001,'Dataset Limpio'!C2:C2001,2023,'Dataset Limpio'!D2:D2001,5)</f>
        <v>14200948.379999997</v>
      </c>
      <c r="F85" s="13">
        <f>SUMIFS('Dataset Limpio'!Q2:Q2001,'Dataset Limpio'!C2:C2001,2023,'Dataset Limpio'!D2:D2001,5)</f>
        <v>789267.36020000069</v>
      </c>
      <c r="G85" s="12">
        <f>IFERROR(COUNTIFS('Dataset Limpio'!C2:C2001,2023,'Dataset Limpio'!D2:D2001,5,'Dataset Limpio'!X2:X2001,"VERDADERO")/COUNTIFS('Dataset Limpio'!C2:C2001,2023,'Dataset Limpio'!D2:D2001,5),0)</f>
        <v>0.46666666666666667</v>
      </c>
      <c r="H85" s="12">
        <f>IFERROR(COUNTIFS('Dataset Limpio'!C2:C2001,2023,'Dataset Limpio'!D2:D2001,5,'Dataset Limpio'!W2:W2001,"Retrasado")/COUNTIFS('Dataset Limpio'!C2:C2001,2023,'Dataset Limpio'!D2:D2001,5),0)</f>
        <v>0.28000000000000003</v>
      </c>
      <c r="I85" s="12">
        <f>IFERROR(COUNTIFS('Dataset Limpio'!C2:C2001,2023,'Dataset Limpio'!D2:D2001,5,'Dataset Limpio'!AB2:AB2001,"VERDADERO")/COUNTIFS('Dataset Limpio'!C2:C2001,2023,'Dataset Limpio'!D2:D2001,5),0)</f>
        <v>0.56000000000000005</v>
      </c>
      <c r="J85" s="15">
        <f>IFERROR(AVERAGEIFS('Dataset Limpio'!V2:V2001,'Dataset Limpio'!C2:C2001,2023,'Dataset Limpio'!D2:D2001,5),0)</f>
        <v>2.2000000000000002</v>
      </c>
    </row>
    <row r="86" spans="2:10" ht="15.75" customHeight="1" x14ac:dyDescent="0.3">
      <c r="B86" s="80" t="s">
        <v>88</v>
      </c>
      <c r="C86" s="46">
        <v>6</v>
      </c>
      <c r="D86" s="10">
        <f>COUNTIFS('Dataset Limpio'!C2:C2001,2023,'Dataset Limpio'!D2:D2001,6)</f>
        <v>84</v>
      </c>
      <c r="E86" s="17">
        <f>SUMIFS('Dataset Limpio'!P2:P2001,'Dataset Limpio'!C2:C2001,2023,'Dataset Limpio'!D2:D2001,6)</f>
        <v>22056074.067400005</v>
      </c>
      <c r="F86" s="17">
        <f>SUMIFS('Dataset Limpio'!Q2:Q2001,'Dataset Limpio'!C2:C2001,2023,'Dataset Limpio'!D2:D2001,6)</f>
        <v>1057482.9904</v>
      </c>
      <c r="G86" s="16">
        <f>IFERROR(COUNTIFS('Dataset Limpio'!C2:C2001,2023,'Dataset Limpio'!D2:D2001,6,'Dataset Limpio'!X2:X2001,"VERDADERO")/COUNTIFS('Dataset Limpio'!C2:C2001,2023,'Dataset Limpio'!D2:D2001,6),0)</f>
        <v>0.58333333333333337</v>
      </c>
      <c r="H86" s="16">
        <f>IFERROR(COUNTIFS('Dataset Limpio'!C2:C2001,2023,'Dataset Limpio'!D2:D2001,6,'Dataset Limpio'!W2:W2001,"Retrasado")/COUNTIFS('Dataset Limpio'!C2:C2001,2023,'Dataset Limpio'!D2:D2001,6),0)</f>
        <v>0.20238095238095238</v>
      </c>
      <c r="I86" s="16">
        <f>IFERROR(COUNTIFS('Dataset Limpio'!C2:C2001,2023,'Dataset Limpio'!D2:D2001,6,'Dataset Limpio'!AB2:AB2001,"VERDADERO")/COUNTIFS('Dataset Limpio'!C2:C2001,2023,'Dataset Limpio'!D2:D2001,6),0)</f>
        <v>0.63095238095238093</v>
      </c>
      <c r="J86" s="19">
        <f>IFERROR(AVERAGEIFS('Dataset Limpio'!V2:V2001,'Dataset Limpio'!C2:C2001,2023,'Dataset Limpio'!D2:D2001,6),0)</f>
        <v>1.0833333333333333</v>
      </c>
    </row>
    <row r="87" spans="2:10" ht="15.75" customHeight="1" x14ac:dyDescent="0.3">
      <c r="B87" s="80" t="s">
        <v>88</v>
      </c>
      <c r="C87" s="45">
        <v>7</v>
      </c>
      <c r="D87" s="7">
        <f>COUNTIFS('Dataset Limpio'!C2:C2001,2023,'Dataset Limpio'!D2:D2001,7)</f>
        <v>59</v>
      </c>
      <c r="E87" s="13">
        <f>SUMIFS('Dataset Limpio'!P2:P2001,'Dataset Limpio'!C2:C2001,2023,'Dataset Limpio'!D2:D2001,7)</f>
        <v>17414076.539999995</v>
      </c>
      <c r="F87" s="13">
        <f>SUMIFS('Dataset Limpio'!Q2:Q2001,'Dataset Limpio'!C2:C2001,2023,'Dataset Limpio'!D2:D2001,7)</f>
        <v>898851.90030000033</v>
      </c>
      <c r="G87" s="12">
        <f>IFERROR(COUNTIFS('Dataset Limpio'!C2:C2001,2023,'Dataset Limpio'!D2:D2001,7,'Dataset Limpio'!X2:X2001,"VERDADERO")/COUNTIFS('Dataset Limpio'!C2:C2001,2023,'Dataset Limpio'!D2:D2001,7),0)</f>
        <v>0.5423728813559322</v>
      </c>
      <c r="H87" s="12">
        <f>IFERROR(COUNTIFS('Dataset Limpio'!C2:C2001,2023,'Dataset Limpio'!D2:D2001,7,'Dataset Limpio'!W2:W2001,"Retrasado")/COUNTIFS('Dataset Limpio'!C2:C2001,2023,'Dataset Limpio'!D2:D2001,7),0)</f>
        <v>0.2711864406779661</v>
      </c>
      <c r="I87" s="12">
        <f>IFERROR(COUNTIFS('Dataset Limpio'!C2:C2001,2023,'Dataset Limpio'!D2:D2001,7,'Dataset Limpio'!AB2:AB2001,"VERDADERO")/COUNTIFS('Dataset Limpio'!C2:C2001,2023,'Dataset Limpio'!D2:D2001,7),0)</f>
        <v>0.61016949152542377</v>
      </c>
      <c r="J87" s="15">
        <f>IFERROR(AVERAGEIFS('Dataset Limpio'!V2:V2001,'Dataset Limpio'!C2:C2001,2023,'Dataset Limpio'!D2:D2001,7),0)</f>
        <v>1.6440677966101696</v>
      </c>
    </row>
    <row r="88" spans="2:10" ht="15.75" customHeight="1" x14ac:dyDescent="0.3">
      <c r="B88" s="80" t="s">
        <v>88</v>
      </c>
      <c r="C88" s="46">
        <v>8</v>
      </c>
      <c r="D88" s="10">
        <f>COUNTIFS('Dataset Limpio'!C2:C2001,2023,'Dataset Limpio'!D2:D2001,8)</f>
        <v>93</v>
      </c>
      <c r="E88" s="17">
        <f>SUMIFS('Dataset Limpio'!P2:P2001,'Dataset Limpio'!C2:C2001,2023,'Dataset Limpio'!D2:D2001,8)</f>
        <v>19644226.888900004</v>
      </c>
      <c r="F88" s="17">
        <f>SUMIFS('Dataset Limpio'!Q2:Q2001,'Dataset Limpio'!C2:C2001,2023,'Dataset Limpio'!D2:D2001,8)</f>
        <v>936920.90000000014</v>
      </c>
      <c r="G88" s="16">
        <f>IFERROR(COUNTIFS('Dataset Limpio'!C2:C2001,2023,'Dataset Limpio'!D2:D2001,8,'Dataset Limpio'!X2:X2001,"VERDADERO")/COUNTIFS('Dataset Limpio'!C2:C2001,2023,'Dataset Limpio'!D2:D2001,8),0)</f>
        <v>0.4731182795698925</v>
      </c>
      <c r="H88" s="16">
        <f>IFERROR(COUNTIFS('Dataset Limpio'!C2:C2001,2023,'Dataset Limpio'!D2:D2001,8,'Dataset Limpio'!W2:W2001,"Retrasado")/COUNTIFS('Dataset Limpio'!C2:C2001,2023,'Dataset Limpio'!D2:D2001,8),0)</f>
        <v>0.30107526881720431</v>
      </c>
      <c r="I88" s="16">
        <f>IFERROR(COUNTIFS('Dataset Limpio'!C2:C2001,2023,'Dataset Limpio'!D2:D2001,8,'Dataset Limpio'!AB2:AB2001,"VERDADERO")/COUNTIFS('Dataset Limpio'!C2:C2001,2023,'Dataset Limpio'!D2:D2001,8),0)</f>
        <v>0.54838709677419351</v>
      </c>
      <c r="J88" s="19">
        <f>IFERROR(AVERAGEIFS('Dataset Limpio'!V2:V2001,'Dataset Limpio'!C2:C2001,2023,'Dataset Limpio'!D2:D2001,8),0)</f>
        <v>1.967741935483871</v>
      </c>
    </row>
    <row r="89" spans="2:10" ht="15.75" customHeight="1" x14ac:dyDescent="0.3">
      <c r="B89" s="80" t="s">
        <v>88</v>
      </c>
      <c r="C89" s="45">
        <v>9</v>
      </c>
      <c r="D89" s="7">
        <f>COUNTIFS('Dataset Limpio'!C2:C2001,2023,'Dataset Limpio'!D2:D2001,9)</f>
        <v>86</v>
      </c>
      <c r="E89" s="13">
        <f>SUMIFS('Dataset Limpio'!P2:P2001,'Dataset Limpio'!C2:C2001,2023,'Dataset Limpio'!D2:D2001,9)</f>
        <v>22825680.674799997</v>
      </c>
      <c r="F89" s="13">
        <f>SUMIFS('Dataset Limpio'!Q2:Q2001,'Dataset Limpio'!C2:C2001,2023,'Dataset Limpio'!D2:D2001,9)</f>
        <v>997825.71019999974</v>
      </c>
      <c r="G89" s="12">
        <f>IFERROR(COUNTIFS('Dataset Limpio'!C2:C2001,2023,'Dataset Limpio'!D2:D2001,9,'Dataset Limpio'!X2:X2001,"VERDADERO")/COUNTIFS('Dataset Limpio'!C2:C2001,2023,'Dataset Limpio'!D2:D2001,9),0)</f>
        <v>0.47674418604651164</v>
      </c>
      <c r="H89" s="12">
        <f>IFERROR(COUNTIFS('Dataset Limpio'!C2:C2001,2023,'Dataset Limpio'!D2:D2001,9,'Dataset Limpio'!W2:W2001,"Retrasado")/COUNTIFS('Dataset Limpio'!C2:C2001,2023,'Dataset Limpio'!D2:D2001,9),0)</f>
        <v>0.32558139534883723</v>
      </c>
      <c r="I89" s="12">
        <f>IFERROR(COUNTIFS('Dataset Limpio'!C2:C2001,2023,'Dataset Limpio'!D2:D2001,9,'Dataset Limpio'!AB2:AB2001,"VERDADERO")/COUNTIFS('Dataset Limpio'!C2:C2001,2023,'Dataset Limpio'!D2:D2001,9),0)</f>
        <v>0.58139534883720934</v>
      </c>
      <c r="J89" s="15">
        <f>IFERROR(AVERAGEIFS('Dataset Limpio'!V2:V2001,'Dataset Limpio'!C2:C2001,2023,'Dataset Limpio'!D2:D2001,9),0)</f>
        <v>1.5</v>
      </c>
    </row>
    <row r="90" spans="2:10" ht="15.75" customHeight="1" x14ac:dyDescent="0.3">
      <c r="B90" s="80" t="s">
        <v>88</v>
      </c>
      <c r="C90" s="46">
        <v>10</v>
      </c>
      <c r="D90" s="10">
        <f>COUNTIFS('Dataset Limpio'!C2:C2001,2023,'Dataset Limpio'!D2:D2001,10)</f>
        <v>93</v>
      </c>
      <c r="E90" s="17">
        <f>SUMIFS('Dataset Limpio'!P2:P2001,'Dataset Limpio'!C2:C2001,2023,'Dataset Limpio'!D2:D2001,10)</f>
        <v>29974121.397400007</v>
      </c>
      <c r="F90" s="17">
        <f>SUMIFS('Dataset Limpio'!Q2:Q2001,'Dataset Limpio'!C2:C2001,2023,'Dataset Limpio'!D2:D2001,10)</f>
        <v>1524030.6504000002</v>
      </c>
      <c r="G90" s="16">
        <f>IFERROR(COUNTIFS('Dataset Limpio'!C2:C2001,2023,'Dataset Limpio'!D2:D2001,10,'Dataset Limpio'!X2:X2001,"VERDADERO")/COUNTIFS('Dataset Limpio'!C2:C2001,2023,'Dataset Limpio'!D2:D2001,10),0)</f>
        <v>0.43010752688172044</v>
      </c>
      <c r="H90" s="16">
        <f>IFERROR(COUNTIFS('Dataset Limpio'!C2:C2001,2023,'Dataset Limpio'!D2:D2001,10,'Dataset Limpio'!W2:W2001,"Retrasado")/COUNTIFS('Dataset Limpio'!C2:C2001,2023,'Dataset Limpio'!D2:D2001,10),0)</f>
        <v>0.23655913978494625</v>
      </c>
      <c r="I90" s="16">
        <f>IFERROR(COUNTIFS('Dataset Limpio'!C2:C2001,2023,'Dataset Limpio'!D2:D2001,10,'Dataset Limpio'!AB2:AB2001,"VERDADERO")/COUNTIFS('Dataset Limpio'!C2:C2001,2023,'Dataset Limpio'!D2:D2001,10),0)</f>
        <v>0.5053763440860215</v>
      </c>
      <c r="J90" s="19">
        <f>IFERROR(AVERAGEIFS('Dataset Limpio'!V2:V2001,'Dataset Limpio'!C2:C2001,2023,'Dataset Limpio'!D2:D2001,10),0)</f>
        <v>2.774193548387097</v>
      </c>
    </row>
    <row r="91" spans="2:10" ht="15.75" customHeight="1" x14ac:dyDescent="0.3">
      <c r="B91" s="80" t="s">
        <v>88</v>
      </c>
      <c r="C91" s="45">
        <v>11</v>
      </c>
      <c r="D91" s="7">
        <f>COUNTIFS('Dataset Limpio'!C2:C2001,2023,'Dataset Limpio'!D2:D2001,11)</f>
        <v>82</v>
      </c>
      <c r="E91" s="13">
        <f>SUMIFS('Dataset Limpio'!P2:P2001,'Dataset Limpio'!C2:C2001,2023,'Dataset Limpio'!D2:D2001,11)</f>
        <v>18457092.128899999</v>
      </c>
      <c r="F91" s="13">
        <f>SUMIFS('Dataset Limpio'!Q2:Q2001,'Dataset Limpio'!C2:C2001,2023,'Dataset Limpio'!D2:D2001,11)</f>
        <v>903677.22019999998</v>
      </c>
      <c r="G91" s="12">
        <f>IFERROR(COUNTIFS('Dataset Limpio'!C2:C2001,2023,'Dataset Limpio'!D2:D2001,11,'Dataset Limpio'!X2:X2001,"VERDADERO")/COUNTIFS('Dataset Limpio'!C2:C2001,2023,'Dataset Limpio'!D2:D2001,11),0)</f>
        <v>0.51219512195121952</v>
      </c>
      <c r="H91" s="12">
        <f>IFERROR(COUNTIFS('Dataset Limpio'!C2:C2001,2023,'Dataset Limpio'!D2:D2001,11,'Dataset Limpio'!W2:W2001,"Retrasado")/COUNTIFS('Dataset Limpio'!C2:C2001,2023,'Dataset Limpio'!D2:D2001,11),0)</f>
        <v>0.23170731707317074</v>
      </c>
      <c r="I91" s="12">
        <f>IFERROR(COUNTIFS('Dataset Limpio'!C2:C2001,2023,'Dataset Limpio'!D2:D2001,11,'Dataset Limpio'!AB2:AB2001,"VERDADERO")/COUNTIFS('Dataset Limpio'!C2:C2001,2023,'Dataset Limpio'!D2:D2001,11),0)</f>
        <v>0.53658536585365857</v>
      </c>
      <c r="J91" s="15">
        <f>IFERROR(AVERAGEIFS('Dataset Limpio'!V2:V2001,'Dataset Limpio'!C2:C2001,2023,'Dataset Limpio'!D2:D2001,11),0)</f>
        <v>1.5975609756097562</v>
      </c>
    </row>
    <row r="92" spans="2:10" ht="15.75" customHeight="1" x14ac:dyDescent="0.3">
      <c r="B92" s="80" t="s">
        <v>88</v>
      </c>
      <c r="C92" s="46">
        <v>12</v>
      </c>
      <c r="D92" s="10">
        <f>COUNTIFS('Dataset Limpio'!C2:C2001,2023,'Dataset Limpio'!D2:D2001,12)</f>
        <v>82</v>
      </c>
      <c r="E92" s="17">
        <f>SUMIFS('Dataset Limpio'!P2:P2001,'Dataset Limpio'!C2:C2001,2023,'Dataset Limpio'!D2:D2001,12)</f>
        <v>19711517.516300004</v>
      </c>
      <c r="F92" s="17">
        <f>SUMIFS('Dataset Limpio'!Q2:Q2001,'Dataset Limpio'!C2:C2001,2023,'Dataset Limpio'!D2:D2001,12)</f>
        <v>1139408.3003999996</v>
      </c>
      <c r="G92" s="16">
        <f>IFERROR(COUNTIFS('Dataset Limpio'!C2:C2001,2023,'Dataset Limpio'!D2:D2001,12,'Dataset Limpio'!X2:X2001,"VERDADERO")/COUNTIFS('Dataset Limpio'!C2:C2001,2023,'Dataset Limpio'!D2:D2001,12),0)</f>
        <v>0.5</v>
      </c>
      <c r="H92" s="16">
        <f>IFERROR(COUNTIFS('Dataset Limpio'!C2:C2001,2023,'Dataset Limpio'!D2:D2001,12,'Dataset Limpio'!W2:W2001,"Retrasado")/COUNTIFS('Dataset Limpio'!C2:C2001,2023,'Dataset Limpio'!D2:D2001,12),0)</f>
        <v>0.26829268292682928</v>
      </c>
      <c r="I92" s="16">
        <f>IFERROR(COUNTIFS('Dataset Limpio'!C2:C2001,2023,'Dataset Limpio'!D2:D2001,12,'Dataset Limpio'!AB2:AB2001,"VERDADERO")/COUNTIFS('Dataset Limpio'!C2:C2001,2023,'Dataset Limpio'!D2:D2001,12),0)</f>
        <v>0.52439024390243905</v>
      </c>
      <c r="J92" s="19">
        <f>IFERROR(AVERAGEIFS('Dataset Limpio'!V2:V2001,'Dataset Limpio'!C2:C2001,2023,'Dataset Limpio'!D2:D2001,12),0)</f>
        <v>2.3780487804878048</v>
      </c>
    </row>
    <row r="93" spans="2:10" ht="15.75" customHeight="1" x14ac:dyDescent="0.3">
      <c r="B93" s="80" t="s">
        <v>89</v>
      </c>
      <c r="C93" s="45">
        <v>1</v>
      </c>
      <c r="D93" s="7">
        <f>COUNTIFS('Dataset Limpio'!C2:C2001,2024,'Dataset Limpio'!D2:D2001,1)</f>
        <v>86</v>
      </c>
      <c r="E93" s="13">
        <f>SUMIFS('Dataset Limpio'!P2:P2001,'Dataset Limpio'!C2:C2001,2024,'Dataset Limpio'!D2:D2001,1)</f>
        <v>16646386.508900007</v>
      </c>
      <c r="F93" s="13">
        <f>SUMIFS('Dataset Limpio'!Q2:Q2001,'Dataset Limpio'!C2:C2001,2024,'Dataset Limpio'!D2:D2001,1)</f>
        <v>773138.71019999997</v>
      </c>
      <c r="G93" s="12">
        <f>IFERROR(COUNTIFS('Dataset Limpio'!C2:C2001,2024,'Dataset Limpio'!D2:D2001,1,'Dataset Limpio'!X2:X2001,"VERDADERO")/COUNTIFS('Dataset Limpio'!C2:C2001,2024,'Dataset Limpio'!D2:D2001,1),0)</f>
        <v>0.53488372093023251</v>
      </c>
      <c r="H93" s="12">
        <f>IFERROR(COUNTIFS('Dataset Limpio'!C2:C2001,2024,'Dataset Limpio'!D2:D2001,1,'Dataset Limpio'!W2:W2001,"Retrasado")/COUNTIFS('Dataset Limpio'!C2:C2001,2024,'Dataset Limpio'!D2:D2001,1),0)</f>
        <v>0.23255813953488372</v>
      </c>
      <c r="I93" s="12">
        <f>IFERROR(COUNTIFS('Dataset Limpio'!C2:C2001,2024,'Dataset Limpio'!D2:D2001,1,'Dataset Limpio'!AB2:AB2001,"VERDADERO")/COUNTIFS('Dataset Limpio'!C2:C2001,2024,'Dataset Limpio'!D2:D2001,1),0)</f>
        <v>0.52325581395348841</v>
      </c>
      <c r="J93" s="15">
        <f>IFERROR(AVERAGEIFS('Dataset Limpio'!V2:V2001,'Dataset Limpio'!C2:C2001,2024,'Dataset Limpio'!D2:D2001,1),0)</f>
        <v>1.7093023255813953</v>
      </c>
    </row>
    <row r="94" spans="2:10" ht="15.75" customHeight="1" x14ac:dyDescent="0.3">
      <c r="B94" s="80" t="s">
        <v>89</v>
      </c>
      <c r="C94" s="46">
        <v>2</v>
      </c>
      <c r="D94" s="10">
        <f>COUNTIFS('Dataset Limpio'!C2:C2001,2024,'Dataset Limpio'!D2:D2001,2)</f>
        <v>72</v>
      </c>
      <c r="E94" s="17">
        <f>SUMIFS('Dataset Limpio'!P2:P2001,'Dataset Limpio'!C2:C2001,2024,'Dataset Limpio'!D2:D2001,2)</f>
        <v>23407751.266300004</v>
      </c>
      <c r="F94" s="17">
        <f>SUMIFS('Dataset Limpio'!Q2:Q2001,'Dataset Limpio'!C2:C2001,2024,'Dataset Limpio'!D2:D2001,2)</f>
        <v>1226343.1501999996</v>
      </c>
      <c r="G94" s="16">
        <f>IFERROR(COUNTIFS('Dataset Limpio'!C2:C2001,2024,'Dataset Limpio'!D2:D2001,2,'Dataset Limpio'!X2:X2001,"VERDADERO")/COUNTIFS('Dataset Limpio'!C2:C2001,2024,'Dataset Limpio'!D2:D2001,2),0)</f>
        <v>0.4861111111111111</v>
      </c>
      <c r="H94" s="16">
        <f>IFERROR(COUNTIFS('Dataset Limpio'!C2:C2001,2024,'Dataset Limpio'!D2:D2001,2,'Dataset Limpio'!W2:W2001,"Retrasado")/COUNTIFS('Dataset Limpio'!C2:C2001,2024,'Dataset Limpio'!D2:D2001,2),0)</f>
        <v>0.2361111111111111</v>
      </c>
      <c r="I94" s="16">
        <f>IFERROR(COUNTIFS('Dataset Limpio'!C2:C2001,2024,'Dataset Limpio'!D2:D2001,2,'Dataset Limpio'!AB2:AB2001,"VERDADERO")/COUNTIFS('Dataset Limpio'!C2:C2001,2024,'Dataset Limpio'!D2:D2001,2),0)</f>
        <v>0.52777777777777779</v>
      </c>
      <c r="J94" s="19">
        <f>IFERROR(AVERAGEIFS('Dataset Limpio'!V2:V2001,'Dataset Limpio'!C2:C2001,2024,'Dataset Limpio'!D2:D2001,2),0)</f>
        <v>2.4444444444444446</v>
      </c>
    </row>
    <row r="95" spans="2:10" ht="15.75" customHeight="1" x14ac:dyDescent="0.3">
      <c r="B95" s="80" t="s">
        <v>89</v>
      </c>
      <c r="C95" s="45">
        <v>3</v>
      </c>
      <c r="D95" s="7">
        <f>COUNTIFS('Dataset Limpio'!C2:C2001,2024,'Dataset Limpio'!D2:D2001,3)</f>
        <v>98</v>
      </c>
      <c r="E95" s="13">
        <f>SUMIFS('Dataset Limpio'!P2:P2001,'Dataset Limpio'!C2:C2001,2024,'Dataset Limpio'!D2:D2001,3)</f>
        <v>26253301.733700007</v>
      </c>
      <c r="F95" s="13">
        <f>SUMIFS('Dataset Limpio'!Q2:Q2001,'Dataset Limpio'!C2:C2001,2024,'Dataset Limpio'!D2:D2001,3)</f>
        <v>1347611.2103000002</v>
      </c>
      <c r="G95" s="12">
        <f>IFERROR(COUNTIFS('Dataset Limpio'!C2:C2001,2024,'Dataset Limpio'!D2:D2001,3,'Dataset Limpio'!X2:X2001,"VERDADERO")/COUNTIFS('Dataset Limpio'!C2:C2001,2024,'Dataset Limpio'!D2:D2001,3),0)</f>
        <v>0.48979591836734693</v>
      </c>
      <c r="H95" s="12">
        <f>IFERROR(COUNTIFS('Dataset Limpio'!C2:C2001,2024,'Dataset Limpio'!D2:D2001,3,'Dataset Limpio'!W2:W2001,"Retrasado")/COUNTIFS('Dataset Limpio'!C2:C2001,2024,'Dataset Limpio'!D2:D2001,3),0)</f>
        <v>0.29591836734693877</v>
      </c>
      <c r="I95" s="12">
        <f>IFERROR(COUNTIFS('Dataset Limpio'!C2:C2001,2024,'Dataset Limpio'!D2:D2001,3,'Dataset Limpio'!AB2:AB2001,"VERDADERO")/COUNTIFS('Dataset Limpio'!C2:C2001,2024,'Dataset Limpio'!D2:D2001,3),0)</f>
        <v>0.59183673469387754</v>
      </c>
      <c r="J95" s="15">
        <f>IFERROR(AVERAGEIFS('Dataset Limpio'!V2:V2001,'Dataset Limpio'!C2:C2001,2024,'Dataset Limpio'!D2:D2001,3),0)</f>
        <v>1.6020408163265305</v>
      </c>
    </row>
    <row r="96" spans="2:10" ht="15.75" customHeight="1" x14ac:dyDescent="0.3">
      <c r="B96" s="80" t="s">
        <v>89</v>
      </c>
      <c r="C96" s="46">
        <v>4</v>
      </c>
      <c r="D96" s="10">
        <f>COUNTIFS('Dataset Limpio'!C2:C2001,2024,'Dataset Limpio'!D2:D2001,4)</f>
        <v>94</v>
      </c>
      <c r="E96" s="17">
        <f>SUMIFS('Dataset Limpio'!P2:P2001,'Dataset Limpio'!C2:C2001,2024,'Dataset Limpio'!D2:D2001,4)</f>
        <v>22352958.354800005</v>
      </c>
      <c r="F96" s="17">
        <f>SUMIFS('Dataset Limpio'!Q2:Q2001,'Dataset Limpio'!C2:C2001,2024,'Dataset Limpio'!D2:D2001,4)</f>
        <v>1041678.5902</v>
      </c>
      <c r="G96" s="16">
        <f>IFERROR(COUNTIFS('Dataset Limpio'!C2:C2001,2024,'Dataset Limpio'!D2:D2001,4,'Dataset Limpio'!X2:X2001,"VERDADERO")/COUNTIFS('Dataset Limpio'!C2:C2001,2024,'Dataset Limpio'!D2:D2001,4),0)</f>
        <v>0.38297872340425532</v>
      </c>
      <c r="H96" s="16">
        <f>IFERROR(COUNTIFS('Dataset Limpio'!C2:C2001,2024,'Dataset Limpio'!D2:D2001,4,'Dataset Limpio'!W2:W2001,"Retrasado")/COUNTIFS('Dataset Limpio'!C2:C2001,2024,'Dataset Limpio'!D2:D2001,4),0)</f>
        <v>0.37234042553191488</v>
      </c>
      <c r="I96" s="16">
        <f>IFERROR(COUNTIFS('Dataset Limpio'!C2:C2001,2024,'Dataset Limpio'!D2:D2001,4,'Dataset Limpio'!AB2:AB2001,"VERDADERO")/COUNTIFS('Dataset Limpio'!C2:C2001,2024,'Dataset Limpio'!D2:D2001,4),0)</f>
        <v>0.62765957446808507</v>
      </c>
      <c r="J96" s="19">
        <f>IFERROR(AVERAGEIFS('Dataset Limpio'!V2:V2001,'Dataset Limpio'!C2:C2001,2024,'Dataset Limpio'!D2:D2001,4),0)</f>
        <v>2.1914893617021276</v>
      </c>
    </row>
    <row r="97" spans="2:10" ht="15.75" customHeight="1" x14ac:dyDescent="0.3">
      <c r="B97" s="80" t="s">
        <v>89</v>
      </c>
      <c r="C97" s="45">
        <v>5</v>
      </c>
      <c r="D97" s="7">
        <f>COUNTIFS('Dataset Limpio'!C2:C2001,2024,'Dataset Limpio'!D2:D2001,5)</f>
        <v>70</v>
      </c>
      <c r="E97" s="13">
        <f>SUMIFS('Dataset Limpio'!P2:P2001,'Dataset Limpio'!C2:C2001,2024,'Dataset Limpio'!D2:D2001,5)</f>
        <v>19279556.705200005</v>
      </c>
      <c r="F97" s="13">
        <f>SUMIFS('Dataset Limpio'!Q2:Q2001,'Dataset Limpio'!C2:C2001,2024,'Dataset Limpio'!D2:D2001,5)</f>
        <v>976433.62020000012</v>
      </c>
      <c r="G97" s="12">
        <f>IFERROR(COUNTIFS('Dataset Limpio'!C2:C2001,2024,'Dataset Limpio'!D2:D2001,5,'Dataset Limpio'!X2:X2001,"VERDADERO")/COUNTIFS('Dataset Limpio'!C2:C2001,2024,'Dataset Limpio'!D2:D2001,5),0)</f>
        <v>0.45714285714285713</v>
      </c>
      <c r="H97" s="12">
        <f>IFERROR(COUNTIFS('Dataset Limpio'!C2:C2001,2024,'Dataset Limpio'!D2:D2001,5,'Dataset Limpio'!W2:W2001,"Retrasado")/COUNTIFS('Dataset Limpio'!C2:C2001,2024,'Dataset Limpio'!D2:D2001,5),0)</f>
        <v>0.3</v>
      </c>
      <c r="I97" s="12">
        <f>IFERROR(COUNTIFS('Dataset Limpio'!C2:C2001,2024,'Dataset Limpio'!D2:D2001,5,'Dataset Limpio'!AB2:AB2001,"VERDADERO")/COUNTIFS('Dataset Limpio'!C2:C2001,2024,'Dataset Limpio'!D2:D2001,5),0)</f>
        <v>0.5714285714285714</v>
      </c>
      <c r="J97" s="15">
        <f>IFERROR(AVERAGEIFS('Dataset Limpio'!V2:V2001,'Dataset Limpio'!C2:C2001,2024,'Dataset Limpio'!D2:D2001,5),0)</f>
        <v>2.0857142857142859</v>
      </c>
    </row>
    <row r="98" spans="2:10" ht="15.75" customHeight="1" x14ac:dyDescent="0.3">
      <c r="B98" s="80" t="s">
        <v>89</v>
      </c>
      <c r="C98" s="46">
        <v>6</v>
      </c>
      <c r="D98" s="10">
        <f>COUNTIFS('Dataset Limpio'!C2:C2001,2024,'Dataset Limpio'!D2:D2001,6)</f>
        <v>72</v>
      </c>
      <c r="E98" s="17">
        <f>SUMIFS('Dataset Limpio'!P2:P2001,'Dataset Limpio'!C2:C2001,2024,'Dataset Limpio'!D2:D2001,6)</f>
        <v>22465634.814799998</v>
      </c>
      <c r="F98" s="17">
        <f>SUMIFS('Dataset Limpio'!Q2:Q2001,'Dataset Limpio'!C2:C2001,2024,'Dataset Limpio'!D2:D2001,6)</f>
        <v>1046415.8302000001</v>
      </c>
      <c r="G98" s="16">
        <f>IFERROR(COUNTIFS('Dataset Limpio'!C2:C2001,2024,'Dataset Limpio'!D2:D2001,6,'Dataset Limpio'!X2:X2001,"VERDADERO")/COUNTIFS('Dataset Limpio'!C2:C2001,2024,'Dataset Limpio'!D2:D2001,6),0)</f>
        <v>0.43055555555555558</v>
      </c>
      <c r="H98" s="16">
        <f>IFERROR(COUNTIFS('Dataset Limpio'!C2:C2001,2024,'Dataset Limpio'!D2:D2001,6,'Dataset Limpio'!W2:W2001,"Retrasado")/COUNTIFS('Dataset Limpio'!C2:C2001,2024,'Dataset Limpio'!D2:D2001,6),0)</f>
        <v>0.2638888888888889</v>
      </c>
      <c r="I98" s="16">
        <f>IFERROR(COUNTIFS('Dataset Limpio'!C2:C2001,2024,'Dataset Limpio'!D2:D2001,6,'Dataset Limpio'!AB2:AB2001,"VERDADERO")/COUNTIFS('Dataset Limpio'!C2:C2001,2024,'Dataset Limpio'!D2:D2001,6),0)</f>
        <v>0.69444444444444442</v>
      </c>
      <c r="J98" s="19">
        <f>IFERROR(AVERAGEIFS('Dataset Limpio'!V2:V2001,'Dataset Limpio'!C2:C2001,2024,'Dataset Limpio'!D2:D2001,6),0)</f>
        <v>2.3194444444444446</v>
      </c>
    </row>
    <row r="99" spans="2:10" ht="15.75" customHeight="1" x14ac:dyDescent="0.3">
      <c r="B99" s="80" t="s">
        <v>89</v>
      </c>
      <c r="C99" s="45">
        <v>7</v>
      </c>
      <c r="D99" s="7">
        <f>COUNTIFS('Dataset Limpio'!C2:C2001,2024,'Dataset Limpio'!D2:D2001,7)</f>
        <v>92</v>
      </c>
      <c r="E99" s="13">
        <f>SUMIFS('Dataset Limpio'!P2:P2001,'Dataset Limpio'!C2:C2001,2024,'Dataset Limpio'!D2:D2001,7)</f>
        <v>24020403.823700003</v>
      </c>
      <c r="F99" s="13">
        <f>SUMIFS('Dataset Limpio'!Q2:Q2001,'Dataset Limpio'!C2:C2001,2024,'Dataset Limpio'!D2:D2001,7)</f>
        <v>1270120.3307999999</v>
      </c>
      <c r="G99" s="12">
        <f>IFERROR(COUNTIFS('Dataset Limpio'!C2:C2001,2024,'Dataset Limpio'!D2:D2001,7,'Dataset Limpio'!X2:X2001,"VERDADERO")/COUNTIFS('Dataset Limpio'!C2:C2001,2024,'Dataset Limpio'!D2:D2001,7),0)</f>
        <v>0.47826086956521741</v>
      </c>
      <c r="H99" s="12">
        <f>IFERROR(COUNTIFS('Dataset Limpio'!C2:C2001,2024,'Dataset Limpio'!D2:D2001,7,'Dataset Limpio'!W2:W2001,"Retrasado")/COUNTIFS('Dataset Limpio'!C2:C2001,2024,'Dataset Limpio'!D2:D2001,7),0)</f>
        <v>0.22826086956521738</v>
      </c>
      <c r="I99" s="12">
        <f>IFERROR(COUNTIFS('Dataset Limpio'!C2:C2001,2024,'Dataset Limpio'!D2:D2001,7,'Dataset Limpio'!AB2:AB2001,"VERDADERO")/COUNTIFS('Dataset Limpio'!C2:C2001,2024,'Dataset Limpio'!D2:D2001,7),0)</f>
        <v>0.54347826086956519</v>
      </c>
      <c r="J99" s="15">
        <f>IFERROR(AVERAGEIFS('Dataset Limpio'!V2:V2001,'Dataset Limpio'!C2:C2001,2024,'Dataset Limpio'!D2:D2001,7),0)</f>
        <v>2.1847826086956523</v>
      </c>
    </row>
    <row r="100" spans="2:10" ht="15.75" customHeight="1" x14ac:dyDescent="0.3">
      <c r="B100" s="80" t="s">
        <v>89</v>
      </c>
      <c r="C100" s="46">
        <v>8</v>
      </c>
      <c r="D100" s="10">
        <f>COUNTIFS('Dataset Limpio'!C2:C2001,2024,'Dataset Limpio'!D2:D2001,8)</f>
        <v>81</v>
      </c>
      <c r="E100" s="17">
        <f>SUMIFS('Dataset Limpio'!P2:P2001,'Dataset Limpio'!C2:C2001,2024,'Dataset Limpio'!D2:D2001,8)</f>
        <v>12833993.454100002</v>
      </c>
      <c r="F100" s="17">
        <f>SUMIFS('Dataset Limpio'!Q2:Q2001,'Dataset Limpio'!C2:C2001,2024,'Dataset Limpio'!D2:D2001,8)</f>
        <v>600922.84050000005</v>
      </c>
      <c r="G100" s="16">
        <f>IFERROR(COUNTIFS('Dataset Limpio'!C2:C2001,2024,'Dataset Limpio'!D2:D2001,8,'Dataset Limpio'!X2:X2001,"VERDADERO")/COUNTIFS('Dataset Limpio'!C2:C2001,2024,'Dataset Limpio'!D2:D2001,8),0)</f>
        <v>0.49382716049382713</v>
      </c>
      <c r="H100" s="16">
        <f>IFERROR(COUNTIFS('Dataset Limpio'!C2:C2001,2024,'Dataset Limpio'!D2:D2001,8,'Dataset Limpio'!W2:W2001,"Retrasado")/COUNTIFS('Dataset Limpio'!C2:C2001,2024,'Dataset Limpio'!D2:D2001,8),0)</f>
        <v>0.22222222222222221</v>
      </c>
      <c r="I100" s="16">
        <f>IFERROR(COUNTIFS('Dataset Limpio'!C2:C2001,2024,'Dataset Limpio'!D2:D2001,8,'Dataset Limpio'!AB2:AB2001,"VERDADERO")/COUNTIFS('Dataset Limpio'!C2:C2001,2024,'Dataset Limpio'!D2:D2001,8),0)</f>
        <v>0.53086419753086422</v>
      </c>
      <c r="J100" s="19">
        <f>IFERROR(AVERAGEIFS('Dataset Limpio'!V2:V2001,'Dataset Limpio'!C2:C2001,2024,'Dataset Limpio'!D2:D2001,8),0)</f>
        <v>1.3209876543209877</v>
      </c>
    </row>
    <row r="101" spans="2:10" ht="15.75" customHeight="1" x14ac:dyDescent="0.3">
      <c r="B101" s="80" t="s">
        <v>89</v>
      </c>
      <c r="C101" s="45">
        <v>9</v>
      </c>
      <c r="D101" s="7">
        <f>COUNTIFS('Dataset Limpio'!C2:C2001,2024,'Dataset Limpio'!D2:D2001,9)</f>
        <v>83</v>
      </c>
      <c r="E101" s="13">
        <f>SUMIFS('Dataset Limpio'!P2:P2001,'Dataset Limpio'!C2:C2001,2024,'Dataset Limpio'!D2:D2001,9)</f>
        <v>22562160.238899998</v>
      </c>
      <c r="F101" s="13">
        <f>SUMIFS('Dataset Limpio'!Q2:Q2001,'Dataset Limpio'!C2:C2001,2024,'Dataset Limpio'!D2:D2001,9)</f>
        <v>1143165.9701</v>
      </c>
      <c r="G101" s="12">
        <f>IFERROR(COUNTIFS('Dataset Limpio'!C2:C2001,2024,'Dataset Limpio'!D2:D2001,9,'Dataset Limpio'!X2:X2001,"VERDADERO")/COUNTIFS('Dataset Limpio'!C2:C2001,2024,'Dataset Limpio'!D2:D2001,9),0)</f>
        <v>0.44578313253012047</v>
      </c>
      <c r="H101" s="12">
        <f>IFERROR(COUNTIFS('Dataset Limpio'!C2:C2001,2024,'Dataset Limpio'!D2:D2001,9,'Dataset Limpio'!W2:W2001,"Retrasado")/COUNTIFS('Dataset Limpio'!C2:C2001,2024,'Dataset Limpio'!D2:D2001,9),0)</f>
        <v>0.26506024096385544</v>
      </c>
      <c r="I101" s="12">
        <f>IFERROR(COUNTIFS('Dataset Limpio'!C2:C2001,2024,'Dataset Limpio'!D2:D2001,9,'Dataset Limpio'!AB2:AB2001,"VERDADERO")/COUNTIFS('Dataset Limpio'!C2:C2001,2024,'Dataset Limpio'!D2:D2001,9),0)</f>
        <v>0.61445783132530118</v>
      </c>
      <c r="J101" s="15">
        <f>IFERROR(AVERAGEIFS('Dataset Limpio'!V2:V2001,'Dataset Limpio'!C2:C2001,2024,'Dataset Limpio'!D2:D2001,9),0)</f>
        <v>2.3373493975903616</v>
      </c>
    </row>
    <row r="102" spans="2:10" ht="15.75" customHeight="1" x14ac:dyDescent="0.3">
      <c r="B102" s="80" t="s">
        <v>89</v>
      </c>
      <c r="C102" s="46">
        <v>10</v>
      </c>
      <c r="D102" s="10">
        <f>COUNTIFS('Dataset Limpio'!C2:C2001,2024,'Dataset Limpio'!D2:D2001,10)</f>
        <v>88</v>
      </c>
      <c r="E102" s="17">
        <f>SUMIFS('Dataset Limpio'!P2:P2001,'Dataset Limpio'!C2:C2001,2024,'Dataset Limpio'!D2:D2001,10)</f>
        <v>22091907.139999997</v>
      </c>
      <c r="F102" s="17">
        <f>SUMIFS('Dataset Limpio'!Q2:Q2001,'Dataset Limpio'!C2:C2001,2024,'Dataset Limpio'!D2:D2001,10)</f>
        <v>1097030.7005999999</v>
      </c>
      <c r="G102" s="16">
        <f>IFERROR(COUNTIFS('Dataset Limpio'!C2:C2001,2024,'Dataset Limpio'!D2:D2001,10,'Dataset Limpio'!X2:X2001,"VERDADERO")/COUNTIFS('Dataset Limpio'!C2:C2001,2024,'Dataset Limpio'!D2:D2001,10),0)</f>
        <v>0.46590909090909088</v>
      </c>
      <c r="H102" s="16">
        <f>IFERROR(COUNTIFS('Dataset Limpio'!C2:C2001,2024,'Dataset Limpio'!D2:D2001,10,'Dataset Limpio'!W2:W2001,"Retrasado")/COUNTIFS('Dataset Limpio'!C2:C2001,2024,'Dataset Limpio'!D2:D2001,10),0)</f>
        <v>0.26136363636363635</v>
      </c>
      <c r="I102" s="16">
        <f>IFERROR(COUNTIFS('Dataset Limpio'!C2:C2001,2024,'Dataset Limpio'!D2:D2001,10,'Dataset Limpio'!AB2:AB2001,"VERDADERO")/COUNTIFS('Dataset Limpio'!C2:C2001,2024,'Dataset Limpio'!D2:D2001,10),0)</f>
        <v>0.56818181818181823</v>
      </c>
      <c r="J102" s="19">
        <f>IFERROR(AVERAGEIFS('Dataset Limpio'!V2:V2001,'Dataset Limpio'!C2:C2001,2024,'Dataset Limpio'!D2:D2001,10),0)</f>
        <v>2.2613636363636362</v>
      </c>
    </row>
    <row r="103" spans="2:10" ht="15.75" customHeight="1" x14ac:dyDescent="0.3">
      <c r="B103" s="80" t="s">
        <v>89</v>
      </c>
      <c r="C103" s="45">
        <v>11</v>
      </c>
      <c r="D103" s="7">
        <f>COUNTIFS('Dataset Limpio'!C2:C2001,2024,'Dataset Limpio'!D2:D2001,11)</f>
        <v>102</v>
      </c>
      <c r="E103" s="13">
        <f>SUMIFS('Dataset Limpio'!P2:P2001,'Dataset Limpio'!C2:C2001,2024,'Dataset Limpio'!D2:D2001,11)</f>
        <v>23660394.498900004</v>
      </c>
      <c r="F103" s="13">
        <f>SUMIFS('Dataset Limpio'!Q2:Q2001,'Dataset Limpio'!C2:C2001,2024,'Dataset Limpio'!D2:D2001,11)</f>
        <v>1081764.8799999999</v>
      </c>
      <c r="G103" s="12">
        <f>IFERROR(COUNTIFS('Dataset Limpio'!C2:C2001,2024,'Dataset Limpio'!D2:D2001,11,'Dataset Limpio'!X2:X2001,"VERDADERO")/COUNTIFS('Dataset Limpio'!C2:C2001,2024,'Dataset Limpio'!D2:D2001,11),0)</f>
        <v>0.51960784313725494</v>
      </c>
      <c r="H103" s="12">
        <f>IFERROR(COUNTIFS('Dataset Limpio'!C2:C2001,2024,'Dataset Limpio'!D2:D2001,11,'Dataset Limpio'!W2:W2001,"Retrasado")/COUNTIFS('Dataset Limpio'!C2:C2001,2024,'Dataset Limpio'!D2:D2001,11),0)</f>
        <v>0.27450980392156865</v>
      </c>
      <c r="I103" s="12">
        <f>IFERROR(COUNTIFS('Dataset Limpio'!C2:C2001,2024,'Dataset Limpio'!D2:D2001,11,'Dataset Limpio'!AB2:AB2001,"VERDADERO")/COUNTIFS('Dataset Limpio'!C2:C2001,2024,'Dataset Limpio'!D2:D2001,11),0)</f>
        <v>0.62745098039215685</v>
      </c>
      <c r="J103" s="15">
        <f>IFERROR(AVERAGEIFS('Dataset Limpio'!V2:V2001,'Dataset Limpio'!C2:C2001,2024,'Dataset Limpio'!D2:D2001,11),0)</f>
        <v>1.9509803921568627</v>
      </c>
    </row>
    <row r="104" spans="2:10" ht="15.75" customHeight="1" x14ac:dyDescent="0.3">
      <c r="B104" s="80" t="s">
        <v>89</v>
      </c>
      <c r="C104" s="46">
        <v>12</v>
      </c>
      <c r="D104" s="10">
        <f>COUNTIFS('Dataset Limpio'!C2:C2001,2024,'Dataset Limpio'!D2:D2001,12)</f>
        <v>81</v>
      </c>
      <c r="E104" s="17">
        <f>SUMIFS('Dataset Limpio'!P2:P2001,'Dataset Limpio'!C2:C2001,2024,'Dataset Limpio'!D2:D2001,12)</f>
        <v>19006020.318900004</v>
      </c>
      <c r="F104" s="17">
        <f>SUMIFS('Dataset Limpio'!Q2:Q2001,'Dataset Limpio'!C2:C2001,2024,'Dataset Limpio'!D2:D2001,12)</f>
        <v>952168.99009999994</v>
      </c>
      <c r="G104" s="16">
        <f>IFERROR(COUNTIFS('Dataset Limpio'!C2:C2001,2024,'Dataset Limpio'!D2:D2001,12,'Dataset Limpio'!X2:X2001,"VERDADERO")/COUNTIFS('Dataset Limpio'!C2:C2001,2024,'Dataset Limpio'!D2:D2001,12),0)</f>
        <v>0.49382716049382713</v>
      </c>
      <c r="H104" s="16">
        <f>IFERROR(COUNTIFS('Dataset Limpio'!C2:C2001,2024,'Dataset Limpio'!D2:D2001,12,'Dataset Limpio'!W2:W2001,"Retrasado")/COUNTIFS('Dataset Limpio'!C2:C2001,2024,'Dataset Limpio'!D2:D2001,12),0)</f>
        <v>0.20987654320987653</v>
      </c>
      <c r="I104" s="16">
        <f>IFERROR(COUNTIFS('Dataset Limpio'!C2:C2001,2024,'Dataset Limpio'!D2:D2001,12,'Dataset Limpio'!AB2:AB2001,"VERDADERO")/COUNTIFS('Dataset Limpio'!C2:C2001,2024,'Dataset Limpio'!D2:D2001,12),0)</f>
        <v>0.64197530864197527</v>
      </c>
      <c r="J104" s="19">
        <f>IFERROR(AVERAGEIFS('Dataset Limpio'!V2:V2001,'Dataset Limpio'!C2:C2001,2024,'Dataset Limpio'!D2:D2001,12),0)</f>
        <v>1.9259259259259258</v>
      </c>
    </row>
    <row r="106" spans="2:10" ht="24" customHeight="1" x14ac:dyDescent="0.3">
      <c r="B106"/>
      <c r="C106"/>
      <c r="D106"/>
      <c r="E106"/>
      <c r="F106"/>
      <c r="G106"/>
      <c r="H106"/>
      <c r="I106"/>
      <c r="J106"/>
    </row>
    <row r="107" spans="2:10" ht="21.75" customHeight="1" x14ac:dyDescent="0.3">
      <c r="B107"/>
      <c r="C107"/>
      <c r="D107"/>
      <c r="E107"/>
      <c r="F107"/>
      <c r="G107"/>
      <c r="H107"/>
      <c r="I107"/>
      <c r="J107"/>
    </row>
    <row r="108" spans="2:10" ht="21.75" customHeight="1" x14ac:dyDescent="0.3">
      <c r="B108"/>
      <c r="C108"/>
      <c r="D108"/>
      <c r="E108"/>
      <c r="F108"/>
      <c r="G108"/>
      <c r="H108"/>
      <c r="I108"/>
      <c r="J108"/>
    </row>
    <row r="109" spans="2:10" ht="21.75" customHeight="1" x14ac:dyDescent="0.3">
      <c r="B109"/>
      <c r="C109"/>
      <c r="D109"/>
      <c r="E109"/>
      <c r="F109"/>
      <c r="G109"/>
      <c r="H109"/>
      <c r="I109"/>
      <c r="J109"/>
    </row>
    <row r="110" spans="2:10" ht="21.75" customHeight="1" x14ac:dyDescent="0.3">
      <c r="B110"/>
      <c r="C110"/>
      <c r="D110"/>
      <c r="E110"/>
      <c r="F110"/>
      <c r="G110"/>
      <c r="H110"/>
      <c r="I110"/>
      <c r="J110"/>
    </row>
    <row r="111" spans="2:10" ht="21.75" customHeight="1" x14ac:dyDescent="0.3">
      <c r="B111"/>
      <c r="C111"/>
      <c r="D111"/>
      <c r="E111"/>
      <c r="F111"/>
      <c r="G111"/>
      <c r="H111"/>
      <c r="I111"/>
      <c r="J111"/>
    </row>
    <row r="112" spans="2:10" ht="21.75" customHeight="1" x14ac:dyDescent="0.3">
      <c r="B112"/>
      <c r="C112"/>
      <c r="D112"/>
      <c r="E112"/>
      <c r="F112"/>
      <c r="G112"/>
      <c r="H112"/>
      <c r="I112"/>
      <c r="J112"/>
    </row>
    <row r="113" spans="2:10" ht="21.75" customHeight="1" x14ac:dyDescent="0.3">
      <c r="B113"/>
      <c r="C113"/>
      <c r="D113"/>
      <c r="E113"/>
      <c r="F113"/>
      <c r="G113"/>
      <c r="H113"/>
      <c r="I113"/>
      <c r="J113"/>
    </row>
    <row r="114" spans="2:10" ht="21.75" customHeight="1" x14ac:dyDescent="0.3">
      <c r="B114"/>
      <c r="C114"/>
      <c r="D114"/>
      <c r="E114"/>
      <c r="F114"/>
      <c r="G114"/>
      <c r="H114"/>
      <c r="I114"/>
      <c r="J114"/>
    </row>
    <row r="115" spans="2:10" ht="21.75" customHeight="1" x14ac:dyDescent="0.3">
      <c r="B115"/>
      <c r="C115"/>
      <c r="D115"/>
      <c r="E115"/>
      <c r="F115"/>
      <c r="G115"/>
      <c r="H115"/>
      <c r="I115"/>
      <c r="J115"/>
    </row>
    <row r="116" spans="2:10" ht="21.75" customHeight="1" x14ac:dyDescent="0.3">
      <c r="B116"/>
      <c r="C116"/>
      <c r="D116"/>
      <c r="E116"/>
      <c r="F116"/>
      <c r="G116"/>
      <c r="H116"/>
      <c r="I116"/>
      <c r="J116"/>
    </row>
    <row r="117" spans="2:10" ht="21.75" customHeight="1" x14ac:dyDescent="0.3">
      <c r="B117"/>
      <c r="C117"/>
      <c r="D117"/>
      <c r="E117"/>
      <c r="F117"/>
      <c r="G117"/>
      <c r="H117"/>
      <c r="I117"/>
      <c r="J117"/>
    </row>
  </sheetData>
  <mergeCells count="26">
    <mergeCell ref="B73:J73"/>
    <mergeCell ref="B79:J79"/>
    <mergeCell ref="B23:J23"/>
    <mergeCell ref="B35:J35"/>
    <mergeCell ref="B48:J48"/>
    <mergeCell ref="B57:J57"/>
    <mergeCell ref="B65:J65"/>
    <mergeCell ref="B8:C8"/>
    <mergeCell ref="D8:E8"/>
    <mergeCell ref="F8:G8"/>
    <mergeCell ref="H8:I8"/>
    <mergeCell ref="B11:I11"/>
    <mergeCell ref="B6:C6"/>
    <mergeCell ref="D6:E6"/>
    <mergeCell ref="F6:G6"/>
    <mergeCell ref="H6:I6"/>
    <mergeCell ref="B7:C7"/>
    <mergeCell ref="D7:E7"/>
    <mergeCell ref="F7:G7"/>
    <mergeCell ref="H7:I7"/>
    <mergeCell ref="B2:J2"/>
    <mergeCell ref="B5:C5"/>
    <mergeCell ref="D5:E5"/>
    <mergeCell ref="F5:G5"/>
    <mergeCell ref="H5:I5"/>
    <mergeCell ref="B4:I4"/>
  </mergeCells>
  <phoneticPr fontId="18" type="noConversion"/>
  <pageMargins left="0.75" right="0.75" top="1" bottom="1" header="0.511811023622047" footer="0.511811023622047"/>
  <pageSetup paperSize="9" orientation="portrait" horizontalDpi="300" verticalDpi="300"/>
  <ignoredErrors>
    <ignoredError sqref="B81:B10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5F81-5EFF-495D-AB6F-1C568AEA6C65}">
  <dimension ref="A3:T34"/>
  <sheetViews>
    <sheetView topLeftCell="J1" workbookViewId="0">
      <selection activeCell="S23" sqref="S23"/>
    </sheetView>
  </sheetViews>
  <sheetFormatPr baseColWidth="10" defaultRowHeight="14.4" x14ac:dyDescent="0.3"/>
  <cols>
    <col min="1" max="1" width="16.5546875" bestFit="1" customWidth="1"/>
    <col min="2" max="2" width="18.77734375" bestFit="1" customWidth="1"/>
    <col min="4" max="4" width="18.77734375" bestFit="1" customWidth="1"/>
    <col min="5" max="5" width="21.44140625" bestFit="1" customWidth="1"/>
    <col min="6" max="6" width="11.88671875" bestFit="1" customWidth="1"/>
    <col min="7" max="7" width="13.21875" bestFit="1" customWidth="1"/>
    <col min="8" max="8" width="14.44140625" bestFit="1" customWidth="1"/>
    <col min="9" max="9" width="16.44140625" bestFit="1" customWidth="1"/>
    <col min="10" max="10" width="18.21875" bestFit="1" customWidth="1"/>
    <col min="11" max="11" width="14.88671875" bestFit="1" customWidth="1"/>
    <col min="12" max="12" width="13.33203125" bestFit="1" customWidth="1"/>
    <col min="13" max="13" width="17" bestFit="1" customWidth="1"/>
    <col min="14" max="14" width="18.88671875" bestFit="1" customWidth="1"/>
    <col min="15" max="15" width="11.88671875" bestFit="1" customWidth="1"/>
    <col min="16" max="16" width="6.6640625" bestFit="1" customWidth="1"/>
    <col min="17" max="17" width="6" bestFit="1" customWidth="1"/>
    <col min="18" max="18" width="23.109375" bestFit="1" customWidth="1"/>
    <col min="19" max="19" width="21.44140625" bestFit="1" customWidth="1"/>
    <col min="20" max="22" width="15.5546875" bestFit="1" customWidth="1"/>
    <col min="23" max="23" width="16.44140625" bestFit="1" customWidth="1"/>
    <col min="24" max="24" width="18.21875" bestFit="1" customWidth="1"/>
    <col min="25" max="26" width="15.5546875" bestFit="1" customWidth="1"/>
    <col min="27" max="27" width="17" bestFit="1" customWidth="1"/>
    <col min="28" max="28" width="18.88671875" bestFit="1" customWidth="1"/>
    <col min="29" max="29" width="16.6640625" bestFit="1" customWidth="1"/>
    <col min="30" max="31" width="10.6640625" bestFit="1" customWidth="1"/>
    <col min="32" max="32" width="10" bestFit="1" customWidth="1"/>
    <col min="33" max="33" width="8.77734375" bestFit="1" customWidth="1"/>
    <col min="34" max="34" width="6.6640625" bestFit="1" customWidth="1"/>
    <col min="35" max="35" width="6" bestFit="1" customWidth="1"/>
    <col min="36" max="37" width="10.6640625" bestFit="1" customWidth="1"/>
    <col min="38" max="38" width="10" bestFit="1" customWidth="1"/>
    <col min="39" max="39" width="8.77734375" bestFit="1" customWidth="1"/>
    <col min="40" max="40" width="6.6640625" bestFit="1" customWidth="1"/>
    <col min="41" max="41" width="6" bestFit="1" customWidth="1"/>
    <col min="42" max="43" width="10.6640625" bestFit="1" customWidth="1"/>
    <col min="44" max="44" width="10" bestFit="1" customWidth="1"/>
    <col min="45" max="45" width="8.77734375" bestFit="1" customWidth="1"/>
    <col min="46" max="46" width="6.6640625" bestFit="1" customWidth="1"/>
    <col min="47" max="47" width="6" bestFit="1" customWidth="1"/>
    <col min="48" max="49" width="10.6640625" bestFit="1" customWidth="1"/>
    <col min="50" max="50" width="10" bestFit="1" customWidth="1"/>
    <col min="51" max="51" width="8.77734375" bestFit="1" customWidth="1"/>
    <col min="52" max="52" width="6.6640625" bestFit="1" customWidth="1"/>
    <col min="53" max="53" width="6" bestFit="1" customWidth="1"/>
    <col min="54" max="55" width="10.6640625" bestFit="1" customWidth="1"/>
    <col min="56" max="56" width="10" bestFit="1" customWidth="1"/>
    <col min="57" max="57" width="8.77734375" bestFit="1" customWidth="1"/>
    <col min="58" max="58" width="6.6640625" bestFit="1" customWidth="1"/>
    <col min="59" max="59" width="6" bestFit="1" customWidth="1"/>
    <col min="60" max="61" width="10.6640625" bestFit="1" customWidth="1"/>
    <col min="62" max="62" width="10" bestFit="1" customWidth="1"/>
    <col min="63" max="63" width="8.77734375" bestFit="1" customWidth="1"/>
    <col min="64" max="64" width="7.6640625" bestFit="1" customWidth="1"/>
    <col min="65" max="65" width="6" bestFit="1" customWidth="1"/>
    <col min="66" max="67" width="10.6640625" bestFit="1" customWidth="1"/>
    <col min="68" max="68" width="10" bestFit="1" customWidth="1"/>
    <col min="69" max="69" width="8.77734375" bestFit="1" customWidth="1"/>
    <col min="70" max="70" width="7.6640625" bestFit="1" customWidth="1"/>
    <col min="71" max="71" width="6" bestFit="1" customWidth="1"/>
    <col min="72" max="73" width="10.6640625" bestFit="1" customWidth="1"/>
    <col min="74" max="74" width="10" bestFit="1" customWidth="1"/>
    <col min="75" max="75" width="8.77734375" bestFit="1" customWidth="1"/>
    <col min="76" max="76" width="7.6640625" bestFit="1" customWidth="1"/>
    <col min="77" max="77" width="11.88671875" bestFit="1" customWidth="1"/>
  </cols>
  <sheetData>
    <row r="3" spans="1:19" x14ac:dyDescent="0.3">
      <c r="A3" t="s">
        <v>4118</v>
      </c>
      <c r="B3" t="s">
        <v>4113</v>
      </c>
      <c r="D3" s="74" t="s">
        <v>4116</v>
      </c>
      <c r="F3" t="s">
        <v>4119</v>
      </c>
    </row>
    <row r="4" spans="1:19" x14ac:dyDescent="0.3">
      <c r="A4" s="71">
        <v>93</v>
      </c>
      <c r="B4" s="79">
        <v>26940861.872200005</v>
      </c>
      <c r="D4" s="79">
        <v>1395976.2205999994</v>
      </c>
      <c r="F4" s="75">
        <v>15.666666666666666</v>
      </c>
    </row>
    <row r="5" spans="1:19" x14ac:dyDescent="0.3">
      <c r="B5" s="73"/>
    </row>
    <row r="7" spans="1:19" x14ac:dyDescent="0.3">
      <c r="D7" s="69" t="s">
        <v>4120</v>
      </c>
      <c r="E7" s="69" t="s">
        <v>4117</v>
      </c>
      <c r="R7" t="s">
        <v>4121</v>
      </c>
    </row>
    <row r="8" spans="1:19" x14ac:dyDescent="0.3">
      <c r="D8" s="69" t="s">
        <v>4114</v>
      </c>
      <c r="E8" t="s">
        <v>53</v>
      </c>
      <c r="F8" t="s">
        <v>4115</v>
      </c>
      <c r="R8" s="78">
        <v>0.48574180175149739</v>
      </c>
    </row>
    <row r="9" spans="1:19" x14ac:dyDescent="0.3">
      <c r="D9" s="76">
        <v>2024</v>
      </c>
      <c r="E9" s="71">
        <v>93</v>
      </c>
      <c r="F9" s="71">
        <v>93</v>
      </c>
    </row>
    <row r="10" spans="1:19" x14ac:dyDescent="0.3">
      <c r="A10" s="69" t="s">
        <v>4114</v>
      </c>
      <c r="B10" t="s">
        <v>4120</v>
      </c>
      <c r="D10" s="77">
        <v>1</v>
      </c>
      <c r="E10" s="71">
        <v>7</v>
      </c>
      <c r="F10" s="71">
        <v>7</v>
      </c>
      <c r="R10" s="69" t="s">
        <v>95</v>
      </c>
      <c r="S10" s="76">
        <v>2024</v>
      </c>
    </row>
    <row r="11" spans="1:19" x14ac:dyDescent="0.3">
      <c r="A11" s="70" t="s">
        <v>128</v>
      </c>
      <c r="B11" s="71">
        <v>23</v>
      </c>
      <c r="D11" s="77">
        <v>2</v>
      </c>
      <c r="E11" s="71">
        <v>10</v>
      </c>
      <c r="F11" s="71">
        <v>10</v>
      </c>
    </row>
    <row r="12" spans="1:19" x14ac:dyDescent="0.3">
      <c r="A12" s="70" t="s">
        <v>115</v>
      </c>
      <c r="B12" s="71">
        <v>42</v>
      </c>
      <c r="D12" s="77">
        <v>3</v>
      </c>
      <c r="E12" s="71">
        <v>7</v>
      </c>
      <c r="F12" s="71">
        <v>7</v>
      </c>
      <c r="R12" s="69" t="s">
        <v>4114</v>
      </c>
      <c r="S12" t="s">
        <v>4122</v>
      </c>
    </row>
    <row r="13" spans="1:19" x14ac:dyDescent="0.3">
      <c r="A13" s="70" t="s">
        <v>125</v>
      </c>
      <c r="B13" s="71">
        <v>28</v>
      </c>
      <c r="D13" s="77">
        <v>4</v>
      </c>
      <c r="E13" s="71">
        <v>7</v>
      </c>
      <c r="F13" s="71">
        <v>7</v>
      </c>
      <c r="R13" s="70" t="s">
        <v>4123</v>
      </c>
      <c r="S13" s="71">
        <v>39</v>
      </c>
    </row>
    <row r="14" spans="1:19" x14ac:dyDescent="0.3">
      <c r="A14" s="70" t="s">
        <v>4115</v>
      </c>
      <c r="B14" s="71">
        <v>93</v>
      </c>
      <c r="D14" s="77">
        <v>5</v>
      </c>
      <c r="E14" s="71">
        <v>7</v>
      </c>
      <c r="F14" s="71">
        <v>7</v>
      </c>
      <c r="R14" s="70" t="s">
        <v>4124</v>
      </c>
      <c r="S14" s="71">
        <v>54</v>
      </c>
    </row>
    <row r="15" spans="1:19" x14ac:dyDescent="0.3">
      <c r="D15" s="77">
        <v>6</v>
      </c>
      <c r="E15" s="71">
        <v>7</v>
      </c>
      <c r="F15" s="71">
        <v>7</v>
      </c>
      <c r="R15" s="70" t="s">
        <v>4115</v>
      </c>
      <c r="S15" s="71">
        <v>93</v>
      </c>
    </row>
    <row r="16" spans="1:19" x14ac:dyDescent="0.3">
      <c r="D16" s="77">
        <v>7</v>
      </c>
      <c r="E16" s="71">
        <v>6</v>
      </c>
      <c r="F16" s="71">
        <v>6</v>
      </c>
    </row>
    <row r="17" spans="4:20" x14ac:dyDescent="0.3">
      <c r="D17" s="77">
        <v>8</v>
      </c>
      <c r="E17" s="71">
        <v>8</v>
      </c>
      <c r="F17" s="71">
        <v>8</v>
      </c>
    </row>
    <row r="18" spans="4:20" x14ac:dyDescent="0.3">
      <c r="D18" s="77">
        <v>9</v>
      </c>
      <c r="E18" s="71">
        <v>4</v>
      </c>
      <c r="F18" s="71">
        <v>4</v>
      </c>
    </row>
    <row r="19" spans="4:20" x14ac:dyDescent="0.3">
      <c r="D19" s="77">
        <v>10</v>
      </c>
      <c r="E19" s="71">
        <v>10</v>
      </c>
      <c r="F19" s="71">
        <v>10</v>
      </c>
      <c r="R19" s="69" t="s">
        <v>4113</v>
      </c>
      <c r="S19" s="69" t="s">
        <v>4117</v>
      </c>
    </row>
    <row r="20" spans="4:20" x14ac:dyDescent="0.3">
      <c r="D20" s="77">
        <v>11</v>
      </c>
      <c r="E20" s="71">
        <v>10</v>
      </c>
      <c r="F20" s="71">
        <v>10</v>
      </c>
      <c r="R20" s="69" t="s">
        <v>4114</v>
      </c>
      <c r="S20" t="s">
        <v>53</v>
      </c>
      <c r="T20" t="s">
        <v>4115</v>
      </c>
    </row>
    <row r="21" spans="4:20" x14ac:dyDescent="0.3">
      <c r="D21" s="77">
        <v>12</v>
      </c>
      <c r="E21" s="71">
        <v>10</v>
      </c>
      <c r="F21" s="71">
        <v>10</v>
      </c>
      <c r="R21" s="76">
        <v>2024</v>
      </c>
      <c r="S21" s="79">
        <v>26940861.872200001</v>
      </c>
      <c r="T21" s="79">
        <v>26940861.872200001</v>
      </c>
    </row>
    <row r="22" spans="4:20" x14ac:dyDescent="0.3">
      <c r="D22" s="76" t="s">
        <v>4115</v>
      </c>
      <c r="E22" s="71">
        <v>93</v>
      </c>
      <c r="F22" s="71">
        <v>93</v>
      </c>
      <c r="R22" s="77">
        <v>1</v>
      </c>
      <c r="S22" s="79">
        <v>1137312.1500000001</v>
      </c>
      <c r="T22" s="79">
        <v>1137312.1500000001</v>
      </c>
    </row>
    <row r="23" spans="4:20" x14ac:dyDescent="0.3">
      <c r="R23" s="77">
        <v>2</v>
      </c>
      <c r="S23" s="79">
        <v>7095420.3674000008</v>
      </c>
      <c r="T23" s="79">
        <v>7095420.3674000008</v>
      </c>
    </row>
    <row r="24" spans="4:20" x14ac:dyDescent="0.3">
      <c r="R24" s="77">
        <v>3</v>
      </c>
      <c r="S24" s="79">
        <v>1793676.3900000001</v>
      </c>
      <c r="T24" s="79">
        <v>1793676.3900000001</v>
      </c>
    </row>
    <row r="25" spans="4:20" x14ac:dyDescent="0.3">
      <c r="R25" s="77">
        <v>4</v>
      </c>
      <c r="S25" s="79">
        <v>1788111.85</v>
      </c>
      <c r="T25" s="79">
        <v>1788111.85</v>
      </c>
    </row>
    <row r="26" spans="4:20" x14ac:dyDescent="0.3">
      <c r="R26" s="77">
        <v>5</v>
      </c>
      <c r="S26" s="79">
        <v>3248778.48</v>
      </c>
      <c r="T26" s="79">
        <v>3248778.48</v>
      </c>
    </row>
    <row r="27" spans="4:20" x14ac:dyDescent="0.3">
      <c r="R27" s="77">
        <v>6</v>
      </c>
      <c r="S27" s="79">
        <v>1026944.28</v>
      </c>
      <c r="T27" s="79">
        <v>1026944.28</v>
      </c>
    </row>
    <row r="28" spans="4:20" x14ac:dyDescent="0.3">
      <c r="R28" s="77">
        <v>7</v>
      </c>
      <c r="S28" s="79">
        <v>859726.26</v>
      </c>
      <c r="T28" s="79">
        <v>859726.26</v>
      </c>
    </row>
    <row r="29" spans="4:20" x14ac:dyDescent="0.3">
      <c r="R29" s="77">
        <v>8</v>
      </c>
      <c r="S29" s="79">
        <v>2553081.1074000001</v>
      </c>
      <c r="T29" s="79">
        <v>2553081.1074000001</v>
      </c>
    </row>
    <row r="30" spans="4:20" x14ac:dyDescent="0.3">
      <c r="R30" s="77">
        <v>9</v>
      </c>
      <c r="S30" s="79">
        <v>613544.34</v>
      </c>
      <c r="T30" s="79">
        <v>613544.34</v>
      </c>
    </row>
    <row r="31" spans="4:20" x14ac:dyDescent="0.3">
      <c r="R31" s="77">
        <v>10</v>
      </c>
      <c r="S31" s="79">
        <v>2542477.3474000003</v>
      </c>
      <c r="T31" s="79">
        <v>2542477.3474000003</v>
      </c>
    </row>
    <row r="32" spans="4:20" x14ac:dyDescent="0.3">
      <c r="R32" s="77">
        <v>11</v>
      </c>
      <c r="S32" s="79">
        <v>2197499.9900000002</v>
      </c>
      <c r="T32" s="79">
        <v>2197499.9900000002</v>
      </c>
    </row>
    <row r="33" spans="18:20" x14ac:dyDescent="0.3">
      <c r="R33" s="77">
        <v>12</v>
      </c>
      <c r="S33" s="79">
        <v>2084289.31</v>
      </c>
      <c r="T33" s="79">
        <v>2084289.31</v>
      </c>
    </row>
    <row r="34" spans="18:20" x14ac:dyDescent="0.3">
      <c r="R34" s="76" t="s">
        <v>4115</v>
      </c>
      <c r="S34" s="79">
        <v>26940861.872200001</v>
      </c>
      <c r="T34" s="79">
        <v>26940861.872200001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9484A-8562-4777-BBBB-E1F638FB9CFF}">
  <sheetPr>
    <tabColor rgb="FF00B0F0"/>
  </sheetPr>
  <dimension ref="N10:Q16"/>
  <sheetViews>
    <sheetView showGridLines="0" tabSelected="1" zoomScale="61" zoomScaleNormal="55" workbookViewId="0">
      <selection activeCell="AD7" sqref="AD7"/>
    </sheetView>
  </sheetViews>
  <sheetFormatPr baseColWidth="10" defaultRowHeight="15.6" x14ac:dyDescent="0.3"/>
  <cols>
    <col min="1" max="1" width="4.44140625" style="72" customWidth="1"/>
    <col min="2" max="13" width="11.5546875" style="72"/>
    <col min="14" max="14" width="16.44140625" style="72" bestFit="1" customWidth="1"/>
    <col min="15" max="15" width="11.109375" style="72" bestFit="1" customWidth="1"/>
    <col min="16" max="16" width="10.33203125" style="72" bestFit="1" customWidth="1"/>
    <col min="17" max="17" width="12.5546875" style="72" bestFit="1" customWidth="1"/>
    <col min="18" max="16384" width="11.5546875" style="72"/>
  </cols>
  <sheetData>
    <row r="10" spans="14:17" x14ac:dyDescent="0.3">
      <c r="N10"/>
      <c r="O10"/>
      <c r="P10"/>
      <c r="Q10"/>
    </row>
    <row r="11" spans="14:17" x14ac:dyDescent="0.3">
      <c r="N11"/>
      <c r="O11"/>
      <c r="P11"/>
      <c r="Q11"/>
    </row>
    <row r="12" spans="14:17" x14ac:dyDescent="0.3">
      <c r="N12"/>
      <c r="O12"/>
      <c r="P12"/>
      <c r="Q12"/>
    </row>
    <row r="13" spans="14:17" x14ac:dyDescent="0.3">
      <c r="N13"/>
      <c r="O13"/>
      <c r="P13"/>
      <c r="Q13"/>
    </row>
    <row r="14" spans="14:17" x14ac:dyDescent="0.3">
      <c r="N14"/>
      <c r="O14"/>
      <c r="P14"/>
      <c r="Q14"/>
    </row>
    <row r="15" spans="14:17" x14ac:dyDescent="0.3">
      <c r="N15"/>
      <c r="O15"/>
      <c r="P15"/>
      <c r="Q15"/>
    </row>
    <row r="16" spans="14:17" x14ac:dyDescent="0.3">
      <c r="N16"/>
      <c r="O16"/>
      <c r="P16"/>
      <c r="Q16"/>
    </row>
  </sheetData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Dataset Limpio</vt:lpstr>
      <vt:lpstr>Análisis Descriptivo</vt:lpstr>
      <vt:lpstr>Analisis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Christopher Fernandez</cp:lastModifiedBy>
  <cp:revision>2</cp:revision>
  <dcterms:created xsi:type="dcterms:W3CDTF">2026-05-16T08:46:44Z</dcterms:created>
  <dcterms:modified xsi:type="dcterms:W3CDTF">2026-05-19T18:06:24Z</dcterms:modified>
  <dc:language>en-US</dc:language>
</cp:coreProperties>
</file>